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top files\Vaishnavi (firm)\Party\Excel File\Party\"/>
    </mc:Choice>
  </mc:AlternateContent>
  <xr:revisionPtr revIDLastSave="0" documentId="13_ncr:1_{CE92327F-B3A5-4687-8B93-C75E5DBCF672}" xr6:coauthVersionLast="40" xr6:coauthVersionMax="40" xr10:uidLastSave="{00000000-0000-0000-0000-000000000000}"/>
  <bookViews>
    <workbookView xWindow="240" yWindow="60" windowWidth="20055" windowHeight="7950" xr2:uid="{00000000-000D-0000-FFFF-FFFF00000000}"/>
  </bookViews>
  <sheets>
    <sheet name="Sheet3" sheetId="3" r:id="rId1"/>
    <sheet name="Sheet1" sheetId="6" r:id="rId2"/>
    <sheet name="Sheet4" sheetId="8" r:id="rId3"/>
    <sheet name="Sheet5" sheetId="9" r:id="rId4"/>
  </sheets>
  <definedNames>
    <definedName name="_xlnm._FilterDatabase" localSheetId="0" hidden="1">Sheet3!$A$2:$V$41</definedName>
    <definedName name="_xlnm._FilterDatabase" localSheetId="2" hidden="1">Sheet4!$T$2:$V$41</definedName>
    <definedName name="_xlnm._FilterDatabase" localSheetId="3" hidden="1">Sheet5!$A$6:$V$15</definedName>
  </definedNames>
  <calcPr calcId="191029"/>
</workbook>
</file>

<file path=xl/calcChain.xml><?xml version="1.0" encoding="utf-8"?>
<calcChain xmlns="http://schemas.openxmlformats.org/spreadsheetml/2006/main">
  <c r="U46" i="9" l="1"/>
  <c r="V46" i="9" s="1"/>
  <c r="T46" i="9"/>
  <c r="U41" i="8"/>
  <c r="V41" i="8" s="1"/>
  <c r="U39" i="8"/>
  <c r="V39" i="8" s="1"/>
  <c r="U38" i="8"/>
  <c r="V38" i="8" s="1"/>
  <c r="U37" i="8"/>
  <c r="V37" i="8" s="1"/>
  <c r="U36" i="8"/>
  <c r="V36" i="8" s="1"/>
  <c r="U35" i="8"/>
  <c r="V35" i="8" s="1"/>
  <c r="U32" i="8"/>
  <c r="V32" i="8" s="1"/>
  <c r="U31" i="8"/>
  <c r="V31" i="8" s="1"/>
  <c r="U30" i="8"/>
  <c r="V30" i="8" s="1"/>
  <c r="U29" i="8"/>
  <c r="V29" i="8" s="1"/>
  <c r="U33" i="8"/>
  <c r="V33" i="8" s="1"/>
  <c r="U34" i="8"/>
  <c r="V34" i="8" s="1"/>
  <c r="U40" i="8"/>
  <c r="V40" i="8" s="1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U28" i="8"/>
  <c r="U25" i="8"/>
  <c r="U24" i="8"/>
  <c r="U20" i="8"/>
  <c r="U19" i="8"/>
  <c r="U17" i="8"/>
  <c r="U15" i="8"/>
  <c r="V15" i="8" l="1"/>
  <c r="V17" i="8"/>
  <c r="V19" i="8"/>
  <c r="V20" i="8"/>
  <c r="V24" i="8"/>
  <c r="V25" i="8"/>
  <c r="V28" i="8"/>
  <c r="U5" i="8"/>
  <c r="V5" i="8" s="1"/>
  <c r="U6" i="8"/>
  <c r="V6" i="8" s="1"/>
  <c r="U7" i="8"/>
  <c r="V7" i="8" s="1"/>
  <c r="U8" i="8"/>
  <c r="V8" i="8" s="1"/>
  <c r="U9" i="8"/>
  <c r="V9" i="8" s="1"/>
  <c r="U10" i="8"/>
  <c r="V10" i="8" s="1"/>
  <c r="U11" i="8"/>
  <c r="V11" i="8" s="1"/>
  <c r="U12" i="8"/>
  <c r="V12" i="8" s="1"/>
  <c r="U13" i="8"/>
  <c r="V13" i="8" s="1"/>
  <c r="U14" i="8"/>
  <c r="V14" i="8" s="1"/>
  <c r="U16" i="8"/>
  <c r="V16" i="8" s="1"/>
  <c r="U18" i="8"/>
  <c r="V18" i="8" s="1"/>
  <c r="U21" i="8"/>
  <c r="V21" i="8" s="1"/>
  <c r="U22" i="8"/>
  <c r="V22" i="8" s="1"/>
  <c r="U23" i="8"/>
  <c r="V23" i="8" s="1"/>
  <c r="U26" i="8"/>
  <c r="V26" i="8" s="1"/>
  <c r="U27" i="8"/>
  <c r="V27" i="8" s="1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U4" i="8"/>
  <c r="V4" i="8" s="1"/>
  <c r="T4" i="8"/>
  <c r="S22" i="8"/>
  <c r="Q22" i="8"/>
  <c r="P22" i="8"/>
  <c r="O22" i="8"/>
  <c r="S18" i="8"/>
  <c r="Q18" i="8"/>
  <c r="P18" i="8"/>
  <c r="O18" i="8"/>
  <c r="P18" i="3" l="1"/>
  <c r="S22" i="3"/>
  <c r="Q22" i="3"/>
  <c r="P22" i="3"/>
  <c r="O22" i="3"/>
  <c r="S18" i="3"/>
  <c r="Q18" i="3"/>
  <c r="O18" i="3"/>
</calcChain>
</file>

<file path=xl/sharedStrings.xml><?xml version="1.0" encoding="utf-8"?>
<sst xmlns="http://schemas.openxmlformats.org/spreadsheetml/2006/main" count="1488" uniqueCount="120">
  <si>
    <t>BJP</t>
  </si>
  <si>
    <t>MEAN</t>
  </si>
  <si>
    <t>TOTAL POLLED</t>
  </si>
  <si>
    <t>SL. NO</t>
  </si>
  <si>
    <t>WARD NO.</t>
  </si>
  <si>
    <t>WARD NAME</t>
  </si>
  <si>
    <t>TOTAL NO. OF BOOTH</t>
  </si>
  <si>
    <t>BOOTH DETAILS</t>
  </si>
  <si>
    <t>CONGRESS</t>
  </si>
  <si>
    <t>28,29,48,49,50,51</t>
  </si>
  <si>
    <t>BOOTH STATUS(POOLING)</t>
  </si>
  <si>
    <t>HINDU POPULATION STATUS</t>
  </si>
  <si>
    <t>OTHERS POPULATION STATUS</t>
  </si>
  <si>
    <t>GENDER RATIO</t>
  </si>
  <si>
    <t>AVG</t>
  </si>
  <si>
    <t>VLOW</t>
  </si>
  <si>
    <t>EXCELLENT</t>
  </si>
  <si>
    <t>FEMALE DOM</t>
  </si>
  <si>
    <t>Derebail South</t>
  </si>
  <si>
    <t>8,10,11,12,13,15</t>
  </si>
  <si>
    <t>Derebail West</t>
  </si>
  <si>
    <t>4,5,6,7,1,2</t>
  </si>
  <si>
    <t>STRONG</t>
  </si>
  <si>
    <t>Derebail Nairuthya</t>
  </si>
  <si>
    <t>3,4,75,75,77,78,79,80</t>
  </si>
  <si>
    <t>Boloor</t>
  </si>
  <si>
    <t>71,73,74,81,82,83</t>
  </si>
  <si>
    <t>Mannagudda</t>
  </si>
  <si>
    <t>68,69,70,72</t>
  </si>
  <si>
    <t>MEN</t>
  </si>
  <si>
    <t>Kambala</t>
  </si>
  <si>
    <t>61,62,63,64</t>
  </si>
  <si>
    <t>H</t>
  </si>
  <si>
    <t>Kodialbail</t>
  </si>
  <si>
    <t>Padav West</t>
  </si>
  <si>
    <t>20,22,23,59,60</t>
  </si>
  <si>
    <t>Bejai</t>
  </si>
  <si>
    <t>14,16,17,18,19,21</t>
  </si>
  <si>
    <t>O</t>
  </si>
  <si>
    <t>Kadri North</t>
  </si>
  <si>
    <t>24,27,57,25,26</t>
  </si>
  <si>
    <t>kadri south</t>
  </si>
  <si>
    <t>54,55,56,58</t>
  </si>
  <si>
    <t>Shivabagh</t>
  </si>
  <si>
    <t>52,53,117,119,123</t>
  </si>
  <si>
    <t>WEAK</t>
  </si>
  <si>
    <t>Padav Central</t>
  </si>
  <si>
    <t>30,31,34,38,39,35,37</t>
  </si>
  <si>
    <t>Padav East</t>
  </si>
  <si>
    <t>32,33,36</t>
  </si>
  <si>
    <t>Maroli</t>
  </si>
  <si>
    <t>42,43,44,45,46,47</t>
  </si>
  <si>
    <t>Bendoor</t>
  </si>
  <si>
    <t>117,118,122,124,148,149,153</t>
  </si>
  <si>
    <t>Court</t>
  </si>
  <si>
    <t>114,115,116,129,130</t>
  </si>
  <si>
    <t>Central</t>
  </si>
  <si>
    <t>111,112,113,109,110</t>
  </si>
  <si>
    <t>Falnir</t>
  </si>
  <si>
    <t>144,145,146,154,155,147</t>
  </si>
  <si>
    <t>WARD STATUS</t>
  </si>
  <si>
    <t>MARGIN STATUS</t>
  </si>
  <si>
    <t>WIN MARGIN</t>
  </si>
  <si>
    <t>BJP GAIN</t>
  </si>
  <si>
    <t>LOWMARGIN</t>
  </si>
  <si>
    <t>CONGRESS GAIN</t>
  </si>
  <si>
    <t>VERYHIGHMARGIN</t>
  </si>
  <si>
    <t>VERY HIGH MARGIN</t>
  </si>
  <si>
    <t>MEDIUMMARGIN</t>
  </si>
  <si>
    <t>LOW MARGIN</t>
  </si>
  <si>
    <t>DONGARAKERY</t>
  </si>
  <si>
    <t>65, 66, 67, 98,100, 102,103</t>
  </si>
  <si>
    <t>KUDROLI</t>
  </si>
  <si>
    <t>94, 95, 96, 97,99</t>
  </si>
  <si>
    <t>MEDIUM MARGIN</t>
  </si>
  <si>
    <t>NAVAYATH</t>
  </si>
  <si>
    <t>106, 107, 108, 109,101, 140</t>
  </si>
  <si>
    <t>NARROWMARGIN</t>
  </si>
  <si>
    <t>PORT</t>
  </si>
  <si>
    <t>131,135, 136, 208, 209, 210</t>
  </si>
  <si>
    <t>CONTONMENT</t>
  </si>
  <si>
    <t>125, 128, 132, 133, 137</t>
  </si>
  <si>
    <t>MILLAGRES</t>
  </si>
  <si>
    <t>126, 127, 150, 151, 152</t>
  </si>
  <si>
    <t>HIGHMARGIN</t>
  </si>
  <si>
    <t>VALANCIA</t>
  </si>
  <si>
    <t>120, 121, 156, 157, 158, 165</t>
  </si>
  <si>
    <t>KANKANADY</t>
  </si>
  <si>
    <t>157, 160, 161, 167, 163, 164</t>
  </si>
  <si>
    <t>ALAPE SOUTH</t>
  </si>
  <si>
    <t>166, 167, 168, 169, 170, 189, 190, 191</t>
  </si>
  <si>
    <t>ALAPE NORTH</t>
  </si>
  <si>
    <t>40, 41, 171, 172, 173, 174, 179</t>
  </si>
  <si>
    <t>KANNUR</t>
  </si>
  <si>
    <t>175, 176, 177,178, 180, 181</t>
  </si>
  <si>
    <t>NARROW MARGIN</t>
  </si>
  <si>
    <t>BAJAL</t>
  </si>
  <si>
    <t>182, 183, 184, 185, 186,187, 188</t>
  </si>
  <si>
    <t>JAPPINAMOGARU</t>
  </si>
  <si>
    <t>192, 193, 194, 195, 219</t>
  </si>
  <si>
    <t>ATTAVARA</t>
  </si>
  <si>
    <t>138, 139, 140, 197, 198, 199, 200, 217</t>
  </si>
  <si>
    <t>MANGALADEVI</t>
  </si>
  <si>
    <t>199, 200, 202, 203, 204</t>
  </si>
  <si>
    <t>HOIGE BAZAR</t>
  </si>
  <si>
    <t>206, 207, 210, 213, 214</t>
  </si>
  <si>
    <t>BOLOOR</t>
  </si>
  <si>
    <t>201, 211, 212, 205</t>
  </si>
  <si>
    <t>JEPPU</t>
  </si>
  <si>
    <t>141, 142, 143, 196, 215, 216</t>
  </si>
  <si>
    <t>BENGRE</t>
  </si>
  <si>
    <t>84, 85, 91, 93, 185, 186, 184</t>
  </si>
  <si>
    <t>MANGALORE SOUTH WARDWISE STATISTICAL ANALYSIS OF YEAR 2013,2013+,2014 AND 2018.</t>
  </si>
  <si>
    <t>RATIO OF COMPARISION NON VOTERS</t>
  </si>
  <si>
    <t>HIGH MARGIN</t>
  </si>
  <si>
    <t>VARIANCE</t>
  </si>
  <si>
    <t>STANDERD DEVIATION</t>
  </si>
  <si>
    <t>WARD WISE MARGIN BASED STATISTICAL ANALYSIS OF THE YEAR 2013, 2013+, 2014 AND 2018</t>
  </si>
  <si>
    <t>WARD WISE MARGIN BASED STATISTICAL ANALYSIS OF YEAR 2014 AND 2018</t>
  </si>
  <si>
    <t>MANGALORE SOUTH WARDWISE STATISTICAL ANALYSIS OF YEAR 2014 AND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</si>
</sst>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705"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topLeftCell="H1" zoomScale="70" zoomScaleNormal="70" workbookViewId="0">
      <selection activeCell="S5" sqref="S5"/>
    </sheetView>
  </sheetViews>
  <sheetFormatPr defaultRowHeight="15" x14ac:dyDescent="0.25"/>
  <cols>
    <col min="1" max="1" width="17.85546875" customWidth="1"/>
    <col min="2" max="2" width="24.28515625" customWidth="1"/>
    <col min="3" max="3" width="19" customWidth="1"/>
    <col min="4" max="4" width="29.7109375" customWidth="1"/>
    <col min="5" max="5" width="34.42578125" customWidth="1"/>
    <col min="6" max="6" width="16.7109375" customWidth="1"/>
    <col min="7" max="7" width="16.85546875" style="1" customWidth="1"/>
    <col min="8" max="8" width="16" customWidth="1"/>
    <col min="9" max="9" width="12.85546875" customWidth="1"/>
    <col min="10" max="10" width="14.28515625" customWidth="1"/>
    <col min="11" max="11" width="15.5703125" customWidth="1"/>
    <col min="12" max="12" width="16.140625" customWidth="1"/>
    <col min="13" max="13" width="17" customWidth="1"/>
    <col min="14" max="14" width="18.28515625" customWidth="1"/>
    <col min="15" max="15" width="22.140625" customWidth="1"/>
    <col min="16" max="16" width="17.7109375" customWidth="1"/>
    <col min="17" max="17" width="19.140625" customWidth="1"/>
    <col min="18" max="18" width="17.85546875" customWidth="1"/>
    <col min="19" max="19" width="34.5703125" customWidth="1"/>
    <col min="20" max="20" width="33.28515625" customWidth="1"/>
    <col min="21" max="21" width="20.28515625" customWidth="1"/>
    <col min="22" max="22" width="28.42578125" customWidth="1"/>
  </cols>
  <sheetData>
    <row r="1" spans="1:22" s="1" customFormat="1" ht="43.5" customHeight="1" x14ac:dyDescent="0.25">
      <c r="A1" s="21" t="s">
        <v>112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38.25" customHeight="1" x14ac:dyDescent="0.25">
      <c r="A2" s="23" t="s">
        <v>3</v>
      </c>
      <c r="B2" s="23" t="s">
        <v>4</v>
      </c>
      <c r="C2" s="23" t="s">
        <v>5</v>
      </c>
      <c r="D2" s="23" t="s">
        <v>6</v>
      </c>
      <c r="E2" s="23" t="s">
        <v>7</v>
      </c>
      <c r="F2" s="23" t="s">
        <v>2</v>
      </c>
      <c r="G2" s="23"/>
      <c r="H2" s="23"/>
      <c r="I2" s="20" t="s">
        <v>0</v>
      </c>
      <c r="J2" s="20"/>
      <c r="K2" s="20"/>
      <c r="L2" s="25" t="s">
        <v>8</v>
      </c>
      <c r="M2" s="25"/>
      <c r="N2" s="25"/>
      <c r="O2" s="23">
        <v>2018</v>
      </c>
      <c r="P2" s="23"/>
      <c r="Q2" s="23"/>
      <c r="R2" s="23"/>
      <c r="S2" s="23"/>
      <c r="T2" s="24" t="s">
        <v>60</v>
      </c>
      <c r="U2" s="24" t="s">
        <v>62</v>
      </c>
      <c r="V2" s="24" t="s">
        <v>61</v>
      </c>
    </row>
    <row r="3" spans="1:22" s="1" customFormat="1" ht="45" x14ac:dyDescent="0.25">
      <c r="A3" s="23"/>
      <c r="B3" s="23"/>
      <c r="C3" s="23"/>
      <c r="D3" s="23"/>
      <c r="E3" s="23"/>
      <c r="F3" s="5" t="s">
        <v>1</v>
      </c>
      <c r="G3" s="16" t="s">
        <v>116</v>
      </c>
      <c r="H3" s="16" t="s">
        <v>115</v>
      </c>
      <c r="I3" s="5" t="s">
        <v>1</v>
      </c>
      <c r="J3" s="16" t="s">
        <v>116</v>
      </c>
      <c r="K3" s="16" t="s">
        <v>115</v>
      </c>
      <c r="L3" s="5" t="s">
        <v>1</v>
      </c>
      <c r="M3" s="16" t="s">
        <v>116</v>
      </c>
      <c r="N3" s="16" t="s">
        <v>115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113</v>
      </c>
      <c r="T3" s="24"/>
      <c r="U3" s="24"/>
      <c r="V3" s="24"/>
    </row>
    <row r="4" spans="1:22" x14ac:dyDescent="0.25">
      <c r="A4" s="2">
        <v>1</v>
      </c>
      <c r="B4" s="2">
        <v>21</v>
      </c>
      <c r="C4" s="10" t="s">
        <v>34</v>
      </c>
      <c r="D4" s="2">
        <v>6</v>
      </c>
      <c r="E4" s="2" t="s">
        <v>9</v>
      </c>
      <c r="F4" s="4">
        <v>735</v>
      </c>
      <c r="G4" s="4">
        <v>174.62801735244105</v>
      </c>
      <c r="H4" s="4">
        <v>30494.944444444449</v>
      </c>
      <c r="I4" s="4">
        <v>375.83333333333331</v>
      </c>
      <c r="J4" s="4">
        <v>124.49129822334304</v>
      </c>
      <c r="K4" s="4">
        <v>15498.083333333334</v>
      </c>
      <c r="L4" s="4">
        <v>323.33333333333331</v>
      </c>
      <c r="M4" s="4">
        <v>84.679789009341931</v>
      </c>
      <c r="N4" s="4">
        <v>7170.666666666667</v>
      </c>
      <c r="O4" s="2" t="s">
        <v>14</v>
      </c>
      <c r="P4" s="3" t="s">
        <v>15</v>
      </c>
      <c r="Q4" s="2" t="s">
        <v>16</v>
      </c>
      <c r="R4" s="2" t="s">
        <v>17</v>
      </c>
      <c r="S4" s="2" t="e">
        <v>#DIV/0!</v>
      </c>
      <c r="T4" s="14" t="s">
        <v>63</v>
      </c>
      <c r="U4" s="4">
        <v>7.1428571429999996</v>
      </c>
      <c r="V4" s="15" t="s">
        <v>77</v>
      </c>
    </row>
    <row r="5" spans="1:22" x14ac:dyDescent="0.25">
      <c r="A5" s="2">
        <v>2</v>
      </c>
      <c r="B5" s="2">
        <v>24</v>
      </c>
      <c r="C5" s="10" t="s">
        <v>18</v>
      </c>
      <c r="D5" s="2">
        <v>6</v>
      </c>
      <c r="E5" s="2" t="s">
        <v>19</v>
      </c>
      <c r="F5" s="4">
        <v>582.66666666666663</v>
      </c>
      <c r="G5" s="4">
        <v>174.49148339611816</v>
      </c>
      <c r="H5" s="4">
        <v>30447.277777777781</v>
      </c>
      <c r="I5" s="4">
        <v>288.11111111111114</v>
      </c>
      <c r="J5" s="4">
        <v>59.486381883836486</v>
      </c>
      <c r="K5" s="4">
        <v>3538.6296296296296</v>
      </c>
      <c r="L5" s="4">
        <v>272.4444444444444</v>
      </c>
      <c r="M5" s="4">
        <v>114.61796446359436</v>
      </c>
      <c r="N5" s="4">
        <v>13137.277777777779</v>
      </c>
      <c r="O5" s="2" t="s">
        <v>14</v>
      </c>
      <c r="P5" s="3" t="s">
        <v>15</v>
      </c>
      <c r="Q5" s="2" t="s">
        <v>16</v>
      </c>
      <c r="R5" s="2" t="s">
        <v>17</v>
      </c>
      <c r="S5" s="2" t="e">
        <v>#DIV/0!</v>
      </c>
      <c r="T5" s="14" t="s">
        <v>63</v>
      </c>
      <c r="U5" s="4">
        <v>2.6887871849999998</v>
      </c>
      <c r="V5" s="15" t="s">
        <v>77</v>
      </c>
    </row>
    <row r="6" spans="1:22" x14ac:dyDescent="0.25">
      <c r="A6" s="2">
        <v>3</v>
      </c>
      <c r="B6" s="2">
        <v>25</v>
      </c>
      <c r="C6" s="10" t="s">
        <v>20</v>
      </c>
      <c r="D6" s="2">
        <v>6</v>
      </c>
      <c r="E6" s="2" t="s">
        <v>21</v>
      </c>
      <c r="F6" s="4">
        <v>679.72222222222217</v>
      </c>
      <c r="G6" s="4">
        <v>160.05771528490033</v>
      </c>
      <c r="H6" s="4">
        <v>25618.472222222219</v>
      </c>
      <c r="I6" s="4">
        <v>313.83333333333331</v>
      </c>
      <c r="J6" s="4">
        <v>49.753931540167798</v>
      </c>
      <c r="K6" s="4">
        <v>2475.4537037037039</v>
      </c>
      <c r="L6" s="4">
        <v>316.66666666666669</v>
      </c>
      <c r="M6" s="4">
        <v>104.00320507881796</v>
      </c>
      <c r="N6" s="4">
        <v>10816.666666666666</v>
      </c>
      <c r="O6" s="2" t="s">
        <v>14</v>
      </c>
      <c r="P6" s="3" t="s">
        <v>22</v>
      </c>
      <c r="Q6" s="2" t="s">
        <v>15</v>
      </c>
      <c r="R6" s="13" t="s">
        <v>17</v>
      </c>
      <c r="S6" s="2" t="e">
        <v>#DIV/0!</v>
      </c>
      <c r="T6" s="3" t="s">
        <v>65</v>
      </c>
      <c r="U6" s="4">
        <v>0.41683694300000002</v>
      </c>
      <c r="V6" s="15" t="s">
        <v>77</v>
      </c>
    </row>
    <row r="7" spans="1:22" x14ac:dyDescent="0.25">
      <c r="A7" s="2">
        <v>4</v>
      </c>
      <c r="B7" s="2">
        <v>26</v>
      </c>
      <c r="C7" s="10" t="s">
        <v>23</v>
      </c>
      <c r="D7" s="2">
        <v>7</v>
      </c>
      <c r="E7" s="11" t="s">
        <v>24</v>
      </c>
      <c r="F7" s="4">
        <v>719.58333333333337</v>
      </c>
      <c r="G7" s="4">
        <v>187.5179713609694</v>
      </c>
      <c r="H7" s="4">
        <v>35162.989583333336</v>
      </c>
      <c r="I7" s="4">
        <v>384.79166666666669</v>
      </c>
      <c r="J7" s="4">
        <v>123.89135445354262</v>
      </c>
      <c r="K7" s="4">
        <v>15349.067708333334</v>
      </c>
      <c r="L7" s="4">
        <v>307.70833333333331</v>
      </c>
      <c r="M7" s="4">
        <v>71.954521226952792</v>
      </c>
      <c r="N7" s="4">
        <v>5177.453125</v>
      </c>
      <c r="O7" s="2" t="s">
        <v>14</v>
      </c>
      <c r="P7" s="3" t="s">
        <v>16</v>
      </c>
      <c r="Q7" s="2" t="s">
        <v>15</v>
      </c>
      <c r="R7" s="2" t="s">
        <v>17</v>
      </c>
      <c r="S7" s="2" t="e">
        <v>#DIV/0!</v>
      </c>
      <c r="T7" s="14" t="s">
        <v>63</v>
      </c>
      <c r="U7" s="4">
        <v>10.71221772</v>
      </c>
      <c r="V7" s="15" t="s">
        <v>64</v>
      </c>
    </row>
    <row r="8" spans="1:22" x14ac:dyDescent="0.25">
      <c r="A8" s="2">
        <v>5</v>
      </c>
      <c r="B8" s="2">
        <v>27</v>
      </c>
      <c r="C8" s="10" t="s">
        <v>25</v>
      </c>
      <c r="D8" s="2">
        <v>6</v>
      </c>
      <c r="E8" s="11" t="s">
        <v>26</v>
      </c>
      <c r="F8" s="4">
        <v>582.66666666666663</v>
      </c>
      <c r="G8" s="4">
        <v>174.49148339611816</v>
      </c>
      <c r="H8" s="4">
        <v>30447.277777777781</v>
      </c>
      <c r="I8" s="4">
        <v>288.11111111111114</v>
      </c>
      <c r="J8" s="4">
        <v>59.486381883836486</v>
      </c>
      <c r="K8" s="4">
        <v>3538.6296296296296</v>
      </c>
      <c r="L8" s="4">
        <v>272.4444444444444</v>
      </c>
      <c r="M8" s="4">
        <v>114.61796446359436</v>
      </c>
      <c r="N8" s="4">
        <v>13137.277777777779</v>
      </c>
      <c r="O8" s="2" t="s">
        <v>14</v>
      </c>
      <c r="P8" s="3" t="s">
        <v>15</v>
      </c>
      <c r="Q8" s="2" t="s">
        <v>16</v>
      </c>
      <c r="R8" s="2" t="s">
        <v>17</v>
      </c>
      <c r="S8" s="2" t="e">
        <v>#DIV/0!</v>
      </c>
      <c r="T8" s="14" t="s">
        <v>63</v>
      </c>
      <c r="U8" s="4">
        <v>13.667407880000001</v>
      </c>
      <c r="V8" s="15" t="s">
        <v>77</v>
      </c>
    </row>
    <row r="9" spans="1:22" x14ac:dyDescent="0.25">
      <c r="A9" s="2">
        <v>6</v>
      </c>
      <c r="B9" s="2">
        <v>28</v>
      </c>
      <c r="C9" s="10" t="s">
        <v>27</v>
      </c>
      <c r="D9" s="2">
        <v>4</v>
      </c>
      <c r="E9" s="11" t="s">
        <v>28</v>
      </c>
      <c r="F9" s="4">
        <v>764.91666666666663</v>
      </c>
      <c r="G9" s="4">
        <v>118.73649045961677</v>
      </c>
      <c r="H9" s="4">
        <v>14098.354166666666</v>
      </c>
      <c r="I9" s="4">
        <v>515.58333333333337</v>
      </c>
      <c r="J9" s="4">
        <v>87.253581588379518</v>
      </c>
      <c r="K9" s="4">
        <v>7613.1875</v>
      </c>
      <c r="L9" s="4">
        <v>221.25</v>
      </c>
      <c r="M9" s="4">
        <v>32.504166399606888</v>
      </c>
      <c r="N9" s="4">
        <v>1056.5208333333333</v>
      </c>
      <c r="O9" s="2" t="s">
        <v>14</v>
      </c>
      <c r="P9" s="3" t="s">
        <v>16</v>
      </c>
      <c r="Q9" s="2" t="s">
        <v>15</v>
      </c>
      <c r="R9" s="12" t="s">
        <v>29</v>
      </c>
      <c r="S9" s="2" t="e">
        <v>#DIV/0!</v>
      </c>
      <c r="T9" s="14" t="s">
        <v>63</v>
      </c>
      <c r="U9" s="4">
        <v>38.479137160000001</v>
      </c>
      <c r="V9" s="15" t="s">
        <v>68</v>
      </c>
    </row>
    <row r="10" spans="1:22" x14ac:dyDescent="0.25">
      <c r="A10" s="2">
        <v>7</v>
      </c>
      <c r="B10" s="2">
        <v>29</v>
      </c>
      <c r="C10" s="10" t="s">
        <v>30</v>
      </c>
      <c r="D10" s="2">
        <v>4</v>
      </c>
      <c r="E10" s="11" t="s">
        <v>31</v>
      </c>
      <c r="F10" s="4">
        <v>653.75</v>
      </c>
      <c r="G10" s="4">
        <v>125.0655661376597</v>
      </c>
      <c r="H10" s="4">
        <v>15641.395833333334</v>
      </c>
      <c r="I10" s="4">
        <v>457.66666666666669</v>
      </c>
      <c r="J10" s="4">
        <v>121.7920016530916</v>
      </c>
      <c r="K10" s="4">
        <v>14833.291666666666</v>
      </c>
      <c r="L10" s="4">
        <v>173</v>
      </c>
      <c r="M10" s="4">
        <v>42.696604080418389</v>
      </c>
      <c r="N10" s="4">
        <v>1823</v>
      </c>
      <c r="O10" s="2" t="s">
        <v>14</v>
      </c>
      <c r="P10" s="3" t="s">
        <v>16</v>
      </c>
      <c r="Q10" s="2" t="s">
        <v>15</v>
      </c>
      <c r="R10" s="13" t="s">
        <v>17</v>
      </c>
      <c r="S10" s="14" t="s">
        <v>32</v>
      </c>
      <c r="T10" s="14" t="s">
        <v>63</v>
      </c>
      <c r="U10" s="4">
        <v>43.543658379999997</v>
      </c>
      <c r="V10" s="15" t="s">
        <v>84</v>
      </c>
    </row>
    <row r="11" spans="1:22" x14ac:dyDescent="0.25">
      <c r="A11" s="2">
        <v>8</v>
      </c>
      <c r="B11" s="2">
        <v>30</v>
      </c>
      <c r="C11" s="10" t="s">
        <v>33</v>
      </c>
      <c r="D11" s="2">
        <v>5</v>
      </c>
      <c r="E11" s="11" t="s">
        <v>35</v>
      </c>
      <c r="F11" s="4">
        <v>656.80000000000007</v>
      </c>
      <c r="G11" s="4">
        <v>111.38916763611562</v>
      </c>
      <c r="H11" s="4">
        <v>12407.546666666667</v>
      </c>
      <c r="I11" s="4">
        <v>351.26666666666671</v>
      </c>
      <c r="J11" s="4">
        <v>84.965561650981073</v>
      </c>
      <c r="K11" s="4">
        <v>7219.1466666666665</v>
      </c>
      <c r="L11" s="4">
        <v>282.13333333333338</v>
      </c>
      <c r="M11" s="4">
        <v>37.973323970036297</v>
      </c>
      <c r="N11" s="4">
        <v>1441.9733333333334</v>
      </c>
      <c r="O11" s="2" t="s">
        <v>14</v>
      </c>
      <c r="P11" s="3" t="s">
        <v>15</v>
      </c>
      <c r="Q11" s="2" t="s">
        <v>16</v>
      </c>
      <c r="R11" s="13" t="s">
        <v>17</v>
      </c>
      <c r="S11" s="2" t="e">
        <v>#DIV/0!</v>
      </c>
      <c r="T11" s="14" t="s">
        <v>63</v>
      </c>
      <c r="U11" s="4">
        <v>10.525781569999999</v>
      </c>
      <c r="V11" s="15" t="s">
        <v>64</v>
      </c>
    </row>
    <row r="12" spans="1:22" x14ac:dyDescent="0.25">
      <c r="A12" s="2">
        <v>9</v>
      </c>
      <c r="B12" s="2">
        <v>31</v>
      </c>
      <c r="C12" s="10" t="s">
        <v>36</v>
      </c>
      <c r="D12" s="2">
        <v>6</v>
      </c>
      <c r="E12" s="11" t="s">
        <v>37</v>
      </c>
      <c r="F12" s="4">
        <v>629</v>
      </c>
      <c r="G12" s="4">
        <v>94.101009558877735</v>
      </c>
      <c r="H12" s="4">
        <v>8855</v>
      </c>
      <c r="I12" s="4">
        <v>294.5</v>
      </c>
      <c r="J12" s="4">
        <v>56.526972421235435</v>
      </c>
      <c r="K12" s="4">
        <v>3195.2986111111113</v>
      </c>
      <c r="L12" s="4">
        <v>306.38888888888891</v>
      </c>
      <c r="M12" s="4">
        <v>41.008383289273915</v>
      </c>
      <c r="N12" s="4">
        <v>1681.6875</v>
      </c>
      <c r="O12" s="2" t="s">
        <v>14</v>
      </c>
      <c r="P12" s="3" t="s">
        <v>14</v>
      </c>
      <c r="Q12" s="2" t="s">
        <v>15</v>
      </c>
      <c r="R12" s="13" t="s">
        <v>17</v>
      </c>
      <c r="S12" s="3" t="s">
        <v>38</v>
      </c>
      <c r="T12" s="3" t="s">
        <v>65</v>
      </c>
      <c r="U12" s="4">
        <v>1.8901254199999999</v>
      </c>
      <c r="V12" s="15" t="s">
        <v>77</v>
      </c>
    </row>
    <row r="13" spans="1:22" x14ac:dyDescent="0.25">
      <c r="A13" s="2">
        <v>10</v>
      </c>
      <c r="B13" s="2">
        <v>32</v>
      </c>
      <c r="C13" s="10" t="s">
        <v>39</v>
      </c>
      <c r="D13" s="2">
        <v>5</v>
      </c>
      <c r="E13" s="11" t="s">
        <v>40</v>
      </c>
      <c r="F13" s="4">
        <v>646.73333333333335</v>
      </c>
      <c r="G13" s="4">
        <v>178.72593544306881</v>
      </c>
      <c r="H13" s="4">
        <v>31942.960000000003</v>
      </c>
      <c r="I13" s="4">
        <v>354.86666666666662</v>
      </c>
      <c r="J13" s="4">
        <v>100.44142571668326</v>
      </c>
      <c r="K13" s="4">
        <v>10088.48</v>
      </c>
      <c r="L13" s="4">
        <v>252.93333333333331</v>
      </c>
      <c r="M13" s="4">
        <v>82.30058728020515</v>
      </c>
      <c r="N13" s="4">
        <v>6773.3866666666663</v>
      </c>
      <c r="O13" s="4" t="s">
        <v>22</v>
      </c>
      <c r="P13" s="3" t="s">
        <v>16</v>
      </c>
      <c r="Q13" s="2" t="s">
        <v>15</v>
      </c>
      <c r="R13" s="13" t="s">
        <v>17</v>
      </c>
      <c r="S13" s="3" t="s">
        <v>38</v>
      </c>
      <c r="T13" s="14" t="s">
        <v>63</v>
      </c>
      <c r="U13" s="4">
        <v>15.761261729999999</v>
      </c>
      <c r="V13" s="15" t="s">
        <v>64</v>
      </c>
    </row>
    <row r="14" spans="1:22" x14ac:dyDescent="0.25">
      <c r="A14" s="2">
        <v>11</v>
      </c>
      <c r="B14" s="2">
        <v>33</v>
      </c>
      <c r="C14" s="10" t="s">
        <v>41</v>
      </c>
      <c r="D14" s="2">
        <v>4</v>
      </c>
      <c r="E14" s="11" t="s">
        <v>42</v>
      </c>
      <c r="F14" s="4">
        <v>675.16666666666663</v>
      </c>
      <c r="G14" s="4">
        <v>53.078754381265078</v>
      </c>
      <c r="H14" s="4">
        <v>2817.3541666666665</v>
      </c>
      <c r="I14" s="4">
        <v>404.58333333333331</v>
      </c>
      <c r="J14" s="4">
        <v>59.756798776373557</v>
      </c>
      <c r="K14" s="4">
        <v>3570.875</v>
      </c>
      <c r="L14" s="4">
        <v>251</v>
      </c>
      <c r="M14" s="4">
        <v>100.95718977203489</v>
      </c>
      <c r="N14" s="4">
        <v>10192.354166666666</v>
      </c>
      <c r="O14" s="12" t="s">
        <v>14</v>
      </c>
      <c r="P14" s="3" t="s">
        <v>16</v>
      </c>
      <c r="Q14" s="2" t="s">
        <v>15</v>
      </c>
      <c r="R14" s="13" t="s">
        <v>17</v>
      </c>
      <c r="S14" s="3" t="s">
        <v>38</v>
      </c>
      <c r="T14" s="14" t="s">
        <v>63</v>
      </c>
      <c r="U14" s="4">
        <v>22.747469760000001</v>
      </c>
      <c r="V14" s="15" t="s">
        <v>64</v>
      </c>
    </row>
    <row r="15" spans="1:22" x14ac:dyDescent="0.25">
      <c r="A15" s="2">
        <v>12</v>
      </c>
      <c r="B15" s="2">
        <v>34</v>
      </c>
      <c r="C15" s="10" t="s">
        <v>43</v>
      </c>
      <c r="D15" s="2">
        <v>5</v>
      </c>
      <c r="E15" s="11" t="s">
        <v>44</v>
      </c>
      <c r="F15" s="4">
        <v>678.73333333333335</v>
      </c>
      <c r="G15" s="4">
        <v>104.78002354138566</v>
      </c>
      <c r="H15" s="4">
        <v>10978.853333333333</v>
      </c>
      <c r="I15" s="4">
        <v>272.46666666666664</v>
      </c>
      <c r="J15" s="4">
        <v>87.360402929473707</v>
      </c>
      <c r="K15" s="4">
        <v>7631.8399999999992</v>
      </c>
      <c r="L15" s="4">
        <v>389.06666666666661</v>
      </c>
      <c r="M15" s="4">
        <v>103.40328814887852</v>
      </c>
      <c r="N15" s="4">
        <v>10692.24</v>
      </c>
      <c r="O15" s="12" t="s">
        <v>14</v>
      </c>
      <c r="P15" s="3" t="s">
        <v>15</v>
      </c>
      <c r="Q15" s="2" t="s">
        <v>45</v>
      </c>
      <c r="R15" s="13" t="s">
        <v>17</v>
      </c>
      <c r="S15" s="14" t="s">
        <v>32</v>
      </c>
      <c r="T15" s="3" t="s">
        <v>65</v>
      </c>
      <c r="U15" s="4">
        <v>17.179059030000001</v>
      </c>
      <c r="V15" s="15" t="s">
        <v>64</v>
      </c>
    </row>
    <row r="16" spans="1:22" x14ac:dyDescent="0.25">
      <c r="A16" s="2">
        <v>13</v>
      </c>
      <c r="B16" s="2">
        <v>35</v>
      </c>
      <c r="C16" s="10" t="s">
        <v>46</v>
      </c>
      <c r="D16" s="2">
        <v>7</v>
      </c>
      <c r="E16" s="11" t="s">
        <v>47</v>
      </c>
      <c r="F16" s="4">
        <v>720.71428571428578</v>
      </c>
      <c r="G16" s="4">
        <v>103.64243871137352</v>
      </c>
      <c r="H16" s="4">
        <v>10741.755102040815</v>
      </c>
      <c r="I16" s="4">
        <v>315.19047619047615</v>
      </c>
      <c r="J16" s="4">
        <v>68.175044808887932</v>
      </c>
      <c r="K16" s="4">
        <v>4647.8367346938776</v>
      </c>
      <c r="L16" s="4">
        <v>373.04761904761904</v>
      </c>
      <c r="M16" s="4">
        <v>95.165734415296356</v>
      </c>
      <c r="N16" s="4">
        <v>9056.5170068027201</v>
      </c>
      <c r="O16" s="12" t="s">
        <v>14</v>
      </c>
      <c r="P16" s="3" t="s">
        <v>15</v>
      </c>
      <c r="Q16" s="2" t="s">
        <v>16</v>
      </c>
      <c r="R16" s="13" t="s">
        <v>17</v>
      </c>
      <c r="S16" s="2" t="e">
        <v>#DIV/0!</v>
      </c>
      <c r="T16" s="3" t="s">
        <v>65</v>
      </c>
      <c r="U16" s="4">
        <v>8.0277502480000003</v>
      </c>
      <c r="V16" s="15" t="s">
        <v>77</v>
      </c>
    </row>
    <row r="17" spans="1:22" x14ac:dyDescent="0.25">
      <c r="A17" s="2">
        <v>14</v>
      </c>
      <c r="B17" s="2">
        <v>36</v>
      </c>
      <c r="C17" s="10" t="s">
        <v>48</v>
      </c>
      <c r="D17" s="2">
        <v>3</v>
      </c>
      <c r="E17" s="11" t="s">
        <v>49</v>
      </c>
      <c r="F17" s="4">
        <v>735.33333333333337</v>
      </c>
      <c r="G17" s="4">
        <v>85.976741040818709</v>
      </c>
      <c r="H17" s="4">
        <v>7392</v>
      </c>
      <c r="I17" s="4">
        <v>274.88888888888886</v>
      </c>
      <c r="J17" s="4">
        <v>9.4985378991833382</v>
      </c>
      <c r="K17" s="4">
        <v>90.222222222222214</v>
      </c>
      <c r="L17" s="4">
        <v>424.66666666666669</v>
      </c>
      <c r="M17" s="4">
        <v>85.887523346913824</v>
      </c>
      <c r="N17" s="4">
        <v>7376.666666666667</v>
      </c>
      <c r="O17" s="2" t="s">
        <v>22</v>
      </c>
      <c r="P17" s="3" t="s">
        <v>15</v>
      </c>
      <c r="Q17" s="2" t="s">
        <v>16</v>
      </c>
      <c r="R17" s="2" t="s">
        <v>17</v>
      </c>
      <c r="S17" s="2" t="e">
        <v>#DIV/0!</v>
      </c>
      <c r="T17" s="3" t="s">
        <v>65</v>
      </c>
      <c r="U17" s="4">
        <v>20.36869145</v>
      </c>
      <c r="V17" s="15" t="s">
        <v>64</v>
      </c>
    </row>
    <row r="18" spans="1:22" x14ac:dyDescent="0.25">
      <c r="A18" s="2">
        <v>15</v>
      </c>
      <c r="B18" s="2">
        <v>37</v>
      </c>
      <c r="C18" s="10" t="s">
        <v>50</v>
      </c>
      <c r="D18" s="2">
        <v>6</v>
      </c>
      <c r="E18" s="11" t="s">
        <v>51</v>
      </c>
      <c r="F18" s="4">
        <v>659</v>
      </c>
      <c r="G18" s="4">
        <v>153.56974528424101</v>
      </c>
      <c r="H18" s="4">
        <v>23583.666666666668</v>
      </c>
      <c r="I18" s="4">
        <v>291.83333333333331</v>
      </c>
      <c r="J18" s="4">
        <v>95.138641524414837</v>
      </c>
      <c r="K18" s="4">
        <v>9051.3611111111113</v>
      </c>
      <c r="L18" s="4">
        <v>339.5555555555556</v>
      </c>
      <c r="M18" s="4">
        <v>113.34664954449674</v>
      </c>
      <c r="N18" s="4">
        <v>12847.462962962964</v>
      </c>
      <c r="O18" s="2" t="str">
        <f>IF(A18&gt;80,"EXCELLENT",IF(A18&gt;70,"STRONG",IF(A18&gt;60,"AVG",IF(A18&gt;50,"WEAK",IF(A18&lt;50,"VLOW")))))</f>
        <v>VLOW</v>
      </c>
      <c r="P18" s="3" t="str">
        <f>IF(C18&gt;80,"EXCELLENT",IF(C18&gt;70,"STRONG",IF(C18&gt;60,"AVG",IF(C18&gt;50,"WEAK",IF(C18&lt;50,"VLOW")))))</f>
        <v>EXCELLENT</v>
      </c>
      <c r="Q18" s="2" t="str">
        <f>IF(I18&gt;80,"EXCELLENT",IF(I18&gt;70,"STRONG",IF(I18&gt;60,"AVG",IF(I18&gt;50,"WEAK",IF(I18&lt;50,"VLOW")))))</f>
        <v>EXCELLENT</v>
      </c>
      <c r="R18" s="2" t="s">
        <v>17</v>
      </c>
      <c r="S18" s="2" t="str">
        <f>IF(E18&gt;K18,"H","O")</f>
        <v>H</v>
      </c>
      <c r="T18" s="3" t="s">
        <v>65</v>
      </c>
      <c r="U18" s="4">
        <v>7.2116118699999996</v>
      </c>
      <c r="V18" s="15" t="s">
        <v>77</v>
      </c>
    </row>
    <row r="19" spans="1:22" x14ac:dyDescent="0.25">
      <c r="A19" s="2">
        <v>16</v>
      </c>
      <c r="B19" s="2">
        <v>38</v>
      </c>
      <c r="C19" s="2" t="s">
        <v>52</v>
      </c>
      <c r="D19" s="2">
        <v>7</v>
      </c>
      <c r="E19" s="11" t="s">
        <v>53</v>
      </c>
      <c r="F19" s="4">
        <v>666.90476190476193</v>
      </c>
      <c r="G19" s="4">
        <v>136.84083807835435</v>
      </c>
      <c r="H19" s="4">
        <v>18725.414965986394</v>
      </c>
      <c r="I19" s="4">
        <v>229.28571428571431</v>
      </c>
      <c r="J19" s="4">
        <v>93.880514593861079</v>
      </c>
      <c r="K19" s="4">
        <v>8813.5510204081638</v>
      </c>
      <c r="L19" s="4">
        <v>410</v>
      </c>
      <c r="M19" s="4">
        <v>121.35280549439533</v>
      </c>
      <c r="N19" s="4">
        <v>14726.503401360545</v>
      </c>
      <c r="O19" s="2" t="s">
        <v>45</v>
      </c>
      <c r="P19" s="3" t="s">
        <v>15</v>
      </c>
      <c r="Q19" s="2" t="s">
        <v>16</v>
      </c>
      <c r="R19" s="2" t="s">
        <v>17</v>
      </c>
      <c r="S19" s="2" t="e">
        <v>#DIV/0!</v>
      </c>
      <c r="T19" s="3" t="s">
        <v>65</v>
      </c>
      <c r="U19" s="4">
        <v>27.097465190000001</v>
      </c>
      <c r="V19" s="15" t="s">
        <v>64</v>
      </c>
    </row>
    <row r="20" spans="1:22" x14ac:dyDescent="0.25">
      <c r="A20" s="2">
        <v>17</v>
      </c>
      <c r="B20" s="2">
        <v>39</v>
      </c>
      <c r="C20" s="2" t="s">
        <v>58</v>
      </c>
      <c r="D20" s="2">
        <v>6</v>
      </c>
      <c r="E20" s="11" t="s">
        <v>59</v>
      </c>
      <c r="F20" s="4">
        <v>606.55555555555554</v>
      </c>
      <c r="G20" s="4">
        <v>150.54032313267064</v>
      </c>
      <c r="H20" s="4">
        <v>22662.388888888887</v>
      </c>
      <c r="I20" s="4">
        <v>185.88888888888889</v>
      </c>
      <c r="J20" s="4">
        <v>133.68432967255362</v>
      </c>
      <c r="K20" s="4">
        <v>17871.5</v>
      </c>
      <c r="L20" s="4">
        <v>395.5555555555556</v>
      </c>
      <c r="M20" s="4">
        <v>50.335724740835758</v>
      </c>
      <c r="N20" s="4">
        <v>2533.6851851851852</v>
      </c>
      <c r="O20" s="2" t="s">
        <v>45</v>
      </c>
      <c r="P20" s="3" t="s">
        <v>15</v>
      </c>
      <c r="Q20" s="2" t="s">
        <v>16</v>
      </c>
      <c r="R20" s="2" t="s">
        <v>17</v>
      </c>
      <c r="S20" s="2" t="s">
        <v>38</v>
      </c>
      <c r="T20" s="3" t="s">
        <v>65</v>
      </c>
      <c r="U20" s="4">
        <v>34.566770470000002</v>
      </c>
      <c r="V20" s="15" t="s">
        <v>68</v>
      </c>
    </row>
    <row r="21" spans="1:22" x14ac:dyDescent="0.25">
      <c r="A21" s="2">
        <v>18</v>
      </c>
      <c r="B21" s="2">
        <v>40</v>
      </c>
      <c r="C21" s="2" t="s">
        <v>54</v>
      </c>
      <c r="D21" s="2">
        <v>5</v>
      </c>
      <c r="E21" s="11" t="s">
        <v>55</v>
      </c>
      <c r="F21" s="4">
        <v>531.33333333333326</v>
      </c>
      <c r="G21" s="4">
        <v>70.324391216703745</v>
      </c>
      <c r="H21" s="4">
        <v>4945.5199999999995</v>
      </c>
      <c r="I21" s="4">
        <v>215.86666666666665</v>
      </c>
      <c r="J21" s="4">
        <v>49.410390270333494</v>
      </c>
      <c r="K21" s="4">
        <v>2441.3866666666668</v>
      </c>
      <c r="L21" s="4">
        <v>290.2</v>
      </c>
      <c r="M21" s="4">
        <v>72.16813701350479</v>
      </c>
      <c r="N21" s="4">
        <v>5208.24</v>
      </c>
      <c r="O21" s="2" t="s">
        <v>45</v>
      </c>
      <c r="P21" s="3" t="s">
        <v>15</v>
      </c>
      <c r="Q21" s="2" t="s">
        <v>16</v>
      </c>
      <c r="R21" s="2" t="s">
        <v>17</v>
      </c>
      <c r="S21" s="2" t="e">
        <v>#DIV/0!</v>
      </c>
      <c r="T21" s="3" t="s">
        <v>65</v>
      </c>
      <c r="U21" s="4">
        <v>13.98996236</v>
      </c>
      <c r="V21" s="15" t="s">
        <v>64</v>
      </c>
    </row>
    <row r="22" spans="1:22" x14ac:dyDescent="0.25">
      <c r="A22" s="2">
        <v>19</v>
      </c>
      <c r="B22" s="2">
        <v>41</v>
      </c>
      <c r="C22" s="2" t="s">
        <v>56</v>
      </c>
      <c r="D22" s="2">
        <v>5</v>
      </c>
      <c r="E22" s="11" t="s">
        <v>57</v>
      </c>
      <c r="F22" s="4">
        <v>578.06666666666661</v>
      </c>
      <c r="G22" s="4">
        <v>95.313657643242991</v>
      </c>
      <c r="H22" s="4">
        <v>9084.6933333333327</v>
      </c>
      <c r="I22" s="4">
        <v>388.5333333333333</v>
      </c>
      <c r="J22" s="4">
        <v>134.59559180498198</v>
      </c>
      <c r="K22" s="4">
        <v>18115.973333333332</v>
      </c>
      <c r="L22" s="4">
        <v>173.79999999999998</v>
      </c>
      <c r="M22" s="4">
        <v>62.239108819669539</v>
      </c>
      <c r="N22" s="4">
        <v>3873.7066666666669</v>
      </c>
      <c r="O22" s="2" t="str">
        <f>IF(A21&gt;80,"EXCELLENT",IF(A21&gt;70,"STRONG",IF(A21&gt;60,"AVG",IF(A21&gt;50,"WEAK",IF(A21&lt;50,"VLOW")))))</f>
        <v>VLOW</v>
      </c>
      <c r="P22" s="3" t="str">
        <f>IF(C22&gt;80,"EXCELLENT",IF(C22&gt;70,"STRONG",IF(C22&gt;60,"AVG",IF(C22&gt;50,"WEAK",IF(C22&lt;50,"VLOW")))))</f>
        <v>EXCELLENT</v>
      </c>
      <c r="Q22" s="2" t="str">
        <f>IF(I22&gt;80,"EXCELLENT",IF(I22&gt;70,"STRONG",IF(I22&gt;60,"AVG",IF(I22&gt;50,"WEAK",IF(I22&lt;50,"VLOW")))))</f>
        <v>EXCELLENT</v>
      </c>
      <c r="R22" s="2" t="s">
        <v>29</v>
      </c>
      <c r="S22" s="2" t="str">
        <f>IF(E22&gt;K22,"H","O")</f>
        <v>H</v>
      </c>
      <c r="T22" s="14" t="s">
        <v>63</v>
      </c>
      <c r="U22" s="4">
        <v>37.146811210000003</v>
      </c>
      <c r="V22" s="15" t="s">
        <v>68</v>
      </c>
    </row>
    <row r="23" spans="1:22" x14ac:dyDescent="0.25">
      <c r="A23" s="2">
        <v>20</v>
      </c>
      <c r="B23" s="2">
        <v>42</v>
      </c>
      <c r="C23" s="2" t="s">
        <v>70</v>
      </c>
      <c r="D23" s="2">
        <v>7</v>
      </c>
      <c r="E23" s="2" t="s">
        <v>71</v>
      </c>
      <c r="F23" s="4">
        <v>614.61904761904759</v>
      </c>
      <c r="G23" s="4">
        <v>138.77192172231167</v>
      </c>
      <c r="H23" s="4">
        <v>19257.646258503402</v>
      </c>
      <c r="I23" s="4">
        <v>384.33333333333331</v>
      </c>
      <c r="J23" s="4">
        <v>201.11316068661577</v>
      </c>
      <c r="K23" s="4">
        <v>40446.50340136054</v>
      </c>
      <c r="L23" s="4">
        <v>202.80952380952382</v>
      </c>
      <c r="M23" s="4">
        <v>76.151746108504625</v>
      </c>
      <c r="N23" s="4">
        <v>5799.0884353741494</v>
      </c>
      <c r="O23" s="2" t="s">
        <v>14</v>
      </c>
      <c r="P23" s="3" t="s">
        <v>16</v>
      </c>
      <c r="Q23" s="2" t="s">
        <v>15</v>
      </c>
      <c r="R23" s="2" t="s">
        <v>17</v>
      </c>
      <c r="S23" s="2" t="s">
        <v>38</v>
      </c>
      <c r="T23" s="14" t="s">
        <v>63</v>
      </c>
      <c r="U23" s="4">
        <v>29.534361199999999</v>
      </c>
      <c r="V23" s="15" t="s">
        <v>64</v>
      </c>
    </row>
    <row r="24" spans="1:22" x14ac:dyDescent="0.25">
      <c r="A24" s="2">
        <v>21</v>
      </c>
      <c r="B24" s="2">
        <v>43</v>
      </c>
      <c r="C24" s="2" t="s">
        <v>72</v>
      </c>
      <c r="D24" s="2">
        <v>5</v>
      </c>
      <c r="E24" s="2" t="s">
        <v>73</v>
      </c>
      <c r="F24" s="4">
        <v>602.73333333333335</v>
      </c>
      <c r="G24" s="4">
        <v>143.35606021372101</v>
      </c>
      <c r="H24" s="4">
        <v>20550.960000000003</v>
      </c>
      <c r="I24" s="4">
        <v>203.5333333333333</v>
      </c>
      <c r="J24" s="4">
        <v>107.58252646224665</v>
      </c>
      <c r="K24" s="4">
        <v>11574</v>
      </c>
      <c r="L24" s="4">
        <v>357.2</v>
      </c>
      <c r="M24" s="4">
        <v>137.76482376378473</v>
      </c>
      <c r="N24" s="4">
        <v>18979.146666666667</v>
      </c>
      <c r="O24" s="2" t="s">
        <v>14</v>
      </c>
      <c r="P24" s="3" t="s">
        <v>15</v>
      </c>
      <c r="Q24" s="2" t="s">
        <v>16</v>
      </c>
      <c r="R24" s="2" t="s">
        <v>17</v>
      </c>
      <c r="S24" s="2" t="s">
        <v>38</v>
      </c>
      <c r="T24" s="3" t="s">
        <v>65</v>
      </c>
      <c r="U24" s="4">
        <v>25.494967370000001</v>
      </c>
      <c r="V24" s="15" t="s">
        <v>64</v>
      </c>
    </row>
    <row r="25" spans="1:22" x14ac:dyDescent="0.25">
      <c r="A25" s="2">
        <v>22</v>
      </c>
      <c r="B25" s="2">
        <v>44</v>
      </c>
      <c r="C25" s="2" t="s">
        <v>75</v>
      </c>
      <c r="D25" s="2">
        <v>6</v>
      </c>
      <c r="E25" s="2" t="s">
        <v>76</v>
      </c>
      <c r="F25" s="4">
        <v>536.555555555556</v>
      </c>
      <c r="G25" s="4">
        <v>117.43359037408396</v>
      </c>
      <c r="H25" s="4">
        <v>13790.648148148101</v>
      </c>
      <c r="I25" s="4">
        <v>232</v>
      </c>
      <c r="J25" s="4">
        <v>132.18414484403243</v>
      </c>
      <c r="K25" s="4">
        <v>17472.648148148146</v>
      </c>
      <c r="L25" s="4">
        <v>274.5</v>
      </c>
      <c r="M25" s="4">
        <v>143.07331065653798</v>
      </c>
      <c r="N25" s="4">
        <v>20469.972222222223</v>
      </c>
      <c r="O25" s="2" t="s">
        <v>14</v>
      </c>
      <c r="P25" s="3" t="s">
        <v>45</v>
      </c>
      <c r="Q25" s="2" t="s">
        <v>15</v>
      </c>
      <c r="R25" s="2" t="s">
        <v>29</v>
      </c>
      <c r="S25" s="2" t="s">
        <v>32</v>
      </c>
      <c r="T25" s="3" t="s">
        <v>65</v>
      </c>
      <c r="U25" s="4">
        <v>7.92</v>
      </c>
      <c r="V25" s="15" t="s">
        <v>77</v>
      </c>
    </row>
    <row r="26" spans="1:22" x14ac:dyDescent="0.25">
      <c r="A26" s="2">
        <v>23</v>
      </c>
      <c r="B26" s="2">
        <v>45</v>
      </c>
      <c r="C26" s="2" t="s">
        <v>78</v>
      </c>
      <c r="D26" s="2">
        <v>6</v>
      </c>
      <c r="E26" s="2" t="s">
        <v>79</v>
      </c>
      <c r="F26" s="4">
        <v>666.66666666666663</v>
      </c>
      <c r="G26" s="4">
        <v>179.36396113923095</v>
      </c>
      <c r="H26" s="4">
        <v>32171.430555555551</v>
      </c>
      <c r="I26" s="4">
        <v>235.5</v>
      </c>
      <c r="J26" s="4">
        <v>131.74633665579557</v>
      </c>
      <c r="K26" s="4">
        <v>17357.097222222223</v>
      </c>
      <c r="L26" s="4">
        <v>399.88888888888891</v>
      </c>
      <c r="M26" s="4">
        <v>101.54776744997437</v>
      </c>
      <c r="N26" s="4">
        <v>10311.949074074075</v>
      </c>
      <c r="O26" s="2" t="s">
        <v>14</v>
      </c>
      <c r="P26" s="3" t="s">
        <v>15</v>
      </c>
      <c r="Q26" s="2" t="s">
        <v>16</v>
      </c>
      <c r="R26" s="2" t="s">
        <v>17</v>
      </c>
      <c r="S26" s="2" t="e">
        <v>#DIV/0!</v>
      </c>
      <c r="T26" s="3" t="s">
        <v>65</v>
      </c>
      <c r="U26" s="4">
        <v>24.6533333</v>
      </c>
      <c r="V26" s="15" t="s">
        <v>64</v>
      </c>
    </row>
    <row r="27" spans="1:22" x14ac:dyDescent="0.25">
      <c r="A27" s="2">
        <v>24</v>
      </c>
      <c r="B27" s="2">
        <v>46</v>
      </c>
      <c r="C27" s="2" t="s">
        <v>80</v>
      </c>
      <c r="D27" s="2">
        <v>5</v>
      </c>
      <c r="E27" s="2" t="s">
        <v>81</v>
      </c>
      <c r="F27" s="4">
        <v>618.4666666666667</v>
      </c>
      <c r="G27" s="4">
        <v>110.73921316919916</v>
      </c>
      <c r="H27" s="4">
        <v>12263.173333333334</v>
      </c>
      <c r="I27" s="4">
        <v>310.53333333333336</v>
      </c>
      <c r="J27" s="4">
        <v>65.879283541945114</v>
      </c>
      <c r="K27" s="4">
        <v>4340.08</v>
      </c>
      <c r="L27" s="4">
        <v>281</v>
      </c>
      <c r="M27" s="4">
        <v>120.63797080521537</v>
      </c>
      <c r="N27" s="4">
        <v>14553.519999999999</v>
      </c>
      <c r="O27" s="2" t="s">
        <v>14</v>
      </c>
      <c r="P27" s="3" t="s">
        <v>15</v>
      </c>
      <c r="Q27" s="2" t="s">
        <v>16</v>
      </c>
      <c r="R27" s="2" t="s">
        <v>17</v>
      </c>
      <c r="S27" s="2" t="e">
        <v>#DIV/0!</v>
      </c>
      <c r="T27" s="14" t="s">
        <v>63</v>
      </c>
      <c r="U27" s="4">
        <v>4.7752506199999996</v>
      </c>
      <c r="V27" s="15" t="s">
        <v>77</v>
      </c>
    </row>
    <row r="28" spans="1:22" x14ac:dyDescent="0.25">
      <c r="A28" s="2">
        <v>25</v>
      </c>
      <c r="B28" s="2">
        <v>47</v>
      </c>
      <c r="C28" s="2" t="s">
        <v>82</v>
      </c>
      <c r="D28" s="2">
        <v>5</v>
      </c>
      <c r="E28" s="2" t="s">
        <v>83</v>
      </c>
      <c r="F28" s="4">
        <v>664</v>
      </c>
      <c r="G28" s="4">
        <v>130.61219953230506</v>
      </c>
      <c r="H28" s="4">
        <v>17059.546666666665</v>
      </c>
      <c r="I28" s="4">
        <v>265.40000000000003</v>
      </c>
      <c r="J28" s="4">
        <v>97.724510743211198</v>
      </c>
      <c r="K28" s="4">
        <v>9550.08</v>
      </c>
      <c r="L28" s="4">
        <v>365.26666666666665</v>
      </c>
      <c r="M28" s="4">
        <v>39.8620956130842</v>
      </c>
      <c r="N28" s="4">
        <v>1588.9866666666667</v>
      </c>
      <c r="O28" s="2" t="s">
        <v>45</v>
      </c>
      <c r="P28" s="3" t="s">
        <v>15</v>
      </c>
      <c r="Q28" s="7" t="s">
        <v>14</v>
      </c>
      <c r="R28" s="2" t="s">
        <v>17</v>
      </c>
      <c r="S28" s="2" t="s">
        <v>32</v>
      </c>
      <c r="T28" s="3" t="s">
        <v>65</v>
      </c>
      <c r="U28" s="4">
        <v>15.04016064</v>
      </c>
      <c r="V28" s="15" t="s">
        <v>64</v>
      </c>
    </row>
    <row r="29" spans="1:22" x14ac:dyDescent="0.25">
      <c r="A29" s="2">
        <v>26</v>
      </c>
      <c r="B29" s="2">
        <v>48</v>
      </c>
      <c r="C29" s="2" t="s">
        <v>85</v>
      </c>
      <c r="D29" s="2">
        <v>6</v>
      </c>
      <c r="E29" s="2" t="s">
        <v>86</v>
      </c>
      <c r="F29" s="4">
        <v>694.6111111111112</v>
      </c>
      <c r="G29" s="4">
        <v>161.52923711961387</v>
      </c>
      <c r="H29" s="4">
        <v>26091.694444444442</v>
      </c>
      <c r="I29" s="4">
        <v>278.61111111111109</v>
      </c>
      <c r="J29" s="4">
        <v>113.69733212935708</v>
      </c>
      <c r="K29" s="4">
        <v>12927.083333333334</v>
      </c>
      <c r="L29" s="4">
        <v>377.88888888888891</v>
      </c>
      <c r="M29" s="4">
        <v>67.499382713226851</v>
      </c>
      <c r="N29" s="4">
        <v>4556.166666666667</v>
      </c>
      <c r="O29" s="2" t="s">
        <v>14</v>
      </c>
      <c r="P29" s="3" t="s">
        <v>16</v>
      </c>
      <c r="Q29" s="2" t="s">
        <v>15</v>
      </c>
      <c r="R29" s="2" t="s">
        <v>17</v>
      </c>
      <c r="S29" s="2" t="s">
        <v>32</v>
      </c>
      <c r="T29" s="3" t="s">
        <v>65</v>
      </c>
      <c r="U29" s="4">
        <v>14.292569779999999</v>
      </c>
      <c r="V29" s="15" t="s">
        <v>64</v>
      </c>
    </row>
    <row r="30" spans="1:22" x14ac:dyDescent="0.25">
      <c r="A30" s="2">
        <v>27</v>
      </c>
      <c r="B30" s="2">
        <v>49</v>
      </c>
      <c r="C30" s="2" t="s">
        <v>87</v>
      </c>
      <c r="D30" s="2">
        <v>6</v>
      </c>
      <c r="E30" s="2" t="s">
        <v>88</v>
      </c>
      <c r="F30" s="4">
        <v>766.27777777777771</v>
      </c>
      <c r="G30" s="4">
        <v>235.81150271947044</v>
      </c>
      <c r="H30" s="4">
        <v>55607.06481481481</v>
      </c>
      <c r="I30" s="4">
        <v>389.22222222222217</v>
      </c>
      <c r="J30" s="4">
        <v>157.57073661386823</v>
      </c>
      <c r="K30" s="4">
        <v>24828.537037037036</v>
      </c>
      <c r="L30" s="4">
        <v>333.72222222222223</v>
      </c>
      <c r="M30" s="4">
        <v>127.5901641977155</v>
      </c>
      <c r="N30" s="4">
        <v>16279.25</v>
      </c>
      <c r="O30" s="2" t="s">
        <v>22</v>
      </c>
      <c r="P30" s="3" t="s">
        <v>16</v>
      </c>
      <c r="Q30" s="2" t="s">
        <v>15</v>
      </c>
      <c r="R30" s="2" t="s">
        <v>17</v>
      </c>
      <c r="S30" s="2" t="s">
        <v>32</v>
      </c>
      <c r="T30" s="14" t="s">
        <v>63</v>
      </c>
      <c r="U30" s="4">
        <v>7.2428043210000004</v>
      </c>
      <c r="V30" s="15" t="s">
        <v>77</v>
      </c>
    </row>
    <row r="31" spans="1:22" x14ac:dyDescent="0.25">
      <c r="A31" s="2">
        <v>28</v>
      </c>
      <c r="B31" s="2">
        <v>50</v>
      </c>
      <c r="C31" s="2" t="s">
        <v>89</v>
      </c>
      <c r="D31" s="2">
        <v>8</v>
      </c>
      <c r="E31" s="2" t="s">
        <v>90</v>
      </c>
      <c r="F31" s="4">
        <v>644.95833333333337</v>
      </c>
      <c r="G31" s="4">
        <v>146.80466400969692</v>
      </c>
      <c r="H31" s="4">
        <v>21551.609375</v>
      </c>
      <c r="I31" s="4">
        <v>306</v>
      </c>
      <c r="J31" s="4">
        <v>155.00211692102789</v>
      </c>
      <c r="K31" s="4">
        <v>24025.65625</v>
      </c>
      <c r="L31" s="4">
        <v>289.20833333333331</v>
      </c>
      <c r="M31" s="4">
        <v>76.414065295598562</v>
      </c>
      <c r="N31" s="4">
        <v>5839.109375</v>
      </c>
      <c r="O31" s="2" t="s">
        <v>22</v>
      </c>
      <c r="P31" s="3" t="s">
        <v>22</v>
      </c>
      <c r="Q31" s="2" t="s">
        <v>15</v>
      </c>
      <c r="R31" s="2" t="s">
        <v>17</v>
      </c>
      <c r="S31" s="2" t="s">
        <v>38</v>
      </c>
      <c r="T31" s="14" t="s">
        <v>63</v>
      </c>
      <c r="U31" s="4">
        <v>2.6035273600000002</v>
      </c>
      <c r="V31" s="15" t="s">
        <v>68</v>
      </c>
    </row>
    <row r="32" spans="1:22" x14ac:dyDescent="0.25">
      <c r="A32" s="2">
        <v>29</v>
      </c>
      <c r="B32" s="2">
        <v>51</v>
      </c>
      <c r="C32" s="2" t="s">
        <v>91</v>
      </c>
      <c r="D32" s="2">
        <v>8</v>
      </c>
      <c r="E32" s="2" t="s">
        <v>92</v>
      </c>
      <c r="F32" s="4">
        <v>633.47619047619048</v>
      </c>
      <c r="G32" s="4">
        <v>126.48336181619513</v>
      </c>
      <c r="H32" s="4">
        <v>15998.040816326529</v>
      </c>
      <c r="I32" s="4">
        <v>236.52380952380955</v>
      </c>
      <c r="J32" s="4">
        <v>86.050451899503955</v>
      </c>
      <c r="K32" s="4">
        <v>7404.6802721088434</v>
      </c>
      <c r="L32" s="4">
        <v>331.19047619047615</v>
      </c>
      <c r="M32" s="4">
        <v>128.29144117029406</v>
      </c>
      <c r="N32" s="4">
        <v>16458.693877551021</v>
      </c>
      <c r="O32" s="2" t="s">
        <v>22</v>
      </c>
      <c r="P32" s="3" t="s">
        <v>45</v>
      </c>
      <c r="Q32" s="2" t="s">
        <v>15</v>
      </c>
      <c r="R32" s="2" t="s">
        <v>17</v>
      </c>
      <c r="S32" s="2" t="s">
        <v>38</v>
      </c>
      <c r="T32" s="3" t="s">
        <v>65</v>
      </c>
      <c r="U32" s="4">
        <v>14.94399759</v>
      </c>
      <c r="V32" s="15" t="s">
        <v>64</v>
      </c>
    </row>
    <row r="33" spans="1:22" x14ac:dyDescent="0.25">
      <c r="A33" s="2">
        <v>30</v>
      </c>
      <c r="B33" s="2">
        <v>52</v>
      </c>
      <c r="C33" s="2" t="s">
        <v>93</v>
      </c>
      <c r="D33" s="2">
        <v>6</v>
      </c>
      <c r="E33" s="2" t="s">
        <v>94</v>
      </c>
      <c r="F33" s="4">
        <v>741.05555555555566</v>
      </c>
      <c r="G33" s="4">
        <v>138.9888418116654</v>
      </c>
      <c r="H33" s="4">
        <v>19317.89814814815</v>
      </c>
      <c r="I33" s="4">
        <v>289.66666666666669</v>
      </c>
      <c r="J33" s="4">
        <v>129.57787591223251</v>
      </c>
      <c r="K33" s="4">
        <v>16790.425925925927</v>
      </c>
      <c r="L33" s="4">
        <v>337.61111111111109</v>
      </c>
      <c r="M33" s="4">
        <v>138.91640838474956</v>
      </c>
      <c r="N33" s="4">
        <v>19297.768518518515</v>
      </c>
      <c r="O33" s="2" t="s">
        <v>22</v>
      </c>
      <c r="P33" s="3" t="s">
        <v>16</v>
      </c>
      <c r="Q33" s="2" t="s">
        <v>15</v>
      </c>
      <c r="R33" s="2" t="s">
        <v>17</v>
      </c>
      <c r="S33" s="2" t="s">
        <v>38</v>
      </c>
      <c r="T33" s="3" t="s">
        <v>65</v>
      </c>
      <c r="U33" s="4">
        <v>6.4697503559999996</v>
      </c>
      <c r="V33" s="15" t="s">
        <v>77</v>
      </c>
    </row>
    <row r="34" spans="1:22" x14ac:dyDescent="0.25">
      <c r="A34" s="2">
        <v>31</v>
      </c>
      <c r="B34" s="2">
        <v>53</v>
      </c>
      <c r="C34" s="2" t="s">
        <v>96</v>
      </c>
      <c r="D34" s="2">
        <v>7</v>
      </c>
      <c r="E34" s="2" t="s">
        <v>97</v>
      </c>
      <c r="F34" s="4">
        <v>692.57142857142844</v>
      </c>
      <c r="G34" s="4">
        <v>157.34817755408491</v>
      </c>
      <c r="H34" s="4">
        <v>24758.448979591834</v>
      </c>
      <c r="I34" s="4">
        <v>275.52380952380958</v>
      </c>
      <c r="J34" s="4">
        <v>135.5257336810833</v>
      </c>
      <c r="K34" s="4">
        <v>18367.224489795917</v>
      </c>
      <c r="L34" s="4">
        <v>345.19047619047615</v>
      </c>
      <c r="M34" s="4">
        <v>138.11540082691081</v>
      </c>
      <c r="N34" s="4">
        <v>19075.863945578236</v>
      </c>
      <c r="O34" s="2" t="s">
        <v>22</v>
      </c>
      <c r="P34" s="3" t="s">
        <v>15</v>
      </c>
      <c r="Q34" s="2" t="s">
        <v>15</v>
      </c>
      <c r="R34" s="2" t="s">
        <v>17</v>
      </c>
      <c r="S34" s="2" t="s">
        <v>38</v>
      </c>
      <c r="T34" s="3" t="s">
        <v>65</v>
      </c>
      <c r="U34" s="4">
        <v>10.05913091</v>
      </c>
      <c r="V34" s="15" t="s">
        <v>64</v>
      </c>
    </row>
    <row r="35" spans="1:22" x14ac:dyDescent="0.25">
      <c r="A35" s="2">
        <v>32</v>
      </c>
      <c r="B35" s="2">
        <v>54</v>
      </c>
      <c r="C35" s="2" t="s">
        <v>98</v>
      </c>
      <c r="D35" s="2">
        <v>5</v>
      </c>
      <c r="E35" s="2" t="s">
        <v>99</v>
      </c>
      <c r="F35" s="4">
        <v>733.1</v>
      </c>
      <c r="G35" s="4">
        <v>145.04290744465928</v>
      </c>
      <c r="H35" s="4">
        <v>21037.445</v>
      </c>
      <c r="I35" s="4">
        <v>348.41666666666669</v>
      </c>
      <c r="J35" s="4">
        <v>139.15385669586502</v>
      </c>
      <c r="K35" s="4">
        <v>19363.795833333334</v>
      </c>
      <c r="L35" s="4">
        <v>342.43333333333334</v>
      </c>
      <c r="M35" s="4">
        <v>48.387791159892117</v>
      </c>
      <c r="N35" s="4">
        <v>2341.3783333333336</v>
      </c>
      <c r="O35" s="2" t="s">
        <v>22</v>
      </c>
      <c r="P35" s="3" t="s">
        <v>15</v>
      </c>
      <c r="Q35" s="2" t="s">
        <v>16</v>
      </c>
      <c r="R35" s="2" t="s">
        <v>17</v>
      </c>
      <c r="S35" s="2" t="s">
        <v>38</v>
      </c>
      <c r="T35" s="14" t="s">
        <v>63</v>
      </c>
      <c r="U35" s="4">
        <v>0.81616878100000001</v>
      </c>
      <c r="V35" s="15" t="s">
        <v>77</v>
      </c>
    </row>
    <row r="36" spans="1:22" x14ac:dyDescent="0.25">
      <c r="A36" s="2">
        <v>33</v>
      </c>
      <c r="B36" s="2">
        <v>55</v>
      </c>
      <c r="C36" s="2" t="s">
        <v>100</v>
      </c>
      <c r="D36" s="2">
        <v>8</v>
      </c>
      <c r="E36" s="2" t="s">
        <v>101</v>
      </c>
      <c r="F36" s="4">
        <v>533.04166666666663</v>
      </c>
      <c r="G36" s="4">
        <v>179.42461567001706</v>
      </c>
      <c r="H36" s="4">
        <v>32193.192708333332</v>
      </c>
      <c r="I36" s="4">
        <v>229.16666666666666</v>
      </c>
      <c r="J36" s="4">
        <v>130.7091634762715</v>
      </c>
      <c r="K36" s="4">
        <v>17084.885416666668</v>
      </c>
      <c r="L36" s="4">
        <v>278.125</v>
      </c>
      <c r="M36" s="4">
        <v>117.82081646155176</v>
      </c>
      <c r="N36" s="4">
        <v>13881.744791666666</v>
      </c>
      <c r="O36" s="2" t="s">
        <v>14</v>
      </c>
      <c r="P36" s="3" t="s">
        <v>15</v>
      </c>
      <c r="Q36" s="2" t="s">
        <v>16</v>
      </c>
      <c r="R36" s="2" t="s">
        <v>17</v>
      </c>
      <c r="S36" s="2" t="e">
        <v>#DIV/0!</v>
      </c>
      <c r="T36" s="6" t="s">
        <v>65</v>
      </c>
      <c r="U36" s="17">
        <v>9.1847103879999992</v>
      </c>
      <c r="V36" s="18" t="s">
        <v>77</v>
      </c>
    </row>
    <row r="37" spans="1:22" x14ac:dyDescent="0.25">
      <c r="A37" s="2">
        <v>34</v>
      </c>
      <c r="B37" s="2">
        <v>56</v>
      </c>
      <c r="C37" s="2" t="s">
        <v>102</v>
      </c>
      <c r="D37" s="2">
        <v>5</v>
      </c>
      <c r="E37" s="2" t="s">
        <v>103</v>
      </c>
      <c r="F37" s="4">
        <v>658.6</v>
      </c>
      <c r="G37" s="4">
        <v>77.819620490807679</v>
      </c>
      <c r="H37" s="4">
        <v>6055.8933333333334</v>
      </c>
      <c r="I37" s="4">
        <v>332.53333333333336</v>
      </c>
      <c r="J37" s="4">
        <v>74.393010424367148</v>
      </c>
      <c r="K37" s="4">
        <v>5534.32</v>
      </c>
      <c r="L37" s="4">
        <v>295.4666666666667</v>
      </c>
      <c r="M37" s="4">
        <v>48.987345304680474</v>
      </c>
      <c r="N37" s="4">
        <v>2399.7599999999998</v>
      </c>
      <c r="O37" s="2" t="s">
        <v>14</v>
      </c>
      <c r="P37" s="3" t="s">
        <v>15</v>
      </c>
      <c r="Q37" s="2" t="s">
        <v>16</v>
      </c>
      <c r="R37" s="2" t="s">
        <v>17</v>
      </c>
      <c r="S37" s="2" t="e">
        <v>#DIV/0!</v>
      </c>
      <c r="T37" s="14" t="s">
        <v>63</v>
      </c>
      <c r="U37" s="4">
        <v>5.6281000099999998</v>
      </c>
      <c r="V37" s="15" t="s">
        <v>77</v>
      </c>
    </row>
    <row r="38" spans="1:22" x14ac:dyDescent="0.25">
      <c r="A38" s="2">
        <v>35</v>
      </c>
      <c r="B38" s="2">
        <v>57</v>
      </c>
      <c r="C38" s="2" t="s">
        <v>104</v>
      </c>
      <c r="D38" s="2">
        <v>5</v>
      </c>
      <c r="E38" s="2" t="s">
        <v>105</v>
      </c>
      <c r="F38" s="4">
        <v>667.13333333333333</v>
      </c>
      <c r="G38" s="4">
        <v>43.557777721091327</v>
      </c>
      <c r="H38" s="4">
        <v>1897.28</v>
      </c>
      <c r="I38" s="4">
        <v>285.40000000000003</v>
      </c>
      <c r="J38" s="4">
        <v>90.995897343415066</v>
      </c>
      <c r="K38" s="4">
        <v>8280.253333333334</v>
      </c>
      <c r="L38" s="4">
        <v>333.53333333333336</v>
      </c>
      <c r="M38" s="4">
        <v>77.153396987214165</v>
      </c>
      <c r="N38" s="4">
        <v>5952.6466666666674</v>
      </c>
      <c r="O38" s="2" t="s">
        <v>14</v>
      </c>
      <c r="P38" s="3" t="s">
        <v>15</v>
      </c>
      <c r="Q38" s="2" t="s">
        <v>16</v>
      </c>
      <c r="R38" s="2" t="s">
        <v>17</v>
      </c>
      <c r="S38" s="2" t="e">
        <v>#DIV/0!</v>
      </c>
      <c r="T38" s="3" t="s">
        <v>65</v>
      </c>
      <c r="U38" s="4">
        <v>7.2149495349999997</v>
      </c>
      <c r="V38" s="15" t="s">
        <v>77</v>
      </c>
    </row>
    <row r="39" spans="1:22" x14ac:dyDescent="0.25">
      <c r="A39" s="2">
        <v>36</v>
      </c>
      <c r="B39" s="2">
        <v>58</v>
      </c>
      <c r="C39" s="2" t="s">
        <v>106</v>
      </c>
      <c r="D39" s="2">
        <v>4</v>
      </c>
      <c r="E39" s="2" t="s">
        <v>107</v>
      </c>
      <c r="F39" s="4">
        <v>466.41666666666669</v>
      </c>
      <c r="G39" s="4">
        <v>44242.728489800698</v>
      </c>
      <c r="H39" s="4">
        <v>1957419024.2222223</v>
      </c>
      <c r="I39" s="4">
        <v>221.75</v>
      </c>
      <c r="J39" s="4">
        <v>4410.5963092252487</v>
      </c>
      <c r="K39" s="4">
        <v>19453359.802951388</v>
      </c>
      <c r="L39" s="4">
        <v>227.41666666666666</v>
      </c>
      <c r="M39" s="4">
        <v>10338.873412771456</v>
      </c>
      <c r="N39" s="4">
        <v>106892303.4453125</v>
      </c>
      <c r="O39" s="2" t="s">
        <v>14</v>
      </c>
      <c r="P39" s="3" t="s">
        <v>15</v>
      </c>
      <c r="Q39" s="2" t="s">
        <v>16</v>
      </c>
      <c r="R39" s="2" t="s">
        <v>17</v>
      </c>
      <c r="S39" s="2" t="e">
        <v>#DIV/0!</v>
      </c>
      <c r="T39" s="3" t="s">
        <v>65</v>
      </c>
      <c r="U39" s="4">
        <v>1.2149365729999999</v>
      </c>
      <c r="V39" s="15" t="s">
        <v>77</v>
      </c>
    </row>
    <row r="40" spans="1:22" x14ac:dyDescent="0.25">
      <c r="A40" s="2">
        <v>37</v>
      </c>
      <c r="B40" s="2">
        <v>59</v>
      </c>
      <c r="C40" s="2" t="s">
        <v>108</v>
      </c>
      <c r="D40" s="2">
        <v>6</v>
      </c>
      <c r="E40" s="2" t="s">
        <v>109</v>
      </c>
      <c r="F40" s="4">
        <v>585.22222222222217</v>
      </c>
      <c r="G40" s="4">
        <v>150.13241069382966</v>
      </c>
      <c r="H40" s="4">
        <v>22539.740740740741</v>
      </c>
      <c r="I40" s="4">
        <v>175.61111111111109</v>
      </c>
      <c r="J40" s="4">
        <v>114.61507641118048</v>
      </c>
      <c r="K40" s="4">
        <v>13136.615740740739</v>
      </c>
      <c r="L40" s="4">
        <v>384.5555555555556</v>
      </c>
      <c r="M40" s="4">
        <v>60.97589839588413</v>
      </c>
      <c r="N40" s="4">
        <v>3718.0601851851848</v>
      </c>
      <c r="O40" s="2" t="s">
        <v>14</v>
      </c>
      <c r="P40" s="3" t="s">
        <v>15</v>
      </c>
      <c r="Q40" s="2" t="s">
        <v>16</v>
      </c>
      <c r="R40" s="2" t="s">
        <v>17</v>
      </c>
      <c r="S40" s="2" t="e">
        <v>#DIV/0!</v>
      </c>
      <c r="T40" s="3" t="s">
        <v>65</v>
      </c>
      <c r="U40" s="4">
        <v>35.703436490000001</v>
      </c>
      <c r="V40" s="15" t="s">
        <v>68</v>
      </c>
    </row>
    <row r="41" spans="1:22" x14ac:dyDescent="0.25">
      <c r="A41" s="2">
        <v>38</v>
      </c>
      <c r="B41" s="2">
        <v>60</v>
      </c>
      <c r="C41" s="2" t="s">
        <v>110</v>
      </c>
      <c r="D41" s="2">
        <v>8</v>
      </c>
      <c r="E41" s="2" t="s">
        <v>111</v>
      </c>
      <c r="F41" s="4">
        <v>685.19047619047615</v>
      </c>
      <c r="G41" s="4">
        <v>168.49994448817188</v>
      </c>
      <c r="H41" s="4">
        <v>28392.231292517008</v>
      </c>
      <c r="I41" s="4">
        <v>287.14285714285717</v>
      </c>
      <c r="J41" s="4">
        <v>203.59824384792512</v>
      </c>
      <c r="K41" s="4">
        <v>41452.244897959179</v>
      </c>
      <c r="L41" s="4">
        <v>325.33333333333331</v>
      </c>
      <c r="M41" s="4">
        <v>148.63780568520099</v>
      </c>
      <c r="N41" s="4">
        <v>22093.197278911564</v>
      </c>
      <c r="O41" s="2" t="s">
        <v>22</v>
      </c>
      <c r="P41" s="3" t="s">
        <v>15</v>
      </c>
      <c r="Q41" s="2" t="s">
        <v>15</v>
      </c>
      <c r="R41" s="2" t="s">
        <v>17</v>
      </c>
      <c r="S41" s="2" t="s">
        <v>32</v>
      </c>
      <c r="T41" s="3" t="s">
        <v>65</v>
      </c>
      <c r="U41" s="4">
        <v>5.5737021340000004</v>
      </c>
      <c r="V41" s="15" t="s">
        <v>77</v>
      </c>
    </row>
  </sheetData>
  <mergeCells count="13">
    <mergeCell ref="I2:K2"/>
    <mergeCell ref="A1:V1"/>
    <mergeCell ref="F2:H2"/>
    <mergeCell ref="A2:A3"/>
    <mergeCell ref="B2:B3"/>
    <mergeCell ref="C2:C3"/>
    <mergeCell ref="D2:D3"/>
    <mergeCell ref="E2:E3"/>
    <mergeCell ref="T2:T3"/>
    <mergeCell ref="U2:U3"/>
    <mergeCell ref="V2:V3"/>
    <mergeCell ref="O2:S2"/>
    <mergeCell ref="L2:N2"/>
  </mergeCells>
  <conditionalFormatting sqref="O4:O12 O17:O22">
    <cfRule type="containsText" dxfId="704" priority="434" operator="containsText" text="AVG">
      <formula>NOT(ISERROR(SEARCH("AVG",O4)))</formula>
    </cfRule>
  </conditionalFormatting>
  <conditionalFormatting sqref="O4:O12 O17:O22">
    <cfRule type="cellIs" dxfId="703" priority="433" operator="equal">
      <formula>"STRONG"</formula>
    </cfRule>
  </conditionalFormatting>
  <conditionalFormatting sqref="O4:O12 O17:O22">
    <cfRule type="containsText" dxfId="702" priority="432" operator="containsText" text="VSTRONG">
      <formula>NOT(ISERROR(SEARCH("VSTRONG",O4)))</formula>
    </cfRule>
  </conditionalFormatting>
  <conditionalFormatting sqref="P4:P5 P7:P8 P17:P22">
    <cfRule type="containsText" dxfId="701" priority="431" operator="containsText" text="STRONG">
      <formula>NOT(ISERROR(SEARCH("STRONG",P4)))</formula>
    </cfRule>
  </conditionalFormatting>
  <conditionalFormatting sqref="P4:P5 P7:P8 P17:P22">
    <cfRule type="containsText" dxfId="700" priority="430" operator="containsText" text="VSTRONG">
      <formula>NOT(ISERROR(SEARCH("VSTRONG",P4)))</formula>
    </cfRule>
  </conditionalFormatting>
  <conditionalFormatting sqref="R4:R5 R7:R8 R17:R22">
    <cfRule type="containsText" dxfId="699" priority="429" operator="containsText" text="FEMALE DOM">
      <formula>NOT(ISERROR(SEARCH("FEMALE DOM",R4)))</formula>
    </cfRule>
  </conditionalFormatting>
  <conditionalFormatting sqref="O4:O12 O17:O22">
    <cfRule type="containsText" dxfId="698" priority="428" operator="containsText" text="AVG">
      <formula>NOT(ISERROR(SEARCH("AVG",O4)))</formula>
    </cfRule>
  </conditionalFormatting>
  <conditionalFormatting sqref="Q4:Q5 Q7:Q8 Q17:Q22">
    <cfRule type="cellIs" dxfId="697" priority="427" operator="equal">
      <formula>"VWEAK"</formula>
    </cfRule>
  </conditionalFormatting>
  <conditionalFormatting sqref="Q4:Q5 P7:Q7 Q8 P17:Q22">
    <cfRule type="containsText" dxfId="696" priority="426" operator="containsText" text="AVG">
      <formula>NOT(ISERROR(SEARCH("AVG",P4)))</formula>
    </cfRule>
  </conditionalFormatting>
  <conditionalFormatting sqref="Q4:Q5 Q7:Q8 Q17:Q22">
    <cfRule type="containsText" dxfId="695" priority="425" operator="containsText" text="VSTRONG">
      <formula>NOT(ISERROR(SEARCH("VSTRONG",Q4)))</formula>
    </cfRule>
  </conditionalFormatting>
  <conditionalFormatting sqref="R7 R17:R22">
    <cfRule type="containsText" dxfId="694" priority="403" operator="containsText" text="MEN">
      <formula>NOT(ISERROR(SEARCH("MEN",R7)))</formula>
    </cfRule>
  </conditionalFormatting>
  <conditionalFormatting sqref="S17:S22">
    <cfRule type="containsText" dxfId="693" priority="389" operator="containsText" text="O">
      <formula>NOT(ISERROR(SEARCH("O",S17)))</formula>
    </cfRule>
  </conditionalFormatting>
  <conditionalFormatting sqref="S17:S22">
    <cfRule type="containsText" dxfId="692" priority="387" operator="containsText" text="H">
      <formula>NOT(ISERROR(SEARCH("H",S17)))</formula>
    </cfRule>
    <cfRule type="containsText" dxfId="691" priority="388" operator="containsText" text="H">
      <formula>NOT(ISERROR(SEARCH("H",S17)))</formula>
    </cfRule>
  </conditionalFormatting>
  <conditionalFormatting sqref="S17:S22">
    <cfRule type="containsText" dxfId="690" priority="381" operator="containsText" text="H">
      <formula>NOT(ISERROR(SEARCH("H",S17)))</formula>
    </cfRule>
  </conditionalFormatting>
  <conditionalFormatting sqref="O23">
    <cfRule type="containsText" dxfId="689" priority="298" operator="containsText" text="AVG">
      <formula>NOT(ISERROR(SEARCH("AVG",O23)))</formula>
    </cfRule>
  </conditionalFormatting>
  <conditionalFormatting sqref="O23">
    <cfRule type="cellIs" dxfId="688" priority="297" operator="equal">
      <formula>"STRONG"</formula>
    </cfRule>
  </conditionalFormatting>
  <conditionalFormatting sqref="O23">
    <cfRule type="containsText" dxfId="687" priority="296" operator="containsText" text="VSTRONG">
      <formula>NOT(ISERROR(SEARCH("VSTRONG",O23)))</formula>
    </cfRule>
  </conditionalFormatting>
  <conditionalFormatting sqref="S23:S24">
    <cfRule type="containsText" dxfId="686" priority="295" operator="containsText" text="O">
      <formula>NOT(ISERROR(SEARCH("O",S23)))</formula>
    </cfRule>
  </conditionalFormatting>
  <conditionalFormatting sqref="S23:S24">
    <cfRule type="containsText" dxfId="685" priority="293" operator="containsText" text="H">
      <formula>NOT(ISERROR(SEARCH("H",S23)))</formula>
    </cfRule>
    <cfRule type="containsText" dxfId="684" priority="294" operator="containsText" text="H">
      <formula>NOT(ISERROR(SEARCH("H",S23)))</formula>
    </cfRule>
  </conditionalFormatting>
  <conditionalFormatting sqref="P23">
    <cfRule type="containsText" dxfId="683" priority="292" operator="containsText" text="STRONG">
      <formula>NOT(ISERROR(SEARCH("STRONG",P23)))</formula>
    </cfRule>
  </conditionalFormatting>
  <conditionalFormatting sqref="P23:Q23">
    <cfRule type="containsText" dxfId="682" priority="291" operator="containsText" text="AVG">
      <formula>NOT(ISERROR(SEARCH("AVG",P23)))</formula>
    </cfRule>
  </conditionalFormatting>
  <conditionalFormatting sqref="P23">
    <cfRule type="containsText" dxfId="681" priority="290" operator="containsText" text="VSTRONG">
      <formula>NOT(ISERROR(SEARCH("VSTRONG",P23)))</formula>
    </cfRule>
  </conditionalFormatting>
  <conditionalFormatting sqref="R23">
    <cfRule type="containsText" dxfId="680" priority="289" operator="containsText" text="FEMALE DOM">
      <formula>NOT(ISERROR(SEARCH("FEMALE DOM",R23)))</formula>
    </cfRule>
  </conditionalFormatting>
  <conditionalFormatting sqref="O23">
    <cfRule type="containsText" dxfId="679" priority="288" operator="containsText" text="AVG">
      <formula>NOT(ISERROR(SEARCH("AVG",O23)))</formula>
    </cfRule>
  </conditionalFormatting>
  <conditionalFormatting sqref="S23:S24">
    <cfRule type="containsText" dxfId="678" priority="287" operator="containsText" text="H">
      <formula>NOT(ISERROR(SEARCH("H",S23)))</formula>
    </cfRule>
  </conditionalFormatting>
  <conditionalFormatting sqref="Q23">
    <cfRule type="cellIs" dxfId="677" priority="286" operator="equal">
      <formula>"VWEAK"</formula>
    </cfRule>
  </conditionalFormatting>
  <conditionalFormatting sqref="Q23">
    <cfRule type="containsText" dxfId="676" priority="285" operator="containsText" text="VSTRONG">
      <formula>NOT(ISERROR(SEARCH("VSTRONG",Q23)))</formula>
    </cfRule>
  </conditionalFormatting>
  <conditionalFormatting sqref="R23">
    <cfRule type="containsText" dxfId="675" priority="284" operator="containsText" text="MEN">
      <formula>NOT(ISERROR(SEARCH("MEN",R23)))</formula>
    </cfRule>
  </conditionalFormatting>
  <conditionalFormatting sqref="O24">
    <cfRule type="containsText" dxfId="674" priority="283" operator="containsText" text="AVG">
      <formula>NOT(ISERROR(SEARCH("AVG",O24)))</formula>
    </cfRule>
  </conditionalFormatting>
  <conditionalFormatting sqref="O24">
    <cfRule type="cellIs" dxfId="673" priority="282" operator="equal">
      <formula>"STRONG"</formula>
    </cfRule>
  </conditionalFormatting>
  <conditionalFormatting sqref="O24">
    <cfRule type="containsText" dxfId="672" priority="281" operator="containsText" text="VSTRONG">
      <formula>NOT(ISERROR(SEARCH("VSTRONG",O24)))</formula>
    </cfRule>
  </conditionalFormatting>
  <conditionalFormatting sqref="S24">
    <cfRule type="containsText" dxfId="671" priority="280" operator="containsText" text="O">
      <formula>NOT(ISERROR(SEARCH("O",S24)))</formula>
    </cfRule>
  </conditionalFormatting>
  <conditionalFormatting sqref="S24">
    <cfRule type="containsText" dxfId="670" priority="278" operator="containsText" text="H">
      <formula>NOT(ISERROR(SEARCH("H",S24)))</formula>
    </cfRule>
    <cfRule type="containsText" dxfId="669" priority="279" operator="containsText" text="H">
      <formula>NOT(ISERROR(SEARCH("H",S24)))</formula>
    </cfRule>
  </conditionalFormatting>
  <conditionalFormatting sqref="P24">
    <cfRule type="containsText" dxfId="668" priority="277" operator="containsText" text="STRONG">
      <formula>NOT(ISERROR(SEARCH("STRONG",P24)))</formula>
    </cfRule>
  </conditionalFormatting>
  <conditionalFormatting sqref="P24">
    <cfRule type="containsText" dxfId="667" priority="276" operator="containsText" text="AVG">
      <formula>NOT(ISERROR(SEARCH("AVG",P24)))</formula>
    </cfRule>
  </conditionalFormatting>
  <conditionalFormatting sqref="P24">
    <cfRule type="containsText" dxfId="666" priority="275" operator="containsText" text="VSTRONG">
      <formula>NOT(ISERROR(SEARCH("VSTRONG",P24)))</formula>
    </cfRule>
  </conditionalFormatting>
  <conditionalFormatting sqref="R24">
    <cfRule type="containsText" dxfId="665" priority="274" operator="containsText" text="FEMALE DOM">
      <formula>NOT(ISERROR(SEARCH("FEMALE DOM",R24)))</formula>
    </cfRule>
  </conditionalFormatting>
  <conditionalFormatting sqref="O24">
    <cfRule type="containsText" dxfId="664" priority="273" operator="containsText" text="AVG">
      <formula>NOT(ISERROR(SEARCH("AVG",O24)))</formula>
    </cfRule>
  </conditionalFormatting>
  <conditionalFormatting sqref="S24">
    <cfRule type="containsText" dxfId="663" priority="272" operator="containsText" text="H">
      <formula>NOT(ISERROR(SEARCH("H",S24)))</formula>
    </cfRule>
  </conditionalFormatting>
  <conditionalFormatting sqref="Q24">
    <cfRule type="cellIs" dxfId="662" priority="271" operator="equal">
      <formula>"VWEAK"</formula>
    </cfRule>
  </conditionalFormatting>
  <conditionalFormatting sqref="Q24">
    <cfRule type="containsText" dxfId="661" priority="270" operator="containsText" text="AVG">
      <formula>NOT(ISERROR(SEARCH("AVG",Q24)))</formula>
    </cfRule>
  </conditionalFormatting>
  <conditionalFormatting sqref="Q24">
    <cfRule type="containsText" dxfId="660" priority="269" operator="containsText" text="VSTRONG">
      <formula>NOT(ISERROR(SEARCH("VSTRONG",Q24)))</formula>
    </cfRule>
  </conditionalFormatting>
  <conditionalFormatting sqref="R24">
    <cfRule type="containsText" dxfId="659" priority="268" operator="containsText" text="MEN">
      <formula>NOT(ISERROR(SEARCH("MEN",R24)))</formula>
    </cfRule>
  </conditionalFormatting>
  <conditionalFormatting sqref="R25">
    <cfRule type="containsText" dxfId="658" priority="267" operator="containsText" text="MEN">
      <formula>NOT(ISERROR(SEARCH("MEN",R25)))</formula>
    </cfRule>
  </conditionalFormatting>
  <conditionalFormatting sqref="O25">
    <cfRule type="containsText" dxfId="657" priority="266" operator="containsText" text="AVG">
      <formula>NOT(ISERROR(SEARCH("AVG",O25)))</formula>
    </cfRule>
  </conditionalFormatting>
  <conditionalFormatting sqref="O25">
    <cfRule type="cellIs" dxfId="656" priority="265" operator="equal">
      <formula>"STRONG"</formula>
    </cfRule>
  </conditionalFormatting>
  <conditionalFormatting sqref="O25">
    <cfRule type="containsText" dxfId="655" priority="264" operator="containsText" text="VSTRONG">
      <formula>NOT(ISERROR(SEARCH("VSTRONG",O25)))</formula>
    </cfRule>
  </conditionalFormatting>
  <conditionalFormatting sqref="S25">
    <cfRule type="containsText" dxfId="654" priority="263" operator="containsText" text="O">
      <formula>NOT(ISERROR(SEARCH("O",S25)))</formula>
    </cfRule>
  </conditionalFormatting>
  <conditionalFormatting sqref="S25">
    <cfRule type="containsText" dxfId="653" priority="261" operator="containsText" text="H">
      <formula>NOT(ISERROR(SEARCH("H",S25)))</formula>
    </cfRule>
    <cfRule type="containsText" dxfId="652" priority="262" operator="containsText" text="H">
      <formula>NOT(ISERROR(SEARCH("H",S25)))</formula>
    </cfRule>
  </conditionalFormatting>
  <conditionalFormatting sqref="P25">
    <cfRule type="containsText" dxfId="651" priority="260" operator="containsText" text="STRONG">
      <formula>NOT(ISERROR(SEARCH("STRONG",P25)))</formula>
    </cfRule>
  </conditionalFormatting>
  <conditionalFormatting sqref="P25">
    <cfRule type="containsText" dxfId="650" priority="259" operator="containsText" text="AVG">
      <formula>NOT(ISERROR(SEARCH("AVG",P25)))</formula>
    </cfRule>
  </conditionalFormatting>
  <conditionalFormatting sqref="P25">
    <cfRule type="containsText" dxfId="649" priority="258" operator="containsText" text="VSTRONG">
      <formula>NOT(ISERROR(SEARCH("VSTRONG",P25)))</formula>
    </cfRule>
  </conditionalFormatting>
  <conditionalFormatting sqref="R25">
    <cfRule type="containsText" dxfId="648" priority="257" operator="containsText" text="FEMALE DOM">
      <formula>NOT(ISERROR(SEARCH("FEMALE DOM",R25)))</formula>
    </cfRule>
  </conditionalFormatting>
  <conditionalFormatting sqref="O25">
    <cfRule type="containsText" dxfId="647" priority="256" operator="containsText" text="AVG">
      <formula>NOT(ISERROR(SEARCH("AVG",O25)))</formula>
    </cfRule>
  </conditionalFormatting>
  <conditionalFormatting sqref="S25">
    <cfRule type="containsText" dxfId="646" priority="255" operator="containsText" text="H">
      <formula>NOT(ISERROR(SEARCH("H",S25)))</formula>
    </cfRule>
  </conditionalFormatting>
  <conditionalFormatting sqref="Q25">
    <cfRule type="cellIs" dxfId="645" priority="254" operator="equal">
      <formula>"VWEAK"</formula>
    </cfRule>
  </conditionalFormatting>
  <conditionalFormatting sqref="Q25">
    <cfRule type="containsText" dxfId="644" priority="253" operator="containsText" text="AVG">
      <formula>NOT(ISERROR(SEARCH("AVG",Q25)))</formula>
    </cfRule>
  </conditionalFormatting>
  <conditionalFormatting sqref="Q25">
    <cfRule type="containsText" dxfId="643" priority="252" operator="containsText" text="VSTRONG">
      <formula>NOT(ISERROR(SEARCH("VSTRONG",Q25)))</formula>
    </cfRule>
  </conditionalFormatting>
  <conditionalFormatting sqref="O26">
    <cfRule type="containsText" dxfId="642" priority="251" operator="containsText" text="AVG">
      <formula>NOT(ISERROR(SEARCH("AVG",O26)))</formula>
    </cfRule>
  </conditionalFormatting>
  <conditionalFormatting sqref="O26">
    <cfRule type="cellIs" dxfId="641" priority="250" operator="equal">
      <formula>"STRONG"</formula>
    </cfRule>
  </conditionalFormatting>
  <conditionalFormatting sqref="O26">
    <cfRule type="containsText" dxfId="640" priority="249" operator="containsText" text="VSTRONG">
      <formula>NOT(ISERROR(SEARCH("VSTRONG",O26)))</formula>
    </cfRule>
  </conditionalFormatting>
  <conditionalFormatting sqref="S26">
    <cfRule type="containsText" dxfId="639" priority="248" operator="containsText" text="O">
      <formula>NOT(ISERROR(SEARCH("O",S26)))</formula>
    </cfRule>
  </conditionalFormatting>
  <conditionalFormatting sqref="S26">
    <cfRule type="containsText" dxfId="638" priority="246" operator="containsText" text="H">
      <formula>NOT(ISERROR(SEARCH("H",S26)))</formula>
    </cfRule>
    <cfRule type="containsText" dxfId="637" priority="247" operator="containsText" text="H">
      <formula>NOT(ISERROR(SEARCH("H",S26)))</formula>
    </cfRule>
  </conditionalFormatting>
  <conditionalFormatting sqref="P26">
    <cfRule type="containsText" dxfId="636" priority="245" operator="containsText" text="STRONG">
      <formula>NOT(ISERROR(SEARCH("STRONG",P26)))</formula>
    </cfRule>
  </conditionalFormatting>
  <conditionalFormatting sqref="P26:Q26">
    <cfRule type="containsText" dxfId="635" priority="244" operator="containsText" text="AVG">
      <formula>NOT(ISERROR(SEARCH("AVG",P26)))</formula>
    </cfRule>
  </conditionalFormatting>
  <conditionalFormatting sqref="P26">
    <cfRule type="containsText" dxfId="634" priority="243" operator="containsText" text="VSTRONG">
      <formula>NOT(ISERROR(SEARCH("VSTRONG",P26)))</formula>
    </cfRule>
  </conditionalFormatting>
  <conditionalFormatting sqref="R26">
    <cfRule type="containsText" dxfId="633" priority="242" operator="containsText" text="FEMALE DOM">
      <formula>NOT(ISERROR(SEARCH("FEMALE DOM",R26)))</formula>
    </cfRule>
  </conditionalFormatting>
  <conditionalFormatting sqref="O26">
    <cfRule type="containsText" dxfId="632" priority="241" operator="containsText" text="AVG">
      <formula>NOT(ISERROR(SEARCH("AVG",O26)))</formula>
    </cfRule>
  </conditionalFormatting>
  <conditionalFormatting sqref="S26">
    <cfRule type="containsText" dxfId="631" priority="240" operator="containsText" text="H">
      <formula>NOT(ISERROR(SEARCH("H",S26)))</formula>
    </cfRule>
  </conditionalFormatting>
  <conditionalFormatting sqref="Q26">
    <cfRule type="cellIs" dxfId="630" priority="239" operator="equal">
      <formula>"VWEAK"</formula>
    </cfRule>
  </conditionalFormatting>
  <conditionalFormatting sqref="Q26">
    <cfRule type="containsText" dxfId="629" priority="238" operator="containsText" text="VSTRONG">
      <formula>NOT(ISERROR(SEARCH("VSTRONG",Q26)))</formula>
    </cfRule>
  </conditionalFormatting>
  <conditionalFormatting sqref="R26">
    <cfRule type="containsText" dxfId="628" priority="237" operator="containsText" text="MEN">
      <formula>NOT(ISERROR(SEARCH("MEN",R26)))</formula>
    </cfRule>
  </conditionalFormatting>
  <conditionalFormatting sqref="O27">
    <cfRule type="containsText" dxfId="627" priority="236" operator="containsText" text="AVG">
      <formula>NOT(ISERROR(SEARCH("AVG",O27)))</formula>
    </cfRule>
  </conditionalFormatting>
  <conditionalFormatting sqref="O27">
    <cfRule type="cellIs" dxfId="626" priority="235" operator="equal">
      <formula>"STRONG"</formula>
    </cfRule>
  </conditionalFormatting>
  <conditionalFormatting sqref="O27">
    <cfRule type="containsText" dxfId="625" priority="234" operator="containsText" text="VSTRONG">
      <formula>NOT(ISERROR(SEARCH("VSTRONG",O27)))</formula>
    </cfRule>
  </conditionalFormatting>
  <conditionalFormatting sqref="S27">
    <cfRule type="containsText" dxfId="624" priority="233" operator="containsText" text="O">
      <formula>NOT(ISERROR(SEARCH("O",S27)))</formula>
    </cfRule>
  </conditionalFormatting>
  <conditionalFormatting sqref="S27">
    <cfRule type="containsText" dxfId="623" priority="231" operator="containsText" text="H">
      <formula>NOT(ISERROR(SEARCH("H",S27)))</formula>
    </cfRule>
    <cfRule type="containsText" dxfId="622" priority="232" operator="containsText" text="H">
      <formula>NOT(ISERROR(SEARCH("H",S27)))</formula>
    </cfRule>
  </conditionalFormatting>
  <conditionalFormatting sqref="P27">
    <cfRule type="containsText" dxfId="621" priority="230" operator="containsText" text="STRONG">
      <formula>NOT(ISERROR(SEARCH("STRONG",P27)))</formula>
    </cfRule>
  </conditionalFormatting>
  <conditionalFormatting sqref="P27">
    <cfRule type="containsText" dxfId="620" priority="229" operator="containsText" text="AVG">
      <formula>NOT(ISERROR(SEARCH("AVG",P27)))</formula>
    </cfRule>
  </conditionalFormatting>
  <conditionalFormatting sqref="P27">
    <cfRule type="containsText" dxfId="619" priority="228" operator="containsText" text="VSTRONG">
      <formula>NOT(ISERROR(SEARCH("VSTRONG",P27)))</formula>
    </cfRule>
  </conditionalFormatting>
  <conditionalFormatting sqref="R27">
    <cfRule type="containsText" dxfId="618" priority="227" operator="containsText" text="FEMALE DOM">
      <formula>NOT(ISERROR(SEARCH("FEMALE DOM",R27)))</formula>
    </cfRule>
  </conditionalFormatting>
  <conditionalFormatting sqref="O27">
    <cfRule type="containsText" dxfId="617" priority="226" operator="containsText" text="AVG">
      <formula>NOT(ISERROR(SEARCH("AVG",O27)))</formula>
    </cfRule>
  </conditionalFormatting>
  <conditionalFormatting sqref="S27">
    <cfRule type="containsText" dxfId="616" priority="225" operator="containsText" text="H">
      <formula>NOT(ISERROR(SEARCH("H",S27)))</formula>
    </cfRule>
  </conditionalFormatting>
  <conditionalFormatting sqref="Q27">
    <cfRule type="cellIs" dxfId="615" priority="224" operator="equal">
      <formula>"VWEAK"</formula>
    </cfRule>
  </conditionalFormatting>
  <conditionalFormatting sqref="Q27">
    <cfRule type="containsText" dxfId="614" priority="223" operator="containsText" text="AVG">
      <formula>NOT(ISERROR(SEARCH("AVG",Q27)))</formula>
    </cfRule>
  </conditionalFormatting>
  <conditionalFormatting sqref="Q27">
    <cfRule type="containsText" dxfId="613" priority="222" operator="containsText" text="VSTRONG">
      <formula>NOT(ISERROR(SEARCH("VSTRONG",Q27)))</formula>
    </cfRule>
  </conditionalFormatting>
  <conditionalFormatting sqref="R27">
    <cfRule type="containsText" dxfId="612" priority="221" operator="containsText" text="MEN">
      <formula>NOT(ISERROR(SEARCH("MEN",R27)))</formula>
    </cfRule>
  </conditionalFormatting>
  <conditionalFormatting sqref="R28">
    <cfRule type="containsText" dxfId="611" priority="220" operator="containsText" text="MEN">
      <formula>NOT(ISERROR(SEARCH("MEN",R28)))</formula>
    </cfRule>
  </conditionalFormatting>
  <conditionalFormatting sqref="O28">
    <cfRule type="containsText" dxfId="610" priority="219" operator="containsText" text="AVG">
      <formula>NOT(ISERROR(SEARCH("AVG",O28)))</formula>
    </cfRule>
  </conditionalFormatting>
  <conditionalFormatting sqref="O28">
    <cfRule type="cellIs" dxfId="609" priority="218" operator="equal">
      <formula>"STRONG"</formula>
    </cfRule>
  </conditionalFormatting>
  <conditionalFormatting sqref="O28">
    <cfRule type="containsText" dxfId="608" priority="217" operator="containsText" text="VSTRONG">
      <formula>NOT(ISERROR(SEARCH("VSTRONG",O28)))</formula>
    </cfRule>
  </conditionalFormatting>
  <conditionalFormatting sqref="S28">
    <cfRule type="containsText" dxfId="607" priority="216" operator="containsText" text="O">
      <formula>NOT(ISERROR(SEARCH("O",S28)))</formula>
    </cfRule>
  </conditionalFormatting>
  <conditionalFormatting sqref="S28">
    <cfRule type="containsText" dxfId="606" priority="214" operator="containsText" text="H">
      <formula>NOT(ISERROR(SEARCH("H",S28)))</formula>
    </cfRule>
    <cfRule type="containsText" dxfId="605" priority="215" operator="containsText" text="H">
      <formula>NOT(ISERROR(SEARCH("H",S28)))</formula>
    </cfRule>
  </conditionalFormatting>
  <conditionalFormatting sqref="P28">
    <cfRule type="containsText" dxfId="604" priority="213" operator="containsText" text="STRONG">
      <formula>NOT(ISERROR(SEARCH("STRONG",P28)))</formula>
    </cfRule>
  </conditionalFormatting>
  <conditionalFormatting sqref="P28">
    <cfRule type="containsText" dxfId="603" priority="212" operator="containsText" text="AVG">
      <formula>NOT(ISERROR(SEARCH("AVG",P28)))</formula>
    </cfRule>
  </conditionalFormatting>
  <conditionalFormatting sqref="P28">
    <cfRule type="containsText" dxfId="602" priority="211" operator="containsText" text="VSTRONG">
      <formula>NOT(ISERROR(SEARCH("VSTRONG",P28)))</formula>
    </cfRule>
  </conditionalFormatting>
  <conditionalFormatting sqref="R28">
    <cfRule type="containsText" dxfId="601" priority="210" operator="containsText" text="FEMALE DOM">
      <formula>NOT(ISERROR(SEARCH("FEMALE DOM",R28)))</formula>
    </cfRule>
  </conditionalFormatting>
  <conditionalFormatting sqref="O28">
    <cfRule type="containsText" dxfId="600" priority="209" operator="containsText" text="AVG">
      <formula>NOT(ISERROR(SEARCH("AVG",O28)))</formula>
    </cfRule>
  </conditionalFormatting>
  <conditionalFormatting sqref="S28">
    <cfRule type="containsText" dxfId="599" priority="208" operator="containsText" text="H">
      <formula>NOT(ISERROR(SEARCH("H",S28)))</formula>
    </cfRule>
  </conditionalFormatting>
  <conditionalFormatting sqref="Q28">
    <cfRule type="cellIs" dxfId="598" priority="207" operator="equal">
      <formula>"VWEAK"</formula>
    </cfRule>
  </conditionalFormatting>
  <conditionalFormatting sqref="Q28">
    <cfRule type="containsText" dxfId="597" priority="206" operator="containsText" text="AVG">
      <formula>NOT(ISERROR(SEARCH("AVG",Q28)))</formula>
    </cfRule>
  </conditionalFormatting>
  <conditionalFormatting sqref="Q28">
    <cfRule type="containsText" dxfId="596" priority="205" operator="containsText" text="VSTRONG">
      <formula>NOT(ISERROR(SEARCH("VSTRONG",Q28)))</formula>
    </cfRule>
  </conditionalFormatting>
  <conditionalFormatting sqref="O29">
    <cfRule type="containsText" dxfId="595" priority="204" operator="containsText" text="AVG">
      <formula>NOT(ISERROR(SEARCH("AVG",O29)))</formula>
    </cfRule>
  </conditionalFormatting>
  <conditionalFormatting sqref="O29">
    <cfRule type="cellIs" dxfId="594" priority="203" operator="equal">
      <formula>"STRONG"</formula>
    </cfRule>
  </conditionalFormatting>
  <conditionalFormatting sqref="O29">
    <cfRule type="containsText" dxfId="593" priority="202" operator="containsText" text="VSTRONG">
      <formula>NOT(ISERROR(SEARCH("VSTRONG",O29)))</formula>
    </cfRule>
  </conditionalFormatting>
  <conditionalFormatting sqref="S29">
    <cfRule type="containsText" dxfId="592" priority="201" operator="containsText" text="O">
      <formula>NOT(ISERROR(SEARCH("O",S29)))</formula>
    </cfRule>
  </conditionalFormatting>
  <conditionalFormatting sqref="S29">
    <cfRule type="containsText" dxfId="591" priority="199" operator="containsText" text="H">
      <formula>NOT(ISERROR(SEARCH("H",S29)))</formula>
    </cfRule>
    <cfRule type="containsText" dxfId="590" priority="200" operator="containsText" text="H">
      <formula>NOT(ISERROR(SEARCH("H",S29)))</formula>
    </cfRule>
  </conditionalFormatting>
  <conditionalFormatting sqref="P29">
    <cfRule type="containsText" dxfId="589" priority="198" operator="containsText" text="STRONG">
      <formula>NOT(ISERROR(SEARCH("STRONG",P29)))</formula>
    </cfRule>
  </conditionalFormatting>
  <conditionalFormatting sqref="P29:Q29">
    <cfRule type="containsText" dxfId="588" priority="197" operator="containsText" text="AVG">
      <formula>NOT(ISERROR(SEARCH("AVG",P29)))</formula>
    </cfRule>
  </conditionalFormatting>
  <conditionalFormatting sqref="P29">
    <cfRule type="containsText" dxfId="587" priority="196" operator="containsText" text="VSTRONG">
      <formula>NOT(ISERROR(SEARCH("VSTRONG",P29)))</formula>
    </cfRule>
  </conditionalFormatting>
  <conditionalFormatting sqref="R29">
    <cfRule type="containsText" dxfId="586" priority="195" operator="containsText" text="FEMALE DOM">
      <formula>NOT(ISERROR(SEARCH("FEMALE DOM",R29)))</formula>
    </cfRule>
  </conditionalFormatting>
  <conditionalFormatting sqref="O29">
    <cfRule type="containsText" dxfId="585" priority="194" operator="containsText" text="AVG">
      <formula>NOT(ISERROR(SEARCH("AVG",O29)))</formula>
    </cfRule>
  </conditionalFormatting>
  <conditionalFormatting sqref="S29">
    <cfRule type="containsText" dxfId="584" priority="193" operator="containsText" text="H">
      <formula>NOT(ISERROR(SEARCH("H",S29)))</formula>
    </cfRule>
  </conditionalFormatting>
  <conditionalFormatting sqref="Q29">
    <cfRule type="cellIs" dxfId="583" priority="192" operator="equal">
      <formula>"VWEAK"</formula>
    </cfRule>
  </conditionalFormatting>
  <conditionalFormatting sqref="Q29">
    <cfRule type="containsText" dxfId="582" priority="191" operator="containsText" text="VSTRONG">
      <formula>NOT(ISERROR(SEARCH("VSTRONG",Q29)))</formula>
    </cfRule>
  </conditionalFormatting>
  <conditionalFormatting sqref="R29">
    <cfRule type="containsText" dxfId="581" priority="190" operator="containsText" text="MEN">
      <formula>NOT(ISERROR(SEARCH("MEN",R29)))</formula>
    </cfRule>
  </conditionalFormatting>
  <conditionalFormatting sqref="O30">
    <cfRule type="containsText" dxfId="580" priority="189" operator="containsText" text="AVG">
      <formula>NOT(ISERROR(SEARCH("AVG",O30)))</formula>
    </cfRule>
  </conditionalFormatting>
  <conditionalFormatting sqref="O30">
    <cfRule type="cellIs" dxfId="579" priority="188" operator="equal">
      <formula>"STRONG"</formula>
    </cfRule>
  </conditionalFormatting>
  <conditionalFormatting sqref="O30">
    <cfRule type="containsText" dxfId="578" priority="187" operator="containsText" text="VSTRONG">
      <formula>NOT(ISERROR(SEARCH("VSTRONG",O30)))</formula>
    </cfRule>
  </conditionalFormatting>
  <conditionalFormatting sqref="P30">
    <cfRule type="containsText" dxfId="577" priority="186" operator="containsText" text="STRONG">
      <formula>NOT(ISERROR(SEARCH("STRONG",P30)))</formula>
    </cfRule>
  </conditionalFormatting>
  <conditionalFormatting sqref="P30">
    <cfRule type="containsText" dxfId="576" priority="185" operator="containsText" text="AVG">
      <formula>NOT(ISERROR(SEARCH("AVG",P30)))</formula>
    </cfRule>
  </conditionalFormatting>
  <conditionalFormatting sqref="P30">
    <cfRule type="containsText" dxfId="575" priority="184" operator="containsText" text="VSTRONG">
      <formula>NOT(ISERROR(SEARCH("VSTRONG",P30)))</formula>
    </cfRule>
  </conditionalFormatting>
  <conditionalFormatting sqref="R30">
    <cfRule type="containsText" dxfId="574" priority="183" operator="containsText" text="FEMALE DOM">
      <formula>NOT(ISERROR(SEARCH("FEMALE DOM",R30)))</formula>
    </cfRule>
  </conditionalFormatting>
  <conditionalFormatting sqref="O30">
    <cfRule type="containsText" dxfId="573" priority="182" operator="containsText" text="AVG">
      <formula>NOT(ISERROR(SEARCH("AVG",O30)))</formula>
    </cfRule>
  </conditionalFormatting>
  <conditionalFormatting sqref="Q30">
    <cfRule type="cellIs" dxfId="572" priority="181" operator="equal">
      <formula>"VWEAK"</formula>
    </cfRule>
  </conditionalFormatting>
  <conditionalFormatting sqref="Q30">
    <cfRule type="containsText" dxfId="571" priority="180" operator="containsText" text="AVG">
      <formula>NOT(ISERROR(SEARCH("AVG",Q30)))</formula>
    </cfRule>
  </conditionalFormatting>
  <conditionalFormatting sqref="Q30">
    <cfRule type="containsText" dxfId="570" priority="179" operator="containsText" text="VSTRONG">
      <formula>NOT(ISERROR(SEARCH("VSTRONG",Q30)))</formula>
    </cfRule>
  </conditionalFormatting>
  <conditionalFormatting sqref="R30">
    <cfRule type="containsText" dxfId="569" priority="178" operator="containsText" text="MEN">
      <formula>NOT(ISERROR(SEARCH("MEN",R30)))</formula>
    </cfRule>
  </conditionalFormatting>
  <conditionalFormatting sqref="S30">
    <cfRule type="containsText" dxfId="568" priority="177" operator="containsText" text="O">
      <formula>NOT(ISERROR(SEARCH("O",S30)))</formula>
    </cfRule>
  </conditionalFormatting>
  <conditionalFormatting sqref="S30">
    <cfRule type="containsText" dxfId="567" priority="175" operator="containsText" text="H">
      <formula>NOT(ISERROR(SEARCH("H",S30)))</formula>
    </cfRule>
    <cfRule type="containsText" dxfId="566" priority="176" operator="containsText" text="H">
      <formula>NOT(ISERROR(SEARCH("H",S30)))</formula>
    </cfRule>
  </conditionalFormatting>
  <conditionalFormatting sqref="S30">
    <cfRule type="containsText" dxfId="565" priority="174" operator="containsText" text="H">
      <formula>NOT(ISERROR(SEARCH("H",S30)))</formula>
    </cfRule>
  </conditionalFormatting>
  <conditionalFormatting sqref="O31">
    <cfRule type="containsText" dxfId="564" priority="173" operator="containsText" text="AVG">
      <formula>NOT(ISERROR(SEARCH("AVG",O31)))</formula>
    </cfRule>
  </conditionalFormatting>
  <conditionalFormatting sqref="O31">
    <cfRule type="cellIs" dxfId="563" priority="172" operator="equal">
      <formula>"STRONG"</formula>
    </cfRule>
  </conditionalFormatting>
  <conditionalFormatting sqref="O31">
    <cfRule type="containsText" dxfId="562" priority="171" operator="containsText" text="VSTRONG">
      <formula>NOT(ISERROR(SEARCH("VSTRONG",O31)))</formula>
    </cfRule>
  </conditionalFormatting>
  <conditionalFormatting sqref="S31">
    <cfRule type="containsText" dxfId="561" priority="170" operator="containsText" text="O">
      <formula>NOT(ISERROR(SEARCH("O",S31)))</formula>
    </cfRule>
  </conditionalFormatting>
  <conditionalFormatting sqref="S31">
    <cfRule type="containsText" dxfId="560" priority="168" operator="containsText" text="H">
      <formula>NOT(ISERROR(SEARCH("H",S31)))</formula>
    </cfRule>
    <cfRule type="containsText" dxfId="559" priority="169" operator="containsText" text="H">
      <formula>NOT(ISERROR(SEARCH("H",S31)))</formula>
    </cfRule>
  </conditionalFormatting>
  <conditionalFormatting sqref="P31">
    <cfRule type="containsText" dxfId="558" priority="167" operator="containsText" text="STRONG">
      <formula>NOT(ISERROR(SEARCH("STRONG",P31)))</formula>
    </cfRule>
  </conditionalFormatting>
  <conditionalFormatting sqref="P31">
    <cfRule type="containsText" dxfId="557" priority="166" operator="containsText" text="AVG">
      <formula>NOT(ISERROR(SEARCH("AVG",P31)))</formula>
    </cfRule>
  </conditionalFormatting>
  <conditionalFormatting sqref="P31">
    <cfRule type="containsText" dxfId="556" priority="165" operator="containsText" text="VSTRONG">
      <formula>NOT(ISERROR(SEARCH("VSTRONG",P31)))</formula>
    </cfRule>
  </conditionalFormatting>
  <conditionalFormatting sqref="R31">
    <cfRule type="containsText" dxfId="555" priority="164" operator="containsText" text="FEMALE DOM">
      <formula>NOT(ISERROR(SEARCH("FEMALE DOM",R31)))</formula>
    </cfRule>
  </conditionalFormatting>
  <conditionalFormatting sqref="O31">
    <cfRule type="containsText" dxfId="554" priority="163" operator="containsText" text="AVG">
      <formula>NOT(ISERROR(SEARCH("AVG",O31)))</formula>
    </cfRule>
  </conditionalFormatting>
  <conditionalFormatting sqref="S31">
    <cfRule type="containsText" dxfId="553" priority="162" operator="containsText" text="H">
      <formula>NOT(ISERROR(SEARCH("H",S31)))</formula>
    </cfRule>
  </conditionalFormatting>
  <conditionalFormatting sqref="Q31">
    <cfRule type="cellIs" dxfId="552" priority="161" operator="equal">
      <formula>"VWEAK"</formula>
    </cfRule>
  </conditionalFormatting>
  <conditionalFormatting sqref="Q31">
    <cfRule type="containsText" dxfId="551" priority="160" operator="containsText" text="AVG">
      <formula>NOT(ISERROR(SEARCH("AVG",Q31)))</formula>
    </cfRule>
  </conditionalFormatting>
  <conditionalFormatting sqref="Q31">
    <cfRule type="containsText" dxfId="550" priority="159" operator="containsText" text="VSTRONG">
      <formula>NOT(ISERROR(SEARCH("VSTRONG",Q31)))</formula>
    </cfRule>
  </conditionalFormatting>
  <conditionalFormatting sqref="R31">
    <cfRule type="containsText" dxfId="549" priority="158" operator="containsText" text="MEN">
      <formula>NOT(ISERROR(SEARCH("MEN",R31)))</formula>
    </cfRule>
  </conditionalFormatting>
  <conditionalFormatting sqref="O32">
    <cfRule type="containsText" dxfId="548" priority="157" operator="containsText" text="AVG">
      <formula>NOT(ISERROR(SEARCH("AVG",O32)))</formula>
    </cfRule>
  </conditionalFormatting>
  <conditionalFormatting sqref="O32">
    <cfRule type="cellIs" dxfId="547" priority="156" operator="equal">
      <formula>"STRONG"</formula>
    </cfRule>
  </conditionalFormatting>
  <conditionalFormatting sqref="O32">
    <cfRule type="containsText" dxfId="546" priority="155" operator="containsText" text="VSTRONG">
      <formula>NOT(ISERROR(SEARCH("VSTRONG",O32)))</formula>
    </cfRule>
  </conditionalFormatting>
  <conditionalFormatting sqref="P32">
    <cfRule type="containsText" dxfId="545" priority="154" operator="containsText" text="STRONG">
      <formula>NOT(ISERROR(SEARCH("STRONG",P32)))</formula>
    </cfRule>
  </conditionalFormatting>
  <conditionalFormatting sqref="P32:Q32">
    <cfRule type="containsText" dxfId="544" priority="153" operator="containsText" text="AVG">
      <formula>NOT(ISERROR(SEARCH("AVG",P32)))</formula>
    </cfRule>
  </conditionalFormatting>
  <conditionalFormatting sqref="P32">
    <cfRule type="containsText" dxfId="543" priority="152" operator="containsText" text="VSTRONG">
      <formula>NOT(ISERROR(SEARCH("VSTRONG",P32)))</formula>
    </cfRule>
  </conditionalFormatting>
  <conditionalFormatting sqref="O32">
    <cfRule type="containsText" dxfId="542" priority="151" operator="containsText" text="AVG">
      <formula>NOT(ISERROR(SEARCH("AVG",O32)))</formula>
    </cfRule>
  </conditionalFormatting>
  <conditionalFormatting sqref="Q32">
    <cfRule type="cellIs" dxfId="541" priority="150" operator="equal">
      <formula>"VWEAK"</formula>
    </cfRule>
  </conditionalFormatting>
  <conditionalFormatting sqref="Q32">
    <cfRule type="containsText" dxfId="540" priority="149" operator="containsText" text="VSTRONG">
      <formula>NOT(ISERROR(SEARCH("VSTRONG",Q32)))</formula>
    </cfRule>
  </conditionalFormatting>
  <conditionalFormatting sqref="R32">
    <cfRule type="containsText" dxfId="539" priority="148" operator="containsText" text="FEMALE DOM">
      <formula>NOT(ISERROR(SEARCH("FEMALE DOM",R32)))</formula>
    </cfRule>
  </conditionalFormatting>
  <conditionalFormatting sqref="R32">
    <cfRule type="containsText" dxfId="538" priority="147" operator="containsText" text="MEN">
      <formula>NOT(ISERROR(SEARCH("MEN",R32)))</formula>
    </cfRule>
  </conditionalFormatting>
  <conditionalFormatting sqref="S32">
    <cfRule type="containsText" dxfId="537" priority="146" operator="containsText" text="O">
      <formula>NOT(ISERROR(SEARCH("O",S32)))</formula>
    </cfRule>
  </conditionalFormatting>
  <conditionalFormatting sqref="S32">
    <cfRule type="containsText" dxfId="536" priority="144" operator="containsText" text="H">
      <formula>NOT(ISERROR(SEARCH("H",S32)))</formula>
    </cfRule>
    <cfRule type="containsText" dxfId="535" priority="145" operator="containsText" text="H">
      <formula>NOT(ISERROR(SEARCH("H",S32)))</formula>
    </cfRule>
  </conditionalFormatting>
  <conditionalFormatting sqref="S32">
    <cfRule type="containsText" dxfId="534" priority="143" operator="containsText" text="H">
      <formula>NOT(ISERROR(SEARCH("H",S32)))</formula>
    </cfRule>
  </conditionalFormatting>
  <conditionalFormatting sqref="O33">
    <cfRule type="containsText" dxfId="533" priority="142" operator="containsText" text="AVG">
      <formula>NOT(ISERROR(SEARCH("AVG",O33)))</formula>
    </cfRule>
  </conditionalFormatting>
  <conditionalFormatting sqref="O33">
    <cfRule type="cellIs" dxfId="532" priority="141" operator="equal">
      <formula>"STRONG"</formula>
    </cfRule>
  </conditionalFormatting>
  <conditionalFormatting sqref="O33">
    <cfRule type="containsText" dxfId="531" priority="140" operator="containsText" text="VSTRONG">
      <formula>NOT(ISERROR(SEARCH("VSTRONG",O33)))</formula>
    </cfRule>
  </conditionalFormatting>
  <conditionalFormatting sqref="P33">
    <cfRule type="containsText" dxfId="530" priority="139" operator="containsText" text="STRONG">
      <formula>NOT(ISERROR(SEARCH("STRONG",P33)))</formula>
    </cfRule>
  </conditionalFormatting>
  <conditionalFormatting sqref="P33">
    <cfRule type="containsText" dxfId="529" priority="138" operator="containsText" text="AVG">
      <formula>NOT(ISERROR(SEARCH("AVG",P33)))</formula>
    </cfRule>
  </conditionalFormatting>
  <conditionalFormatting sqref="P33">
    <cfRule type="containsText" dxfId="528" priority="137" operator="containsText" text="VSTRONG">
      <formula>NOT(ISERROR(SEARCH("VSTRONG",P33)))</formula>
    </cfRule>
  </conditionalFormatting>
  <conditionalFormatting sqref="R33">
    <cfRule type="containsText" dxfId="527" priority="136" operator="containsText" text="FEMALE DOM">
      <formula>NOT(ISERROR(SEARCH("FEMALE DOM",R33)))</formula>
    </cfRule>
  </conditionalFormatting>
  <conditionalFormatting sqref="O33">
    <cfRule type="containsText" dxfId="526" priority="135" operator="containsText" text="AVG">
      <formula>NOT(ISERROR(SEARCH("AVG",O33)))</formula>
    </cfRule>
  </conditionalFormatting>
  <conditionalFormatting sqref="Q33">
    <cfRule type="cellIs" dxfId="525" priority="134" operator="equal">
      <formula>"VWEAK"</formula>
    </cfRule>
  </conditionalFormatting>
  <conditionalFormatting sqref="Q33">
    <cfRule type="containsText" dxfId="524" priority="133" operator="containsText" text="AVG">
      <formula>NOT(ISERROR(SEARCH("AVG",Q33)))</formula>
    </cfRule>
  </conditionalFormatting>
  <conditionalFormatting sqref="Q33">
    <cfRule type="containsText" dxfId="523" priority="132" operator="containsText" text="VSTRONG">
      <formula>NOT(ISERROR(SEARCH("VSTRONG",Q33)))</formula>
    </cfRule>
  </conditionalFormatting>
  <conditionalFormatting sqref="R33">
    <cfRule type="containsText" dxfId="522" priority="131" operator="containsText" text="MEN">
      <formula>NOT(ISERROR(SEARCH("MEN",R33)))</formula>
    </cfRule>
  </conditionalFormatting>
  <conditionalFormatting sqref="S33">
    <cfRule type="containsText" dxfId="521" priority="130" operator="containsText" text="O">
      <formula>NOT(ISERROR(SEARCH("O",S33)))</formula>
    </cfRule>
  </conditionalFormatting>
  <conditionalFormatting sqref="S33">
    <cfRule type="containsText" dxfId="520" priority="128" operator="containsText" text="H">
      <formula>NOT(ISERROR(SEARCH("H",S33)))</formula>
    </cfRule>
    <cfRule type="containsText" dxfId="519" priority="129" operator="containsText" text="H">
      <formula>NOT(ISERROR(SEARCH("H",S33)))</formula>
    </cfRule>
  </conditionalFormatting>
  <conditionalFormatting sqref="S33">
    <cfRule type="containsText" dxfId="518" priority="127" operator="containsText" text="H">
      <formula>NOT(ISERROR(SEARCH("H",S33)))</formula>
    </cfRule>
  </conditionalFormatting>
  <conditionalFormatting sqref="O34">
    <cfRule type="containsText" dxfId="517" priority="126" operator="containsText" text="AVG">
      <formula>NOT(ISERROR(SEARCH("AVG",O34)))</formula>
    </cfRule>
  </conditionalFormatting>
  <conditionalFormatting sqref="O34">
    <cfRule type="cellIs" dxfId="516" priority="125" operator="equal">
      <formula>"STRONG"</formula>
    </cfRule>
  </conditionalFormatting>
  <conditionalFormatting sqref="O34">
    <cfRule type="containsText" dxfId="515" priority="124" operator="containsText" text="VSTRONG">
      <formula>NOT(ISERROR(SEARCH("VSTRONG",O34)))</formula>
    </cfRule>
  </conditionalFormatting>
  <conditionalFormatting sqref="P34">
    <cfRule type="containsText" dxfId="514" priority="123" operator="containsText" text="STRONG">
      <formula>NOT(ISERROR(SEARCH("STRONG",P34)))</formula>
    </cfRule>
  </conditionalFormatting>
  <conditionalFormatting sqref="P34">
    <cfRule type="containsText" dxfId="513" priority="122" operator="containsText" text="AVG">
      <formula>NOT(ISERROR(SEARCH("AVG",P34)))</formula>
    </cfRule>
  </conditionalFormatting>
  <conditionalFormatting sqref="P34">
    <cfRule type="containsText" dxfId="512" priority="121" operator="containsText" text="VSTRONG">
      <formula>NOT(ISERROR(SEARCH("VSTRONG",P34)))</formula>
    </cfRule>
  </conditionalFormatting>
  <conditionalFormatting sqref="O34">
    <cfRule type="containsText" dxfId="511" priority="120" operator="containsText" text="AVG">
      <formula>NOT(ISERROR(SEARCH("AVG",O34)))</formula>
    </cfRule>
  </conditionalFormatting>
  <conditionalFormatting sqref="S34">
    <cfRule type="containsText" dxfId="510" priority="119" operator="containsText" text="O">
      <formula>NOT(ISERROR(SEARCH("O",S34)))</formula>
    </cfRule>
  </conditionalFormatting>
  <conditionalFormatting sqref="S34">
    <cfRule type="containsText" dxfId="509" priority="117" operator="containsText" text="H">
      <formula>NOT(ISERROR(SEARCH("H",S34)))</formula>
    </cfRule>
    <cfRule type="containsText" dxfId="508" priority="118" operator="containsText" text="H">
      <formula>NOT(ISERROR(SEARCH("H",S34)))</formula>
    </cfRule>
  </conditionalFormatting>
  <conditionalFormatting sqref="R34">
    <cfRule type="containsText" dxfId="507" priority="116" operator="containsText" text="FEMALE DOM">
      <formula>NOT(ISERROR(SEARCH("FEMALE DOM",R34)))</formula>
    </cfRule>
  </conditionalFormatting>
  <conditionalFormatting sqref="S34">
    <cfRule type="containsText" dxfId="506" priority="115" operator="containsText" text="H">
      <formula>NOT(ISERROR(SEARCH("H",S34)))</formula>
    </cfRule>
  </conditionalFormatting>
  <conditionalFormatting sqref="Q34">
    <cfRule type="cellIs" dxfId="505" priority="114" operator="equal">
      <formula>"VWEAK"</formula>
    </cfRule>
  </conditionalFormatting>
  <conditionalFormatting sqref="Q34">
    <cfRule type="containsText" dxfId="504" priority="113" operator="containsText" text="AVG">
      <formula>NOT(ISERROR(SEARCH("AVG",Q34)))</formula>
    </cfRule>
  </conditionalFormatting>
  <conditionalFormatting sqref="Q34">
    <cfRule type="containsText" dxfId="503" priority="112" operator="containsText" text="VSTRONG">
      <formula>NOT(ISERROR(SEARCH("VSTRONG",Q34)))</formula>
    </cfRule>
  </conditionalFormatting>
  <conditionalFormatting sqref="R34">
    <cfRule type="containsText" dxfId="502" priority="111" operator="containsText" text="MEN">
      <formula>NOT(ISERROR(SEARCH("MEN",R34)))</formula>
    </cfRule>
  </conditionalFormatting>
  <conditionalFormatting sqref="O35">
    <cfRule type="containsText" dxfId="501" priority="110" operator="containsText" text="AVG">
      <formula>NOT(ISERROR(SEARCH("AVG",O35)))</formula>
    </cfRule>
  </conditionalFormatting>
  <conditionalFormatting sqref="O35">
    <cfRule type="cellIs" dxfId="500" priority="109" operator="equal">
      <formula>"STRONG"</formula>
    </cfRule>
  </conditionalFormatting>
  <conditionalFormatting sqref="O35">
    <cfRule type="containsText" dxfId="499" priority="108" operator="containsText" text="VSTRONG">
      <formula>NOT(ISERROR(SEARCH("VSTRONG",O35)))</formula>
    </cfRule>
  </conditionalFormatting>
  <conditionalFormatting sqref="P35">
    <cfRule type="containsText" dxfId="498" priority="107" operator="containsText" text="STRONG">
      <formula>NOT(ISERROR(SEARCH("STRONG",P35)))</formula>
    </cfRule>
  </conditionalFormatting>
  <conditionalFormatting sqref="P35:Q35">
    <cfRule type="containsText" dxfId="497" priority="106" operator="containsText" text="AVG">
      <formula>NOT(ISERROR(SEARCH("AVG",P35)))</formula>
    </cfRule>
  </conditionalFormatting>
  <conditionalFormatting sqref="P35">
    <cfRule type="containsText" dxfId="496" priority="105" operator="containsText" text="VSTRONG">
      <formula>NOT(ISERROR(SEARCH("VSTRONG",P35)))</formula>
    </cfRule>
  </conditionalFormatting>
  <conditionalFormatting sqref="R35">
    <cfRule type="containsText" dxfId="495" priority="104" operator="containsText" text="FEMALE DOM">
      <formula>NOT(ISERROR(SEARCH("FEMALE DOM",R35)))</formula>
    </cfRule>
  </conditionalFormatting>
  <conditionalFormatting sqref="O35">
    <cfRule type="containsText" dxfId="494" priority="103" operator="containsText" text="AVG">
      <formula>NOT(ISERROR(SEARCH("AVG",O35)))</formula>
    </cfRule>
  </conditionalFormatting>
  <conditionalFormatting sqref="Q35">
    <cfRule type="cellIs" dxfId="493" priority="102" operator="equal">
      <formula>"VWEAK"</formula>
    </cfRule>
  </conditionalFormatting>
  <conditionalFormatting sqref="Q35">
    <cfRule type="containsText" dxfId="492" priority="101" operator="containsText" text="VSTRONG">
      <formula>NOT(ISERROR(SEARCH("VSTRONG",Q35)))</formula>
    </cfRule>
  </conditionalFormatting>
  <conditionalFormatting sqref="R35">
    <cfRule type="containsText" dxfId="491" priority="100" operator="containsText" text="MEN">
      <formula>NOT(ISERROR(SEARCH("MEN",R35)))</formula>
    </cfRule>
  </conditionalFormatting>
  <conditionalFormatting sqref="S35">
    <cfRule type="containsText" dxfId="490" priority="99" operator="containsText" text="O">
      <formula>NOT(ISERROR(SEARCH("O",S35)))</formula>
    </cfRule>
  </conditionalFormatting>
  <conditionalFormatting sqref="S35">
    <cfRule type="containsText" dxfId="489" priority="97" operator="containsText" text="H">
      <formula>NOT(ISERROR(SEARCH("H",S35)))</formula>
    </cfRule>
    <cfRule type="containsText" dxfId="488" priority="98" operator="containsText" text="H">
      <formula>NOT(ISERROR(SEARCH("H",S35)))</formula>
    </cfRule>
  </conditionalFormatting>
  <conditionalFormatting sqref="S35">
    <cfRule type="containsText" dxfId="487" priority="96" operator="containsText" text="H">
      <formula>NOT(ISERROR(SEARCH("H",S35)))</formula>
    </cfRule>
  </conditionalFormatting>
  <conditionalFormatting sqref="O36">
    <cfRule type="containsText" dxfId="486" priority="95" operator="containsText" text="AVG">
      <formula>NOT(ISERROR(SEARCH("AVG",O36)))</formula>
    </cfRule>
  </conditionalFormatting>
  <conditionalFormatting sqref="O36">
    <cfRule type="cellIs" dxfId="485" priority="94" operator="equal">
      <formula>"STRONG"</formula>
    </cfRule>
  </conditionalFormatting>
  <conditionalFormatting sqref="O36">
    <cfRule type="containsText" dxfId="484" priority="93" operator="containsText" text="VSTRONG">
      <formula>NOT(ISERROR(SEARCH("VSTRONG",O36)))</formula>
    </cfRule>
  </conditionalFormatting>
  <conditionalFormatting sqref="S36">
    <cfRule type="containsText" dxfId="483" priority="92" operator="containsText" text="O">
      <formula>NOT(ISERROR(SEARCH("O",S36)))</formula>
    </cfRule>
  </conditionalFormatting>
  <conditionalFormatting sqref="S36">
    <cfRule type="containsText" dxfId="482" priority="90" operator="containsText" text="H">
      <formula>NOT(ISERROR(SEARCH("H",S36)))</formula>
    </cfRule>
    <cfRule type="containsText" dxfId="481" priority="91" operator="containsText" text="H">
      <formula>NOT(ISERROR(SEARCH("H",S36)))</formula>
    </cfRule>
  </conditionalFormatting>
  <conditionalFormatting sqref="P36">
    <cfRule type="containsText" dxfId="480" priority="89" operator="containsText" text="STRONG">
      <formula>NOT(ISERROR(SEARCH("STRONG",P36)))</formula>
    </cfRule>
  </conditionalFormatting>
  <conditionalFormatting sqref="P36">
    <cfRule type="containsText" dxfId="479" priority="88" operator="containsText" text="AVG">
      <formula>NOT(ISERROR(SEARCH("AVG",P36)))</formula>
    </cfRule>
  </conditionalFormatting>
  <conditionalFormatting sqref="P36">
    <cfRule type="containsText" dxfId="478" priority="87" operator="containsText" text="VSTRONG">
      <formula>NOT(ISERROR(SEARCH("VSTRONG",P36)))</formula>
    </cfRule>
  </conditionalFormatting>
  <conditionalFormatting sqref="R36">
    <cfRule type="containsText" dxfId="477" priority="86" operator="containsText" text="FEMALE DOM">
      <formula>NOT(ISERROR(SEARCH("FEMALE DOM",R36)))</formula>
    </cfRule>
  </conditionalFormatting>
  <conditionalFormatting sqref="O36">
    <cfRule type="containsText" dxfId="476" priority="85" operator="containsText" text="AVG">
      <formula>NOT(ISERROR(SEARCH("AVG",O36)))</formula>
    </cfRule>
  </conditionalFormatting>
  <conditionalFormatting sqref="S36">
    <cfRule type="containsText" dxfId="475" priority="84" operator="containsText" text="H">
      <formula>NOT(ISERROR(SEARCH("H",S36)))</formula>
    </cfRule>
  </conditionalFormatting>
  <conditionalFormatting sqref="Q36">
    <cfRule type="cellIs" dxfId="474" priority="83" operator="equal">
      <formula>"VWEAK"</formula>
    </cfRule>
  </conditionalFormatting>
  <conditionalFormatting sqref="Q36">
    <cfRule type="containsText" dxfId="473" priority="82" operator="containsText" text="AVG">
      <formula>NOT(ISERROR(SEARCH("AVG",Q36)))</formula>
    </cfRule>
  </conditionalFormatting>
  <conditionalFormatting sqref="Q36">
    <cfRule type="containsText" dxfId="472" priority="81" operator="containsText" text="VSTRONG">
      <formula>NOT(ISERROR(SEARCH("VSTRONG",Q36)))</formula>
    </cfRule>
  </conditionalFormatting>
  <conditionalFormatting sqref="R36">
    <cfRule type="containsText" dxfId="471" priority="80" operator="containsText" text="MEN">
      <formula>NOT(ISERROR(SEARCH("MEN",R36)))</formula>
    </cfRule>
  </conditionalFormatting>
  <conditionalFormatting sqref="O37">
    <cfRule type="containsText" dxfId="470" priority="79" operator="containsText" text="AVG">
      <formula>NOT(ISERROR(SEARCH("AVG",O37)))</formula>
    </cfRule>
  </conditionalFormatting>
  <conditionalFormatting sqref="O37">
    <cfRule type="cellIs" dxfId="469" priority="78" operator="equal">
      <formula>"STRONG"</formula>
    </cfRule>
  </conditionalFormatting>
  <conditionalFormatting sqref="O37">
    <cfRule type="containsText" dxfId="468" priority="77" operator="containsText" text="VSTRONG">
      <formula>NOT(ISERROR(SEARCH("VSTRONG",O37)))</formula>
    </cfRule>
  </conditionalFormatting>
  <conditionalFormatting sqref="S37">
    <cfRule type="containsText" dxfId="467" priority="76" operator="containsText" text="O">
      <formula>NOT(ISERROR(SEARCH("O",S37)))</formula>
    </cfRule>
  </conditionalFormatting>
  <conditionalFormatting sqref="S37">
    <cfRule type="containsText" dxfId="466" priority="74" operator="containsText" text="H">
      <formula>NOT(ISERROR(SEARCH("H",S37)))</formula>
    </cfRule>
    <cfRule type="containsText" dxfId="465" priority="75" operator="containsText" text="H">
      <formula>NOT(ISERROR(SEARCH("H",S37)))</formula>
    </cfRule>
  </conditionalFormatting>
  <conditionalFormatting sqref="P37">
    <cfRule type="containsText" dxfId="464" priority="73" operator="containsText" text="STRONG">
      <formula>NOT(ISERROR(SEARCH("STRONG",P37)))</formula>
    </cfRule>
  </conditionalFormatting>
  <conditionalFormatting sqref="P37">
    <cfRule type="containsText" dxfId="463" priority="72" operator="containsText" text="AVG">
      <formula>NOT(ISERROR(SEARCH("AVG",P37)))</formula>
    </cfRule>
  </conditionalFormatting>
  <conditionalFormatting sqref="P37">
    <cfRule type="containsText" dxfId="462" priority="71" operator="containsText" text="VSTRONG">
      <formula>NOT(ISERROR(SEARCH("VSTRONG",P37)))</formula>
    </cfRule>
  </conditionalFormatting>
  <conditionalFormatting sqref="R37">
    <cfRule type="containsText" dxfId="461" priority="70" operator="containsText" text="FEMALE DOM">
      <formula>NOT(ISERROR(SEARCH("FEMALE DOM",R37)))</formula>
    </cfRule>
  </conditionalFormatting>
  <conditionalFormatting sqref="O37">
    <cfRule type="containsText" dxfId="460" priority="69" operator="containsText" text="AVG">
      <formula>NOT(ISERROR(SEARCH("AVG",O37)))</formula>
    </cfRule>
  </conditionalFormatting>
  <conditionalFormatting sqref="S37">
    <cfRule type="containsText" dxfId="459" priority="68" operator="containsText" text="H">
      <formula>NOT(ISERROR(SEARCH("H",S37)))</formula>
    </cfRule>
  </conditionalFormatting>
  <conditionalFormatting sqref="Q37">
    <cfRule type="cellIs" dxfId="458" priority="67" operator="equal">
      <formula>"VWEAK"</formula>
    </cfRule>
  </conditionalFormatting>
  <conditionalFormatting sqref="Q37">
    <cfRule type="containsText" dxfId="457" priority="66" operator="containsText" text="AVG">
      <formula>NOT(ISERROR(SEARCH("AVG",Q37)))</formula>
    </cfRule>
  </conditionalFormatting>
  <conditionalFormatting sqref="Q37">
    <cfRule type="containsText" dxfId="456" priority="65" operator="containsText" text="VSTRONG">
      <formula>NOT(ISERROR(SEARCH("VSTRONG",Q37)))</formula>
    </cfRule>
  </conditionalFormatting>
  <conditionalFormatting sqref="R37">
    <cfRule type="containsText" dxfId="455" priority="64" operator="containsText" text="MEN">
      <formula>NOT(ISERROR(SEARCH("MEN",R37)))</formula>
    </cfRule>
  </conditionalFormatting>
  <conditionalFormatting sqref="O38">
    <cfRule type="containsText" dxfId="454" priority="63" operator="containsText" text="AVG">
      <formula>NOT(ISERROR(SEARCH("AVG",O38)))</formula>
    </cfRule>
  </conditionalFormatting>
  <conditionalFormatting sqref="O38">
    <cfRule type="cellIs" dxfId="453" priority="62" operator="equal">
      <formula>"STRONG"</formula>
    </cfRule>
  </conditionalFormatting>
  <conditionalFormatting sqref="O38">
    <cfRule type="containsText" dxfId="452" priority="61" operator="containsText" text="VSTRONG">
      <formula>NOT(ISERROR(SEARCH("VSTRONG",O38)))</formula>
    </cfRule>
  </conditionalFormatting>
  <conditionalFormatting sqref="S38">
    <cfRule type="containsText" dxfId="451" priority="60" operator="containsText" text="O">
      <formula>NOT(ISERROR(SEARCH("O",S38)))</formula>
    </cfRule>
  </conditionalFormatting>
  <conditionalFormatting sqref="S38">
    <cfRule type="containsText" dxfId="450" priority="58" operator="containsText" text="H">
      <formula>NOT(ISERROR(SEARCH("H",S38)))</formula>
    </cfRule>
    <cfRule type="containsText" dxfId="449" priority="59" operator="containsText" text="H">
      <formula>NOT(ISERROR(SEARCH("H",S38)))</formula>
    </cfRule>
  </conditionalFormatting>
  <conditionalFormatting sqref="P38">
    <cfRule type="containsText" dxfId="448" priority="57" operator="containsText" text="STRONG">
      <formula>NOT(ISERROR(SEARCH("STRONG",P38)))</formula>
    </cfRule>
  </conditionalFormatting>
  <conditionalFormatting sqref="P38:Q38">
    <cfRule type="containsText" dxfId="447" priority="56" operator="containsText" text="AVG">
      <formula>NOT(ISERROR(SEARCH("AVG",P38)))</formula>
    </cfRule>
  </conditionalFormatting>
  <conditionalFormatting sqref="P38">
    <cfRule type="containsText" dxfId="446" priority="55" operator="containsText" text="VSTRONG">
      <formula>NOT(ISERROR(SEARCH("VSTRONG",P38)))</formula>
    </cfRule>
  </conditionalFormatting>
  <conditionalFormatting sqref="R38">
    <cfRule type="containsText" dxfId="445" priority="54" operator="containsText" text="FEMALE DOM">
      <formula>NOT(ISERROR(SEARCH("FEMALE DOM",R38)))</formula>
    </cfRule>
  </conditionalFormatting>
  <conditionalFormatting sqref="O38">
    <cfRule type="containsText" dxfId="444" priority="53" operator="containsText" text="AVG">
      <formula>NOT(ISERROR(SEARCH("AVG",O38)))</formula>
    </cfRule>
  </conditionalFormatting>
  <conditionalFormatting sqref="S38">
    <cfRule type="containsText" dxfId="443" priority="52" operator="containsText" text="H">
      <formula>NOT(ISERROR(SEARCH("H",S38)))</formula>
    </cfRule>
  </conditionalFormatting>
  <conditionalFormatting sqref="Q38">
    <cfRule type="cellIs" dxfId="442" priority="51" operator="equal">
      <formula>"VWEAK"</formula>
    </cfRule>
  </conditionalFormatting>
  <conditionalFormatting sqref="Q38">
    <cfRule type="containsText" dxfId="441" priority="50" operator="containsText" text="VSTRONG">
      <formula>NOT(ISERROR(SEARCH("VSTRONG",Q38)))</formula>
    </cfRule>
  </conditionalFormatting>
  <conditionalFormatting sqref="R38">
    <cfRule type="containsText" dxfId="440" priority="49" operator="containsText" text="MEN">
      <formula>NOT(ISERROR(SEARCH("MEN",R38)))</formula>
    </cfRule>
  </conditionalFormatting>
  <conditionalFormatting sqref="O39">
    <cfRule type="containsText" dxfId="439" priority="48" operator="containsText" text="AVG">
      <formula>NOT(ISERROR(SEARCH("AVG",O39)))</formula>
    </cfRule>
  </conditionalFormatting>
  <conditionalFormatting sqref="O39">
    <cfRule type="cellIs" dxfId="438" priority="47" operator="equal">
      <formula>"STRONG"</formula>
    </cfRule>
  </conditionalFormatting>
  <conditionalFormatting sqref="O39">
    <cfRule type="containsText" dxfId="437" priority="46" operator="containsText" text="VSTRONG">
      <formula>NOT(ISERROR(SEARCH("VSTRONG",O39)))</formula>
    </cfRule>
  </conditionalFormatting>
  <conditionalFormatting sqref="S39">
    <cfRule type="containsText" dxfId="436" priority="45" operator="containsText" text="O">
      <formula>NOT(ISERROR(SEARCH("O",S39)))</formula>
    </cfRule>
  </conditionalFormatting>
  <conditionalFormatting sqref="S39">
    <cfRule type="containsText" dxfId="435" priority="43" operator="containsText" text="H">
      <formula>NOT(ISERROR(SEARCH("H",S39)))</formula>
    </cfRule>
    <cfRule type="containsText" dxfId="434" priority="44" operator="containsText" text="H">
      <formula>NOT(ISERROR(SEARCH("H",S39)))</formula>
    </cfRule>
  </conditionalFormatting>
  <conditionalFormatting sqref="P39">
    <cfRule type="containsText" dxfId="433" priority="42" operator="containsText" text="STRONG">
      <formula>NOT(ISERROR(SEARCH("STRONG",P39)))</formula>
    </cfRule>
  </conditionalFormatting>
  <conditionalFormatting sqref="P39">
    <cfRule type="containsText" dxfId="432" priority="41" operator="containsText" text="AVG">
      <formula>NOT(ISERROR(SEARCH("AVG",P39)))</formula>
    </cfRule>
  </conditionalFormatting>
  <conditionalFormatting sqref="P39">
    <cfRule type="containsText" dxfId="431" priority="40" operator="containsText" text="VSTRONG">
      <formula>NOT(ISERROR(SEARCH("VSTRONG",P39)))</formula>
    </cfRule>
  </conditionalFormatting>
  <conditionalFormatting sqref="R39">
    <cfRule type="containsText" dxfId="430" priority="39" operator="containsText" text="FEMALE DOM">
      <formula>NOT(ISERROR(SEARCH("FEMALE DOM",R39)))</formula>
    </cfRule>
  </conditionalFormatting>
  <conditionalFormatting sqref="O39">
    <cfRule type="containsText" dxfId="429" priority="38" operator="containsText" text="AVG">
      <formula>NOT(ISERROR(SEARCH("AVG",O39)))</formula>
    </cfRule>
  </conditionalFormatting>
  <conditionalFormatting sqref="S39">
    <cfRule type="containsText" dxfId="428" priority="37" operator="containsText" text="H">
      <formula>NOT(ISERROR(SEARCH("H",S39)))</formula>
    </cfRule>
  </conditionalFormatting>
  <conditionalFormatting sqref="Q39">
    <cfRule type="cellIs" dxfId="427" priority="36" operator="equal">
      <formula>"VWEAK"</formula>
    </cfRule>
  </conditionalFormatting>
  <conditionalFormatting sqref="Q39">
    <cfRule type="containsText" dxfId="426" priority="35" operator="containsText" text="AVG">
      <formula>NOT(ISERROR(SEARCH("AVG",Q39)))</formula>
    </cfRule>
  </conditionalFormatting>
  <conditionalFormatting sqref="Q39">
    <cfRule type="containsText" dxfId="425" priority="34" operator="containsText" text="VSTRONG">
      <formula>NOT(ISERROR(SEARCH("VSTRONG",Q39)))</formula>
    </cfRule>
  </conditionalFormatting>
  <conditionalFormatting sqref="R39">
    <cfRule type="containsText" dxfId="424" priority="33" operator="containsText" text="MEN">
      <formula>NOT(ISERROR(SEARCH("MEN",R39)))</formula>
    </cfRule>
  </conditionalFormatting>
  <conditionalFormatting sqref="O40">
    <cfRule type="containsText" dxfId="423" priority="32" operator="containsText" text="AVG">
      <formula>NOT(ISERROR(SEARCH("AVG",O40)))</formula>
    </cfRule>
  </conditionalFormatting>
  <conditionalFormatting sqref="O40">
    <cfRule type="cellIs" dxfId="422" priority="31" operator="equal">
      <formula>"STRONG"</formula>
    </cfRule>
  </conditionalFormatting>
  <conditionalFormatting sqref="O40">
    <cfRule type="containsText" dxfId="421" priority="30" operator="containsText" text="VSTRONG">
      <formula>NOT(ISERROR(SEARCH("VSTRONG",O40)))</formula>
    </cfRule>
  </conditionalFormatting>
  <conditionalFormatting sqref="S40">
    <cfRule type="containsText" dxfId="420" priority="29" operator="containsText" text="O">
      <formula>NOT(ISERROR(SEARCH("O",S40)))</formula>
    </cfRule>
  </conditionalFormatting>
  <conditionalFormatting sqref="S40">
    <cfRule type="containsText" dxfId="419" priority="27" operator="containsText" text="H">
      <formula>NOT(ISERROR(SEARCH("H",S40)))</formula>
    </cfRule>
    <cfRule type="containsText" dxfId="418" priority="28" operator="containsText" text="H">
      <formula>NOT(ISERROR(SEARCH("H",S40)))</formula>
    </cfRule>
  </conditionalFormatting>
  <conditionalFormatting sqref="P40">
    <cfRule type="containsText" dxfId="417" priority="26" operator="containsText" text="STRONG">
      <formula>NOT(ISERROR(SEARCH("STRONG",P40)))</formula>
    </cfRule>
  </conditionalFormatting>
  <conditionalFormatting sqref="P40">
    <cfRule type="containsText" dxfId="416" priority="25" operator="containsText" text="AVG">
      <formula>NOT(ISERROR(SEARCH("AVG",P40)))</formula>
    </cfRule>
  </conditionalFormatting>
  <conditionalFormatting sqref="P40">
    <cfRule type="containsText" dxfId="415" priority="24" operator="containsText" text="VSTRONG">
      <formula>NOT(ISERROR(SEARCH("VSTRONG",P40)))</formula>
    </cfRule>
  </conditionalFormatting>
  <conditionalFormatting sqref="R40">
    <cfRule type="containsText" dxfId="414" priority="23" operator="containsText" text="FEMALE DOM">
      <formula>NOT(ISERROR(SEARCH("FEMALE DOM",R40)))</formula>
    </cfRule>
  </conditionalFormatting>
  <conditionalFormatting sqref="O40">
    <cfRule type="containsText" dxfId="413" priority="22" operator="containsText" text="AVG">
      <formula>NOT(ISERROR(SEARCH("AVG",O40)))</formula>
    </cfRule>
  </conditionalFormatting>
  <conditionalFormatting sqref="S40">
    <cfRule type="containsText" dxfId="412" priority="21" operator="containsText" text="H">
      <formula>NOT(ISERROR(SEARCH("H",S40)))</formula>
    </cfRule>
  </conditionalFormatting>
  <conditionalFormatting sqref="Q40">
    <cfRule type="cellIs" dxfId="411" priority="20" operator="equal">
      <formula>"VWEAK"</formula>
    </cfRule>
  </conditionalFormatting>
  <conditionalFormatting sqref="Q40">
    <cfRule type="containsText" dxfId="410" priority="19" operator="containsText" text="AVG">
      <formula>NOT(ISERROR(SEARCH("AVG",Q40)))</formula>
    </cfRule>
  </conditionalFormatting>
  <conditionalFormatting sqref="Q40">
    <cfRule type="containsText" dxfId="409" priority="18" operator="containsText" text="VSTRONG">
      <formula>NOT(ISERROR(SEARCH("VSTRONG",Q40)))</formula>
    </cfRule>
  </conditionalFormatting>
  <conditionalFormatting sqref="R40">
    <cfRule type="containsText" dxfId="408" priority="17" operator="containsText" text="MEN">
      <formula>NOT(ISERROR(SEARCH("MEN",R40)))</formula>
    </cfRule>
  </conditionalFormatting>
  <conditionalFormatting sqref="O41">
    <cfRule type="containsText" dxfId="407" priority="16" operator="containsText" text="AVG">
      <formula>NOT(ISERROR(SEARCH("AVG",O41)))</formula>
    </cfRule>
  </conditionalFormatting>
  <conditionalFormatting sqref="O41">
    <cfRule type="cellIs" dxfId="406" priority="15" operator="equal">
      <formula>"STRONG"</formula>
    </cfRule>
  </conditionalFormatting>
  <conditionalFormatting sqref="O41">
    <cfRule type="containsText" dxfId="405" priority="14" operator="containsText" text="VSTRONG">
      <formula>NOT(ISERROR(SEARCH("VSTRONG",O41)))</formula>
    </cfRule>
  </conditionalFormatting>
  <conditionalFormatting sqref="P41">
    <cfRule type="containsText" dxfId="404" priority="13" operator="containsText" text="STRONG">
      <formula>NOT(ISERROR(SEARCH("STRONG",P41)))</formula>
    </cfRule>
  </conditionalFormatting>
  <conditionalFormatting sqref="P41">
    <cfRule type="containsText" dxfId="403" priority="12" operator="containsText" text="AVG">
      <formula>NOT(ISERROR(SEARCH("AVG",P41)))</formula>
    </cfRule>
  </conditionalFormatting>
  <conditionalFormatting sqref="P41">
    <cfRule type="containsText" dxfId="402" priority="11" operator="containsText" text="VSTRONG">
      <formula>NOT(ISERROR(SEARCH("VSTRONG",P41)))</formula>
    </cfRule>
  </conditionalFormatting>
  <conditionalFormatting sqref="O41">
    <cfRule type="containsText" dxfId="401" priority="10" operator="containsText" text="AVG">
      <formula>NOT(ISERROR(SEARCH("AVG",O41)))</formula>
    </cfRule>
  </conditionalFormatting>
  <conditionalFormatting sqref="R41">
    <cfRule type="containsText" dxfId="400" priority="9" operator="containsText" text="MEN">
      <formula>NOT(ISERROR(SEARCH("MEN",R41)))</formula>
    </cfRule>
  </conditionalFormatting>
  <conditionalFormatting sqref="S41">
    <cfRule type="containsText" dxfId="399" priority="8" operator="containsText" text="O">
      <formula>NOT(ISERROR(SEARCH("O",S41)))</formula>
    </cfRule>
  </conditionalFormatting>
  <conditionalFormatting sqref="S41">
    <cfRule type="containsText" dxfId="398" priority="6" operator="containsText" text="H">
      <formula>NOT(ISERROR(SEARCH("H",S41)))</formula>
    </cfRule>
    <cfRule type="containsText" dxfId="397" priority="7" operator="containsText" text="H">
      <formula>NOT(ISERROR(SEARCH("H",S41)))</formula>
    </cfRule>
  </conditionalFormatting>
  <conditionalFormatting sqref="Q41">
    <cfRule type="containsText" dxfId="396" priority="5" operator="containsText" text="AVG">
      <formula>NOT(ISERROR(SEARCH("AVG",Q41)))</formula>
    </cfRule>
  </conditionalFormatting>
  <conditionalFormatting sqref="R41">
    <cfRule type="containsText" dxfId="395" priority="4" operator="containsText" text="FEMALE DOM">
      <formula>NOT(ISERROR(SEARCH("FEMALE DOM",R41)))</formula>
    </cfRule>
  </conditionalFormatting>
  <conditionalFormatting sqref="S41">
    <cfRule type="containsText" dxfId="394" priority="3" operator="containsText" text="H">
      <formula>NOT(ISERROR(SEARCH("H",S41)))</formula>
    </cfRule>
  </conditionalFormatting>
  <conditionalFormatting sqref="Q41">
    <cfRule type="cellIs" dxfId="393" priority="2" operator="equal">
      <formula>"VWEAK"</formula>
    </cfRule>
  </conditionalFormatting>
  <conditionalFormatting sqref="Q41">
    <cfRule type="containsText" dxfId="392" priority="1" operator="containsText" text="VSTRONG">
      <formula>NOT(ISERROR(SEARCH("VSTRONG",Q41)))</formula>
    </cfRule>
  </conditionalFormatting>
  <pageMargins left="0.70866141732283472" right="0.70866141732283472" top="0.74803149606299213" bottom="0.74803149606299213" header="0.31496062992125984" footer="0.31496062992125984"/>
  <pageSetup paperSize="820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"/>
  <sheetViews>
    <sheetView topLeftCell="G1" zoomScale="106" zoomScaleNormal="106" workbookViewId="0">
      <selection sqref="A1:V3"/>
    </sheetView>
  </sheetViews>
  <sheetFormatPr defaultRowHeight="15" x14ac:dyDescent="0.25"/>
  <cols>
    <col min="1" max="1" width="9.140625" style="9"/>
    <col min="2" max="2" width="18.28515625" style="9" customWidth="1"/>
    <col min="3" max="3" width="20.42578125" style="9" customWidth="1"/>
    <col min="4" max="4" width="26.42578125" style="9" customWidth="1"/>
    <col min="5" max="5" width="41.28515625" style="9" customWidth="1"/>
    <col min="6" max="6" width="15.42578125" style="9" customWidth="1"/>
    <col min="7" max="7" width="16.42578125" style="9" customWidth="1"/>
    <col min="8" max="8" width="16" style="9" customWidth="1"/>
    <col min="9" max="9" width="15.28515625" style="9" customWidth="1"/>
    <col min="10" max="10" width="16.140625" style="9" customWidth="1"/>
    <col min="11" max="11" width="18.140625" style="9" customWidth="1"/>
    <col min="12" max="12" width="19.140625" style="9" customWidth="1"/>
    <col min="13" max="13" width="18.85546875" style="9" customWidth="1"/>
    <col min="14" max="14" width="16.85546875" style="9" customWidth="1"/>
    <col min="15" max="15" width="17.7109375" style="9" customWidth="1"/>
    <col min="16" max="16" width="19" style="9" customWidth="1"/>
    <col min="17" max="17" width="23.85546875" style="9" customWidth="1"/>
    <col min="18" max="18" width="18.28515625" style="9" customWidth="1"/>
    <col min="19" max="19" width="12.7109375" style="9" customWidth="1"/>
    <col min="20" max="20" width="17" style="9" customWidth="1"/>
    <col min="21" max="21" width="20" style="9" customWidth="1"/>
    <col min="22" max="22" width="25.5703125" style="9" customWidth="1"/>
    <col min="23" max="16384" width="9.140625" style="9"/>
  </cols>
  <sheetData>
    <row r="1" spans="1:22" ht="15" customHeight="1" x14ac:dyDescent="0.25">
      <c r="A1" s="26" t="s">
        <v>117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52.5" customHeight="1" x14ac:dyDescent="0.25">
      <c r="A4" s="30" t="s">
        <v>95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2"/>
    </row>
    <row r="5" spans="1:22" ht="15.7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23" t="s">
        <v>2</v>
      </c>
      <c r="G5" s="23"/>
      <c r="H5" s="23"/>
      <c r="I5" s="20" t="s">
        <v>0</v>
      </c>
      <c r="J5" s="20"/>
      <c r="K5" s="20"/>
      <c r="L5" s="25" t="s">
        <v>8</v>
      </c>
      <c r="M5" s="25"/>
      <c r="N5" s="25"/>
      <c r="O5" s="23">
        <v>2018</v>
      </c>
      <c r="P5" s="23"/>
      <c r="Q5" s="23"/>
      <c r="R5" s="23"/>
      <c r="S5" s="23"/>
      <c r="T5" s="24" t="s">
        <v>60</v>
      </c>
      <c r="U5" s="24" t="s">
        <v>62</v>
      </c>
      <c r="V5" s="24" t="s">
        <v>61</v>
      </c>
    </row>
    <row r="6" spans="1:22" ht="60" x14ac:dyDescent="0.25">
      <c r="A6" s="23"/>
      <c r="B6" s="23"/>
      <c r="C6" s="23"/>
      <c r="D6" s="23"/>
      <c r="E6" s="23"/>
      <c r="F6" s="19" t="s">
        <v>1</v>
      </c>
      <c r="G6" s="16" t="s">
        <v>116</v>
      </c>
      <c r="H6" s="16" t="s">
        <v>115</v>
      </c>
      <c r="I6" s="19" t="s">
        <v>1</v>
      </c>
      <c r="J6" s="16" t="s">
        <v>116</v>
      </c>
      <c r="K6" s="16" t="s">
        <v>115</v>
      </c>
      <c r="L6" s="19" t="s">
        <v>1</v>
      </c>
      <c r="M6" s="16" t="s">
        <v>116</v>
      </c>
      <c r="N6" s="16" t="s">
        <v>115</v>
      </c>
      <c r="O6" s="19" t="s">
        <v>10</v>
      </c>
      <c r="P6" s="19" t="s">
        <v>11</v>
      </c>
      <c r="Q6" s="19" t="s">
        <v>12</v>
      </c>
      <c r="R6" s="19" t="s">
        <v>13</v>
      </c>
      <c r="S6" s="19" t="s">
        <v>113</v>
      </c>
      <c r="T6" s="24"/>
      <c r="U6" s="24"/>
      <c r="V6" s="24"/>
    </row>
    <row r="7" spans="1:22" x14ac:dyDescent="0.25">
      <c r="A7" s="2">
        <v>1</v>
      </c>
      <c r="B7" s="2">
        <v>21</v>
      </c>
      <c r="C7" s="10" t="s">
        <v>34</v>
      </c>
      <c r="D7" s="2">
        <v>6</v>
      </c>
      <c r="E7" s="2" t="s">
        <v>9</v>
      </c>
      <c r="F7" s="4">
        <v>735</v>
      </c>
      <c r="G7" s="4">
        <v>174.62801735244105</v>
      </c>
      <c r="H7" s="4">
        <v>30494.944444444449</v>
      </c>
      <c r="I7" s="4">
        <v>375.83333333333331</v>
      </c>
      <c r="J7" s="4">
        <v>124.49129822334304</v>
      </c>
      <c r="K7" s="4">
        <v>15498.083333333334</v>
      </c>
      <c r="L7" s="4">
        <v>323.33333333333331</v>
      </c>
      <c r="M7" s="4">
        <v>84.679789009341931</v>
      </c>
      <c r="N7" s="4">
        <v>7170.666666666667</v>
      </c>
      <c r="O7" s="2" t="s">
        <v>14</v>
      </c>
      <c r="P7" s="3" t="s">
        <v>15</v>
      </c>
      <c r="Q7" s="2" t="s">
        <v>16</v>
      </c>
      <c r="R7" s="2" t="s">
        <v>17</v>
      </c>
      <c r="S7" s="2" t="e">
        <v>#DIV/0!</v>
      </c>
      <c r="T7" s="14" t="s">
        <v>63</v>
      </c>
      <c r="U7" s="4">
        <v>7.1428571429999996</v>
      </c>
      <c r="V7" s="15" t="s">
        <v>77</v>
      </c>
    </row>
    <row r="8" spans="1:22" x14ac:dyDescent="0.25">
      <c r="A8" s="2">
        <v>2</v>
      </c>
      <c r="B8" s="2">
        <v>24</v>
      </c>
      <c r="C8" s="10" t="s">
        <v>18</v>
      </c>
      <c r="D8" s="2">
        <v>6</v>
      </c>
      <c r="E8" s="2" t="s">
        <v>19</v>
      </c>
      <c r="F8" s="4">
        <v>582.66666666666663</v>
      </c>
      <c r="G8" s="4">
        <v>174.49148339611816</v>
      </c>
      <c r="H8" s="4">
        <v>30447.277777777781</v>
      </c>
      <c r="I8" s="4">
        <v>288.11111111111114</v>
      </c>
      <c r="J8" s="4">
        <v>59.486381883836486</v>
      </c>
      <c r="K8" s="4">
        <v>3538.6296296296296</v>
      </c>
      <c r="L8" s="4">
        <v>272.4444444444444</v>
      </c>
      <c r="M8" s="4">
        <v>114.61796446359436</v>
      </c>
      <c r="N8" s="4">
        <v>13137.277777777779</v>
      </c>
      <c r="O8" s="2" t="s">
        <v>14</v>
      </c>
      <c r="P8" s="3" t="s">
        <v>15</v>
      </c>
      <c r="Q8" s="2" t="s">
        <v>16</v>
      </c>
      <c r="R8" s="2" t="s">
        <v>17</v>
      </c>
      <c r="S8" s="2" t="e">
        <v>#DIV/0!</v>
      </c>
      <c r="T8" s="14" t="s">
        <v>63</v>
      </c>
      <c r="U8" s="4">
        <v>2.6887871849999998</v>
      </c>
      <c r="V8" s="15" t="s">
        <v>77</v>
      </c>
    </row>
    <row r="9" spans="1:22" x14ac:dyDescent="0.25">
      <c r="A9" s="2">
        <v>3</v>
      </c>
      <c r="B9" s="2">
        <v>25</v>
      </c>
      <c r="C9" s="10" t="s">
        <v>20</v>
      </c>
      <c r="D9" s="2">
        <v>6</v>
      </c>
      <c r="E9" s="2" t="s">
        <v>21</v>
      </c>
      <c r="F9" s="4">
        <v>679.72222222222217</v>
      </c>
      <c r="G9" s="4">
        <v>160.05771528490033</v>
      </c>
      <c r="H9" s="4">
        <v>25618.472222222219</v>
      </c>
      <c r="I9" s="4">
        <v>313.83333333333331</v>
      </c>
      <c r="J9" s="4">
        <v>49.753931540167798</v>
      </c>
      <c r="K9" s="4">
        <v>2475.4537037037039</v>
      </c>
      <c r="L9" s="4">
        <v>316.66666666666669</v>
      </c>
      <c r="M9" s="4">
        <v>104.00320507881796</v>
      </c>
      <c r="N9" s="4">
        <v>10816.666666666666</v>
      </c>
      <c r="O9" s="2" t="s">
        <v>14</v>
      </c>
      <c r="P9" s="3" t="s">
        <v>22</v>
      </c>
      <c r="Q9" s="2" t="s">
        <v>15</v>
      </c>
      <c r="R9" s="13" t="s">
        <v>17</v>
      </c>
      <c r="S9" s="2" t="e">
        <v>#DIV/0!</v>
      </c>
      <c r="T9" s="3" t="s">
        <v>65</v>
      </c>
      <c r="U9" s="4">
        <v>0.41683694300000002</v>
      </c>
      <c r="V9" s="15" t="s">
        <v>77</v>
      </c>
    </row>
    <row r="10" spans="1:22" x14ac:dyDescent="0.25">
      <c r="A10" s="2">
        <v>4</v>
      </c>
      <c r="B10" s="2">
        <v>27</v>
      </c>
      <c r="C10" s="10" t="s">
        <v>25</v>
      </c>
      <c r="D10" s="2">
        <v>6</v>
      </c>
      <c r="E10" s="11" t="s">
        <v>26</v>
      </c>
      <c r="F10" s="4">
        <v>582.66666666666663</v>
      </c>
      <c r="G10" s="4">
        <v>174.49148339611816</v>
      </c>
      <c r="H10" s="4">
        <v>30447.277777777781</v>
      </c>
      <c r="I10" s="4">
        <v>288.11111111111114</v>
      </c>
      <c r="J10" s="4">
        <v>59.486381883836486</v>
      </c>
      <c r="K10" s="4">
        <v>3538.6296296296296</v>
      </c>
      <c r="L10" s="4">
        <v>272.4444444444444</v>
      </c>
      <c r="M10" s="4">
        <v>114.61796446359436</v>
      </c>
      <c r="N10" s="4">
        <v>13137.277777777779</v>
      </c>
      <c r="O10" s="2" t="s">
        <v>14</v>
      </c>
      <c r="P10" s="3" t="s">
        <v>15</v>
      </c>
      <c r="Q10" s="2" t="s">
        <v>16</v>
      </c>
      <c r="R10" s="2" t="s">
        <v>17</v>
      </c>
      <c r="S10" s="2" t="e">
        <v>#DIV/0!</v>
      </c>
      <c r="T10" s="14" t="s">
        <v>63</v>
      </c>
      <c r="U10" s="4">
        <v>13.667407880000001</v>
      </c>
      <c r="V10" s="15" t="s">
        <v>77</v>
      </c>
    </row>
    <row r="11" spans="1:22" x14ac:dyDescent="0.25">
      <c r="A11" s="2">
        <v>5</v>
      </c>
      <c r="B11" s="2">
        <v>31</v>
      </c>
      <c r="C11" s="10" t="s">
        <v>36</v>
      </c>
      <c r="D11" s="2">
        <v>6</v>
      </c>
      <c r="E11" s="11" t="s">
        <v>37</v>
      </c>
      <c r="F11" s="4">
        <v>629</v>
      </c>
      <c r="G11" s="4">
        <v>94.101009558877735</v>
      </c>
      <c r="H11" s="4">
        <v>8855</v>
      </c>
      <c r="I11" s="4">
        <v>294.5</v>
      </c>
      <c r="J11" s="4">
        <v>56.526972421235435</v>
      </c>
      <c r="K11" s="4">
        <v>3195.2986111111113</v>
      </c>
      <c r="L11" s="4">
        <v>306.38888888888891</v>
      </c>
      <c r="M11" s="4">
        <v>41.008383289273915</v>
      </c>
      <c r="N11" s="4">
        <v>1681.6875</v>
      </c>
      <c r="O11" s="2" t="s">
        <v>14</v>
      </c>
      <c r="P11" s="3" t="s">
        <v>14</v>
      </c>
      <c r="Q11" s="2" t="s">
        <v>15</v>
      </c>
      <c r="R11" s="13" t="s">
        <v>17</v>
      </c>
      <c r="S11" s="3" t="s">
        <v>38</v>
      </c>
      <c r="T11" s="3" t="s">
        <v>65</v>
      </c>
      <c r="U11" s="4">
        <v>1.8901254199999999</v>
      </c>
      <c r="V11" s="15" t="s">
        <v>77</v>
      </c>
    </row>
    <row r="12" spans="1:22" x14ac:dyDescent="0.25">
      <c r="A12" s="2">
        <v>6</v>
      </c>
      <c r="B12" s="2">
        <v>35</v>
      </c>
      <c r="C12" s="10" t="s">
        <v>46</v>
      </c>
      <c r="D12" s="2">
        <v>7</v>
      </c>
      <c r="E12" s="11" t="s">
        <v>47</v>
      </c>
      <c r="F12" s="4">
        <v>720.71428571428578</v>
      </c>
      <c r="G12" s="4">
        <v>103.64243871137352</v>
      </c>
      <c r="H12" s="4">
        <v>10741.755102040815</v>
      </c>
      <c r="I12" s="4">
        <v>315.19047619047615</v>
      </c>
      <c r="J12" s="4">
        <v>68.175044808887932</v>
      </c>
      <c r="K12" s="4">
        <v>4647.8367346938776</v>
      </c>
      <c r="L12" s="4">
        <v>373.04761904761904</v>
      </c>
      <c r="M12" s="4">
        <v>95.165734415296356</v>
      </c>
      <c r="N12" s="4">
        <v>9056.5170068027201</v>
      </c>
      <c r="O12" s="12" t="s">
        <v>14</v>
      </c>
      <c r="P12" s="3" t="s">
        <v>15</v>
      </c>
      <c r="Q12" s="2" t="s">
        <v>16</v>
      </c>
      <c r="R12" s="13" t="s">
        <v>17</v>
      </c>
      <c r="S12" s="2" t="e">
        <v>#DIV/0!</v>
      </c>
      <c r="T12" s="3" t="s">
        <v>65</v>
      </c>
      <c r="U12" s="4">
        <v>8.0277502480000003</v>
      </c>
      <c r="V12" s="15" t="s">
        <v>77</v>
      </c>
    </row>
    <row r="13" spans="1:22" x14ac:dyDescent="0.25">
      <c r="A13" s="2">
        <v>7</v>
      </c>
      <c r="B13" s="2">
        <v>37</v>
      </c>
      <c r="C13" s="10" t="s">
        <v>50</v>
      </c>
      <c r="D13" s="2">
        <v>6</v>
      </c>
      <c r="E13" s="11" t="s">
        <v>51</v>
      </c>
      <c r="F13" s="4">
        <v>659</v>
      </c>
      <c r="G13" s="4">
        <v>153.56974528424101</v>
      </c>
      <c r="H13" s="4">
        <v>23583.666666666668</v>
      </c>
      <c r="I13" s="4">
        <v>291.83333333333331</v>
      </c>
      <c r="J13" s="4">
        <v>95.138641524414837</v>
      </c>
      <c r="K13" s="4">
        <v>9051.3611111111113</v>
      </c>
      <c r="L13" s="4">
        <v>339.5555555555556</v>
      </c>
      <c r="M13" s="4">
        <v>113.34664954449674</v>
      </c>
      <c r="N13" s="4">
        <v>12847.462962962964</v>
      </c>
      <c r="O13" s="2" t="s">
        <v>15</v>
      </c>
      <c r="P13" s="3" t="s">
        <v>16</v>
      </c>
      <c r="Q13" s="2" t="s">
        <v>16</v>
      </c>
      <c r="R13" s="2" t="s">
        <v>17</v>
      </c>
      <c r="S13" s="2" t="s">
        <v>32</v>
      </c>
      <c r="T13" s="3" t="s">
        <v>65</v>
      </c>
      <c r="U13" s="4">
        <v>7.2116118699999996</v>
      </c>
      <c r="V13" s="15" t="s">
        <v>77</v>
      </c>
    </row>
    <row r="14" spans="1:22" x14ac:dyDescent="0.25">
      <c r="A14" s="2">
        <v>8</v>
      </c>
      <c r="B14" s="2">
        <v>44</v>
      </c>
      <c r="C14" s="2" t="s">
        <v>75</v>
      </c>
      <c r="D14" s="2">
        <v>6</v>
      </c>
      <c r="E14" s="2" t="s">
        <v>76</v>
      </c>
      <c r="F14" s="4">
        <v>536.555555555556</v>
      </c>
      <c r="G14" s="4">
        <v>117.43359037408396</v>
      </c>
      <c r="H14" s="4">
        <v>13790.648148148101</v>
      </c>
      <c r="I14" s="4">
        <v>232</v>
      </c>
      <c r="J14" s="4">
        <v>132.18414484403243</v>
      </c>
      <c r="K14" s="4">
        <v>17472.648148148146</v>
      </c>
      <c r="L14" s="4">
        <v>274.5</v>
      </c>
      <c r="M14" s="4">
        <v>143.07331065653798</v>
      </c>
      <c r="N14" s="4">
        <v>20469.972222222223</v>
      </c>
      <c r="O14" s="2" t="s">
        <v>14</v>
      </c>
      <c r="P14" s="3" t="s">
        <v>45</v>
      </c>
      <c r="Q14" s="2" t="s">
        <v>15</v>
      </c>
      <c r="R14" s="2" t="s">
        <v>29</v>
      </c>
      <c r="S14" s="2" t="s">
        <v>32</v>
      </c>
      <c r="T14" s="3" t="s">
        <v>65</v>
      </c>
      <c r="U14" s="4">
        <v>7.92</v>
      </c>
      <c r="V14" s="15" t="s">
        <v>77</v>
      </c>
    </row>
    <row r="15" spans="1:22" x14ac:dyDescent="0.25">
      <c r="A15" s="2">
        <v>9</v>
      </c>
      <c r="B15" s="2">
        <v>46</v>
      </c>
      <c r="C15" s="2" t="s">
        <v>80</v>
      </c>
      <c r="D15" s="2">
        <v>5</v>
      </c>
      <c r="E15" s="2" t="s">
        <v>81</v>
      </c>
      <c r="F15" s="4">
        <v>618.4666666666667</v>
      </c>
      <c r="G15" s="4">
        <v>110.73921316919916</v>
      </c>
      <c r="H15" s="4">
        <v>12263.173333333334</v>
      </c>
      <c r="I15" s="4">
        <v>310.53333333333336</v>
      </c>
      <c r="J15" s="4">
        <v>65.879283541945114</v>
      </c>
      <c r="K15" s="4">
        <v>4340.08</v>
      </c>
      <c r="L15" s="4">
        <v>281</v>
      </c>
      <c r="M15" s="4">
        <v>120.63797080521537</v>
      </c>
      <c r="N15" s="4">
        <v>14553.519999999999</v>
      </c>
      <c r="O15" s="2" t="s">
        <v>14</v>
      </c>
      <c r="P15" s="3" t="s">
        <v>15</v>
      </c>
      <c r="Q15" s="2" t="s">
        <v>16</v>
      </c>
      <c r="R15" s="2" t="s">
        <v>17</v>
      </c>
      <c r="S15" s="2" t="e">
        <v>#DIV/0!</v>
      </c>
      <c r="T15" s="14" t="s">
        <v>63</v>
      </c>
      <c r="U15" s="4">
        <v>4.7752506199999996</v>
      </c>
      <c r="V15" s="15" t="s">
        <v>77</v>
      </c>
    </row>
    <row r="16" spans="1:22" x14ac:dyDescent="0.25">
      <c r="A16" s="2">
        <v>10</v>
      </c>
      <c r="B16" s="2">
        <v>49</v>
      </c>
      <c r="C16" s="2" t="s">
        <v>87</v>
      </c>
      <c r="D16" s="2">
        <v>6</v>
      </c>
      <c r="E16" s="2" t="s">
        <v>88</v>
      </c>
      <c r="F16" s="4">
        <v>766.27777777777771</v>
      </c>
      <c r="G16" s="4">
        <v>235.81150271947044</v>
      </c>
      <c r="H16" s="4">
        <v>55607.06481481481</v>
      </c>
      <c r="I16" s="4">
        <v>389.22222222222217</v>
      </c>
      <c r="J16" s="4">
        <v>157.57073661386823</v>
      </c>
      <c r="K16" s="4">
        <v>24828.537037037036</v>
      </c>
      <c r="L16" s="4">
        <v>333.72222222222223</v>
      </c>
      <c r="M16" s="4">
        <v>127.5901641977155</v>
      </c>
      <c r="N16" s="4">
        <v>16279.25</v>
      </c>
      <c r="O16" s="2" t="s">
        <v>22</v>
      </c>
      <c r="P16" s="3" t="s">
        <v>16</v>
      </c>
      <c r="Q16" s="2" t="s">
        <v>15</v>
      </c>
      <c r="R16" s="2" t="s">
        <v>17</v>
      </c>
      <c r="S16" s="2" t="s">
        <v>32</v>
      </c>
      <c r="T16" s="14" t="s">
        <v>63</v>
      </c>
      <c r="U16" s="4">
        <v>7.2428043210000004</v>
      </c>
      <c r="V16" s="15" t="s">
        <v>77</v>
      </c>
    </row>
    <row r="17" spans="1:22" x14ac:dyDescent="0.25">
      <c r="A17" s="2">
        <v>11</v>
      </c>
      <c r="B17" s="2">
        <v>52</v>
      </c>
      <c r="C17" s="2" t="s">
        <v>93</v>
      </c>
      <c r="D17" s="2">
        <v>6</v>
      </c>
      <c r="E17" s="2" t="s">
        <v>94</v>
      </c>
      <c r="F17" s="4">
        <v>741.05555555555566</v>
      </c>
      <c r="G17" s="4">
        <v>138.9888418116654</v>
      </c>
      <c r="H17" s="4">
        <v>19317.89814814815</v>
      </c>
      <c r="I17" s="4">
        <v>289.66666666666669</v>
      </c>
      <c r="J17" s="4">
        <v>129.57787591223251</v>
      </c>
      <c r="K17" s="4">
        <v>16790.425925925927</v>
      </c>
      <c r="L17" s="4">
        <v>337.61111111111109</v>
      </c>
      <c r="M17" s="4">
        <v>138.91640838474956</v>
      </c>
      <c r="N17" s="4">
        <v>19297.768518518515</v>
      </c>
      <c r="O17" s="2" t="s">
        <v>22</v>
      </c>
      <c r="P17" s="3" t="s">
        <v>16</v>
      </c>
      <c r="Q17" s="2" t="s">
        <v>15</v>
      </c>
      <c r="R17" s="2" t="s">
        <v>17</v>
      </c>
      <c r="S17" s="2" t="s">
        <v>38</v>
      </c>
      <c r="T17" s="3" t="s">
        <v>65</v>
      </c>
      <c r="U17" s="4">
        <v>6.4697503559999996</v>
      </c>
      <c r="V17" s="15" t="s">
        <v>77</v>
      </c>
    </row>
    <row r="18" spans="1:22" x14ac:dyDescent="0.25">
      <c r="A18" s="2">
        <v>12</v>
      </c>
      <c r="B18" s="2">
        <v>54</v>
      </c>
      <c r="C18" s="2" t="s">
        <v>98</v>
      </c>
      <c r="D18" s="2">
        <v>5</v>
      </c>
      <c r="E18" s="2" t="s">
        <v>99</v>
      </c>
      <c r="F18" s="4">
        <v>733.1</v>
      </c>
      <c r="G18" s="4">
        <v>145.04290744465928</v>
      </c>
      <c r="H18" s="4">
        <v>21037.445</v>
      </c>
      <c r="I18" s="4">
        <v>348.41666666666669</v>
      </c>
      <c r="J18" s="4">
        <v>139.15385669586502</v>
      </c>
      <c r="K18" s="4">
        <v>19363.795833333334</v>
      </c>
      <c r="L18" s="4">
        <v>342.43333333333334</v>
      </c>
      <c r="M18" s="4">
        <v>48.387791159892117</v>
      </c>
      <c r="N18" s="4">
        <v>2341.3783333333336</v>
      </c>
      <c r="O18" s="2" t="s">
        <v>22</v>
      </c>
      <c r="P18" s="3" t="s">
        <v>15</v>
      </c>
      <c r="Q18" s="2" t="s">
        <v>16</v>
      </c>
      <c r="R18" s="2" t="s">
        <v>17</v>
      </c>
      <c r="S18" s="2" t="s">
        <v>38</v>
      </c>
      <c r="T18" s="14" t="s">
        <v>63</v>
      </c>
      <c r="U18" s="4">
        <v>0.81616878100000001</v>
      </c>
      <c r="V18" s="15" t="s">
        <v>77</v>
      </c>
    </row>
    <row r="19" spans="1:22" x14ac:dyDescent="0.25">
      <c r="A19" s="2">
        <v>13</v>
      </c>
      <c r="B19" s="2">
        <v>55</v>
      </c>
      <c r="C19" s="2" t="s">
        <v>100</v>
      </c>
      <c r="D19" s="2">
        <v>8</v>
      </c>
      <c r="E19" s="2" t="s">
        <v>101</v>
      </c>
      <c r="F19" s="4">
        <v>533.04166666666663</v>
      </c>
      <c r="G19" s="4">
        <v>179.42461567001706</v>
      </c>
      <c r="H19" s="4">
        <v>32193.192708333332</v>
      </c>
      <c r="I19" s="4">
        <v>229.16666666666666</v>
      </c>
      <c r="J19" s="4">
        <v>130.7091634762715</v>
      </c>
      <c r="K19" s="4">
        <v>17084.885416666668</v>
      </c>
      <c r="L19" s="4">
        <v>278.125</v>
      </c>
      <c r="M19" s="4">
        <v>117.82081646155176</v>
      </c>
      <c r="N19" s="4">
        <v>13881.744791666666</v>
      </c>
      <c r="O19" s="2" t="s">
        <v>14</v>
      </c>
      <c r="P19" s="3" t="s">
        <v>15</v>
      </c>
      <c r="Q19" s="2" t="s">
        <v>16</v>
      </c>
      <c r="R19" s="2" t="s">
        <v>17</v>
      </c>
      <c r="S19" s="2" t="e">
        <v>#DIV/0!</v>
      </c>
      <c r="T19" s="6" t="s">
        <v>65</v>
      </c>
      <c r="U19" s="17">
        <v>9.1847103879999992</v>
      </c>
      <c r="V19" s="18" t="s">
        <v>77</v>
      </c>
    </row>
    <row r="20" spans="1:22" x14ac:dyDescent="0.25">
      <c r="A20" s="2">
        <v>14</v>
      </c>
      <c r="B20" s="2">
        <v>56</v>
      </c>
      <c r="C20" s="2" t="s">
        <v>102</v>
      </c>
      <c r="D20" s="2">
        <v>5</v>
      </c>
      <c r="E20" s="2" t="s">
        <v>103</v>
      </c>
      <c r="F20" s="4">
        <v>658.6</v>
      </c>
      <c r="G20" s="4">
        <v>77.819620490807679</v>
      </c>
      <c r="H20" s="4">
        <v>6055.8933333333334</v>
      </c>
      <c r="I20" s="4">
        <v>332.53333333333336</v>
      </c>
      <c r="J20" s="4">
        <v>74.393010424367148</v>
      </c>
      <c r="K20" s="4">
        <v>5534.32</v>
      </c>
      <c r="L20" s="4">
        <v>295.4666666666667</v>
      </c>
      <c r="M20" s="4">
        <v>48.987345304680474</v>
      </c>
      <c r="N20" s="4">
        <v>2399.7599999999998</v>
      </c>
      <c r="O20" s="2" t="s">
        <v>14</v>
      </c>
      <c r="P20" s="3" t="s">
        <v>15</v>
      </c>
      <c r="Q20" s="2" t="s">
        <v>16</v>
      </c>
      <c r="R20" s="2" t="s">
        <v>17</v>
      </c>
      <c r="S20" s="2" t="e">
        <v>#DIV/0!</v>
      </c>
      <c r="T20" s="14" t="s">
        <v>63</v>
      </c>
      <c r="U20" s="4">
        <v>5.6281000099999998</v>
      </c>
      <c r="V20" s="15" t="s">
        <v>77</v>
      </c>
    </row>
    <row r="21" spans="1:22" x14ac:dyDescent="0.25">
      <c r="A21" s="2">
        <v>15</v>
      </c>
      <c r="B21" s="2">
        <v>57</v>
      </c>
      <c r="C21" s="2" t="s">
        <v>104</v>
      </c>
      <c r="D21" s="2">
        <v>5</v>
      </c>
      <c r="E21" s="2" t="s">
        <v>105</v>
      </c>
      <c r="F21" s="4">
        <v>667.13333333333333</v>
      </c>
      <c r="G21" s="4">
        <v>43.557777721091327</v>
      </c>
      <c r="H21" s="4">
        <v>1897.28</v>
      </c>
      <c r="I21" s="4">
        <v>285.40000000000003</v>
      </c>
      <c r="J21" s="4">
        <v>90.995897343415066</v>
      </c>
      <c r="K21" s="4">
        <v>8280.253333333334</v>
      </c>
      <c r="L21" s="4">
        <v>333.53333333333336</v>
      </c>
      <c r="M21" s="4">
        <v>77.153396987214165</v>
      </c>
      <c r="N21" s="4">
        <v>5952.6466666666674</v>
      </c>
      <c r="O21" s="2" t="s">
        <v>14</v>
      </c>
      <c r="P21" s="3" t="s">
        <v>15</v>
      </c>
      <c r="Q21" s="2" t="s">
        <v>16</v>
      </c>
      <c r="R21" s="2" t="s">
        <v>17</v>
      </c>
      <c r="S21" s="2" t="e">
        <v>#DIV/0!</v>
      </c>
      <c r="T21" s="3" t="s">
        <v>65</v>
      </c>
      <c r="U21" s="4">
        <v>7.2149495349999997</v>
      </c>
      <c r="V21" s="15" t="s">
        <v>77</v>
      </c>
    </row>
    <row r="22" spans="1:22" x14ac:dyDescent="0.25">
      <c r="A22" s="2">
        <v>16</v>
      </c>
      <c r="B22" s="2">
        <v>58</v>
      </c>
      <c r="C22" s="2" t="s">
        <v>106</v>
      </c>
      <c r="D22" s="2">
        <v>4</v>
      </c>
      <c r="E22" s="2" t="s">
        <v>107</v>
      </c>
      <c r="F22" s="4">
        <v>466.41666666666669</v>
      </c>
      <c r="G22" s="4">
        <v>44242.728489800698</v>
      </c>
      <c r="H22" s="4">
        <v>1957419024.2222223</v>
      </c>
      <c r="I22" s="4">
        <v>221.75</v>
      </c>
      <c r="J22" s="4">
        <v>4410.5963092252487</v>
      </c>
      <c r="K22" s="4">
        <v>19453359.802951388</v>
      </c>
      <c r="L22" s="4">
        <v>227.41666666666666</v>
      </c>
      <c r="M22" s="4">
        <v>10338.873412771456</v>
      </c>
      <c r="N22" s="4">
        <v>106892303.4453125</v>
      </c>
      <c r="O22" s="2" t="s">
        <v>14</v>
      </c>
      <c r="P22" s="3" t="s">
        <v>15</v>
      </c>
      <c r="Q22" s="2" t="s">
        <v>16</v>
      </c>
      <c r="R22" s="2" t="s">
        <v>17</v>
      </c>
      <c r="S22" s="2" t="e">
        <v>#DIV/0!</v>
      </c>
      <c r="T22" s="3" t="s">
        <v>65</v>
      </c>
      <c r="U22" s="4">
        <v>1.2149365729999999</v>
      </c>
      <c r="V22" s="15" t="s">
        <v>77</v>
      </c>
    </row>
    <row r="23" spans="1:22" x14ac:dyDescent="0.25">
      <c r="A23" s="2">
        <v>17</v>
      </c>
      <c r="B23" s="2">
        <v>60</v>
      </c>
      <c r="C23" s="2" t="s">
        <v>110</v>
      </c>
      <c r="D23" s="2">
        <v>8</v>
      </c>
      <c r="E23" s="2" t="s">
        <v>111</v>
      </c>
      <c r="F23" s="4">
        <v>685.19047619047615</v>
      </c>
      <c r="G23" s="4">
        <v>168.49994448817188</v>
      </c>
      <c r="H23" s="4">
        <v>28392.231292517008</v>
      </c>
      <c r="I23" s="4">
        <v>287.14285714285717</v>
      </c>
      <c r="J23" s="4">
        <v>203.59824384792512</v>
      </c>
      <c r="K23" s="4">
        <v>41452.244897959179</v>
      </c>
      <c r="L23" s="4">
        <v>325.33333333333331</v>
      </c>
      <c r="M23" s="4">
        <v>148.63780568520099</v>
      </c>
      <c r="N23" s="4">
        <v>22093.197278911564</v>
      </c>
      <c r="O23" s="2" t="s">
        <v>22</v>
      </c>
      <c r="P23" s="3" t="s">
        <v>15</v>
      </c>
      <c r="Q23" s="2" t="s">
        <v>15</v>
      </c>
      <c r="R23" s="2" t="s">
        <v>17</v>
      </c>
      <c r="S23" s="2" t="s">
        <v>32</v>
      </c>
      <c r="T23" s="3" t="s">
        <v>65</v>
      </c>
      <c r="U23" s="4">
        <v>5.5737021340000004</v>
      </c>
      <c r="V23" s="15" t="s">
        <v>77</v>
      </c>
    </row>
    <row r="26" spans="1:22" ht="28.5" x14ac:dyDescent="0.25">
      <c r="A26" s="29" t="s">
        <v>69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ht="38.25" customHeight="1" x14ac:dyDescent="0.25">
      <c r="A27" s="23" t="s">
        <v>3</v>
      </c>
      <c r="B27" s="23" t="s">
        <v>4</v>
      </c>
      <c r="C27" s="23" t="s">
        <v>5</v>
      </c>
      <c r="D27" s="23" t="s">
        <v>6</v>
      </c>
      <c r="E27" s="23" t="s">
        <v>7</v>
      </c>
      <c r="F27" s="23" t="s">
        <v>2</v>
      </c>
      <c r="G27" s="23"/>
      <c r="H27" s="23"/>
      <c r="I27" s="20" t="s">
        <v>0</v>
      </c>
      <c r="J27" s="20"/>
      <c r="K27" s="20"/>
      <c r="L27" s="25" t="s">
        <v>8</v>
      </c>
      <c r="M27" s="25"/>
      <c r="N27" s="25"/>
      <c r="O27" s="23">
        <v>2018</v>
      </c>
      <c r="P27" s="23"/>
      <c r="Q27" s="23"/>
      <c r="R27" s="23"/>
      <c r="S27" s="23"/>
      <c r="T27" s="24" t="s">
        <v>60</v>
      </c>
      <c r="U27" s="24" t="s">
        <v>62</v>
      </c>
      <c r="V27" s="24" t="s">
        <v>61</v>
      </c>
    </row>
    <row r="28" spans="1:22" ht="60" x14ac:dyDescent="0.25">
      <c r="A28" s="23"/>
      <c r="B28" s="23"/>
      <c r="C28" s="23"/>
      <c r="D28" s="23"/>
      <c r="E28" s="23"/>
      <c r="F28" s="19" t="s">
        <v>1</v>
      </c>
      <c r="G28" s="16" t="s">
        <v>116</v>
      </c>
      <c r="H28" s="16" t="s">
        <v>115</v>
      </c>
      <c r="I28" s="19" t="s">
        <v>1</v>
      </c>
      <c r="J28" s="16" t="s">
        <v>116</v>
      </c>
      <c r="K28" s="16" t="s">
        <v>115</v>
      </c>
      <c r="L28" s="19" t="s">
        <v>1</v>
      </c>
      <c r="M28" s="16" t="s">
        <v>116</v>
      </c>
      <c r="N28" s="16" t="s">
        <v>115</v>
      </c>
      <c r="O28" s="19" t="s">
        <v>10</v>
      </c>
      <c r="P28" s="19" t="s">
        <v>11</v>
      </c>
      <c r="Q28" s="19" t="s">
        <v>12</v>
      </c>
      <c r="R28" s="19" t="s">
        <v>13</v>
      </c>
      <c r="S28" s="19" t="s">
        <v>113</v>
      </c>
      <c r="T28" s="24"/>
      <c r="U28" s="24"/>
      <c r="V28" s="24"/>
    </row>
    <row r="29" spans="1:22" x14ac:dyDescent="0.25">
      <c r="A29" s="2">
        <v>1</v>
      </c>
      <c r="B29" s="2">
        <v>26</v>
      </c>
      <c r="C29" s="10" t="s">
        <v>23</v>
      </c>
      <c r="D29" s="2">
        <v>7</v>
      </c>
      <c r="E29" s="11" t="s">
        <v>24</v>
      </c>
      <c r="F29" s="4">
        <v>719.58333333333337</v>
      </c>
      <c r="G29" s="4">
        <v>187.5179713609694</v>
      </c>
      <c r="H29" s="4">
        <v>35162.989583333336</v>
      </c>
      <c r="I29" s="4">
        <v>384.79166666666669</v>
      </c>
      <c r="J29" s="4">
        <v>123.89135445354262</v>
      </c>
      <c r="K29" s="4">
        <v>15349.067708333334</v>
      </c>
      <c r="L29" s="4">
        <v>307.70833333333331</v>
      </c>
      <c r="M29" s="4">
        <v>71.954521226952792</v>
      </c>
      <c r="N29" s="4">
        <v>5177.453125</v>
      </c>
      <c r="O29" s="2" t="s">
        <v>14</v>
      </c>
      <c r="P29" s="3" t="s">
        <v>16</v>
      </c>
      <c r="Q29" s="2" t="s">
        <v>15</v>
      </c>
      <c r="R29" s="2" t="s">
        <v>17</v>
      </c>
      <c r="S29" s="2" t="e">
        <v>#DIV/0!</v>
      </c>
      <c r="T29" s="14" t="s">
        <v>63</v>
      </c>
      <c r="U29" s="4">
        <v>10.71221772</v>
      </c>
      <c r="V29" s="15" t="s">
        <v>64</v>
      </c>
    </row>
    <row r="30" spans="1:22" x14ac:dyDescent="0.25">
      <c r="A30" s="2">
        <v>2</v>
      </c>
      <c r="B30" s="2">
        <v>30</v>
      </c>
      <c r="C30" s="10" t="s">
        <v>33</v>
      </c>
      <c r="D30" s="2">
        <v>5</v>
      </c>
      <c r="E30" s="11" t="s">
        <v>35</v>
      </c>
      <c r="F30" s="4">
        <v>656.80000000000007</v>
      </c>
      <c r="G30" s="4">
        <v>111.38916763611562</v>
      </c>
      <c r="H30" s="4">
        <v>12407.546666666667</v>
      </c>
      <c r="I30" s="4">
        <v>351.26666666666671</v>
      </c>
      <c r="J30" s="4">
        <v>84.965561650981073</v>
      </c>
      <c r="K30" s="4">
        <v>7219.1466666666665</v>
      </c>
      <c r="L30" s="4">
        <v>282.13333333333338</v>
      </c>
      <c r="M30" s="4">
        <v>37.973323970036297</v>
      </c>
      <c r="N30" s="4">
        <v>1441.9733333333334</v>
      </c>
      <c r="O30" s="2" t="s">
        <v>14</v>
      </c>
      <c r="P30" s="3" t="s">
        <v>15</v>
      </c>
      <c r="Q30" s="2" t="s">
        <v>16</v>
      </c>
      <c r="R30" s="13" t="s">
        <v>17</v>
      </c>
      <c r="S30" s="2" t="e">
        <v>#DIV/0!</v>
      </c>
      <c r="T30" s="14" t="s">
        <v>63</v>
      </c>
      <c r="U30" s="4">
        <v>10.525781569999999</v>
      </c>
      <c r="V30" s="15" t="s">
        <v>64</v>
      </c>
    </row>
    <row r="31" spans="1:22" x14ac:dyDescent="0.25">
      <c r="A31" s="2">
        <v>3</v>
      </c>
      <c r="B31" s="2">
        <v>32</v>
      </c>
      <c r="C31" s="10" t="s">
        <v>39</v>
      </c>
      <c r="D31" s="2">
        <v>5</v>
      </c>
      <c r="E31" s="11" t="s">
        <v>40</v>
      </c>
      <c r="F31" s="4">
        <v>646.73333333333335</v>
      </c>
      <c r="G31" s="4">
        <v>178.72593544306881</v>
      </c>
      <c r="H31" s="4">
        <v>31942.960000000003</v>
      </c>
      <c r="I31" s="4">
        <v>354.86666666666662</v>
      </c>
      <c r="J31" s="4">
        <v>100.44142571668326</v>
      </c>
      <c r="K31" s="4">
        <v>10088.48</v>
      </c>
      <c r="L31" s="4">
        <v>252.93333333333331</v>
      </c>
      <c r="M31" s="4">
        <v>82.30058728020515</v>
      </c>
      <c r="N31" s="4">
        <v>6773.3866666666663</v>
      </c>
      <c r="O31" s="4" t="s">
        <v>22</v>
      </c>
      <c r="P31" s="3" t="s">
        <v>16</v>
      </c>
      <c r="Q31" s="2" t="s">
        <v>15</v>
      </c>
      <c r="R31" s="13" t="s">
        <v>17</v>
      </c>
      <c r="S31" s="3" t="s">
        <v>38</v>
      </c>
      <c r="T31" s="14" t="s">
        <v>63</v>
      </c>
      <c r="U31" s="4">
        <v>15.761261729999999</v>
      </c>
      <c r="V31" s="15" t="s">
        <v>64</v>
      </c>
    </row>
    <row r="32" spans="1:22" x14ac:dyDescent="0.25">
      <c r="A32" s="2">
        <v>4</v>
      </c>
      <c r="B32" s="2">
        <v>33</v>
      </c>
      <c r="C32" s="10" t="s">
        <v>41</v>
      </c>
      <c r="D32" s="2">
        <v>4</v>
      </c>
      <c r="E32" s="11" t="s">
        <v>42</v>
      </c>
      <c r="F32" s="4">
        <v>675.16666666666663</v>
      </c>
      <c r="G32" s="4">
        <v>53.078754381265078</v>
      </c>
      <c r="H32" s="4">
        <v>2817.3541666666665</v>
      </c>
      <c r="I32" s="4">
        <v>404.58333333333331</v>
      </c>
      <c r="J32" s="4">
        <v>59.756798776373557</v>
      </c>
      <c r="K32" s="4">
        <v>3570.875</v>
      </c>
      <c r="L32" s="4">
        <v>251</v>
      </c>
      <c r="M32" s="4">
        <v>100.95718977203489</v>
      </c>
      <c r="N32" s="4">
        <v>10192.354166666666</v>
      </c>
      <c r="O32" s="12" t="s">
        <v>14</v>
      </c>
      <c r="P32" s="3" t="s">
        <v>16</v>
      </c>
      <c r="Q32" s="2" t="s">
        <v>15</v>
      </c>
      <c r="R32" s="13" t="s">
        <v>17</v>
      </c>
      <c r="S32" s="3" t="s">
        <v>38</v>
      </c>
      <c r="T32" s="14" t="s">
        <v>63</v>
      </c>
      <c r="U32" s="4">
        <v>22.747469760000001</v>
      </c>
      <c r="V32" s="15" t="s">
        <v>64</v>
      </c>
    </row>
    <row r="33" spans="1:22" x14ac:dyDescent="0.25">
      <c r="A33" s="2">
        <v>5</v>
      </c>
      <c r="B33" s="2">
        <v>34</v>
      </c>
      <c r="C33" s="10" t="s">
        <v>43</v>
      </c>
      <c r="D33" s="2">
        <v>5</v>
      </c>
      <c r="E33" s="11" t="s">
        <v>44</v>
      </c>
      <c r="F33" s="4">
        <v>678.73333333333335</v>
      </c>
      <c r="G33" s="4">
        <v>104.78002354138566</v>
      </c>
      <c r="H33" s="4">
        <v>10978.853333333333</v>
      </c>
      <c r="I33" s="4">
        <v>272.46666666666664</v>
      </c>
      <c r="J33" s="4">
        <v>87.360402929473707</v>
      </c>
      <c r="K33" s="4">
        <v>7631.8399999999992</v>
      </c>
      <c r="L33" s="4">
        <v>389.06666666666661</v>
      </c>
      <c r="M33" s="4">
        <v>103.40328814887852</v>
      </c>
      <c r="N33" s="4">
        <v>10692.24</v>
      </c>
      <c r="O33" s="12" t="s">
        <v>14</v>
      </c>
      <c r="P33" s="3" t="s">
        <v>15</v>
      </c>
      <c r="Q33" s="2" t="s">
        <v>45</v>
      </c>
      <c r="R33" s="13" t="s">
        <v>17</v>
      </c>
      <c r="S33" s="14" t="s">
        <v>32</v>
      </c>
      <c r="T33" s="3" t="s">
        <v>65</v>
      </c>
      <c r="U33" s="4">
        <v>17.179059030000001</v>
      </c>
      <c r="V33" s="15" t="s">
        <v>64</v>
      </c>
    </row>
    <row r="34" spans="1:22" x14ac:dyDescent="0.25">
      <c r="A34" s="2">
        <v>6</v>
      </c>
      <c r="B34" s="2">
        <v>36</v>
      </c>
      <c r="C34" s="10" t="s">
        <v>48</v>
      </c>
      <c r="D34" s="2">
        <v>3</v>
      </c>
      <c r="E34" s="11" t="s">
        <v>49</v>
      </c>
      <c r="F34" s="4">
        <v>735.33333333333337</v>
      </c>
      <c r="G34" s="4">
        <v>85.976741040818709</v>
      </c>
      <c r="H34" s="4">
        <v>7392</v>
      </c>
      <c r="I34" s="4">
        <v>274.88888888888886</v>
      </c>
      <c r="J34" s="4">
        <v>9.4985378991833382</v>
      </c>
      <c r="K34" s="4">
        <v>90.222222222222214</v>
      </c>
      <c r="L34" s="4">
        <v>424.66666666666669</v>
      </c>
      <c r="M34" s="4">
        <v>85.887523346913824</v>
      </c>
      <c r="N34" s="4">
        <v>7376.666666666667</v>
      </c>
      <c r="O34" s="2" t="s">
        <v>22</v>
      </c>
      <c r="P34" s="3" t="s">
        <v>15</v>
      </c>
      <c r="Q34" s="2" t="s">
        <v>16</v>
      </c>
      <c r="R34" s="2" t="s">
        <v>17</v>
      </c>
      <c r="S34" s="2" t="e">
        <v>#DIV/0!</v>
      </c>
      <c r="T34" s="3" t="s">
        <v>65</v>
      </c>
      <c r="U34" s="4">
        <v>20.36869145</v>
      </c>
      <c r="V34" s="15" t="s">
        <v>64</v>
      </c>
    </row>
    <row r="35" spans="1:22" x14ac:dyDescent="0.25">
      <c r="A35" s="2">
        <v>7</v>
      </c>
      <c r="B35" s="2">
        <v>38</v>
      </c>
      <c r="C35" s="2" t="s">
        <v>52</v>
      </c>
      <c r="D35" s="2">
        <v>7</v>
      </c>
      <c r="E35" s="11" t="s">
        <v>53</v>
      </c>
      <c r="F35" s="4">
        <v>666.90476190476193</v>
      </c>
      <c r="G35" s="4">
        <v>136.84083807835435</v>
      </c>
      <c r="H35" s="4">
        <v>18725.414965986394</v>
      </c>
      <c r="I35" s="4">
        <v>229.28571428571431</v>
      </c>
      <c r="J35" s="4">
        <v>93.880514593861079</v>
      </c>
      <c r="K35" s="4">
        <v>8813.5510204081638</v>
      </c>
      <c r="L35" s="4">
        <v>410</v>
      </c>
      <c r="M35" s="4">
        <v>121.35280549439533</v>
      </c>
      <c r="N35" s="4">
        <v>14726.503401360545</v>
      </c>
      <c r="O35" s="2" t="s">
        <v>45</v>
      </c>
      <c r="P35" s="3" t="s">
        <v>15</v>
      </c>
      <c r="Q35" s="2" t="s">
        <v>16</v>
      </c>
      <c r="R35" s="2" t="s">
        <v>17</v>
      </c>
      <c r="S35" s="2" t="e">
        <v>#DIV/0!</v>
      </c>
      <c r="T35" s="3" t="s">
        <v>65</v>
      </c>
      <c r="U35" s="4">
        <v>27.097465190000001</v>
      </c>
      <c r="V35" s="15" t="s">
        <v>64</v>
      </c>
    </row>
    <row r="36" spans="1:22" x14ac:dyDescent="0.25">
      <c r="A36" s="2">
        <v>8</v>
      </c>
      <c r="B36" s="2">
        <v>40</v>
      </c>
      <c r="C36" s="2" t="s">
        <v>54</v>
      </c>
      <c r="D36" s="2">
        <v>5</v>
      </c>
      <c r="E36" s="11" t="s">
        <v>55</v>
      </c>
      <c r="F36" s="4">
        <v>531.33333333333326</v>
      </c>
      <c r="G36" s="4">
        <v>70.324391216703745</v>
      </c>
      <c r="H36" s="4">
        <v>4945.5199999999995</v>
      </c>
      <c r="I36" s="4">
        <v>215.86666666666665</v>
      </c>
      <c r="J36" s="4">
        <v>49.410390270333494</v>
      </c>
      <c r="K36" s="4">
        <v>2441.3866666666668</v>
      </c>
      <c r="L36" s="4">
        <v>290.2</v>
      </c>
      <c r="M36" s="4">
        <v>72.16813701350479</v>
      </c>
      <c r="N36" s="4">
        <v>5208.24</v>
      </c>
      <c r="O36" s="2" t="s">
        <v>45</v>
      </c>
      <c r="P36" s="3" t="s">
        <v>15</v>
      </c>
      <c r="Q36" s="2" t="s">
        <v>16</v>
      </c>
      <c r="R36" s="2" t="s">
        <v>17</v>
      </c>
      <c r="S36" s="2" t="e">
        <v>#DIV/0!</v>
      </c>
      <c r="T36" s="3" t="s">
        <v>65</v>
      </c>
      <c r="U36" s="4">
        <v>13.98996236</v>
      </c>
      <c r="V36" s="15" t="s">
        <v>64</v>
      </c>
    </row>
    <row r="37" spans="1:22" x14ac:dyDescent="0.25">
      <c r="A37" s="2">
        <v>9</v>
      </c>
      <c r="B37" s="2">
        <v>42</v>
      </c>
      <c r="C37" s="2" t="s">
        <v>70</v>
      </c>
      <c r="D37" s="2">
        <v>7</v>
      </c>
      <c r="E37" s="2" t="s">
        <v>71</v>
      </c>
      <c r="F37" s="4">
        <v>614.61904761904759</v>
      </c>
      <c r="G37" s="4">
        <v>138.77192172231167</v>
      </c>
      <c r="H37" s="4">
        <v>19257.646258503402</v>
      </c>
      <c r="I37" s="4">
        <v>384.33333333333331</v>
      </c>
      <c r="J37" s="4">
        <v>201.11316068661577</v>
      </c>
      <c r="K37" s="4">
        <v>40446.50340136054</v>
      </c>
      <c r="L37" s="4">
        <v>202.80952380952382</v>
      </c>
      <c r="M37" s="4">
        <v>76.151746108504625</v>
      </c>
      <c r="N37" s="4">
        <v>5799.0884353741494</v>
      </c>
      <c r="O37" s="2" t="s">
        <v>14</v>
      </c>
      <c r="P37" s="3" t="s">
        <v>16</v>
      </c>
      <c r="Q37" s="2" t="s">
        <v>15</v>
      </c>
      <c r="R37" s="2" t="s">
        <v>17</v>
      </c>
      <c r="S37" s="2" t="s">
        <v>38</v>
      </c>
      <c r="T37" s="14" t="s">
        <v>63</v>
      </c>
      <c r="U37" s="4">
        <v>29.534361199999999</v>
      </c>
      <c r="V37" s="15" t="s">
        <v>64</v>
      </c>
    </row>
    <row r="38" spans="1:22" x14ac:dyDescent="0.25">
      <c r="A38" s="2">
        <v>10</v>
      </c>
      <c r="B38" s="2">
        <v>43</v>
      </c>
      <c r="C38" s="2" t="s">
        <v>72</v>
      </c>
      <c r="D38" s="2">
        <v>5</v>
      </c>
      <c r="E38" s="2" t="s">
        <v>73</v>
      </c>
      <c r="F38" s="4">
        <v>602.73333333333335</v>
      </c>
      <c r="G38" s="4">
        <v>143.35606021372101</v>
      </c>
      <c r="H38" s="4">
        <v>20550.960000000003</v>
      </c>
      <c r="I38" s="4">
        <v>203.5333333333333</v>
      </c>
      <c r="J38" s="4">
        <v>107.58252646224665</v>
      </c>
      <c r="K38" s="4">
        <v>11574</v>
      </c>
      <c r="L38" s="4">
        <v>357.2</v>
      </c>
      <c r="M38" s="4">
        <v>137.76482376378473</v>
      </c>
      <c r="N38" s="4">
        <v>18979.146666666667</v>
      </c>
      <c r="O38" s="2" t="s">
        <v>14</v>
      </c>
      <c r="P38" s="3" t="s">
        <v>15</v>
      </c>
      <c r="Q38" s="2" t="s">
        <v>16</v>
      </c>
      <c r="R38" s="2" t="s">
        <v>17</v>
      </c>
      <c r="S38" s="2" t="s">
        <v>38</v>
      </c>
      <c r="T38" s="3" t="s">
        <v>65</v>
      </c>
      <c r="U38" s="4">
        <v>25.494967370000001</v>
      </c>
      <c r="V38" s="15" t="s">
        <v>64</v>
      </c>
    </row>
    <row r="39" spans="1:22" x14ac:dyDescent="0.25">
      <c r="A39" s="2">
        <v>11</v>
      </c>
      <c r="B39" s="2">
        <v>45</v>
      </c>
      <c r="C39" s="2" t="s">
        <v>78</v>
      </c>
      <c r="D39" s="2">
        <v>6</v>
      </c>
      <c r="E39" s="2" t="s">
        <v>79</v>
      </c>
      <c r="F39" s="4">
        <v>666.66666666666663</v>
      </c>
      <c r="G39" s="4">
        <v>179.36396113923095</v>
      </c>
      <c r="H39" s="4">
        <v>32171.430555555551</v>
      </c>
      <c r="I39" s="4">
        <v>235.5</v>
      </c>
      <c r="J39" s="4">
        <v>131.74633665579557</v>
      </c>
      <c r="K39" s="4">
        <v>17357.097222222223</v>
      </c>
      <c r="L39" s="4">
        <v>399.88888888888891</v>
      </c>
      <c r="M39" s="4">
        <v>101.54776744997437</v>
      </c>
      <c r="N39" s="4">
        <v>10311.949074074075</v>
      </c>
      <c r="O39" s="2" t="s">
        <v>14</v>
      </c>
      <c r="P39" s="3" t="s">
        <v>15</v>
      </c>
      <c r="Q39" s="2" t="s">
        <v>16</v>
      </c>
      <c r="R39" s="2" t="s">
        <v>17</v>
      </c>
      <c r="S39" s="2" t="e">
        <v>#DIV/0!</v>
      </c>
      <c r="T39" s="3" t="s">
        <v>65</v>
      </c>
      <c r="U39" s="4">
        <v>24.6533333</v>
      </c>
      <c r="V39" s="15" t="s">
        <v>64</v>
      </c>
    </row>
    <row r="40" spans="1:22" x14ac:dyDescent="0.25">
      <c r="A40" s="2">
        <v>12</v>
      </c>
      <c r="B40" s="2">
        <v>47</v>
      </c>
      <c r="C40" s="2" t="s">
        <v>82</v>
      </c>
      <c r="D40" s="2">
        <v>5</v>
      </c>
      <c r="E40" s="2" t="s">
        <v>83</v>
      </c>
      <c r="F40" s="4">
        <v>664</v>
      </c>
      <c r="G40" s="4">
        <v>130.61219953230506</v>
      </c>
      <c r="H40" s="4">
        <v>17059.546666666665</v>
      </c>
      <c r="I40" s="4">
        <v>265.40000000000003</v>
      </c>
      <c r="J40" s="4">
        <v>97.724510743211198</v>
      </c>
      <c r="K40" s="4">
        <v>9550.08</v>
      </c>
      <c r="L40" s="4">
        <v>365.26666666666665</v>
      </c>
      <c r="M40" s="4">
        <v>39.8620956130842</v>
      </c>
      <c r="N40" s="4">
        <v>1588.9866666666667</v>
      </c>
      <c r="O40" s="2" t="s">
        <v>45</v>
      </c>
      <c r="P40" s="3" t="s">
        <v>15</v>
      </c>
      <c r="Q40" s="7" t="s">
        <v>14</v>
      </c>
      <c r="R40" s="2" t="s">
        <v>17</v>
      </c>
      <c r="S40" s="2" t="s">
        <v>32</v>
      </c>
      <c r="T40" s="3" t="s">
        <v>65</v>
      </c>
      <c r="U40" s="4">
        <v>15.04016064</v>
      </c>
      <c r="V40" s="15" t="s">
        <v>64</v>
      </c>
    </row>
    <row r="41" spans="1:22" x14ac:dyDescent="0.25">
      <c r="A41" s="2">
        <v>13</v>
      </c>
      <c r="B41" s="2">
        <v>48</v>
      </c>
      <c r="C41" s="2" t="s">
        <v>85</v>
      </c>
      <c r="D41" s="2">
        <v>6</v>
      </c>
      <c r="E41" s="2" t="s">
        <v>86</v>
      </c>
      <c r="F41" s="4">
        <v>694.6111111111112</v>
      </c>
      <c r="G41" s="4">
        <v>161.52923711961387</v>
      </c>
      <c r="H41" s="4">
        <v>26091.694444444442</v>
      </c>
      <c r="I41" s="4">
        <v>278.61111111111109</v>
      </c>
      <c r="J41" s="4">
        <v>113.69733212935708</v>
      </c>
      <c r="K41" s="4">
        <v>12927.083333333334</v>
      </c>
      <c r="L41" s="4">
        <v>377.88888888888891</v>
      </c>
      <c r="M41" s="4">
        <v>67.499382713226851</v>
      </c>
      <c r="N41" s="4">
        <v>4556.166666666667</v>
      </c>
      <c r="O41" s="2" t="s">
        <v>14</v>
      </c>
      <c r="P41" s="3" t="s">
        <v>16</v>
      </c>
      <c r="Q41" s="2" t="s">
        <v>15</v>
      </c>
      <c r="R41" s="2" t="s">
        <v>17</v>
      </c>
      <c r="S41" s="2" t="s">
        <v>32</v>
      </c>
      <c r="T41" s="3" t="s">
        <v>65</v>
      </c>
      <c r="U41" s="4">
        <v>14.292569779999999</v>
      </c>
      <c r="V41" s="15" t="s">
        <v>64</v>
      </c>
    </row>
    <row r="42" spans="1:22" x14ac:dyDescent="0.25">
      <c r="A42" s="2">
        <v>14</v>
      </c>
      <c r="B42" s="2">
        <v>51</v>
      </c>
      <c r="C42" s="2" t="s">
        <v>91</v>
      </c>
      <c r="D42" s="2">
        <v>8</v>
      </c>
      <c r="E42" s="2" t="s">
        <v>92</v>
      </c>
      <c r="F42" s="4">
        <v>633.47619047619048</v>
      </c>
      <c r="G42" s="4">
        <v>126.48336181619513</v>
      </c>
      <c r="H42" s="4">
        <v>15998.040816326529</v>
      </c>
      <c r="I42" s="4">
        <v>236.52380952380955</v>
      </c>
      <c r="J42" s="4">
        <v>86.050451899503955</v>
      </c>
      <c r="K42" s="4">
        <v>7404.6802721088434</v>
      </c>
      <c r="L42" s="4">
        <v>331.19047619047615</v>
      </c>
      <c r="M42" s="4">
        <v>128.29144117029406</v>
      </c>
      <c r="N42" s="4">
        <v>16458.693877551021</v>
      </c>
      <c r="O42" s="2" t="s">
        <v>22</v>
      </c>
      <c r="P42" s="3" t="s">
        <v>45</v>
      </c>
      <c r="Q42" s="2" t="s">
        <v>15</v>
      </c>
      <c r="R42" s="2" t="s">
        <v>17</v>
      </c>
      <c r="S42" s="2" t="s">
        <v>38</v>
      </c>
      <c r="T42" s="3" t="s">
        <v>65</v>
      </c>
      <c r="U42" s="4">
        <v>14.94399759</v>
      </c>
      <c r="V42" s="15" t="s">
        <v>64</v>
      </c>
    </row>
    <row r="43" spans="1:22" x14ac:dyDescent="0.25">
      <c r="A43" s="2">
        <v>15</v>
      </c>
      <c r="B43" s="2">
        <v>53</v>
      </c>
      <c r="C43" s="2" t="s">
        <v>96</v>
      </c>
      <c r="D43" s="2">
        <v>7</v>
      </c>
      <c r="E43" s="2" t="s">
        <v>97</v>
      </c>
      <c r="F43" s="4">
        <v>692.57142857142844</v>
      </c>
      <c r="G43" s="4">
        <v>157.34817755408491</v>
      </c>
      <c r="H43" s="4">
        <v>24758.448979591834</v>
      </c>
      <c r="I43" s="4">
        <v>275.52380952380958</v>
      </c>
      <c r="J43" s="4">
        <v>135.5257336810833</v>
      </c>
      <c r="K43" s="4">
        <v>18367.224489795917</v>
      </c>
      <c r="L43" s="4">
        <v>345.19047619047615</v>
      </c>
      <c r="M43" s="4">
        <v>138.11540082691081</v>
      </c>
      <c r="N43" s="4">
        <v>19075.863945578236</v>
      </c>
      <c r="O43" s="2" t="s">
        <v>22</v>
      </c>
      <c r="P43" s="3" t="s">
        <v>15</v>
      </c>
      <c r="Q43" s="2" t="s">
        <v>15</v>
      </c>
      <c r="R43" s="2" t="s">
        <v>17</v>
      </c>
      <c r="S43" s="2" t="s">
        <v>38</v>
      </c>
      <c r="T43" s="3" t="s">
        <v>65</v>
      </c>
      <c r="U43" s="4">
        <v>10.05913091</v>
      </c>
      <c r="V43" s="15" t="s">
        <v>64</v>
      </c>
    </row>
    <row r="46" spans="1:22" ht="28.5" x14ac:dyDescent="0.25">
      <c r="A46" s="29" t="s">
        <v>74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1:22" ht="38.25" customHeight="1" x14ac:dyDescent="0.25">
      <c r="A47" s="23" t="s">
        <v>3</v>
      </c>
      <c r="B47" s="23" t="s">
        <v>4</v>
      </c>
      <c r="C47" s="23" t="s">
        <v>5</v>
      </c>
      <c r="D47" s="23" t="s">
        <v>6</v>
      </c>
      <c r="E47" s="23" t="s">
        <v>7</v>
      </c>
      <c r="F47" s="23" t="s">
        <v>2</v>
      </c>
      <c r="G47" s="23"/>
      <c r="H47" s="23"/>
      <c r="I47" s="20" t="s">
        <v>0</v>
      </c>
      <c r="J47" s="20"/>
      <c r="K47" s="20"/>
      <c r="L47" s="25" t="s">
        <v>8</v>
      </c>
      <c r="M47" s="25"/>
      <c r="N47" s="25"/>
      <c r="O47" s="23">
        <v>2018</v>
      </c>
      <c r="P47" s="23"/>
      <c r="Q47" s="23"/>
      <c r="R47" s="23"/>
      <c r="S47" s="23"/>
      <c r="T47" s="24" t="s">
        <v>60</v>
      </c>
      <c r="U47" s="24" t="s">
        <v>62</v>
      </c>
      <c r="V47" s="24" t="s">
        <v>61</v>
      </c>
    </row>
    <row r="48" spans="1:22" ht="60" x14ac:dyDescent="0.25">
      <c r="A48" s="23"/>
      <c r="B48" s="23"/>
      <c r="C48" s="23"/>
      <c r="D48" s="23"/>
      <c r="E48" s="23"/>
      <c r="F48" s="19" t="s">
        <v>1</v>
      </c>
      <c r="G48" s="16" t="s">
        <v>116</v>
      </c>
      <c r="H48" s="16" t="s">
        <v>115</v>
      </c>
      <c r="I48" s="19" t="s">
        <v>1</v>
      </c>
      <c r="J48" s="16" t="s">
        <v>116</v>
      </c>
      <c r="K48" s="16" t="s">
        <v>115</v>
      </c>
      <c r="L48" s="19" t="s">
        <v>1</v>
      </c>
      <c r="M48" s="16" t="s">
        <v>116</v>
      </c>
      <c r="N48" s="16" t="s">
        <v>115</v>
      </c>
      <c r="O48" s="19" t="s">
        <v>10</v>
      </c>
      <c r="P48" s="19" t="s">
        <v>11</v>
      </c>
      <c r="Q48" s="19" t="s">
        <v>12</v>
      </c>
      <c r="R48" s="19" t="s">
        <v>13</v>
      </c>
      <c r="S48" s="19" t="s">
        <v>113</v>
      </c>
      <c r="T48" s="24"/>
      <c r="U48" s="24"/>
      <c r="V48" s="24"/>
    </row>
    <row r="49" spans="1:22" x14ac:dyDescent="0.25">
      <c r="A49" s="2">
        <v>1</v>
      </c>
      <c r="B49" s="2">
        <v>28</v>
      </c>
      <c r="C49" s="10" t="s">
        <v>27</v>
      </c>
      <c r="D49" s="2">
        <v>4</v>
      </c>
      <c r="E49" s="11" t="s">
        <v>28</v>
      </c>
      <c r="F49" s="4">
        <v>764.91666666666663</v>
      </c>
      <c r="G49" s="4">
        <v>118.73649045961677</v>
      </c>
      <c r="H49" s="4">
        <v>14098.354166666666</v>
      </c>
      <c r="I49" s="4">
        <v>515.58333333333337</v>
      </c>
      <c r="J49" s="4">
        <v>87.253581588379518</v>
      </c>
      <c r="K49" s="4">
        <v>7613.1875</v>
      </c>
      <c r="L49" s="4">
        <v>221.25</v>
      </c>
      <c r="M49" s="4">
        <v>32.504166399606888</v>
      </c>
      <c r="N49" s="4">
        <v>1056.5208333333333</v>
      </c>
      <c r="O49" s="2" t="s">
        <v>14</v>
      </c>
      <c r="P49" s="3" t="s">
        <v>16</v>
      </c>
      <c r="Q49" s="2" t="s">
        <v>15</v>
      </c>
      <c r="R49" s="12" t="s">
        <v>29</v>
      </c>
      <c r="S49" s="2" t="e">
        <v>#DIV/0!</v>
      </c>
      <c r="T49" s="14" t="s">
        <v>63</v>
      </c>
      <c r="U49" s="4">
        <v>38.479137160000001</v>
      </c>
      <c r="V49" s="15" t="s">
        <v>68</v>
      </c>
    </row>
    <row r="50" spans="1:22" x14ac:dyDescent="0.25">
      <c r="A50" s="2">
        <v>2</v>
      </c>
      <c r="B50" s="2">
        <v>39</v>
      </c>
      <c r="C50" s="2" t="s">
        <v>58</v>
      </c>
      <c r="D50" s="2">
        <v>6</v>
      </c>
      <c r="E50" s="11" t="s">
        <v>59</v>
      </c>
      <c r="F50" s="4">
        <v>606.55555555555554</v>
      </c>
      <c r="G50" s="4">
        <v>150.54032313267064</v>
      </c>
      <c r="H50" s="4">
        <v>22662.388888888887</v>
      </c>
      <c r="I50" s="4">
        <v>185.88888888888889</v>
      </c>
      <c r="J50" s="4">
        <v>133.68432967255362</v>
      </c>
      <c r="K50" s="4">
        <v>17871.5</v>
      </c>
      <c r="L50" s="4">
        <v>395.5555555555556</v>
      </c>
      <c r="M50" s="4">
        <v>50.335724740835758</v>
      </c>
      <c r="N50" s="4">
        <v>2533.6851851851852</v>
      </c>
      <c r="O50" s="2" t="s">
        <v>45</v>
      </c>
      <c r="P50" s="3" t="s">
        <v>15</v>
      </c>
      <c r="Q50" s="2" t="s">
        <v>16</v>
      </c>
      <c r="R50" s="2" t="s">
        <v>17</v>
      </c>
      <c r="S50" s="2" t="s">
        <v>38</v>
      </c>
      <c r="T50" s="3" t="s">
        <v>65</v>
      </c>
      <c r="U50" s="4">
        <v>34.566770470000002</v>
      </c>
      <c r="V50" s="15" t="s">
        <v>68</v>
      </c>
    </row>
    <row r="51" spans="1:22" x14ac:dyDescent="0.25">
      <c r="A51" s="2">
        <v>3</v>
      </c>
      <c r="B51" s="2">
        <v>41</v>
      </c>
      <c r="C51" s="2" t="s">
        <v>56</v>
      </c>
      <c r="D51" s="2">
        <v>5</v>
      </c>
      <c r="E51" s="11" t="s">
        <v>57</v>
      </c>
      <c r="F51" s="4">
        <v>578.06666666666661</v>
      </c>
      <c r="G51" s="4">
        <v>95.313657643242991</v>
      </c>
      <c r="H51" s="4">
        <v>9084.6933333333327</v>
      </c>
      <c r="I51" s="4">
        <v>388.5333333333333</v>
      </c>
      <c r="J51" s="4">
        <v>134.59559180498198</v>
      </c>
      <c r="K51" s="4">
        <v>18115.973333333332</v>
      </c>
      <c r="L51" s="4">
        <v>173.79999999999998</v>
      </c>
      <c r="M51" s="4">
        <v>62.239108819669539</v>
      </c>
      <c r="N51" s="4">
        <v>3873.7066666666669</v>
      </c>
      <c r="O51" s="2" t="s">
        <v>15</v>
      </c>
      <c r="P51" s="3" t="s">
        <v>16</v>
      </c>
      <c r="Q51" s="2" t="s">
        <v>16</v>
      </c>
      <c r="R51" s="2" t="s">
        <v>29</v>
      </c>
      <c r="S51" s="2" t="s">
        <v>32</v>
      </c>
      <c r="T51" s="14" t="s">
        <v>63</v>
      </c>
      <c r="U51" s="4">
        <v>37.146811210000003</v>
      </c>
      <c r="V51" s="15" t="s">
        <v>68</v>
      </c>
    </row>
    <row r="52" spans="1:22" x14ac:dyDescent="0.25">
      <c r="A52" s="2">
        <v>4</v>
      </c>
      <c r="B52" s="2">
        <v>50</v>
      </c>
      <c r="C52" s="2" t="s">
        <v>89</v>
      </c>
      <c r="D52" s="2">
        <v>8</v>
      </c>
      <c r="E52" s="2" t="s">
        <v>90</v>
      </c>
      <c r="F52" s="4">
        <v>644.95833333333337</v>
      </c>
      <c r="G52" s="4">
        <v>146.80466400969692</v>
      </c>
      <c r="H52" s="4">
        <v>21551.609375</v>
      </c>
      <c r="I52" s="4">
        <v>306</v>
      </c>
      <c r="J52" s="4">
        <v>155.00211692102789</v>
      </c>
      <c r="K52" s="4">
        <v>24025.65625</v>
      </c>
      <c r="L52" s="4">
        <v>289.20833333333331</v>
      </c>
      <c r="M52" s="4">
        <v>76.414065295598562</v>
      </c>
      <c r="N52" s="4">
        <v>5839.109375</v>
      </c>
      <c r="O52" s="2" t="s">
        <v>22</v>
      </c>
      <c r="P52" s="3" t="s">
        <v>22</v>
      </c>
      <c r="Q52" s="2" t="s">
        <v>15</v>
      </c>
      <c r="R52" s="2" t="s">
        <v>17</v>
      </c>
      <c r="S52" s="2" t="s">
        <v>38</v>
      </c>
      <c r="T52" s="14" t="s">
        <v>63</v>
      </c>
      <c r="U52" s="4">
        <v>2.6035273600000002</v>
      </c>
      <c r="V52" s="15" t="s">
        <v>68</v>
      </c>
    </row>
    <row r="53" spans="1:22" x14ac:dyDescent="0.25">
      <c r="A53" s="2">
        <v>5</v>
      </c>
      <c r="B53" s="2">
        <v>59</v>
      </c>
      <c r="C53" s="2" t="s">
        <v>108</v>
      </c>
      <c r="D53" s="2">
        <v>6</v>
      </c>
      <c r="E53" s="2" t="s">
        <v>109</v>
      </c>
      <c r="F53" s="4">
        <v>585.22222222222217</v>
      </c>
      <c r="G53" s="4">
        <v>150.13241069382966</v>
      </c>
      <c r="H53" s="4">
        <v>22539.740740740741</v>
      </c>
      <c r="I53" s="4">
        <v>175.61111111111109</v>
      </c>
      <c r="J53" s="4">
        <v>114.61507641118048</v>
      </c>
      <c r="K53" s="4">
        <v>13136.615740740739</v>
      </c>
      <c r="L53" s="4">
        <v>384.5555555555556</v>
      </c>
      <c r="M53" s="4">
        <v>60.97589839588413</v>
      </c>
      <c r="N53" s="4">
        <v>3718.0601851851848</v>
      </c>
      <c r="O53" s="2" t="s">
        <v>14</v>
      </c>
      <c r="P53" s="3" t="s">
        <v>15</v>
      </c>
      <c r="Q53" s="2" t="s">
        <v>16</v>
      </c>
      <c r="R53" s="2" t="s">
        <v>17</v>
      </c>
      <c r="S53" s="2" t="e">
        <v>#DIV/0!</v>
      </c>
      <c r="T53" s="3" t="s">
        <v>65</v>
      </c>
      <c r="U53" s="4">
        <v>35.703436490000001</v>
      </c>
      <c r="V53" s="15" t="s">
        <v>68</v>
      </c>
    </row>
    <row r="56" spans="1:22" ht="28.5" x14ac:dyDescent="0.25">
      <c r="A56" s="29" t="s">
        <v>114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1:22" ht="38.25" customHeight="1" x14ac:dyDescent="0.25">
      <c r="A57" s="23" t="s">
        <v>3</v>
      </c>
      <c r="B57" s="23" t="s">
        <v>4</v>
      </c>
      <c r="C57" s="23" t="s">
        <v>5</v>
      </c>
      <c r="D57" s="23" t="s">
        <v>6</v>
      </c>
      <c r="E57" s="23" t="s">
        <v>7</v>
      </c>
      <c r="F57" s="23" t="s">
        <v>2</v>
      </c>
      <c r="G57" s="23"/>
      <c r="H57" s="23"/>
      <c r="I57" s="20" t="s">
        <v>0</v>
      </c>
      <c r="J57" s="20"/>
      <c r="K57" s="20"/>
      <c r="L57" s="25" t="s">
        <v>8</v>
      </c>
      <c r="M57" s="25"/>
      <c r="N57" s="25"/>
      <c r="O57" s="23">
        <v>2018</v>
      </c>
      <c r="P57" s="23"/>
      <c r="Q57" s="23"/>
      <c r="R57" s="23"/>
      <c r="S57" s="23"/>
      <c r="T57" s="24" t="s">
        <v>60</v>
      </c>
      <c r="U57" s="24" t="s">
        <v>62</v>
      </c>
      <c r="V57" s="24" t="s">
        <v>61</v>
      </c>
    </row>
    <row r="58" spans="1:22" ht="60" x14ac:dyDescent="0.25">
      <c r="A58" s="23"/>
      <c r="B58" s="23"/>
      <c r="C58" s="23"/>
      <c r="D58" s="23"/>
      <c r="E58" s="23"/>
      <c r="F58" s="19" t="s">
        <v>1</v>
      </c>
      <c r="G58" s="16" t="s">
        <v>116</v>
      </c>
      <c r="H58" s="16" t="s">
        <v>115</v>
      </c>
      <c r="I58" s="19" t="s">
        <v>1</v>
      </c>
      <c r="J58" s="16" t="s">
        <v>116</v>
      </c>
      <c r="K58" s="16" t="s">
        <v>115</v>
      </c>
      <c r="L58" s="19" t="s">
        <v>1</v>
      </c>
      <c r="M58" s="16" t="s">
        <v>116</v>
      </c>
      <c r="N58" s="16" t="s">
        <v>115</v>
      </c>
      <c r="O58" s="19" t="s">
        <v>10</v>
      </c>
      <c r="P58" s="19" t="s">
        <v>11</v>
      </c>
      <c r="Q58" s="19" t="s">
        <v>12</v>
      </c>
      <c r="R58" s="19" t="s">
        <v>13</v>
      </c>
      <c r="S58" s="19" t="s">
        <v>113</v>
      </c>
      <c r="T58" s="24"/>
      <c r="U58" s="24"/>
      <c r="V58" s="24"/>
    </row>
    <row r="59" spans="1:22" x14ac:dyDescent="0.25">
      <c r="A59" s="2">
        <v>1</v>
      </c>
      <c r="B59" s="2">
        <v>29</v>
      </c>
      <c r="C59" s="10" t="s">
        <v>30</v>
      </c>
      <c r="D59" s="2">
        <v>4</v>
      </c>
      <c r="E59" s="11" t="s">
        <v>31</v>
      </c>
      <c r="F59" s="4">
        <v>653.75</v>
      </c>
      <c r="G59" s="4">
        <v>125.0655661376597</v>
      </c>
      <c r="H59" s="4">
        <v>15641.395833333334</v>
      </c>
      <c r="I59" s="4">
        <v>457.66666666666669</v>
      </c>
      <c r="J59" s="4">
        <v>121.7920016530916</v>
      </c>
      <c r="K59" s="4">
        <v>14833.291666666666</v>
      </c>
      <c r="L59" s="4">
        <v>173</v>
      </c>
      <c r="M59" s="4">
        <v>42.696604080418389</v>
      </c>
      <c r="N59" s="4">
        <v>1823</v>
      </c>
      <c r="O59" s="2" t="s">
        <v>14</v>
      </c>
      <c r="P59" s="3" t="s">
        <v>16</v>
      </c>
      <c r="Q59" s="2" t="s">
        <v>15</v>
      </c>
      <c r="R59" s="13" t="s">
        <v>17</v>
      </c>
      <c r="S59" s="14" t="s">
        <v>32</v>
      </c>
      <c r="T59" s="14" t="s">
        <v>63</v>
      </c>
      <c r="U59" s="4">
        <v>43.543658379999997</v>
      </c>
      <c r="V59" s="15" t="s">
        <v>84</v>
      </c>
    </row>
  </sheetData>
  <mergeCells count="53">
    <mergeCell ref="A27:A28"/>
    <mergeCell ref="B27:B28"/>
    <mergeCell ref="C27:C28"/>
    <mergeCell ref="D27:D28"/>
    <mergeCell ref="E27:E28"/>
    <mergeCell ref="A4:V4"/>
    <mergeCell ref="A26:V26"/>
    <mergeCell ref="A5:A6"/>
    <mergeCell ref="B5:B6"/>
    <mergeCell ref="C5:C6"/>
    <mergeCell ref="D5:D6"/>
    <mergeCell ref="E5:E6"/>
    <mergeCell ref="F5:H5"/>
    <mergeCell ref="I5:K5"/>
    <mergeCell ref="L5:N5"/>
    <mergeCell ref="O5:S5"/>
    <mergeCell ref="T27:T28"/>
    <mergeCell ref="U27:U28"/>
    <mergeCell ref="T5:T6"/>
    <mergeCell ref="U5:U6"/>
    <mergeCell ref="V5:V6"/>
    <mergeCell ref="D57:D58"/>
    <mergeCell ref="E57:E58"/>
    <mergeCell ref="V27:V28"/>
    <mergeCell ref="A46:V46"/>
    <mergeCell ref="A47:A48"/>
    <mergeCell ref="B47:B48"/>
    <mergeCell ref="C47:C48"/>
    <mergeCell ref="D47:D48"/>
    <mergeCell ref="E47:E48"/>
    <mergeCell ref="F47:H47"/>
    <mergeCell ref="I47:K47"/>
    <mergeCell ref="L47:N47"/>
    <mergeCell ref="F27:H27"/>
    <mergeCell ref="I27:K27"/>
    <mergeCell ref="L27:N27"/>
    <mergeCell ref="O27:S27"/>
    <mergeCell ref="A1:V3"/>
    <mergeCell ref="V57:V58"/>
    <mergeCell ref="F57:H57"/>
    <mergeCell ref="I57:K57"/>
    <mergeCell ref="L57:N57"/>
    <mergeCell ref="O57:S57"/>
    <mergeCell ref="T57:T58"/>
    <mergeCell ref="U57:U58"/>
    <mergeCell ref="O47:S47"/>
    <mergeCell ref="T47:T48"/>
    <mergeCell ref="U47:U48"/>
    <mergeCell ref="V47:V48"/>
    <mergeCell ref="A56:V56"/>
    <mergeCell ref="A57:A58"/>
    <mergeCell ref="B57:B58"/>
    <mergeCell ref="C57:C58"/>
  </mergeCells>
  <conditionalFormatting sqref="O7:O11 O13">
    <cfRule type="containsText" dxfId="391" priority="347" operator="containsText" text="AVG">
      <formula>NOT(ISERROR(SEARCH("AVG",O7)))</formula>
    </cfRule>
  </conditionalFormatting>
  <conditionalFormatting sqref="O7:O11 O13">
    <cfRule type="cellIs" dxfId="390" priority="346" operator="equal">
      <formula>"STRONG"</formula>
    </cfRule>
  </conditionalFormatting>
  <conditionalFormatting sqref="O7:O11 O13">
    <cfRule type="containsText" dxfId="389" priority="345" operator="containsText" text="VSTRONG">
      <formula>NOT(ISERROR(SEARCH("VSTRONG",O7)))</formula>
    </cfRule>
  </conditionalFormatting>
  <conditionalFormatting sqref="P7:P8 P10 P13">
    <cfRule type="containsText" dxfId="388" priority="344" operator="containsText" text="STRONG">
      <formula>NOT(ISERROR(SEARCH("STRONG",P7)))</formula>
    </cfRule>
  </conditionalFormatting>
  <conditionalFormatting sqref="P7:P8 P10 P13">
    <cfRule type="containsText" dxfId="387" priority="343" operator="containsText" text="VSTRONG">
      <formula>NOT(ISERROR(SEARCH("VSTRONG",P7)))</formula>
    </cfRule>
  </conditionalFormatting>
  <conditionalFormatting sqref="R7:R8 R10 R13">
    <cfRule type="containsText" dxfId="386" priority="342" operator="containsText" text="FEMALE DOM">
      <formula>NOT(ISERROR(SEARCH("FEMALE DOM",R7)))</formula>
    </cfRule>
  </conditionalFormatting>
  <conditionalFormatting sqref="O7:O11 O13">
    <cfRule type="containsText" dxfId="385" priority="341" operator="containsText" text="AVG">
      <formula>NOT(ISERROR(SEARCH("AVG",O7)))</formula>
    </cfRule>
  </conditionalFormatting>
  <conditionalFormatting sqref="Q7:Q8 Q10 Q13">
    <cfRule type="cellIs" dxfId="384" priority="340" operator="equal">
      <formula>"VWEAK"</formula>
    </cfRule>
  </conditionalFormatting>
  <conditionalFormatting sqref="Q7:Q8 Q10 P13:Q13">
    <cfRule type="containsText" dxfId="383" priority="339" operator="containsText" text="AVG">
      <formula>NOT(ISERROR(SEARCH("AVG",P7)))</formula>
    </cfRule>
  </conditionalFormatting>
  <conditionalFormatting sqref="Q7:Q8 Q10 Q13">
    <cfRule type="containsText" dxfId="382" priority="338" operator="containsText" text="VSTRONG">
      <formula>NOT(ISERROR(SEARCH("VSTRONG",Q7)))</formula>
    </cfRule>
  </conditionalFormatting>
  <conditionalFormatting sqref="R13">
    <cfRule type="containsText" dxfId="381" priority="337" operator="containsText" text="MEN">
      <formula>NOT(ISERROR(SEARCH("MEN",R13)))</formula>
    </cfRule>
  </conditionalFormatting>
  <conditionalFormatting sqref="S13">
    <cfRule type="containsText" dxfId="380" priority="336" operator="containsText" text="O">
      <formula>NOT(ISERROR(SEARCH("O",S13)))</formula>
    </cfRule>
  </conditionalFormatting>
  <conditionalFormatting sqref="S13">
    <cfRule type="containsText" dxfId="379" priority="334" operator="containsText" text="H">
      <formula>NOT(ISERROR(SEARCH("H",S13)))</formula>
    </cfRule>
    <cfRule type="containsText" dxfId="378" priority="335" operator="containsText" text="H">
      <formula>NOT(ISERROR(SEARCH("H",S13)))</formula>
    </cfRule>
  </conditionalFormatting>
  <conditionalFormatting sqref="S13">
    <cfRule type="containsText" dxfId="377" priority="333" operator="containsText" text="H">
      <formula>NOT(ISERROR(SEARCH("H",S13)))</formula>
    </cfRule>
  </conditionalFormatting>
  <conditionalFormatting sqref="R14">
    <cfRule type="containsText" dxfId="376" priority="332" operator="containsText" text="MEN">
      <formula>NOT(ISERROR(SEARCH("MEN",R14)))</formula>
    </cfRule>
  </conditionalFormatting>
  <conditionalFormatting sqref="O14">
    <cfRule type="containsText" dxfId="375" priority="331" operator="containsText" text="AVG">
      <formula>NOT(ISERROR(SEARCH("AVG",O14)))</formula>
    </cfRule>
  </conditionalFormatting>
  <conditionalFormatting sqref="O14">
    <cfRule type="cellIs" dxfId="374" priority="330" operator="equal">
      <formula>"STRONG"</formula>
    </cfRule>
  </conditionalFormatting>
  <conditionalFormatting sqref="O14">
    <cfRule type="containsText" dxfId="373" priority="329" operator="containsText" text="VSTRONG">
      <formula>NOT(ISERROR(SEARCH("VSTRONG",O14)))</formula>
    </cfRule>
  </conditionalFormatting>
  <conditionalFormatting sqref="S14">
    <cfRule type="containsText" dxfId="372" priority="328" operator="containsText" text="O">
      <formula>NOT(ISERROR(SEARCH("O",S14)))</formula>
    </cfRule>
  </conditionalFormatting>
  <conditionalFormatting sqref="S14">
    <cfRule type="containsText" dxfId="371" priority="326" operator="containsText" text="H">
      <formula>NOT(ISERROR(SEARCH("H",S14)))</formula>
    </cfRule>
    <cfRule type="containsText" dxfId="370" priority="327" operator="containsText" text="H">
      <formula>NOT(ISERROR(SEARCH("H",S14)))</formula>
    </cfRule>
  </conditionalFormatting>
  <conditionalFormatting sqref="P14">
    <cfRule type="containsText" dxfId="369" priority="325" operator="containsText" text="STRONG">
      <formula>NOT(ISERROR(SEARCH("STRONG",P14)))</formula>
    </cfRule>
  </conditionalFormatting>
  <conditionalFormatting sqref="P14">
    <cfRule type="containsText" dxfId="368" priority="324" operator="containsText" text="AVG">
      <formula>NOT(ISERROR(SEARCH("AVG",P14)))</formula>
    </cfRule>
  </conditionalFormatting>
  <conditionalFormatting sqref="P14">
    <cfRule type="containsText" dxfId="367" priority="323" operator="containsText" text="VSTRONG">
      <formula>NOT(ISERROR(SEARCH("VSTRONG",P14)))</formula>
    </cfRule>
  </conditionalFormatting>
  <conditionalFormatting sqref="R14">
    <cfRule type="containsText" dxfId="366" priority="322" operator="containsText" text="FEMALE DOM">
      <formula>NOT(ISERROR(SEARCH("FEMALE DOM",R14)))</formula>
    </cfRule>
  </conditionalFormatting>
  <conditionalFormatting sqref="O14">
    <cfRule type="containsText" dxfId="365" priority="321" operator="containsText" text="AVG">
      <formula>NOT(ISERROR(SEARCH("AVG",O14)))</formula>
    </cfRule>
  </conditionalFormatting>
  <conditionalFormatting sqref="S14">
    <cfRule type="containsText" dxfId="364" priority="320" operator="containsText" text="H">
      <formula>NOT(ISERROR(SEARCH("H",S14)))</formula>
    </cfRule>
  </conditionalFormatting>
  <conditionalFormatting sqref="Q14">
    <cfRule type="cellIs" dxfId="363" priority="319" operator="equal">
      <formula>"VWEAK"</formula>
    </cfRule>
  </conditionalFormatting>
  <conditionalFormatting sqref="Q14">
    <cfRule type="containsText" dxfId="362" priority="318" operator="containsText" text="AVG">
      <formula>NOT(ISERROR(SEARCH("AVG",Q14)))</formula>
    </cfRule>
  </conditionalFormatting>
  <conditionalFormatting sqref="Q14">
    <cfRule type="containsText" dxfId="361" priority="317" operator="containsText" text="VSTRONG">
      <formula>NOT(ISERROR(SEARCH("VSTRONG",Q14)))</formula>
    </cfRule>
  </conditionalFormatting>
  <conditionalFormatting sqref="O15">
    <cfRule type="containsText" dxfId="360" priority="316" operator="containsText" text="AVG">
      <formula>NOT(ISERROR(SEARCH("AVG",O15)))</formula>
    </cfRule>
  </conditionalFormatting>
  <conditionalFormatting sqref="O15">
    <cfRule type="cellIs" dxfId="359" priority="315" operator="equal">
      <formula>"STRONG"</formula>
    </cfRule>
  </conditionalFormatting>
  <conditionalFormatting sqref="O15">
    <cfRule type="containsText" dxfId="358" priority="314" operator="containsText" text="VSTRONG">
      <formula>NOT(ISERROR(SEARCH("VSTRONG",O15)))</formula>
    </cfRule>
  </conditionalFormatting>
  <conditionalFormatting sqref="S15">
    <cfRule type="containsText" dxfId="357" priority="313" operator="containsText" text="O">
      <formula>NOT(ISERROR(SEARCH("O",S15)))</formula>
    </cfRule>
  </conditionalFormatting>
  <conditionalFormatting sqref="S15">
    <cfRule type="containsText" dxfId="356" priority="311" operator="containsText" text="H">
      <formula>NOT(ISERROR(SEARCH("H",S15)))</formula>
    </cfRule>
    <cfRule type="containsText" dxfId="355" priority="312" operator="containsText" text="H">
      <formula>NOT(ISERROR(SEARCH("H",S15)))</formula>
    </cfRule>
  </conditionalFormatting>
  <conditionalFormatting sqref="P15">
    <cfRule type="containsText" dxfId="354" priority="310" operator="containsText" text="STRONG">
      <formula>NOT(ISERROR(SEARCH("STRONG",P15)))</formula>
    </cfRule>
  </conditionalFormatting>
  <conditionalFormatting sqref="P15">
    <cfRule type="containsText" dxfId="353" priority="309" operator="containsText" text="AVG">
      <formula>NOT(ISERROR(SEARCH("AVG",P15)))</formula>
    </cfRule>
  </conditionalFormatting>
  <conditionalFormatting sqref="P15">
    <cfRule type="containsText" dxfId="352" priority="308" operator="containsText" text="VSTRONG">
      <formula>NOT(ISERROR(SEARCH("VSTRONG",P15)))</formula>
    </cfRule>
  </conditionalFormatting>
  <conditionalFormatting sqref="R15">
    <cfRule type="containsText" dxfId="351" priority="307" operator="containsText" text="FEMALE DOM">
      <formula>NOT(ISERROR(SEARCH("FEMALE DOM",R15)))</formula>
    </cfRule>
  </conditionalFormatting>
  <conditionalFormatting sqref="O15">
    <cfRule type="containsText" dxfId="350" priority="306" operator="containsText" text="AVG">
      <formula>NOT(ISERROR(SEARCH("AVG",O15)))</formula>
    </cfRule>
  </conditionalFormatting>
  <conditionalFormatting sqref="S15">
    <cfRule type="containsText" dxfId="349" priority="305" operator="containsText" text="H">
      <formula>NOT(ISERROR(SEARCH("H",S15)))</formula>
    </cfRule>
  </conditionalFormatting>
  <conditionalFormatting sqref="Q15">
    <cfRule type="cellIs" dxfId="348" priority="304" operator="equal">
      <formula>"VWEAK"</formula>
    </cfRule>
  </conditionalFormatting>
  <conditionalFormatting sqref="Q15">
    <cfRule type="containsText" dxfId="347" priority="303" operator="containsText" text="AVG">
      <formula>NOT(ISERROR(SEARCH("AVG",Q15)))</formula>
    </cfRule>
  </conditionalFormatting>
  <conditionalFormatting sqref="Q15">
    <cfRule type="containsText" dxfId="346" priority="302" operator="containsText" text="VSTRONG">
      <formula>NOT(ISERROR(SEARCH("VSTRONG",Q15)))</formula>
    </cfRule>
  </conditionalFormatting>
  <conditionalFormatting sqref="R15">
    <cfRule type="containsText" dxfId="345" priority="301" operator="containsText" text="MEN">
      <formula>NOT(ISERROR(SEARCH("MEN",R15)))</formula>
    </cfRule>
  </conditionalFormatting>
  <conditionalFormatting sqref="O16">
    <cfRule type="containsText" dxfId="344" priority="300" operator="containsText" text="AVG">
      <formula>NOT(ISERROR(SEARCH("AVG",O16)))</formula>
    </cfRule>
  </conditionalFormatting>
  <conditionalFormatting sqref="O16">
    <cfRule type="cellIs" dxfId="343" priority="299" operator="equal">
      <formula>"STRONG"</formula>
    </cfRule>
  </conditionalFormatting>
  <conditionalFormatting sqref="O16">
    <cfRule type="containsText" dxfId="342" priority="298" operator="containsText" text="VSTRONG">
      <formula>NOT(ISERROR(SEARCH("VSTRONG",O16)))</formula>
    </cfRule>
  </conditionalFormatting>
  <conditionalFormatting sqref="P16">
    <cfRule type="containsText" dxfId="341" priority="297" operator="containsText" text="STRONG">
      <formula>NOT(ISERROR(SEARCH("STRONG",P16)))</formula>
    </cfRule>
  </conditionalFormatting>
  <conditionalFormatting sqref="P16">
    <cfRule type="containsText" dxfId="340" priority="296" operator="containsText" text="AVG">
      <formula>NOT(ISERROR(SEARCH("AVG",P16)))</formula>
    </cfRule>
  </conditionalFormatting>
  <conditionalFormatting sqref="P16">
    <cfRule type="containsText" dxfId="339" priority="295" operator="containsText" text="VSTRONG">
      <formula>NOT(ISERROR(SEARCH("VSTRONG",P16)))</formula>
    </cfRule>
  </conditionalFormatting>
  <conditionalFormatting sqref="R16">
    <cfRule type="containsText" dxfId="338" priority="294" operator="containsText" text="FEMALE DOM">
      <formula>NOT(ISERROR(SEARCH("FEMALE DOM",R16)))</formula>
    </cfRule>
  </conditionalFormatting>
  <conditionalFormatting sqref="O16">
    <cfRule type="containsText" dxfId="337" priority="293" operator="containsText" text="AVG">
      <formula>NOT(ISERROR(SEARCH("AVG",O16)))</formula>
    </cfRule>
  </conditionalFormatting>
  <conditionalFormatting sqref="Q16">
    <cfRule type="cellIs" dxfId="336" priority="292" operator="equal">
      <formula>"VWEAK"</formula>
    </cfRule>
  </conditionalFormatting>
  <conditionalFormatting sqref="Q16">
    <cfRule type="containsText" dxfId="335" priority="291" operator="containsText" text="AVG">
      <formula>NOT(ISERROR(SEARCH("AVG",Q16)))</formula>
    </cfRule>
  </conditionalFormatting>
  <conditionalFormatting sqref="Q16">
    <cfRule type="containsText" dxfId="334" priority="290" operator="containsText" text="VSTRONG">
      <formula>NOT(ISERROR(SEARCH("VSTRONG",Q16)))</formula>
    </cfRule>
  </conditionalFormatting>
  <conditionalFormatting sqref="R16">
    <cfRule type="containsText" dxfId="333" priority="289" operator="containsText" text="MEN">
      <formula>NOT(ISERROR(SEARCH("MEN",R16)))</formula>
    </cfRule>
  </conditionalFormatting>
  <conditionalFormatting sqref="S16">
    <cfRule type="containsText" dxfId="332" priority="288" operator="containsText" text="O">
      <formula>NOT(ISERROR(SEARCH("O",S16)))</formula>
    </cfRule>
  </conditionalFormatting>
  <conditionalFormatting sqref="S16">
    <cfRule type="containsText" dxfId="331" priority="286" operator="containsText" text="H">
      <formula>NOT(ISERROR(SEARCH("H",S16)))</formula>
    </cfRule>
    <cfRule type="containsText" dxfId="330" priority="287" operator="containsText" text="H">
      <formula>NOT(ISERROR(SEARCH("H",S16)))</formula>
    </cfRule>
  </conditionalFormatting>
  <conditionalFormatting sqref="S16">
    <cfRule type="containsText" dxfId="329" priority="285" operator="containsText" text="H">
      <formula>NOT(ISERROR(SEARCH("H",S16)))</formula>
    </cfRule>
  </conditionalFormatting>
  <conditionalFormatting sqref="O17">
    <cfRule type="containsText" dxfId="328" priority="284" operator="containsText" text="AVG">
      <formula>NOT(ISERROR(SEARCH("AVG",O17)))</formula>
    </cfRule>
  </conditionalFormatting>
  <conditionalFormatting sqref="O17">
    <cfRule type="cellIs" dxfId="327" priority="283" operator="equal">
      <formula>"STRONG"</formula>
    </cfRule>
  </conditionalFormatting>
  <conditionalFormatting sqref="O17">
    <cfRule type="containsText" dxfId="326" priority="282" operator="containsText" text="VSTRONG">
      <formula>NOT(ISERROR(SEARCH("VSTRONG",O17)))</formula>
    </cfRule>
  </conditionalFormatting>
  <conditionalFormatting sqref="P17">
    <cfRule type="containsText" dxfId="325" priority="281" operator="containsText" text="STRONG">
      <formula>NOT(ISERROR(SEARCH("STRONG",P17)))</formula>
    </cfRule>
  </conditionalFormatting>
  <conditionalFormatting sqref="P17">
    <cfRule type="containsText" dxfId="324" priority="280" operator="containsText" text="AVG">
      <formula>NOT(ISERROR(SEARCH("AVG",P17)))</formula>
    </cfRule>
  </conditionalFormatting>
  <conditionalFormatting sqref="P17">
    <cfRule type="containsText" dxfId="323" priority="279" operator="containsText" text="VSTRONG">
      <formula>NOT(ISERROR(SEARCH("VSTRONG",P17)))</formula>
    </cfRule>
  </conditionalFormatting>
  <conditionalFormatting sqref="R17">
    <cfRule type="containsText" dxfId="322" priority="278" operator="containsText" text="FEMALE DOM">
      <formula>NOT(ISERROR(SEARCH("FEMALE DOM",R17)))</formula>
    </cfRule>
  </conditionalFormatting>
  <conditionalFormatting sqref="O17">
    <cfRule type="containsText" dxfId="321" priority="277" operator="containsText" text="AVG">
      <formula>NOT(ISERROR(SEARCH("AVG",O17)))</formula>
    </cfRule>
  </conditionalFormatting>
  <conditionalFormatting sqref="Q17">
    <cfRule type="cellIs" dxfId="320" priority="276" operator="equal">
      <formula>"VWEAK"</formula>
    </cfRule>
  </conditionalFormatting>
  <conditionalFormatting sqref="Q17">
    <cfRule type="containsText" dxfId="319" priority="275" operator="containsText" text="AVG">
      <formula>NOT(ISERROR(SEARCH("AVG",Q17)))</formula>
    </cfRule>
  </conditionalFormatting>
  <conditionalFormatting sqref="Q17">
    <cfRule type="containsText" dxfId="318" priority="274" operator="containsText" text="VSTRONG">
      <formula>NOT(ISERROR(SEARCH("VSTRONG",Q17)))</formula>
    </cfRule>
  </conditionalFormatting>
  <conditionalFormatting sqref="R17">
    <cfRule type="containsText" dxfId="317" priority="273" operator="containsText" text="MEN">
      <formula>NOT(ISERROR(SEARCH("MEN",R17)))</formula>
    </cfRule>
  </conditionalFormatting>
  <conditionalFormatting sqref="S17">
    <cfRule type="containsText" dxfId="316" priority="272" operator="containsText" text="O">
      <formula>NOT(ISERROR(SEARCH("O",S17)))</formula>
    </cfRule>
  </conditionalFormatting>
  <conditionalFormatting sqref="S17">
    <cfRule type="containsText" dxfId="315" priority="270" operator="containsText" text="H">
      <formula>NOT(ISERROR(SEARCH("H",S17)))</formula>
    </cfRule>
    <cfRule type="containsText" dxfId="314" priority="271" operator="containsText" text="H">
      <formula>NOT(ISERROR(SEARCH("H",S17)))</formula>
    </cfRule>
  </conditionalFormatting>
  <conditionalFormatting sqref="S17">
    <cfRule type="containsText" dxfId="313" priority="269" operator="containsText" text="H">
      <formula>NOT(ISERROR(SEARCH("H",S17)))</formula>
    </cfRule>
  </conditionalFormatting>
  <conditionalFormatting sqref="O18">
    <cfRule type="containsText" dxfId="312" priority="268" operator="containsText" text="AVG">
      <formula>NOT(ISERROR(SEARCH("AVG",O18)))</formula>
    </cfRule>
  </conditionalFormatting>
  <conditionalFormatting sqref="O18">
    <cfRule type="cellIs" dxfId="311" priority="267" operator="equal">
      <formula>"STRONG"</formula>
    </cfRule>
  </conditionalFormatting>
  <conditionalFormatting sqref="O18">
    <cfRule type="containsText" dxfId="310" priority="266" operator="containsText" text="VSTRONG">
      <formula>NOT(ISERROR(SEARCH("VSTRONG",O18)))</formula>
    </cfRule>
  </conditionalFormatting>
  <conditionalFormatting sqref="P18">
    <cfRule type="containsText" dxfId="309" priority="265" operator="containsText" text="STRONG">
      <formula>NOT(ISERROR(SEARCH("STRONG",P18)))</formula>
    </cfRule>
  </conditionalFormatting>
  <conditionalFormatting sqref="P18:Q18">
    <cfRule type="containsText" dxfId="308" priority="264" operator="containsText" text="AVG">
      <formula>NOT(ISERROR(SEARCH("AVG",P18)))</formula>
    </cfRule>
  </conditionalFormatting>
  <conditionalFormatting sqref="P18">
    <cfRule type="containsText" dxfId="307" priority="263" operator="containsText" text="VSTRONG">
      <formula>NOT(ISERROR(SEARCH("VSTRONG",P18)))</formula>
    </cfRule>
  </conditionalFormatting>
  <conditionalFormatting sqref="R18">
    <cfRule type="containsText" dxfId="306" priority="262" operator="containsText" text="FEMALE DOM">
      <formula>NOT(ISERROR(SEARCH("FEMALE DOM",R18)))</formula>
    </cfRule>
  </conditionalFormatting>
  <conditionalFormatting sqref="O18">
    <cfRule type="containsText" dxfId="305" priority="261" operator="containsText" text="AVG">
      <formula>NOT(ISERROR(SEARCH("AVG",O18)))</formula>
    </cfRule>
  </conditionalFormatting>
  <conditionalFormatting sqref="Q18">
    <cfRule type="cellIs" dxfId="304" priority="260" operator="equal">
      <formula>"VWEAK"</formula>
    </cfRule>
  </conditionalFormatting>
  <conditionalFormatting sqref="Q18">
    <cfRule type="containsText" dxfId="303" priority="259" operator="containsText" text="VSTRONG">
      <formula>NOT(ISERROR(SEARCH("VSTRONG",Q18)))</formula>
    </cfRule>
  </conditionalFormatting>
  <conditionalFormatting sqref="R18">
    <cfRule type="containsText" dxfId="302" priority="258" operator="containsText" text="MEN">
      <formula>NOT(ISERROR(SEARCH("MEN",R18)))</formula>
    </cfRule>
  </conditionalFormatting>
  <conditionalFormatting sqref="S18">
    <cfRule type="containsText" dxfId="301" priority="257" operator="containsText" text="O">
      <formula>NOT(ISERROR(SEARCH("O",S18)))</formula>
    </cfRule>
  </conditionalFormatting>
  <conditionalFormatting sqref="S18">
    <cfRule type="containsText" dxfId="300" priority="255" operator="containsText" text="H">
      <formula>NOT(ISERROR(SEARCH("H",S18)))</formula>
    </cfRule>
    <cfRule type="containsText" dxfId="299" priority="256" operator="containsText" text="H">
      <formula>NOT(ISERROR(SEARCH("H",S18)))</formula>
    </cfRule>
  </conditionalFormatting>
  <conditionalFormatting sqref="S18">
    <cfRule type="containsText" dxfId="298" priority="254" operator="containsText" text="H">
      <formula>NOT(ISERROR(SEARCH("H",S18)))</formula>
    </cfRule>
  </conditionalFormatting>
  <conditionalFormatting sqref="O19">
    <cfRule type="containsText" dxfId="297" priority="253" operator="containsText" text="AVG">
      <formula>NOT(ISERROR(SEARCH("AVG",O19)))</formula>
    </cfRule>
  </conditionalFormatting>
  <conditionalFormatting sqref="O19">
    <cfRule type="cellIs" dxfId="296" priority="252" operator="equal">
      <formula>"STRONG"</formula>
    </cfRule>
  </conditionalFormatting>
  <conditionalFormatting sqref="O19">
    <cfRule type="containsText" dxfId="295" priority="251" operator="containsText" text="VSTRONG">
      <formula>NOT(ISERROR(SEARCH("VSTRONG",O19)))</formula>
    </cfRule>
  </conditionalFormatting>
  <conditionalFormatting sqref="S19">
    <cfRule type="containsText" dxfId="294" priority="250" operator="containsText" text="O">
      <formula>NOT(ISERROR(SEARCH("O",S19)))</formula>
    </cfRule>
  </conditionalFormatting>
  <conditionalFormatting sqref="S19">
    <cfRule type="containsText" dxfId="293" priority="248" operator="containsText" text="H">
      <formula>NOT(ISERROR(SEARCH("H",S19)))</formula>
    </cfRule>
    <cfRule type="containsText" dxfId="292" priority="249" operator="containsText" text="H">
      <formula>NOT(ISERROR(SEARCH("H",S19)))</formula>
    </cfRule>
  </conditionalFormatting>
  <conditionalFormatting sqref="P19">
    <cfRule type="containsText" dxfId="291" priority="247" operator="containsText" text="STRONG">
      <formula>NOT(ISERROR(SEARCH("STRONG",P19)))</formula>
    </cfRule>
  </conditionalFormatting>
  <conditionalFormatting sqref="P19">
    <cfRule type="containsText" dxfId="290" priority="246" operator="containsText" text="AVG">
      <formula>NOT(ISERROR(SEARCH("AVG",P19)))</formula>
    </cfRule>
  </conditionalFormatting>
  <conditionalFormatting sqref="P19">
    <cfRule type="containsText" dxfId="289" priority="245" operator="containsText" text="VSTRONG">
      <formula>NOT(ISERROR(SEARCH("VSTRONG",P19)))</formula>
    </cfRule>
  </conditionalFormatting>
  <conditionalFormatting sqref="R19">
    <cfRule type="containsText" dxfId="288" priority="244" operator="containsText" text="FEMALE DOM">
      <formula>NOT(ISERROR(SEARCH("FEMALE DOM",R19)))</formula>
    </cfRule>
  </conditionalFormatting>
  <conditionalFormatting sqref="O19">
    <cfRule type="containsText" dxfId="287" priority="243" operator="containsText" text="AVG">
      <formula>NOT(ISERROR(SEARCH("AVG",O19)))</formula>
    </cfRule>
  </conditionalFormatting>
  <conditionalFormatting sqref="S19">
    <cfRule type="containsText" dxfId="286" priority="242" operator="containsText" text="H">
      <formula>NOT(ISERROR(SEARCH("H",S19)))</formula>
    </cfRule>
  </conditionalFormatting>
  <conditionalFormatting sqref="Q19">
    <cfRule type="cellIs" dxfId="285" priority="241" operator="equal">
      <formula>"VWEAK"</formula>
    </cfRule>
  </conditionalFormatting>
  <conditionalFormatting sqref="Q19">
    <cfRule type="containsText" dxfId="284" priority="240" operator="containsText" text="AVG">
      <formula>NOT(ISERROR(SEARCH("AVG",Q19)))</formula>
    </cfRule>
  </conditionalFormatting>
  <conditionalFormatting sqref="Q19">
    <cfRule type="containsText" dxfId="283" priority="239" operator="containsText" text="VSTRONG">
      <formula>NOT(ISERROR(SEARCH("VSTRONG",Q19)))</formula>
    </cfRule>
  </conditionalFormatting>
  <conditionalFormatting sqref="R19">
    <cfRule type="containsText" dxfId="282" priority="238" operator="containsText" text="MEN">
      <formula>NOT(ISERROR(SEARCH("MEN",R19)))</formula>
    </cfRule>
  </conditionalFormatting>
  <conditionalFormatting sqref="O20">
    <cfRule type="containsText" dxfId="281" priority="237" operator="containsText" text="AVG">
      <formula>NOT(ISERROR(SEARCH("AVG",O20)))</formula>
    </cfRule>
  </conditionalFormatting>
  <conditionalFormatting sqref="O20">
    <cfRule type="cellIs" dxfId="280" priority="236" operator="equal">
      <formula>"STRONG"</formula>
    </cfRule>
  </conditionalFormatting>
  <conditionalFormatting sqref="O20">
    <cfRule type="containsText" dxfId="279" priority="235" operator="containsText" text="VSTRONG">
      <formula>NOT(ISERROR(SEARCH("VSTRONG",O20)))</formula>
    </cfRule>
  </conditionalFormatting>
  <conditionalFormatting sqref="S20">
    <cfRule type="containsText" dxfId="278" priority="234" operator="containsText" text="O">
      <formula>NOT(ISERROR(SEARCH("O",S20)))</formula>
    </cfRule>
  </conditionalFormatting>
  <conditionalFormatting sqref="S20">
    <cfRule type="containsText" dxfId="277" priority="232" operator="containsText" text="H">
      <formula>NOT(ISERROR(SEARCH("H",S20)))</formula>
    </cfRule>
    <cfRule type="containsText" dxfId="276" priority="233" operator="containsText" text="H">
      <formula>NOT(ISERROR(SEARCH("H",S20)))</formula>
    </cfRule>
  </conditionalFormatting>
  <conditionalFormatting sqref="P20">
    <cfRule type="containsText" dxfId="275" priority="231" operator="containsText" text="STRONG">
      <formula>NOT(ISERROR(SEARCH("STRONG",P20)))</formula>
    </cfRule>
  </conditionalFormatting>
  <conditionalFormatting sqref="P20">
    <cfRule type="containsText" dxfId="274" priority="230" operator="containsText" text="AVG">
      <formula>NOT(ISERROR(SEARCH("AVG",P20)))</formula>
    </cfRule>
  </conditionalFormatting>
  <conditionalFormatting sqref="P20">
    <cfRule type="containsText" dxfId="273" priority="229" operator="containsText" text="VSTRONG">
      <formula>NOT(ISERROR(SEARCH("VSTRONG",P20)))</formula>
    </cfRule>
  </conditionalFormatting>
  <conditionalFormatting sqref="R20">
    <cfRule type="containsText" dxfId="272" priority="228" operator="containsText" text="FEMALE DOM">
      <formula>NOT(ISERROR(SEARCH("FEMALE DOM",R20)))</formula>
    </cfRule>
  </conditionalFormatting>
  <conditionalFormatting sqref="O20">
    <cfRule type="containsText" dxfId="271" priority="227" operator="containsText" text="AVG">
      <formula>NOT(ISERROR(SEARCH("AVG",O20)))</formula>
    </cfRule>
  </conditionalFormatting>
  <conditionalFormatting sqref="S20">
    <cfRule type="containsText" dxfId="270" priority="226" operator="containsText" text="H">
      <formula>NOT(ISERROR(SEARCH("H",S20)))</formula>
    </cfRule>
  </conditionalFormatting>
  <conditionalFormatting sqref="Q20">
    <cfRule type="cellIs" dxfId="269" priority="225" operator="equal">
      <formula>"VWEAK"</formula>
    </cfRule>
  </conditionalFormatting>
  <conditionalFormatting sqref="Q20">
    <cfRule type="containsText" dxfId="268" priority="224" operator="containsText" text="AVG">
      <formula>NOT(ISERROR(SEARCH("AVG",Q20)))</formula>
    </cfRule>
  </conditionalFormatting>
  <conditionalFormatting sqref="Q20">
    <cfRule type="containsText" dxfId="267" priority="223" operator="containsText" text="VSTRONG">
      <formula>NOT(ISERROR(SEARCH("VSTRONG",Q20)))</formula>
    </cfRule>
  </conditionalFormatting>
  <conditionalFormatting sqref="R20">
    <cfRule type="containsText" dxfId="266" priority="222" operator="containsText" text="MEN">
      <formula>NOT(ISERROR(SEARCH("MEN",R20)))</formula>
    </cfRule>
  </conditionalFormatting>
  <conditionalFormatting sqref="O21">
    <cfRule type="containsText" dxfId="265" priority="221" operator="containsText" text="AVG">
      <formula>NOT(ISERROR(SEARCH("AVG",O21)))</formula>
    </cfRule>
  </conditionalFormatting>
  <conditionalFormatting sqref="O21">
    <cfRule type="cellIs" dxfId="264" priority="220" operator="equal">
      <formula>"STRONG"</formula>
    </cfRule>
  </conditionalFormatting>
  <conditionalFormatting sqref="O21">
    <cfRule type="containsText" dxfId="263" priority="219" operator="containsText" text="VSTRONG">
      <formula>NOT(ISERROR(SEARCH("VSTRONG",O21)))</formula>
    </cfRule>
  </conditionalFormatting>
  <conditionalFormatting sqref="S21">
    <cfRule type="containsText" dxfId="262" priority="218" operator="containsText" text="O">
      <formula>NOT(ISERROR(SEARCH("O",S21)))</formula>
    </cfRule>
  </conditionalFormatting>
  <conditionalFormatting sqref="S21">
    <cfRule type="containsText" dxfId="261" priority="216" operator="containsText" text="H">
      <formula>NOT(ISERROR(SEARCH("H",S21)))</formula>
    </cfRule>
    <cfRule type="containsText" dxfId="260" priority="217" operator="containsText" text="H">
      <formula>NOT(ISERROR(SEARCH("H",S21)))</formula>
    </cfRule>
  </conditionalFormatting>
  <conditionalFormatting sqref="P21">
    <cfRule type="containsText" dxfId="259" priority="215" operator="containsText" text="STRONG">
      <formula>NOT(ISERROR(SEARCH("STRONG",P21)))</formula>
    </cfRule>
  </conditionalFormatting>
  <conditionalFormatting sqref="P21:Q21">
    <cfRule type="containsText" dxfId="258" priority="214" operator="containsText" text="AVG">
      <formula>NOT(ISERROR(SEARCH("AVG",P21)))</formula>
    </cfRule>
  </conditionalFormatting>
  <conditionalFormatting sqref="P21">
    <cfRule type="containsText" dxfId="257" priority="213" operator="containsText" text="VSTRONG">
      <formula>NOT(ISERROR(SEARCH("VSTRONG",P21)))</formula>
    </cfRule>
  </conditionalFormatting>
  <conditionalFormatting sqref="R21">
    <cfRule type="containsText" dxfId="256" priority="212" operator="containsText" text="FEMALE DOM">
      <formula>NOT(ISERROR(SEARCH("FEMALE DOM",R21)))</formula>
    </cfRule>
  </conditionalFormatting>
  <conditionalFormatting sqref="O21">
    <cfRule type="containsText" dxfId="255" priority="211" operator="containsText" text="AVG">
      <formula>NOT(ISERROR(SEARCH("AVG",O21)))</formula>
    </cfRule>
  </conditionalFormatting>
  <conditionalFormatting sqref="S21">
    <cfRule type="containsText" dxfId="254" priority="210" operator="containsText" text="H">
      <formula>NOT(ISERROR(SEARCH("H",S21)))</formula>
    </cfRule>
  </conditionalFormatting>
  <conditionalFormatting sqref="Q21">
    <cfRule type="cellIs" dxfId="253" priority="209" operator="equal">
      <formula>"VWEAK"</formula>
    </cfRule>
  </conditionalFormatting>
  <conditionalFormatting sqref="Q21">
    <cfRule type="containsText" dxfId="252" priority="208" operator="containsText" text="VSTRONG">
      <formula>NOT(ISERROR(SEARCH("VSTRONG",Q21)))</formula>
    </cfRule>
  </conditionalFormatting>
  <conditionalFormatting sqref="R21">
    <cfRule type="containsText" dxfId="251" priority="207" operator="containsText" text="MEN">
      <formula>NOT(ISERROR(SEARCH("MEN",R21)))</formula>
    </cfRule>
  </conditionalFormatting>
  <conditionalFormatting sqref="O22">
    <cfRule type="containsText" dxfId="250" priority="206" operator="containsText" text="AVG">
      <formula>NOT(ISERROR(SEARCH("AVG",O22)))</formula>
    </cfRule>
  </conditionalFormatting>
  <conditionalFormatting sqref="O22">
    <cfRule type="cellIs" dxfId="249" priority="205" operator="equal">
      <formula>"STRONG"</formula>
    </cfRule>
  </conditionalFormatting>
  <conditionalFormatting sqref="O22">
    <cfRule type="containsText" dxfId="248" priority="204" operator="containsText" text="VSTRONG">
      <formula>NOT(ISERROR(SEARCH("VSTRONG",O22)))</formula>
    </cfRule>
  </conditionalFormatting>
  <conditionalFormatting sqref="S22">
    <cfRule type="containsText" dxfId="247" priority="203" operator="containsText" text="O">
      <formula>NOT(ISERROR(SEARCH("O",S22)))</formula>
    </cfRule>
  </conditionalFormatting>
  <conditionalFormatting sqref="S22">
    <cfRule type="containsText" dxfId="246" priority="201" operator="containsText" text="H">
      <formula>NOT(ISERROR(SEARCH("H",S22)))</formula>
    </cfRule>
    <cfRule type="containsText" dxfId="245" priority="202" operator="containsText" text="H">
      <formula>NOT(ISERROR(SEARCH("H",S22)))</formula>
    </cfRule>
  </conditionalFormatting>
  <conditionalFormatting sqref="P22">
    <cfRule type="containsText" dxfId="244" priority="200" operator="containsText" text="STRONG">
      <formula>NOT(ISERROR(SEARCH("STRONG",P22)))</formula>
    </cfRule>
  </conditionalFormatting>
  <conditionalFormatting sqref="P22">
    <cfRule type="containsText" dxfId="243" priority="199" operator="containsText" text="AVG">
      <formula>NOT(ISERROR(SEARCH("AVG",P22)))</formula>
    </cfRule>
  </conditionalFormatting>
  <conditionalFormatting sqref="P22">
    <cfRule type="containsText" dxfId="242" priority="198" operator="containsText" text="VSTRONG">
      <formula>NOT(ISERROR(SEARCH("VSTRONG",P22)))</formula>
    </cfRule>
  </conditionalFormatting>
  <conditionalFormatting sqref="R22">
    <cfRule type="containsText" dxfId="241" priority="197" operator="containsText" text="FEMALE DOM">
      <formula>NOT(ISERROR(SEARCH("FEMALE DOM",R22)))</formula>
    </cfRule>
  </conditionalFormatting>
  <conditionalFormatting sqref="O22">
    <cfRule type="containsText" dxfId="240" priority="196" operator="containsText" text="AVG">
      <formula>NOT(ISERROR(SEARCH("AVG",O22)))</formula>
    </cfRule>
  </conditionalFormatting>
  <conditionalFormatting sqref="S22">
    <cfRule type="containsText" dxfId="239" priority="195" operator="containsText" text="H">
      <formula>NOT(ISERROR(SEARCH("H",S22)))</formula>
    </cfRule>
  </conditionalFormatting>
  <conditionalFormatting sqref="Q22">
    <cfRule type="cellIs" dxfId="238" priority="194" operator="equal">
      <formula>"VWEAK"</formula>
    </cfRule>
  </conditionalFormatting>
  <conditionalFormatting sqref="Q22">
    <cfRule type="containsText" dxfId="237" priority="193" operator="containsText" text="AVG">
      <formula>NOT(ISERROR(SEARCH("AVG",Q22)))</formula>
    </cfRule>
  </conditionalFormatting>
  <conditionalFormatting sqref="Q22">
    <cfRule type="containsText" dxfId="236" priority="192" operator="containsText" text="VSTRONG">
      <formula>NOT(ISERROR(SEARCH("VSTRONG",Q22)))</formula>
    </cfRule>
  </conditionalFormatting>
  <conditionalFormatting sqref="R22">
    <cfRule type="containsText" dxfId="235" priority="191" operator="containsText" text="MEN">
      <formula>NOT(ISERROR(SEARCH("MEN",R22)))</formula>
    </cfRule>
  </conditionalFormatting>
  <conditionalFormatting sqref="O23">
    <cfRule type="containsText" dxfId="234" priority="190" operator="containsText" text="AVG">
      <formula>NOT(ISERROR(SEARCH("AVG",O23)))</formula>
    </cfRule>
  </conditionalFormatting>
  <conditionalFormatting sqref="O23">
    <cfRule type="cellIs" dxfId="233" priority="189" operator="equal">
      <formula>"STRONG"</formula>
    </cfRule>
  </conditionalFormatting>
  <conditionalFormatting sqref="O23">
    <cfRule type="containsText" dxfId="232" priority="188" operator="containsText" text="VSTRONG">
      <formula>NOT(ISERROR(SEARCH("VSTRONG",O23)))</formula>
    </cfRule>
  </conditionalFormatting>
  <conditionalFormatting sqref="P23">
    <cfRule type="containsText" dxfId="231" priority="187" operator="containsText" text="STRONG">
      <formula>NOT(ISERROR(SEARCH("STRONG",P23)))</formula>
    </cfRule>
  </conditionalFormatting>
  <conditionalFormatting sqref="P23">
    <cfRule type="containsText" dxfId="230" priority="186" operator="containsText" text="AVG">
      <formula>NOT(ISERROR(SEARCH("AVG",P23)))</formula>
    </cfRule>
  </conditionalFormatting>
  <conditionalFormatting sqref="P23">
    <cfRule type="containsText" dxfId="229" priority="185" operator="containsText" text="VSTRONG">
      <formula>NOT(ISERROR(SEARCH("VSTRONG",P23)))</formula>
    </cfRule>
  </conditionalFormatting>
  <conditionalFormatting sqref="O23">
    <cfRule type="containsText" dxfId="228" priority="184" operator="containsText" text="AVG">
      <formula>NOT(ISERROR(SEARCH("AVG",O23)))</formula>
    </cfRule>
  </conditionalFormatting>
  <conditionalFormatting sqref="R23">
    <cfRule type="containsText" dxfId="227" priority="183" operator="containsText" text="MEN">
      <formula>NOT(ISERROR(SEARCH("MEN",R23)))</formula>
    </cfRule>
  </conditionalFormatting>
  <conditionalFormatting sqref="S23">
    <cfRule type="containsText" dxfId="226" priority="182" operator="containsText" text="O">
      <formula>NOT(ISERROR(SEARCH("O",S23)))</formula>
    </cfRule>
  </conditionalFormatting>
  <conditionalFormatting sqref="S23">
    <cfRule type="containsText" dxfId="225" priority="180" operator="containsText" text="H">
      <formula>NOT(ISERROR(SEARCH("H",S23)))</formula>
    </cfRule>
    <cfRule type="containsText" dxfId="224" priority="181" operator="containsText" text="H">
      <formula>NOT(ISERROR(SEARCH("H",S23)))</formula>
    </cfRule>
  </conditionalFormatting>
  <conditionalFormatting sqref="Q23">
    <cfRule type="containsText" dxfId="223" priority="179" operator="containsText" text="AVG">
      <formula>NOT(ISERROR(SEARCH("AVG",Q23)))</formula>
    </cfRule>
  </conditionalFormatting>
  <conditionalFormatting sqref="R23">
    <cfRule type="containsText" dxfId="222" priority="178" operator="containsText" text="FEMALE DOM">
      <formula>NOT(ISERROR(SEARCH("FEMALE DOM",R23)))</formula>
    </cfRule>
  </conditionalFormatting>
  <conditionalFormatting sqref="S23">
    <cfRule type="containsText" dxfId="221" priority="177" operator="containsText" text="H">
      <formula>NOT(ISERROR(SEARCH("H",S23)))</formula>
    </cfRule>
  </conditionalFormatting>
  <conditionalFormatting sqref="Q23">
    <cfRule type="cellIs" dxfId="220" priority="176" operator="equal">
      <formula>"VWEAK"</formula>
    </cfRule>
  </conditionalFormatting>
  <conditionalFormatting sqref="Q23">
    <cfRule type="containsText" dxfId="219" priority="175" operator="containsText" text="VSTRONG">
      <formula>NOT(ISERROR(SEARCH("VSTRONG",Q23)))</formula>
    </cfRule>
  </conditionalFormatting>
  <conditionalFormatting sqref="O29:O30 O34:O36">
    <cfRule type="containsText" dxfId="218" priority="174" operator="containsText" text="AVG">
      <formula>NOT(ISERROR(SEARCH("AVG",O29)))</formula>
    </cfRule>
  </conditionalFormatting>
  <conditionalFormatting sqref="O29:O30 O34:O36">
    <cfRule type="cellIs" dxfId="217" priority="173" operator="equal">
      <formula>"STRONG"</formula>
    </cfRule>
  </conditionalFormatting>
  <conditionalFormatting sqref="O29:O30 O34:O36">
    <cfRule type="containsText" dxfId="216" priority="172" operator="containsText" text="VSTRONG">
      <formula>NOT(ISERROR(SEARCH("VSTRONG",O29)))</formula>
    </cfRule>
  </conditionalFormatting>
  <conditionalFormatting sqref="P29 P34:P36">
    <cfRule type="containsText" dxfId="215" priority="171" operator="containsText" text="STRONG">
      <formula>NOT(ISERROR(SEARCH("STRONG",P29)))</formula>
    </cfRule>
  </conditionalFormatting>
  <conditionalFormatting sqref="P29 P34:P36">
    <cfRule type="containsText" dxfId="214" priority="170" operator="containsText" text="VSTRONG">
      <formula>NOT(ISERROR(SEARCH("VSTRONG",P29)))</formula>
    </cfRule>
  </conditionalFormatting>
  <conditionalFormatting sqref="R29 R34:R36">
    <cfRule type="containsText" dxfId="213" priority="169" operator="containsText" text="FEMALE DOM">
      <formula>NOT(ISERROR(SEARCH("FEMALE DOM",R29)))</formula>
    </cfRule>
  </conditionalFormatting>
  <conditionalFormatting sqref="O29:O30 O34:O36">
    <cfRule type="containsText" dxfId="212" priority="168" operator="containsText" text="AVG">
      <formula>NOT(ISERROR(SEARCH("AVG",O29)))</formula>
    </cfRule>
  </conditionalFormatting>
  <conditionalFormatting sqref="Q29 Q34:Q36">
    <cfRule type="cellIs" dxfId="211" priority="167" operator="equal">
      <formula>"VWEAK"</formula>
    </cfRule>
  </conditionalFormatting>
  <conditionalFormatting sqref="P29:Q29 P34:Q36">
    <cfRule type="containsText" dxfId="210" priority="166" operator="containsText" text="AVG">
      <formula>NOT(ISERROR(SEARCH("AVG",P29)))</formula>
    </cfRule>
  </conditionalFormatting>
  <conditionalFormatting sqref="Q29 Q34:Q36">
    <cfRule type="containsText" dxfId="209" priority="165" operator="containsText" text="VSTRONG">
      <formula>NOT(ISERROR(SEARCH("VSTRONG",Q29)))</formula>
    </cfRule>
  </conditionalFormatting>
  <conditionalFormatting sqref="R29 R34:R36">
    <cfRule type="containsText" dxfId="208" priority="164" operator="containsText" text="MEN">
      <formula>NOT(ISERROR(SEARCH("MEN",R29)))</formula>
    </cfRule>
  </conditionalFormatting>
  <conditionalFormatting sqref="S34:S36">
    <cfRule type="containsText" dxfId="207" priority="163" operator="containsText" text="O">
      <formula>NOT(ISERROR(SEARCH("O",S34)))</formula>
    </cfRule>
  </conditionalFormatting>
  <conditionalFormatting sqref="S34:S36">
    <cfRule type="containsText" dxfId="206" priority="161" operator="containsText" text="H">
      <formula>NOT(ISERROR(SEARCH("H",S34)))</formula>
    </cfRule>
    <cfRule type="containsText" dxfId="205" priority="162" operator="containsText" text="H">
      <formula>NOT(ISERROR(SEARCH("H",S34)))</formula>
    </cfRule>
  </conditionalFormatting>
  <conditionalFormatting sqref="S34:S36">
    <cfRule type="containsText" dxfId="204" priority="160" operator="containsText" text="H">
      <formula>NOT(ISERROR(SEARCH("H",S34)))</formula>
    </cfRule>
  </conditionalFormatting>
  <conditionalFormatting sqref="O37">
    <cfRule type="containsText" dxfId="203" priority="159" operator="containsText" text="AVG">
      <formula>NOT(ISERROR(SEARCH("AVG",O37)))</formula>
    </cfRule>
  </conditionalFormatting>
  <conditionalFormatting sqref="O37">
    <cfRule type="cellIs" dxfId="202" priority="158" operator="equal">
      <formula>"STRONG"</formula>
    </cfRule>
  </conditionalFormatting>
  <conditionalFormatting sqref="O37">
    <cfRule type="containsText" dxfId="201" priority="157" operator="containsText" text="VSTRONG">
      <formula>NOT(ISERROR(SEARCH("VSTRONG",O37)))</formula>
    </cfRule>
  </conditionalFormatting>
  <conditionalFormatting sqref="S37:S38">
    <cfRule type="containsText" dxfId="200" priority="156" operator="containsText" text="O">
      <formula>NOT(ISERROR(SEARCH("O",S37)))</formula>
    </cfRule>
  </conditionalFormatting>
  <conditionalFormatting sqref="S37:S38">
    <cfRule type="containsText" dxfId="199" priority="154" operator="containsText" text="H">
      <formula>NOT(ISERROR(SEARCH("H",S37)))</formula>
    </cfRule>
    <cfRule type="containsText" dxfId="198" priority="155" operator="containsText" text="H">
      <formula>NOT(ISERROR(SEARCH("H",S37)))</formula>
    </cfRule>
  </conditionalFormatting>
  <conditionalFormatting sqref="P37">
    <cfRule type="containsText" dxfId="197" priority="153" operator="containsText" text="STRONG">
      <formula>NOT(ISERROR(SEARCH("STRONG",P37)))</formula>
    </cfRule>
  </conditionalFormatting>
  <conditionalFormatting sqref="P37:Q37">
    <cfRule type="containsText" dxfId="196" priority="152" operator="containsText" text="AVG">
      <formula>NOT(ISERROR(SEARCH("AVG",P37)))</formula>
    </cfRule>
  </conditionalFormatting>
  <conditionalFormatting sqref="P37">
    <cfRule type="containsText" dxfId="195" priority="151" operator="containsText" text="VSTRONG">
      <formula>NOT(ISERROR(SEARCH("VSTRONG",P37)))</formula>
    </cfRule>
  </conditionalFormatting>
  <conditionalFormatting sqref="R37">
    <cfRule type="containsText" dxfId="194" priority="150" operator="containsText" text="FEMALE DOM">
      <formula>NOT(ISERROR(SEARCH("FEMALE DOM",R37)))</formula>
    </cfRule>
  </conditionalFormatting>
  <conditionalFormatting sqref="O37">
    <cfRule type="containsText" dxfId="193" priority="149" operator="containsText" text="AVG">
      <formula>NOT(ISERROR(SEARCH("AVG",O37)))</formula>
    </cfRule>
  </conditionalFormatting>
  <conditionalFormatting sqref="S37:S38">
    <cfRule type="containsText" dxfId="192" priority="148" operator="containsText" text="H">
      <formula>NOT(ISERROR(SEARCH("H",S37)))</formula>
    </cfRule>
  </conditionalFormatting>
  <conditionalFormatting sqref="Q37">
    <cfRule type="cellIs" dxfId="191" priority="147" operator="equal">
      <formula>"VWEAK"</formula>
    </cfRule>
  </conditionalFormatting>
  <conditionalFormatting sqref="Q37">
    <cfRule type="containsText" dxfId="190" priority="146" operator="containsText" text="VSTRONG">
      <formula>NOT(ISERROR(SEARCH("VSTRONG",Q37)))</formula>
    </cfRule>
  </conditionalFormatting>
  <conditionalFormatting sqref="R37">
    <cfRule type="containsText" dxfId="189" priority="145" operator="containsText" text="MEN">
      <formula>NOT(ISERROR(SEARCH("MEN",R37)))</formula>
    </cfRule>
  </conditionalFormatting>
  <conditionalFormatting sqref="O38">
    <cfRule type="containsText" dxfId="188" priority="144" operator="containsText" text="AVG">
      <formula>NOT(ISERROR(SEARCH("AVG",O38)))</formula>
    </cfRule>
  </conditionalFormatting>
  <conditionalFormatting sqref="O38">
    <cfRule type="cellIs" dxfId="187" priority="143" operator="equal">
      <formula>"STRONG"</formula>
    </cfRule>
  </conditionalFormatting>
  <conditionalFormatting sqref="O38">
    <cfRule type="containsText" dxfId="186" priority="142" operator="containsText" text="VSTRONG">
      <formula>NOT(ISERROR(SEARCH("VSTRONG",O38)))</formula>
    </cfRule>
  </conditionalFormatting>
  <conditionalFormatting sqref="S38">
    <cfRule type="containsText" dxfId="185" priority="141" operator="containsText" text="O">
      <formula>NOT(ISERROR(SEARCH("O",S38)))</formula>
    </cfRule>
  </conditionalFormatting>
  <conditionalFormatting sqref="S38">
    <cfRule type="containsText" dxfId="184" priority="139" operator="containsText" text="H">
      <formula>NOT(ISERROR(SEARCH("H",S38)))</formula>
    </cfRule>
    <cfRule type="containsText" dxfId="183" priority="140" operator="containsText" text="H">
      <formula>NOT(ISERROR(SEARCH("H",S38)))</formula>
    </cfRule>
  </conditionalFormatting>
  <conditionalFormatting sqref="P38">
    <cfRule type="containsText" dxfId="182" priority="138" operator="containsText" text="STRONG">
      <formula>NOT(ISERROR(SEARCH("STRONG",P38)))</formula>
    </cfRule>
  </conditionalFormatting>
  <conditionalFormatting sqref="P38">
    <cfRule type="containsText" dxfId="181" priority="137" operator="containsText" text="AVG">
      <formula>NOT(ISERROR(SEARCH("AVG",P38)))</formula>
    </cfRule>
  </conditionalFormatting>
  <conditionalFormatting sqref="P38">
    <cfRule type="containsText" dxfId="180" priority="136" operator="containsText" text="VSTRONG">
      <formula>NOT(ISERROR(SEARCH("VSTRONG",P38)))</formula>
    </cfRule>
  </conditionalFormatting>
  <conditionalFormatting sqref="R38">
    <cfRule type="containsText" dxfId="179" priority="135" operator="containsText" text="FEMALE DOM">
      <formula>NOT(ISERROR(SEARCH("FEMALE DOM",R38)))</formula>
    </cfRule>
  </conditionalFormatting>
  <conditionalFormatting sqref="O38">
    <cfRule type="containsText" dxfId="178" priority="134" operator="containsText" text="AVG">
      <formula>NOT(ISERROR(SEARCH("AVG",O38)))</formula>
    </cfRule>
  </conditionalFormatting>
  <conditionalFormatting sqref="S38">
    <cfRule type="containsText" dxfId="177" priority="133" operator="containsText" text="H">
      <formula>NOT(ISERROR(SEARCH("H",S38)))</formula>
    </cfRule>
  </conditionalFormatting>
  <conditionalFormatting sqref="Q38">
    <cfRule type="cellIs" dxfId="176" priority="132" operator="equal">
      <formula>"VWEAK"</formula>
    </cfRule>
  </conditionalFormatting>
  <conditionalFormatting sqref="Q38">
    <cfRule type="containsText" dxfId="175" priority="131" operator="containsText" text="AVG">
      <formula>NOT(ISERROR(SEARCH("AVG",Q38)))</formula>
    </cfRule>
  </conditionalFormatting>
  <conditionalFormatting sqref="Q38">
    <cfRule type="containsText" dxfId="174" priority="130" operator="containsText" text="VSTRONG">
      <formula>NOT(ISERROR(SEARCH("VSTRONG",Q38)))</formula>
    </cfRule>
  </conditionalFormatting>
  <conditionalFormatting sqref="R38">
    <cfRule type="containsText" dxfId="173" priority="129" operator="containsText" text="MEN">
      <formula>NOT(ISERROR(SEARCH("MEN",R38)))</formula>
    </cfRule>
  </conditionalFormatting>
  <conditionalFormatting sqref="O39">
    <cfRule type="containsText" dxfId="172" priority="128" operator="containsText" text="AVG">
      <formula>NOT(ISERROR(SEARCH("AVG",O39)))</formula>
    </cfRule>
  </conditionalFormatting>
  <conditionalFormatting sqref="O39">
    <cfRule type="cellIs" dxfId="171" priority="127" operator="equal">
      <formula>"STRONG"</formula>
    </cfRule>
  </conditionalFormatting>
  <conditionalFormatting sqref="O39">
    <cfRule type="containsText" dxfId="170" priority="126" operator="containsText" text="VSTRONG">
      <formula>NOT(ISERROR(SEARCH("VSTRONG",O39)))</formula>
    </cfRule>
  </conditionalFormatting>
  <conditionalFormatting sqref="S39">
    <cfRule type="containsText" dxfId="169" priority="125" operator="containsText" text="O">
      <formula>NOT(ISERROR(SEARCH("O",S39)))</formula>
    </cfRule>
  </conditionalFormatting>
  <conditionalFormatting sqref="S39">
    <cfRule type="containsText" dxfId="168" priority="123" operator="containsText" text="H">
      <formula>NOT(ISERROR(SEARCH("H",S39)))</formula>
    </cfRule>
    <cfRule type="containsText" dxfId="167" priority="124" operator="containsText" text="H">
      <formula>NOT(ISERROR(SEARCH("H",S39)))</formula>
    </cfRule>
  </conditionalFormatting>
  <conditionalFormatting sqref="P39">
    <cfRule type="containsText" dxfId="166" priority="122" operator="containsText" text="STRONG">
      <formula>NOT(ISERROR(SEARCH("STRONG",P39)))</formula>
    </cfRule>
  </conditionalFormatting>
  <conditionalFormatting sqref="P39:Q39">
    <cfRule type="containsText" dxfId="165" priority="121" operator="containsText" text="AVG">
      <formula>NOT(ISERROR(SEARCH("AVG",P39)))</formula>
    </cfRule>
  </conditionalFormatting>
  <conditionalFormatting sqref="P39">
    <cfRule type="containsText" dxfId="164" priority="120" operator="containsText" text="VSTRONG">
      <formula>NOT(ISERROR(SEARCH("VSTRONG",P39)))</formula>
    </cfRule>
  </conditionalFormatting>
  <conditionalFormatting sqref="R39">
    <cfRule type="containsText" dxfId="163" priority="119" operator="containsText" text="FEMALE DOM">
      <formula>NOT(ISERROR(SEARCH("FEMALE DOM",R39)))</formula>
    </cfRule>
  </conditionalFormatting>
  <conditionalFormatting sqref="O39">
    <cfRule type="containsText" dxfId="162" priority="118" operator="containsText" text="AVG">
      <formula>NOT(ISERROR(SEARCH("AVG",O39)))</formula>
    </cfRule>
  </conditionalFormatting>
  <conditionalFormatting sqref="S39">
    <cfRule type="containsText" dxfId="161" priority="117" operator="containsText" text="H">
      <formula>NOT(ISERROR(SEARCH("H",S39)))</formula>
    </cfRule>
  </conditionalFormatting>
  <conditionalFormatting sqref="Q39">
    <cfRule type="cellIs" dxfId="160" priority="116" operator="equal">
      <formula>"VWEAK"</formula>
    </cfRule>
  </conditionalFormatting>
  <conditionalFormatting sqref="Q39">
    <cfRule type="containsText" dxfId="159" priority="115" operator="containsText" text="VSTRONG">
      <formula>NOT(ISERROR(SEARCH("VSTRONG",Q39)))</formula>
    </cfRule>
  </conditionalFormatting>
  <conditionalFormatting sqref="R39">
    <cfRule type="containsText" dxfId="158" priority="114" operator="containsText" text="MEN">
      <formula>NOT(ISERROR(SEARCH("MEN",R39)))</formula>
    </cfRule>
  </conditionalFormatting>
  <conditionalFormatting sqref="R40">
    <cfRule type="containsText" dxfId="157" priority="113" operator="containsText" text="MEN">
      <formula>NOT(ISERROR(SEARCH("MEN",R40)))</formula>
    </cfRule>
  </conditionalFormatting>
  <conditionalFormatting sqref="O40">
    <cfRule type="containsText" dxfId="156" priority="112" operator="containsText" text="AVG">
      <formula>NOT(ISERROR(SEARCH("AVG",O40)))</formula>
    </cfRule>
  </conditionalFormatting>
  <conditionalFormatting sqref="O40">
    <cfRule type="cellIs" dxfId="155" priority="111" operator="equal">
      <formula>"STRONG"</formula>
    </cfRule>
  </conditionalFormatting>
  <conditionalFormatting sqref="O40">
    <cfRule type="containsText" dxfId="154" priority="110" operator="containsText" text="VSTRONG">
      <formula>NOT(ISERROR(SEARCH("VSTRONG",O40)))</formula>
    </cfRule>
  </conditionalFormatting>
  <conditionalFormatting sqref="S40">
    <cfRule type="containsText" dxfId="153" priority="109" operator="containsText" text="O">
      <formula>NOT(ISERROR(SEARCH("O",S40)))</formula>
    </cfRule>
  </conditionalFormatting>
  <conditionalFormatting sqref="S40">
    <cfRule type="containsText" dxfId="152" priority="107" operator="containsText" text="H">
      <formula>NOT(ISERROR(SEARCH("H",S40)))</formula>
    </cfRule>
    <cfRule type="containsText" dxfId="151" priority="108" operator="containsText" text="H">
      <formula>NOT(ISERROR(SEARCH("H",S40)))</formula>
    </cfRule>
  </conditionalFormatting>
  <conditionalFormatting sqref="P40">
    <cfRule type="containsText" dxfId="150" priority="106" operator="containsText" text="STRONG">
      <formula>NOT(ISERROR(SEARCH("STRONG",P40)))</formula>
    </cfRule>
  </conditionalFormatting>
  <conditionalFormatting sqref="P40">
    <cfRule type="containsText" dxfId="149" priority="105" operator="containsText" text="AVG">
      <formula>NOT(ISERROR(SEARCH("AVG",P40)))</formula>
    </cfRule>
  </conditionalFormatting>
  <conditionalFormatting sqref="P40">
    <cfRule type="containsText" dxfId="148" priority="104" operator="containsText" text="VSTRONG">
      <formula>NOT(ISERROR(SEARCH("VSTRONG",P40)))</formula>
    </cfRule>
  </conditionalFormatting>
  <conditionalFormatting sqref="R40">
    <cfRule type="containsText" dxfId="147" priority="103" operator="containsText" text="FEMALE DOM">
      <formula>NOT(ISERROR(SEARCH("FEMALE DOM",R40)))</formula>
    </cfRule>
  </conditionalFormatting>
  <conditionalFormatting sqref="O40">
    <cfRule type="containsText" dxfId="146" priority="102" operator="containsText" text="AVG">
      <formula>NOT(ISERROR(SEARCH("AVG",O40)))</formula>
    </cfRule>
  </conditionalFormatting>
  <conditionalFormatting sqref="S40">
    <cfRule type="containsText" dxfId="145" priority="101" operator="containsText" text="H">
      <formula>NOT(ISERROR(SEARCH("H",S40)))</formula>
    </cfRule>
  </conditionalFormatting>
  <conditionalFormatting sqref="Q40">
    <cfRule type="cellIs" dxfId="144" priority="100" operator="equal">
      <formula>"VWEAK"</formula>
    </cfRule>
  </conditionalFormatting>
  <conditionalFormatting sqref="Q40">
    <cfRule type="containsText" dxfId="143" priority="99" operator="containsText" text="AVG">
      <formula>NOT(ISERROR(SEARCH("AVG",Q40)))</formula>
    </cfRule>
  </conditionalFormatting>
  <conditionalFormatting sqref="Q40">
    <cfRule type="containsText" dxfId="142" priority="98" operator="containsText" text="VSTRONG">
      <formula>NOT(ISERROR(SEARCH("VSTRONG",Q40)))</formula>
    </cfRule>
  </conditionalFormatting>
  <conditionalFormatting sqref="O41">
    <cfRule type="containsText" dxfId="141" priority="97" operator="containsText" text="AVG">
      <formula>NOT(ISERROR(SEARCH("AVG",O41)))</formula>
    </cfRule>
  </conditionalFormatting>
  <conditionalFormatting sqref="O41">
    <cfRule type="cellIs" dxfId="140" priority="96" operator="equal">
      <formula>"STRONG"</formula>
    </cfRule>
  </conditionalFormatting>
  <conditionalFormatting sqref="O41">
    <cfRule type="containsText" dxfId="139" priority="95" operator="containsText" text="VSTRONG">
      <formula>NOT(ISERROR(SEARCH("VSTRONG",O41)))</formula>
    </cfRule>
  </conditionalFormatting>
  <conditionalFormatting sqref="S41">
    <cfRule type="containsText" dxfId="138" priority="94" operator="containsText" text="O">
      <formula>NOT(ISERROR(SEARCH("O",S41)))</formula>
    </cfRule>
  </conditionalFormatting>
  <conditionalFormatting sqref="S41">
    <cfRule type="containsText" dxfId="137" priority="92" operator="containsText" text="H">
      <formula>NOT(ISERROR(SEARCH("H",S41)))</formula>
    </cfRule>
    <cfRule type="containsText" dxfId="136" priority="93" operator="containsText" text="H">
      <formula>NOT(ISERROR(SEARCH("H",S41)))</formula>
    </cfRule>
  </conditionalFormatting>
  <conditionalFormatting sqref="P41">
    <cfRule type="containsText" dxfId="135" priority="91" operator="containsText" text="STRONG">
      <formula>NOT(ISERROR(SEARCH("STRONG",P41)))</formula>
    </cfRule>
  </conditionalFormatting>
  <conditionalFormatting sqref="P41:Q41">
    <cfRule type="containsText" dxfId="134" priority="90" operator="containsText" text="AVG">
      <formula>NOT(ISERROR(SEARCH("AVG",P41)))</formula>
    </cfRule>
  </conditionalFormatting>
  <conditionalFormatting sqref="P41">
    <cfRule type="containsText" dxfId="133" priority="89" operator="containsText" text="VSTRONG">
      <formula>NOT(ISERROR(SEARCH("VSTRONG",P41)))</formula>
    </cfRule>
  </conditionalFormatting>
  <conditionalFormatting sqref="R41">
    <cfRule type="containsText" dxfId="132" priority="88" operator="containsText" text="FEMALE DOM">
      <formula>NOT(ISERROR(SEARCH("FEMALE DOM",R41)))</formula>
    </cfRule>
  </conditionalFormatting>
  <conditionalFormatting sqref="O41">
    <cfRule type="containsText" dxfId="131" priority="87" operator="containsText" text="AVG">
      <formula>NOT(ISERROR(SEARCH("AVG",O41)))</formula>
    </cfRule>
  </conditionalFormatting>
  <conditionalFormatting sqref="S41">
    <cfRule type="containsText" dxfId="130" priority="86" operator="containsText" text="H">
      <formula>NOT(ISERROR(SEARCH("H",S41)))</formula>
    </cfRule>
  </conditionalFormatting>
  <conditionalFormatting sqref="Q41">
    <cfRule type="cellIs" dxfId="129" priority="85" operator="equal">
      <formula>"VWEAK"</formula>
    </cfRule>
  </conditionalFormatting>
  <conditionalFormatting sqref="Q41">
    <cfRule type="containsText" dxfId="128" priority="84" operator="containsText" text="VSTRONG">
      <formula>NOT(ISERROR(SEARCH("VSTRONG",Q41)))</formula>
    </cfRule>
  </conditionalFormatting>
  <conditionalFormatting sqref="R41">
    <cfRule type="containsText" dxfId="127" priority="83" operator="containsText" text="MEN">
      <formula>NOT(ISERROR(SEARCH("MEN",R41)))</formula>
    </cfRule>
  </conditionalFormatting>
  <conditionalFormatting sqref="O42">
    <cfRule type="containsText" dxfId="126" priority="82" operator="containsText" text="AVG">
      <formula>NOT(ISERROR(SEARCH("AVG",O42)))</formula>
    </cfRule>
  </conditionalFormatting>
  <conditionalFormatting sqref="O42">
    <cfRule type="cellIs" dxfId="125" priority="81" operator="equal">
      <formula>"STRONG"</formula>
    </cfRule>
  </conditionalFormatting>
  <conditionalFormatting sqref="O42">
    <cfRule type="containsText" dxfId="124" priority="80" operator="containsText" text="VSTRONG">
      <formula>NOT(ISERROR(SEARCH("VSTRONG",O42)))</formula>
    </cfRule>
  </conditionalFormatting>
  <conditionalFormatting sqref="P42">
    <cfRule type="containsText" dxfId="123" priority="79" operator="containsText" text="STRONG">
      <formula>NOT(ISERROR(SEARCH("STRONG",P42)))</formula>
    </cfRule>
  </conditionalFormatting>
  <conditionalFormatting sqref="P42:Q42">
    <cfRule type="containsText" dxfId="122" priority="78" operator="containsText" text="AVG">
      <formula>NOT(ISERROR(SEARCH("AVG",P42)))</formula>
    </cfRule>
  </conditionalFormatting>
  <conditionalFormatting sqref="P42">
    <cfRule type="containsText" dxfId="121" priority="77" operator="containsText" text="VSTRONG">
      <formula>NOT(ISERROR(SEARCH("VSTRONG",P42)))</formula>
    </cfRule>
  </conditionalFormatting>
  <conditionalFormatting sqref="O42">
    <cfRule type="containsText" dxfId="120" priority="76" operator="containsText" text="AVG">
      <formula>NOT(ISERROR(SEARCH("AVG",O42)))</formula>
    </cfRule>
  </conditionalFormatting>
  <conditionalFormatting sqref="Q42">
    <cfRule type="cellIs" dxfId="119" priority="75" operator="equal">
      <formula>"VWEAK"</formula>
    </cfRule>
  </conditionalFormatting>
  <conditionalFormatting sqref="Q42">
    <cfRule type="containsText" dxfId="118" priority="74" operator="containsText" text="VSTRONG">
      <formula>NOT(ISERROR(SEARCH("VSTRONG",Q42)))</formula>
    </cfRule>
  </conditionalFormatting>
  <conditionalFormatting sqref="R42">
    <cfRule type="containsText" dxfId="117" priority="73" operator="containsText" text="FEMALE DOM">
      <formula>NOT(ISERROR(SEARCH("FEMALE DOM",R42)))</formula>
    </cfRule>
  </conditionalFormatting>
  <conditionalFormatting sqref="R42">
    <cfRule type="containsText" dxfId="116" priority="72" operator="containsText" text="MEN">
      <formula>NOT(ISERROR(SEARCH("MEN",R42)))</formula>
    </cfRule>
  </conditionalFormatting>
  <conditionalFormatting sqref="S42">
    <cfRule type="containsText" dxfId="115" priority="71" operator="containsText" text="O">
      <formula>NOT(ISERROR(SEARCH("O",S42)))</formula>
    </cfRule>
  </conditionalFormatting>
  <conditionalFormatting sqref="S42">
    <cfRule type="containsText" dxfId="114" priority="69" operator="containsText" text="H">
      <formula>NOT(ISERROR(SEARCH("H",S42)))</formula>
    </cfRule>
    <cfRule type="containsText" dxfId="113" priority="70" operator="containsText" text="H">
      <formula>NOT(ISERROR(SEARCH("H",S42)))</formula>
    </cfRule>
  </conditionalFormatting>
  <conditionalFormatting sqref="S42">
    <cfRule type="containsText" dxfId="112" priority="68" operator="containsText" text="H">
      <formula>NOT(ISERROR(SEARCH("H",S42)))</formula>
    </cfRule>
  </conditionalFormatting>
  <conditionalFormatting sqref="O43">
    <cfRule type="containsText" dxfId="111" priority="67" operator="containsText" text="AVG">
      <formula>NOT(ISERROR(SEARCH("AVG",O43)))</formula>
    </cfRule>
  </conditionalFormatting>
  <conditionalFormatting sqref="O43">
    <cfRule type="cellIs" dxfId="110" priority="66" operator="equal">
      <formula>"STRONG"</formula>
    </cfRule>
  </conditionalFormatting>
  <conditionalFormatting sqref="O43">
    <cfRule type="containsText" dxfId="109" priority="65" operator="containsText" text="VSTRONG">
      <formula>NOT(ISERROR(SEARCH("VSTRONG",O43)))</formula>
    </cfRule>
  </conditionalFormatting>
  <conditionalFormatting sqref="P43">
    <cfRule type="containsText" dxfId="108" priority="64" operator="containsText" text="STRONG">
      <formula>NOT(ISERROR(SEARCH("STRONG",P43)))</formula>
    </cfRule>
  </conditionalFormatting>
  <conditionalFormatting sqref="P43">
    <cfRule type="containsText" dxfId="107" priority="63" operator="containsText" text="AVG">
      <formula>NOT(ISERROR(SEARCH("AVG",P43)))</formula>
    </cfRule>
  </conditionalFormatting>
  <conditionalFormatting sqref="P43">
    <cfRule type="containsText" dxfId="106" priority="62" operator="containsText" text="VSTRONG">
      <formula>NOT(ISERROR(SEARCH("VSTRONG",P43)))</formula>
    </cfRule>
  </conditionalFormatting>
  <conditionalFormatting sqref="O43">
    <cfRule type="containsText" dxfId="105" priority="61" operator="containsText" text="AVG">
      <formula>NOT(ISERROR(SEARCH("AVG",O43)))</formula>
    </cfRule>
  </conditionalFormatting>
  <conditionalFormatting sqref="S43">
    <cfRule type="containsText" dxfId="104" priority="60" operator="containsText" text="O">
      <formula>NOT(ISERROR(SEARCH("O",S43)))</formula>
    </cfRule>
  </conditionalFormatting>
  <conditionalFormatting sqref="S43">
    <cfRule type="containsText" dxfId="103" priority="58" operator="containsText" text="H">
      <formula>NOT(ISERROR(SEARCH("H",S43)))</formula>
    </cfRule>
    <cfRule type="containsText" dxfId="102" priority="59" operator="containsText" text="H">
      <formula>NOT(ISERROR(SEARCH("H",S43)))</formula>
    </cfRule>
  </conditionalFormatting>
  <conditionalFormatting sqref="R43">
    <cfRule type="containsText" dxfId="101" priority="57" operator="containsText" text="FEMALE DOM">
      <formula>NOT(ISERROR(SEARCH("FEMALE DOM",R43)))</formula>
    </cfRule>
  </conditionalFormatting>
  <conditionalFormatting sqref="S43">
    <cfRule type="containsText" dxfId="100" priority="56" operator="containsText" text="H">
      <formula>NOT(ISERROR(SEARCH("H",S43)))</formula>
    </cfRule>
  </conditionalFormatting>
  <conditionalFormatting sqref="Q43">
    <cfRule type="cellIs" dxfId="99" priority="55" operator="equal">
      <formula>"VWEAK"</formula>
    </cfRule>
  </conditionalFormatting>
  <conditionalFormatting sqref="Q43">
    <cfRule type="containsText" dxfId="98" priority="54" operator="containsText" text="AVG">
      <formula>NOT(ISERROR(SEARCH("AVG",Q43)))</formula>
    </cfRule>
  </conditionalFormatting>
  <conditionalFormatting sqref="Q43">
    <cfRule type="containsText" dxfId="97" priority="53" operator="containsText" text="VSTRONG">
      <formula>NOT(ISERROR(SEARCH("VSTRONG",Q43)))</formula>
    </cfRule>
  </conditionalFormatting>
  <conditionalFormatting sqref="R43">
    <cfRule type="containsText" dxfId="96" priority="52" operator="containsText" text="MEN">
      <formula>NOT(ISERROR(SEARCH("MEN",R43)))</formula>
    </cfRule>
  </conditionalFormatting>
  <conditionalFormatting sqref="O49:O51">
    <cfRule type="containsText" dxfId="95" priority="51" operator="containsText" text="AVG">
      <formula>NOT(ISERROR(SEARCH("AVG",O49)))</formula>
    </cfRule>
  </conditionalFormatting>
  <conditionalFormatting sqref="O49:O51">
    <cfRule type="cellIs" dxfId="94" priority="50" operator="equal">
      <formula>"STRONG"</formula>
    </cfRule>
  </conditionalFormatting>
  <conditionalFormatting sqref="O49:O51">
    <cfRule type="containsText" dxfId="93" priority="49" operator="containsText" text="VSTRONG">
      <formula>NOT(ISERROR(SEARCH("VSTRONG",O49)))</formula>
    </cfRule>
  </conditionalFormatting>
  <conditionalFormatting sqref="O49:O51">
    <cfRule type="containsText" dxfId="92" priority="48" operator="containsText" text="AVG">
      <formula>NOT(ISERROR(SEARCH("AVG",O49)))</formula>
    </cfRule>
  </conditionalFormatting>
  <conditionalFormatting sqref="P50:P51">
    <cfRule type="containsText" dxfId="91" priority="47" operator="containsText" text="STRONG">
      <formula>NOT(ISERROR(SEARCH("STRONG",P50)))</formula>
    </cfRule>
  </conditionalFormatting>
  <conditionalFormatting sqref="P50:P51">
    <cfRule type="containsText" dxfId="90" priority="46" operator="containsText" text="VSTRONG">
      <formula>NOT(ISERROR(SEARCH("VSTRONG",P50)))</formula>
    </cfRule>
  </conditionalFormatting>
  <conditionalFormatting sqref="R50:R51">
    <cfRule type="containsText" dxfId="89" priority="45" operator="containsText" text="FEMALE DOM">
      <formula>NOT(ISERROR(SEARCH("FEMALE DOM",R50)))</formula>
    </cfRule>
  </conditionalFormatting>
  <conditionalFormatting sqref="Q50:Q51">
    <cfRule type="cellIs" dxfId="88" priority="44" operator="equal">
      <formula>"VWEAK"</formula>
    </cfRule>
  </conditionalFormatting>
  <conditionalFormatting sqref="P50:Q51">
    <cfRule type="containsText" dxfId="87" priority="43" operator="containsText" text="AVG">
      <formula>NOT(ISERROR(SEARCH("AVG",P50)))</formula>
    </cfRule>
  </conditionalFormatting>
  <conditionalFormatting sqref="Q50:Q51">
    <cfRule type="containsText" dxfId="86" priority="42" operator="containsText" text="VSTRONG">
      <formula>NOT(ISERROR(SEARCH("VSTRONG",Q50)))</formula>
    </cfRule>
  </conditionalFormatting>
  <conditionalFormatting sqref="R50:R51">
    <cfRule type="containsText" dxfId="85" priority="41" operator="containsText" text="MEN">
      <formula>NOT(ISERROR(SEARCH("MEN",R50)))</formula>
    </cfRule>
  </conditionalFormatting>
  <conditionalFormatting sqref="S50:S51">
    <cfRule type="containsText" dxfId="84" priority="40" operator="containsText" text="O">
      <formula>NOT(ISERROR(SEARCH("O",S50)))</formula>
    </cfRule>
  </conditionalFormatting>
  <conditionalFormatting sqref="S50:S51">
    <cfRule type="containsText" dxfId="83" priority="38" operator="containsText" text="H">
      <formula>NOT(ISERROR(SEARCH("H",S50)))</formula>
    </cfRule>
    <cfRule type="containsText" dxfId="82" priority="39" operator="containsText" text="H">
      <formula>NOT(ISERROR(SEARCH("H",S50)))</formula>
    </cfRule>
  </conditionalFormatting>
  <conditionalFormatting sqref="S50:S51">
    <cfRule type="containsText" dxfId="81" priority="37" operator="containsText" text="H">
      <formula>NOT(ISERROR(SEARCH("H",S50)))</formula>
    </cfRule>
  </conditionalFormatting>
  <conditionalFormatting sqref="O52">
    <cfRule type="containsText" dxfId="80" priority="36" operator="containsText" text="AVG">
      <formula>NOT(ISERROR(SEARCH("AVG",O52)))</formula>
    </cfRule>
  </conditionalFormatting>
  <conditionalFormatting sqref="O52">
    <cfRule type="cellIs" dxfId="79" priority="35" operator="equal">
      <formula>"STRONG"</formula>
    </cfRule>
  </conditionalFormatting>
  <conditionalFormatting sqref="O52">
    <cfRule type="containsText" dxfId="78" priority="34" operator="containsText" text="VSTRONG">
      <formula>NOT(ISERROR(SEARCH("VSTRONG",O52)))</formula>
    </cfRule>
  </conditionalFormatting>
  <conditionalFormatting sqref="S52">
    <cfRule type="containsText" dxfId="77" priority="33" operator="containsText" text="O">
      <formula>NOT(ISERROR(SEARCH("O",S52)))</formula>
    </cfRule>
  </conditionalFormatting>
  <conditionalFormatting sqref="S52">
    <cfRule type="containsText" dxfId="76" priority="31" operator="containsText" text="H">
      <formula>NOT(ISERROR(SEARCH("H",S52)))</formula>
    </cfRule>
    <cfRule type="containsText" dxfId="75" priority="32" operator="containsText" text="H">
      <formula>NOT(ISERROR(SEARCH("H",S52)))</formula>
    </cfRule>
  </conditionalFormatting>
  <conditionalFormatting sqref="P52">
    <cfRule type="containsText" dxfId="74" priority="30" operator="containsText" text="STRONG">
      <formula>NOT(ISERROR(SEARCH("STRONG",P52)))</formula>
    </cfRule>
  </conditionalFormatting>
  <conditionalFormatting sqref="P52">
    <cfRule type="containsText" dxfId="73" priority="29" operator="containsText" text="AVG">
      <formula>NOT(ISERROR(SEARCH("AVG",P52)))</formula>
    </cfRule>
  </conditionalFormatting>
  <conditionalFormatting sqref="P52">
    <cfRule type="containsText" dxfId="72" priority="28" operator="containsText" text="VSTRONG">
      <formula>NOT(ISERROR(SEARCH("VSTRONG",P52)))</formula>
    </cfRule>
  </conditionalFormatting>
  <conditionalFormatting sqref="R52">
    <cfRule type="containsText" dxfId="71" priority="27" operator="containsText" text="FEMALE DOM">
      <formula>NOT(ISERROR(SEARCH("FEMALE DOM",R52)))</formula>
    </cfRule>
  </conditionalFormatting>
  <conditionalFormatting sqref="O52">
    <cfRule type="containsText" dxfId="70" priority="26" operator="containsText" text="AVG">
      <formula>NOT(ISERROR(SEARCH("AVG",O52)))</formula>
    </cfRule>
  </conditionalFormatting>
  <conditionalFormatting sqref="S52">
    <cfRule type="containsText" dxfId="69" priority="25" operator="containsText" text="H">
      <formula>NOT(ISERROR(SEARCH("H",S52)))</formula>
    </cfRule>
  </conditionalFormatting>
  <conditionalFormatting sqref="Q52">
    <cfRule type="cellIs" dxfId="68" priority="24" operator="equal">
      <formula>"VWEAK"</formula>
    </cfRule>
  </conditionalFormatting>
  <conditionalFormatting sqref="Q52">
    <cfRule type="containsText" dxfId="67" priority="23" operator="containsText" text="AVG">
      <formula>NOT(ISERROR(SEARCH("AVG",Q52)))</formula>
    </cfRule>
  </conditionalFormatting>
  <conditionalFormatting sqref="Q52">
    <cfRule type="containsText" dxfId="66" priority="22" operator="containsText" text="VSTRONG">
      <formula>NOT(ISERROR(SEARCH("VSTRONG",Q52)))</formula>
    </cfRule>
  </conditionalFormatting>
  <conditionalFormatting sqref="R52">
    <cfRule type="containsText" dxfId="65" priority="21" operator="containsText" text="MEN">
      <formula>NOT(ISERROR(SEARCH("MEN",R52)))</formula>
    </cfRule>
  </conditionalFormatting>
  <conditionalFormatting sqref="O53">
    <cfRule type="containsText" dxfId="64" priority="20" operator="containsText" text="AVG">
      <formula>NOT(ISERROR(SEARCH("AVG",O53)))</formula>
    </cfRule>
  </conditionalFormatting>
  <conditionalFormatting sqref="O53">
    <cfRule type="cellIs" dxfId="63" priority="19" operator="equal">
      <formula>"STRONG"</formula>
    </cfRule>
  </conditionalFormatting>
  <conditionalFormatting sqref="O53">
    <cfRule type="containsText" dxfId="62" priority="18" operator="containsText" text="VSTRONG">
      <formula>NOT(ISERROR(SEARCH("VSTRONG",O53)))</formula>
    </cfRule>
  </conditionalFormatting>
  <conditionalFormatting sqref="S53">
    <cfRule type="containsText" dxfId="61" priority="17" operator="containsText" text="O">
      <formula>NOT(ISERROR(SEARCH("O",S53)))</formula>
    </cfRule>
  </conditionalFormatting>
  <conditionalFormatting sqref="S53">
    <cfRule type="containsText" dxfId="60" priority="15" operator="containsText" text="H">
      <formula>NOT(ISERROR(SEARCH("H",S53)))</formula>
    </cfRule>
    <cfRule type="containsText" dxfId="59" priority="16" operator="containsText" text="H">
      <formula>NOT(ISERROR(SEARCH("H",S53)))</formula>
    </cfRule>
  </conditionalFormatting>
  <conditionalFormatting sqref="P53">
    <cfRule type="containsText" dxfId="58" priority="14" operator="containsText" text="STRONG">
      <formula>NOT(ISERROR(SEARCH("STRONG",P53)))</formula>
    </cfRule>
  </conditionalFormatting>
  <conditionalFormatting sqref="P53">
    <cfRule type="containsText" dxfId="57" priority="13" operator="containsText" text="AVG">
      <formula>NOT(ISERROR(SEARCH("AVG",P53)))</formula>
    </cfRule>
  </conditionalFormatting>
  <conditionalFormatting sqref="P53">
    <cfRule type="containsText" dxfId="56" priority="12" operator="containsText" text="VSTRONG">
      <formula>NOT(ISERROR(SEARCH("VSTRONG",P53)))</formula>
    </cfRule>
  </conditionalFormatting>
  <conditionalFormatting sqref="R53">
    <cfRule type="containsText" dxfId="55" priority="11" operator="containsText" text="FEMALE DOM">
      <formula>NOT(ISERROR(SEARCH("FEMALE DOM",R53)))</formula>
    </cfRule>
  </conditionalFormatting>
  <conditionalFormatting sqref="O53">
    <cfRule type="containsText" dxfId="54" priority="10" operator="containsText" text="AVG">
      <formula>NOT(ISERROR(SEARCH("AVG",O53)))</formula>
    </cfRule>
  </conditionalFormatting>
  <conditionalFormatting sqref="S53">
    <cfRule type="containsText" dxfId="53" priority="9" operator="containsText" text="H">
      <formula>NOT(ISERROR(SEARCH("H",S53)))</formula>
    </cfRule>
  </conditionalFormatting>
  <conditionalFormatting sqref="Q53">
    <cfRule type="cellIs" dxfId="52" priority="8" operator="equal">
      <formula>"VWEAK"</formula>
    </cfRule>
  </conditionalFormatting>
  <conditionalFormatting sqref="Q53">
    <cfRule type="containsText" dxfId="51" priority="7" operator="containsText" text="AVG">
      <formula>NOT(ISERROR(SEARCH("AVG",Q53)))</formula>
    </cfRule>
  </conditionalFormatting>
  <conditionalFormatting sqref="Q53">
    <cfRule type="containsText" dxfId="50" priority="6" operator="containsText" text="VSTRONG">
      <formula>NOT(ISERROR(SEARCH("VSTRONG",Q53)))</formula>
    </cfRule>
  </conditionalFormatting>
  <conditionalFormatting sqref="R53">
    <cfRule type="containsText" dxfId="49" priority="5" operator="containsText" text="MEN">
      <formula>NOT(ISERROR(SEARCH("MEN",R53)))</formula>
    </cfRule>
  </conditionalFormatting>
  <conditionalFormatting sqref="O59">
    <cfRule type="containsText" dxfId="48" priority="4" operator="containsText" text="AVG">
      <formula>NOT(ISERROR(SEARCH("AVG",O59)))</formula>
    </cfRule>
  </conditionalFormatting>
  <conditionalFormatting sqref="O59">
    <cfRule type="cellIs" dxfId="47" priority="3" operator="equal">
      <formula>"STRONG"</formula>
    </cfRule>
  </conditionalFormatting>
  <conditionalFormatting sqref="O59">
    <cfRule type="containsText" dxfId="46" priority="2" operator="containsText" text="VSTRONG">
      <formula>NOT(ISERROR(SEARCH("VSTRONG",O59)))</formula>
    </cfRule>
  </conditionalFormatting>
  <conditionalFormatting sqref="O59">
    <cfRule type="containsText" dxfId="45" priority="1" operator="containsText" text="AVG">
      <formula>NOT(ISERROR(SEARCH("AVG",O59)))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1"/>
  <sheetViews>
    <sheetView topLeftCell="H1" zoomScale="89" zoomScaleNormal="89" workbookViewId="0">
      <selection activeCell="H7" sqref="H7"/>
    </sheetView>
  </sheetViews>
  <sheetFormatPr defaultRowHeight="15" x14ac:dyDescent="0.25"/>
  <cols>
    <col min="3" max="3" width="22.140625" customWidth="1"/>
    <col min="4" max="4" width="21" customWidth="1"/>
    <col min="5" max="5" width="36.85546875" customWidth="1"/>
    <col min="6" max="6" width="19.28515625" customWidth="1"/>
    <col min="7" max="7" width="15" customWidth="1"/>
    <col min="8" max="8" width="16.42578125" customWidth="1"/>
    <col min="9" max="9" width="18" customWidth="1"/>
    <col min="10" max="10" width="14.28515625" customWidth="1"/>
    <col min="11" max="11" width="15.42578125" customWidth="1"/>
    <col min="12" max="12" width="18.140625" customWidth="1"/>
    <col min="13" max="14" width="18.28515625" customWidth="1"/>
    <col min="15" max="15" width="8.42578125" bestFit="1" customWidth="1"/>
    <col min="16" max="17" width="10.42578125" bestFit="1" customWidth="1"/>
    <col min="18" max="18" width="12.7109375" bestFit="1" customWidth="1"/>
    <col min="20" max="20" width="16.42578125" customWidth="1"/>
    <col min="21" max="21" width="16.7109375" customWidth="1"/>
    <col min="22" max="22" width="22.7109375" customWidth="1"/>
  </cols>
  <sheetData>
    <row r="1" spans="1:22" ht="28.5" x14ac:dyDescent="0.25">
      <c r="A1" s="33" t="s">
        <v>119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23" t="s">
        <v>3</v>
      </c>
      <c r="B2" s="23" t="s">
        <v>4</v>
      </c>
      <c r="C2" s="23" t="s">
        <v>5</v>
      </c>
      <c r="D2" s="23" t="s">
        <v>6</v>
      </c>
      <c r="E2" s="23" t="s">
        <v>7</v>
      </c>
      <c r="F2" s="23" t="s">
        <v>2</v>
      </c>
      <c r="G2" s="23"/>
      <c r="H2" s="23"/>
      <c r="I2" s="20" t="s">
        <v>0</v>
      </c>
      <c r="J2" s="20"/>
      <c r="K2" s="20"/>
      <c r="L2" s="25" t="s">
        <v>8</v>
      </c>
      <c r="M2" s="25"/>
      <c r="N2" s="25"/>
      <c r="O2" s="23">
        <v>2018</v>
      </c>
      <c r="P2" s="23"/>
      <c r="Q2" s="23"/>
      <c r="R2" s="23"/>
      <c r="S2" s="23"/>
      <c r="T2" s="24" t="s">
        <v>60</v>
      </c>
      <c r="U2" s="24" t="s">
        <v>62</v>
      </c>
      <c r="V2" s="24" t="s">
        <v>61</v>
      </c>
    </row>
    <row r="3" spans="1:22" ht="90" x14ac:dyDescent="0.25">
      <c r="A3" s="23"/>
      <c r="B3" s="23"/>
      <c r="C3" s="23"/>
      <c r="D3" s="23"/>
      <c r="E3" s="23"/>
      <c r="F3" s="5" t="s">
        <v>1</v>
      </c>
      <c r="G3" s="5" t="s">
        <v>116</v>
      </c>
      <c r="H3" s="5" t="s">
        <v>115</v>
      </c>
      <c r="I3" s="5" t="s">
        <v>1</v>
      </c>
      <c r="J3" s="5" t="s">
        <v>116</v>
      </c>
      <c r="K3" s="5" t="s">
        <v>115</v>
      </c>
      <c r="L3" s="5" t="s">
        <v>1</v>
      </c>
      <c r="M3" s="5" t="s">
        <v>116</v>
      </c>
      <c r="N3" s="5" t="s">
        <v>115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113</v>
      </c>
      <c r="T3" s="24"/>
      <c r="U3" s="24"/>
      <c r="V3" s="24"/>
    </row>
    <row r="4" spans="1:22" x14ac:dyDescent="0.25">
      <c r="A4" s="2">
        <v>1</v>
      </c>
      <c r="B4" s="2">
        <v>21</v>
      </c>
      <c r="C4" s="10" t="s">
        <v>34</v>
      </c>
      <c r="D4" s="2">
        <v>6</v>
      </c>
      <c r="E4" s="2" t="s">
        <v>9</v>
      </c>
      <c r="F4" s="4">
        <v>784.66666666666663</v>
      </c>
      <c r="G4" s="4">
        <v>174.77763650485213</v>
      </c>
      <c r="H4" s="4">
        <v>30547.222222222223</v>
      </c>
      <c r="I4" s="4">
        <v>491.16666666666669</v>
      </c>
      <c r="J4" s="4">
        <v>136.83495735942464</v>
      </c>
      <c r="K4" s="4">
        <v>18723.805555555555</v>
      </c>
      <c r="L4" s="4">
        <v>264.66666666666669</v>
      </c>
      <c r="M4" s="4">
        <v>52.651896663104381</v>
      </c>
      <c r="N4" s="4">
        <v>2772.2222222222222</v>
      </c>
      <c r="O4" s="2" t="s">
        <v>14</v>
      </c>
      <c r="P4" s="3" t="s">
        <v>15</v>
      </c>
      <c r="Q4" s="2" t="s">
        <v>16</v>
      </c>
      <c r="R4" s="2" t="s">
        <v>17</v>
      </c>
      <c r="S4" s="2" t="e">
        <v>#DIV/0!</v>
      </c>
      <c r="T4" s="14" t="str">
        <f>IF(I4&gt;L4,"BJP GAIN","CONGRESS GAIN")</f>
        <v>BJP GAIN</v>
      </c>
      <c r="U4" s="4">
        <f>((I4-L4)/F4)*100</f>
        <v>28.865760407816481</v>
      </c>
      <c r="V4" s="15" t="str">
        <f>IF(U4&gt;=50,"VERYHIGHMARGIN",IF(U4&gt;=40,"HIGHMARGIN",IF(U4&gt;=30,"MEDIUMMARGIN",IF(U4&gt;10,"LOWMARGIN",IF(U4&gt;=1,"NARROWMARGIN")))))</f>
        <v>LOWMARGIN</v>
      </c>
    </row>
    <row r="5" spans="1:22" x14ac:dyDescent="0.25">
      <c r="A5" s="2">
        <v>2</v>
      </c>
      <c r="B5" s="2">
        <v>24</v>
      </c>
      <c r="C5" s="10" t="s">
        <v>18</v>
      </c>
      <c r="D5" s="2">
        <v>6</v>
      </c>
      <c r="E5" s="2" t="s">
        <v>19</v>
      </c>
      <c r="F5" s="4">
        <v>665.66666666666663</v>
      </c>
      <c r="G5" s="4">
        <v>167.92723291817666</v>
      </c>
      <c r="H5" s="4">
        <v>28199.555555555555</v>
      </c>
      <c r="I5" s="4">
        <v>387</v>
      </c>
      <c r="J5" s="4">
        <v>55.027265968790417</v>
      </c>
      <c r="K5" s="4">
        <v>3028</v>
      </c>
      <c r="L5" s="4">
        <v>257.66666666666669</v>
      </c>
      <c r="M5" s="4">
        <v>113.72579107465269</v>
      </c>
      <c r="N5" s="4">
        <v>12933.555555555555</v>
      </c>
      <c r="O5" s="2" t="s">
        <v>14</v>
      </c>
      <c r="P5" s="3" t="s">
        <v>15</v>
      </c>
      <c r="Q5" s="2" t="s">
        <v>16</v>
      </c>
      <c r="R5" s="2" t="s">
        <v>17</v>
      </c>
      <c r="S5" s="2" t="e">
        <v>#DIV/0!</v>
      </c>
      <c r="T5" s="14" t="str">
        <f t="shared" ref="T5:T41" si="0">IF(I5&gt;L5,"BJP GAIN","CONGRESS GAIN")</f>
        <v>BJP GAIN</v>
      </c>
      <c r="U5" s="4">
        <f t="shared" ref="U5:U27" si="1">((I5-L5)/F5)*100</f>
        <v>19.429143715573357</v>
      </c>
      <c r="V5" s="15" t="str">
        <f t="shared" ref="V5:V41" si="2">IF(U5&gt;=50,"VERYHIGHMARGIN",IF(U5&gt;=40,"HIGHMARGIN",IF(U5&gt;=30,"MEDIUMMARGIN",IF(U5&gt;10,"LOWMARGIN",IF(U5&gt;=1,"NARROWMARGIN")))))</f>
        <v>LOWMARGIN</v>
      </c>
    </row>
    <row r="6" spans="1:22" x14ac:dyDescent="0.25">
      <c r="A6" s="2">
        <v>3</v>
      </c>
      <c r="B6" s="2">
        <v>25</v>
      </c>
      <c r="C6" s="10" t="s">
        <v>20</v>
      </c>
      <c r="D6" s="2">
        <v>6</v>
      </c>
      <c r="E6" s="2" t="s">
        <v>21</v>
      </c>
      <c r="F6" s="8">
        <v>740.83333333333337</v>
      </c>
      <c r="G6" s="8">
        <v>182.55539494143201</v>
      </c>
      <c r="H6" s="8">
        <v>33326.472222222219</v>
      </c>
      <c r="I6" s="8">
        <v>399.5</v>
      </c>
      <c r="J6" s="8">
        <v>70.754858490424525</v>
      </c>
      <c r="K6" s="8">
        <v>5006.25</v>
      </c>
      <c r="L6" s="8">
        <v>304.66666666666669</v>
      </c>
      <c r="M6" s="8">
        <v>109.72187060421859</v>
      </c>
      <c r="N6" s="8">
        <v>12038.888888888889</v>
      </c>
      <c r="O6" s="2" t="s">
        <v>14</v>
      </c>
      <c r="P6" s="3" t="s">
        <v>22</v>
      </c>
      <c r="Q6" s="2" t="s">
        <v>15</v>
      </c>
      <c r="R6" s="13" t="s">
        <v>17</v>
      </c>
      <c r="S6" s="2" t="e">
        <v>#DIV/0!</v>
      </c>
      <c r="T6" s="14" t="str">
        <f t="shared" si="0"/>
        <v>BJP GAIN</v>
      </c>
      <c r="U6" s="4">
        <f t="shared" si="1"/>
        <v>12.800899887514058</v>
      </c>
      <c r="V6" s="15" t="str">
        <f t="shared" si="2"/>
        <v>LOWMARGIN</v>
      </c>
    </row>
    <row r="7" spans="1:22" x14ac:dyDescent="0.25">
      <c r="A7" s="2">
        <v>4</v>
      </c>
      <c r="B7" s="2">
        <v>26</v>
      </c>
      <c r="C7" s="10" t="s">
        <v>23</v>
      </c>
      <c r="D7" s="2">
        <v>7</v>
      </c>
      <c r="E7" s="11" t="s">
        <v>24</v>
      </c>
      <c r="F7" s="4">
        <v>716</v>
      </c>
      <c r="G7" s="4">
        <v>201.78577749682955</v>
      </c>
      <c r="H7" s="4">
        <v>40717.5</v>
      </c>
      <c r="I7" s="4">
        <v>435.875</v>
      </c>
      <c r="J7" s="4">
        <v>130.40555730105984</v>
      </c>
      <c r="K7" s="4">
        <v>17005.609375</v>
      </c>
      <c r="L7" s="4">
        <v>261.125</v>
      </c>
      <c r="M7" s="4">
        <v>73.084604226882149</v>
      </c>
      <c r="N7" s="4">
        <v>5341.359375</v>
      </c>
      <c r="O7" s="2" t="s">
        <v>14</v>
      </c>
      <c r="P7" s="3" t="s">
        <v>16</v>
      </c>
      <c r="Q7" s="2" t="s">
        <v>15</v>
      </c>
      <c r="R7" s="2" t="s">
        <v>17</v>
      </c>
      <c r="S7" s="2" t="e">
        <v>#DIV/0!</v>
      </c>
      <c r="T7" s="14" t="str">
        <f t="shared" si="0"/>
        <v>BJP GAIN</v>
      </c>
      <c r="U7" s="4">
        <f t="shared" si="1"/>
        <v>24.406424581005588</v>
      </c>
      <c r="V7" s="15" t="str">
        <f t="shared" si="2"/>
        <v>LOWMARGIN</v>
      </c>
    </row>
    <row r="8" spans="1:22" x14ac:dyDescent="0.25">
      <c r="A8" s="2">
        <v>5</v>
      </c>
      <c r="B8" s="2">
        <v>27</v>
      </c>
      <c r="C8" s="10" t="s">
        <v>25</v>
      </c>
      <c r="D8" s="2">
        <v>6</v>
      </c>
      <c r="E8" s="11" t="s">
        <v>26</v>
      </c>
      <c r="F8" s="4">
        <v>750</v>
      </c>
      <c r="G8" s="4">
        <v>180.03240449059905</v>
      </c>
      <c r="H8" s="4">
        <v>32411.666666666668</v>
      </c>
      <c r="I8" s="4">
        <v>482</v>
      </c>
      <c r="J8" s="4">
        <v>119.7260762462937</v>
      </c>
      <c r="K8" s="4">
        <v>14334.333333333334</v>
      </c>
      <c r="L8" s="4">
        <v>251.16666666666666</v>
      </c>
      <c r="M8" s="4">
        <v>81.96628710770193</v>
      </c>
      <c r="N8" s="4">
        <v>6718.4722222222226</v>
      </c>
      <c r="O8" s="2" t="s">
        <v>14</v>
      </c>
      <c r="P8" s="3" t="s">
        <v>15</v>
      </c>
      <c r="Q8" s="2" t="s">
        <v>16</v>
      </c>
      <c r="R8" s="2" t="s">
        <v>17</v>
      </c>
      <c r="S8" s="2" t="e">
        <v>#DIV/0!</v>
      </c>
      <c r="T8" s="14" t="str">
        <f t="shared" si="0"/>
        <v>BJP GAIN</v>
      </c>
      <c r="U8" s="4">
        <f t="shared" si="1"/>
        <v>30.777777777777782</v>
      </c>
      <c r="V8" s="15" t="str">
        <f t="shared" si="2"/>
        <v>MEDIUMMARGIN</v>
      </c>
    </row>
    <row r="9" spans="1:22" x14ac:dyDescent="0.25">
      <c r="A9" s="2">
        <v>6</v>
      </c>
      <c r="B9" s="2">
        <v>28</v>
      </c>
      <c r="C9" s="10" t="s">
        <v>27</v>
      </c>
      <c r="D9" s="2">
        <v>4</v>
      </c>
      <c r="E9" s="11" t="s">
        <v>28</v>
      </c>
      <c r="F9" s="4">
        <v>853.25</v>
      </c>
      <c r="G9" s="4">
        <v>124.70640520839336</v>
      </c>
      <c r="H9" s="4">
        <v>15551.6875</v>
      </c>
      <c r="I9" s="4">
        <v>625.75</v>
      </c>
      <c r="J9" s="4">
        <v>107.26456777519779</v>
      </c>
      <c r="K9" s="4">
        <v>11505.6875</v>
      </c>
      <c r="L9" s="4">
        <v>206.25</v>
      </c>
      <c r="M9" s="4">
        <v>28.463792790139546</v>
      </c>
      <c r="N9" s="4">
        <v>810.1875</v>
      </c>
      <c r="O9" s="2" t="s">
        <v>14</v>
      </c>
      <c r="P9" s="3" t="s">
        <v>16</v>
      </c>
      <c r="Q9" s="2" t="s">
        <v>15</v>
      </c>
      <c r="R9" s="12" t="s">
        <v>29</v>
      </c>
      <c r="S9" s="2" t="e">
        <v>#DIV/0!</v>
      </c>
      <c r="T9" s="14" t="str">
        <f t="shared" si="0"/>
        <v>BJP GAIN</v>
      </c>
      <c r="U9" s="4">
        <f t="shared" si="1"/>
        <v>49.164957515382362</v>
      </c>
      <c r="V9" s="15" t="str">
        <f t="shared" si="2"/>
        <v>HIGHMARGIN</v>
      </c>
    </row>
    <row r="10" spans="1:22" x14ac:dyDescent="0.25">
      <c r="A10" s="2">
        <v>7</v>
      </c>
      <c r="B10" s="2">
        <v>29</v>
      </c>
      <c r="C10" s="10" t="s">
        <v>30</v>
      </c>
      <c r="D10" s="2">
        <v>4</v>
      </c>
      <c r="E10" s="11" t="s">
        <v>31</v>
      </c>
      <c r="F10" s="4">
        <v>778.25</v>
      </c>
      <c r="G10" s="4">
        <v>152.65545355472892</v>
      </c>
      <c r="H10" s="4">
        <v>23303.6875</v>
      </c>
      <c r="I10" s="4">
        <v>592.25</v>
      </c>
      <c r="J10" s="4">
        <v>152.66200411366282</v>
      </c>
      <c r="K10" s="4">
        <v>23305.6875</v>
      </c>
      <c r="L10" s="4">
        <v>165</v>
      </c>
      <c r="M10" s="4">
        <v>55.443665102516448</v>
      </c>
      <c r="N10" s="4">
        <v>3074</v>
      </c>
      <c r="O10" s="2" t="s">
        <v>14</v>
      </c>
      <c r="P10" s="3" t="s">
        <v>16</v>
      </c>
      <c r="Q10" s="2" t="s">
        <v>15</v>
      </c>
      <c r="R10" s="13" t="s">
        <v>17</v>
      </c>
      <c r="S10" s="14" t="s">
        <v>32</v>
      </c>
      <c r="T10" s="14" t="str">
        <f t="shared" si="0"/>
        <v>BJP GAIN</v>
      </c>
      <c r="U10" s="4">
        <f t="shared" si="1"/>
        <v>54.898811435913906</v>
      </c>
      <c r="V10" s="15" t="str">
        <f t="shared" si="2"/>
        <v>VERYHIGHMARGIN</v>
      </c>
    </row>
    <row r="11" spans="1:22" x14ac:dyDescent="0.25">
      <c r="A11" s="2">
        <v>8</v>
      </c>
      <c r="B11" s="2">
        <v>30</v>
      </c>
      <c r="C11" s="10" t="s">
        <v>33</v>
      </c>
      <c r="D11" s="2">
        <v>5</v>
      </c>
      <c r="E11" s="11" t="s">
        <v>35</v>
      </c>
      <c r="F11" s="4">
        <v>710.4</v>
      </c>
      <c r="G11" s="4">
        <v>106.07657611367365</v>
      </c>
      <c r="H11" s="4">
        <v>11252.24</v>
      </c>
      <c r="I11" s="4">
        <v>440.6</v>
      </c>
      <c r="J11" s="4">
        <v>105.86897562553442</v>
      </c>
      <c r="K11" s="4">
        <v>11208.24</v>
      </c>
      <c r="L11" s="4">
        <v>248</v>
      </c>
      <c r="M11" s="4">
        <v>24.363907732545698</v>
      </c>
      <c r="N11" s="4">
        <v>593.6</v>
      </c>
      <c r="O11" s="2" t="s">
        <v>14</v>
      </c>
      <c r="P11" s="3" t="s">
        <v>15</v>
      </c>
      <c r="Q11" s="2" t="s">
        <v>16</v>
      </c>
      <c r="R11" s="13" t="s">
        <v>17</v>
      </c>
      <c r="S11" s="2" t="e">
        <v>#DIV/0!</v>
      </c>
      <c r="T11" s="14" t="str">
        <f t="shared" si="0"/>
        <v>BJP GAIN</v>
      </c>
      <c r="U11" s="4">
        <f t="shared" si="1"/>
        <v>27.111486486486491</v>
      </c>
      <c r="V11" s="15" t="str">
        <f t="shared" si="2"/>
        <v>LOWMARGIN</v>
      </c>
    </row>
    <row r="12" spans="1:22" x14ac:dyDescent="0.25">
      <c r="A12" s="2">
        <v>9</v>
      </c>
      <c r="B12" s="2">
        <v>31</v>
      </c>
      <c r="C12" s="10" t="s">
        <v>36</v>
      </c>
      <c r="D12" s="2">
        <v>6</v>
      </c>
      <c r="E12" s="11" t="s">
        <v>37</v>
      </c>
      <c r="F12" s="4">
        <v>709.66666666666663</v>
      </c>
      <c r="G12" s="4">
        <v>127.43189902410184</v>
      </c>
      <c r="H12" s="4">
        <v>16238.888888888889</v>
      </c>
      <c r="I12" s="4">
        <v>393.5</v>
      </c>
      <c r="J12" s="4">
        <v>89.734330108381599</v>
      </c>
      <c r="K12" s="4">
        <v>8052.25</v>
      </c>
      <c r="L12" s="4">
        <v>284.83333333333331</v>
      </c>
      <c r="M12" s="4">
        <v>42.908494367536235</v>
      </c>
      <c r="N12" s="4">
        <v>1841.1388888888889</v>
      </c>
      <c r="O12" s="2" t="s">
        <v>14</v>
      </c>
      <c r="P12" s="3" t="s">
        <v>14</v>
      </c>
      <c r="Q12" s="2" t="s">
        <v>15</v>
      </c>
      <c r="R12" s="13" t="s">
        <v>17</v>
      </c>
      <c r="S12" s="3" t="s">
        <v>38</v>
      </c>
      <c r="T12" s="14" t="str">
        <f t="shared" si="0"/>
        <v>BJP GAIN</v>
      </c>
      <c r="U12" s="4">
        <f t="shared" si="1"/>
        <v>15.312353217472996</v>
      </c>
      <c r="V12" s="15" t="str">
        <f t="shared" si="2"/>
        <v>LOWMARGIN</v>
      </c>
    </row>
    <row r="13" spans="1:22" x14ac:dyDescent="0.25">
      <c r="A13" s="2">
        <v>10</v>
      </c>
      <c r="B13" s="2">
        <v>32</v>
      </c>
      <c r="C13" s="10" t="s">
        <v>39</v>
      </c>
      <c r="D13" s="2">
        <v>5</v>
      </c>
      <c r="E13" s="11" t="s">
        <v>40</v>
      </c>
      <c r="F13" s="4">
        <v>705.8</v>
      </c>
      <c r="G13" s="4">
        <v>207.31560481546006</v>
      </c>
      <c r="H13" s="4">
        <v>42979.76</v>
      </c>
      <c r="I13" s="4">
        <v>442.8</v>
      </c>
      <c r="J13" s="4">
        <v>125.49007928916134</v>
      </c>
      <c r="K13" s="4">
        <v>15747.76</v>
      </c>
      <c r="L13" s="4">
        <v>238.4</v>
      </c>
      <c r="M13" s="4">
        <v>90.034659992693918</v>
      </c>
      <c r="N13" s="4">
        <v>8106.24</v>
      </c>
      <c r="O13" s="4" t="s">
        <v>22</v>
      </c>
      <c r="P13" s="3" t="s">
        <v>16</v>
      </c>
      <c r="Q13" s="2" t="s">
        <v>15</v>
      </c>
      <c r="R13" s="13" t="s">
        <v>17</v>
      </c>
      <c r="S13" s="3" t="s">
        <v>38</v>
      </c>
      <c r="T13" s="14" t="str">
        <f t="shared" si="0"/>
        <v>BJP GAIN</v>
      </c>
      <c r="U13" s="4">
        <f t="shared" si="1"/>
        <v>28.960045338622841</v>
      </c>
      <c r="V13" s="15" t="str">
        <f t="shared" si="2"/>
        <v>LOWMARGIN</v>
      </c>
    </row>
    <row r="14" spans="1:22" x14ac:dyDescent="0.25">
      <c r="A14" s="2">
        <v>11</v>
      </c>
      <c r="B14" s="2">
        <v>33</v>
      </c>
      <c r="C14" s="10" t="s">
        <v>41</v>
      </c>
      <c r="D14" s="2">
        <v>4</v>
      </c>
      <c r="E14" s="11" t="s">
        <v>42</v>
      </c>
      <c r="F14" s="4">
        <v>757.75</v>
      </c>
      <c r="G14" s="4">
        <v>48.432298107771018</v>
      </c>
      <c r="H14" s="4">
        <v>2345.6875</v>
      </c>
      <c r="I14" s="4">
        <v>476.25</v>
      </c>
      <c r="J14" s="4">
        <v>60.911308473878641</v>
      </c>
      <c r="K14" s="4">
        <v>3710.1875</v>
      </c>
      <c r="L14" s="4">
        <v>253.25</v>
      </c>
      <c r="M14" s="4">
        <v>102.15031815907379</v>
      </c>
      <c r="N14" s="4">
        <v>10434.6875</v>
      </c>
      <c r="O14" s="12" t="s">
        <v>14</v>
      </c>
      <c r="P14" s="3" t="s">
        <v>16</v>
      </c>
      <c r="Q14" s="2" t="s">
        <v>15</v>
      </c>
      <c r="R14" s="13" t="s">
        <v>17</v>
      </c>
      <c r="S14" s="3" t="s">
        <v>38</v>
      </c>
      <c r="T14" s="14" t="str">
        <f t="shared" si="0"/>
        <v>BJP GAIN</v>
      </c>
      <c r="U14" s="4">
        <f t="shared" si="1"/>
        <v>29.429231276806334</v>
      </c>
      <c r="V14" s="15" t="str">
        <f t="shared" si="2"/>
        <v>LOWMARGIN</v>
      </c>
    </row>
    <row r="15" spans="1:22" x14ac:dyDescent="0.25">
      <c r="A15" s="2">
        <v>12</v>
      </c>
      <c r="B15" s="2">
        <v>34</v>
      </c>
      <c r="C15" s="10" t="s">
        <v>43</v>
      </c>
      <c r="D15" s="2">
        <v>5</v>
      </c>
      <c r="E15" s="11" t="s">
        <v>44</v>
      </c>
      <c r="F15" s="4">
        <v>686.6</v>
      </c>
      <c r="G15" s="4">
        <v>60.101913447077536</v>
      </c>
      <c r="H15" s="4">
        <v>3612.24</v>
      </c>
      <c r="I15" s="4">
        <v>305.39999999999998</v>
      </c>
      <c r="J15" s="4">
        <v>35.617972991173993</v>
      </c>
      <c r="K15" s="4">
        <v>1268.6400000000001</v>
      </c>
      <c r="L15" s="4">
        <v>378.4</v>
      </c>
      <c r="M15" s="4">
        <v>106.05772013389689</v>
      </c>
      <c r="N15" s="4">
        <v>11248.24</v>
      </c>
      <c r="O15" s="12" t="s">
        <v>14</v>
      </c>
      <c r="P15" s="3" t="s">
        <v>15</v>
      </c>
      <c r="Q15" s="2" t="s">
        <v>45</v>
      </c>
      <c r="R15" s="13" t="s">
        <v>17</v>
      </c>
      <c r="S15" s="14" t="s">
        <v>32</v>
      </c>
      <c r="T15" s="3" t="str">
        <f t="shared" si="0"/>
        <v>CONGRESS GAIN</v>
      </c>
      <c r="U15" s="4">
        <f>((L15-I15)/F15)*100</f>
        <v>10.632100203903292</v>
      </c>
      <c r="V15" s="15" t="str">
        <f t="shared" si="2"/>
        <v>LOWMARGIN</v>
      </c>
    </row>
    <row r="16" spans="1:22" x14ac:dyDescent="0.25">
      <c r="A16" s="2">
        <v>13</v>
      </c>
      <c r="B16" s="2">
        <v>35</v>
      </c>
      <c r="C16" s="10" t="s">
        <v>46</v>
      </c>
      <c r="D16" s="2">
        <v>7</v>
      </c>
      <c r="E16" s="11" t="s">
        <v>47</v>
      </c>
      <c r="F16" s="4">
        <v>785.28571428571433</v>
      </c>
      <c r="G16" s="4">
        <v>96.863253073177177</v>
      </c>
      <c r="H16" s="4">
        <v>9382.4897959183672</v>
      </c>
      <c r="I16" s="4">
        <v>415.85714285714283</v>
      </c>
      <c r="J16" s="4">
        <v>88.56059841620727</v>
      </c>
      <c r="K16" s="4">
        <v>7842.9795918367345</v>
      </c>
      <c r="L16" s="4">
        <v>339.14285714285717</v>
      </c>
      <c r="M16" s="4">
        <v>101.89830865192242</v>
      </c>
      <c r="N16" s="4">
        <v>10383.265306122448</v>
      </c>
      <c r="O16" s="12" t="s">
        <v>14</v>
      </c>
      <c r="P16" s="3" t="s">
        <v>15</v>
      </c>
      <c r="Q16" s="2" t="s">
        <v>16</v>
      </c>
      <c r="R16" s="13" t="s">
        <v>17</v>
      </c>
      <c r="S16" s="2" t="e">
        <v>#DIV/0!</v>
      </c>
      <c r="T16" s="14" t="str">
        <f t="shared" si="0"/>
        <v>BJP GAIN</v>
      </c>
      <c r="U16" s="4">
        <f t="shared" si="1"/>
        <v>9.7689648899399604</v>
      </c>
      <c r="V16" s="15" t="str">
        <f t="shared" si="2"/>
        <v>NARROWMARGIN</v>
      </c>
    </row>
    <row r="17" spans="1:22" x14ac:dyDescent="0.25">
      <c r="A17" s="2">
        <v>14</v>
      </c>
      <c r="B17" s="2">
        <v>36</v>
      </c>
      <c r="C17" s="10" t="s">
        <v>48</v>
      </c>
      <c r="D17" s="2">
        <v>3</v>
      </c>
      <c r="E17" s="11" t="s">
        <v>49</v>
      </c>
      <c r="F17" s="4">
        <v>804</v>
      </c>
      <c r="G17" s="4">
        <v>89.859149042635977</v>
      </c>
      <c r="H17" s="4">
        <v>8074.666666666667</v>
      </c>
      <c r="I17" s="4">
        <v>370.66666666666669</v>
      </c>
      <c r="J17" s="4">
        <v>6.342099196813483</v>
      </c>
      <c r="K17" s="4">
        <v>40.222222222222221</v>
      </c>
      <c r="L17" s="4">
        <v>405.33333333333331</v>
      </c>
      <c r="M17" s="4">
        <v>90.753634760389744</v>
      </c>
      <c r="N17" s="4">
        <v>8236.2222222222226</v>
      </c>
      <c r="O17" s="2" t="s">
        <v>22</v>
      </c>
      <c r="P17" s="3" t="s">
        <v>15</v>
      </c>
      <c r="Q17" s="2" t="s">
        <v>16</v>
      </c>
      <c r="R17" s="2" t="s">
        <v>17</v>
      </c>
      <c r="S17" s="2" t="e">
        <v>#DIV/0!</v>
      </c>
      <c r="T17" s="3" t="str">
        <f t="shared" si="0"/>
        <v>CONGRESS GAIN</v>
      </c>
      <c r="U17" s="4">
        <f>((L17-I17)/F17)*100</f>
        <v>4.311774461028187</v>
      </c>
      <c r="V17" s="15" t="str">
        <f t="shared" si="2"/>
        <v>NARROWMARGIN</v>
      </c>
    </row>
    <row r="18" spans="1:22" x14ac:dyDescent="0.25">
      <c r="A18" s="2">
        <v>15</v>
      </c>
      <c r="B18" s="2">
        <v>37</v>
      </c>
      <c r="C18" s="10" t="s">
        <v>50</v>
      </c>
      <c r="D18" s="2">
        <v>6</v>
      </c>
      <c r="E18" s="11" t="s">
        <v>51</v>
      </c>
      <c r="F18" s="4">
        <v>728.33333333333337</v>
      </c>
      <c r="G18" s="4">
        <v>171.83680888822653</v>
      </c>
      <c r="H18" s="4">
        <v>29527.888888888891</v>
      </c>
      <c r="I18" s="4">
        <v>371.83333333333331</v>
      </c>
      <c r="J18" s="4">
        <v>154.13999769329467</v>
      </c>
      <c r="K18" s="4">
        <v>23759.138888888891</v>
      </c>
      <c r="L18" s="4">
        <v>335.66666666666669</v>
      </c>
      <c r="M18" s="4">
        <v>40.247843282452898</v>
      </c>
      <c r="N18" s="4">
        <v>1619.8888888888889</v>
      </c>
      <c r="O18" s="2" t="str">
        <f>IF(A18&gt;80,"EXCELLENT",IF(A18&gt;70,"STRONG",IF(A18&gt;60,"AVG",IF(A18&gt;50,"WEAK",IF(A18&lt;50,"VLOW")))))</f>
        <v>VLOW</v>
      </c>
      <c r="P18" s="3" t="str">
        <f>IF(C18&gt;80,"EXCELLENT",IF(C18&gt;70,"STRONG",IF(C18&gt;60,"AVG",IF(C18&gt;50,"WEAK",IF(C18&lt;50,"VLOW")))))</f>
        <v>EXCELLENT</v>
      </c>
      <c r="Q18" s="2" t="str">
        <f>IF(J16&gt;80,"EXCELLENT",IF(J16&gt;70,"STRONG",IF(J16&gt;60,"AVG",IF(J16&gt;50,"WEAK",IF(J16&lt;50,"VLOW")))))</f>
        <v>EXCELLENT</v>
      </c>
      <c r="R18" s="2" t="s">
        <v>17</v>
      </c>
      <c r="S18" s="2" t="e">
        <f>IF(E18&gt;#REF!,"H","O")</f>
        <v>#REF!</v>
      </c>
      <c r="T18" s="14" t="str">
        <f t="shared" si="0"/>
        <v>BJP GAIN</v>
      </c>
      <c r="U18" s="4">
        <f t="shared" si="1"/>
        <v>4.9656750572082329</v>
      </c>
      <c r="V18" s="15" t="str">
        <f t="shared" si="2"/>
        <v>NARROWMARGIN</v>
      </c>
    </row>
    <row r="19" spans="1:22" x14ac:dyDescent="0.25">
      <c r="A19" s="2">
        <v>16</v>
      </c>
      <c r="B19" s="2">
        <v>38</v>
      </c>
      <c r="C19" s="2" t="s">
        <v>52</v>
      </c>
      <c r="D19" s="2">
        <v>7</v>
      </c>
      <c r="E19" s="11" t="s">
        <v>53</v>
      </c>
      <c r="F19" s="4">
        <v>574.14285714285711</v>
      </c>
      <c r="G19" s="4">
        <v>93.920070229087528</v>
      </c>
      <c r="H19" s="4">
        <v>8820.9795918367345</v>
      </c>
      <c r="I19" s="4">
        <v>194.85714285714286</v>
      </c>
      <c r="J19" s="4">
        <v>83.820264463278079</v>
      </c>
      <c r="K19" s="4">
        <v>7025.8367346938776</v>
      </c>
      <c r="L19" s="4">
        <v>345.42857142857144</v>
      </c>
      <c r="M19" s="4">
        <v>50.412178638718252</v>
      </c>
      <c r="N19" s="4">
        <v>2541.387755102041</v>
      </c>
      <c r="O19" s="2" t="s">
        <v>45</v>
      </c>
      <c r="P19" s="3" t="s">
        <v>15</v>
      </c>
      <c r="Q19" s="2" t="s">
        <v>16</v>
      </c>
      <c r="R19" s="2" t="s">
        <v>17</v>
      </c>
      <c r="S19" s="2" t="e">
        <v>#DIV/0!</v>
      </c>
      <c r="T19" s="3" t="str">
        <f t="shared" si="0"/>
        <v>CONGRESS GAIN</v>
      </c>
      <c r="U19" s="4">
        <f>((L19-I19)/F19)*100</f>
        <v>26.225429211246581</v>
      </c>
      <c r="V19" s="15" t="str">
        <f t="shared" si="2"/>
        <v>LOWMARGIN</v>
      </c>
    </row>
    <row r="20" spans="1:22" x14ac:dyDescent="0.25">
      <c r="A20" s="2">
        <v>17</v>
      </c>
      <c r="B20" s="2">
        <v>39</v>
      </c>
      <c r="C20" s="2" t="s">
        <v>58</v>
      </c>
      <c r="D20" s="2">
        <v>6</v>
      </c>
      <c r="E20" s="11" t="s">
        <v>59</v>
      </c>
      <c r="F20" s="4">
        <v>627.33333333333337</v>
      </c>
      <c r="G20" s="4">
        <v>192.45316890667772</v>
      </c>
      <c r="H20" s="4">
        <v>37038.222222222219</v>
      </c>
      <c r="I20" s="4">
        <v>165.16666666666666</v>
      </c>
      <c r="J20" s="4">
        <v>177.78584183099494</v>
      </c>
      <c r="K20" s="4">
        <v>31607.805555555555</v>
      </c>
      <c r="L20" s="4">
        <v>431.66666666666669</v>
      </c>
      <c r="M20" s="4">
        <v>63.491906745838264</v>
      </c>
      <c r="N20" s="4">
        <v>4031.2222222222222</v>
      </c>
      <c r="O20" s="2" t="s">
        <v>45</v>
      </c>
      <c r="P20" s="3" t="s">
        <v>15</v>
      </c>
      <c r="Q20" s="2" t="s">
        <v>16</v>
      </c>
      <c r="R20" s="2" t="s">
        <v>17</v>
      </c>
      <c r="S20" s="2" t="s">
        <v>38</v>
      </c>
      <c r="T20" s="3" t="str">
        <f t="shared" si="0"/>
        <v>CONGRESS GAIN</v>
      </c>
      <c r="U20" s="4">
        <f>((L20-I20)/F20)*100</f>
        <v>42.48140276301806</v>
      </c>
      <c r="V20" s="15" t="str">
        <f t="shared" si="2"/>
        <v>HIGHMARGIN</v>
      </c>
    </row>
    <row r="21" spans="1:22" x14ac:dyDescent="0.25">
      <c r="A21" s="2">
        <v>18</v>
      </c>
      <c r="B21" s="2">
        <v>40</v>
      </c>
      <c r="C21" s="2" t="s">
        <v>54</v>
      </c>
      <c r="D21" s="2">
        <v>5</v>
      </c>
      <c r="E21" s="11" t="s">
        <v>55</v>
      </c>
      <c r="F21" s="4">
        <v>522.4</v>
      </c>
      <c r="G21" s="4">
        <v>97.448653146156929</v>
      </c>
      <c r="H21" s="4">
        <v>9496.24</v>
      </c>
      <c r="I21" s="4">
        <v>262.8</v>
      </c>
      <c r="J21" s="4">
        <v>61.349490625432253</v>
      </c>
      <c r="K21" s="4">
        <v>3763.76</v>
      </c>
      <c r="L21" s="4">
        <v>229</v>
      </c>
      <c r="M21" s="4">
        <v>87.386497812877252</v>
      </c>
      <c r="N21" s="4">
        <v>7636.4</v>
      </c>
      <c r="O21" s="2" t="s">
        <v>45</v>
      </c>
      <c r="P21" s="3" t="s">
        <v>15</v>
      </c>
      <c r="Q21" s="2" t="s">
        <v>16</v>
      </c>
      <c r="R21" s="2" t="s">
        <v>17</v>
      </c>
      <c r="S21" s="2" t="e">
        <v>#DIV/0!</v>
      </c>
      <c r="T21" s="14" t="str">
        <f t="shared" si="0"/>
        <v>BJP GAIN</v>
      </c>
      <c r="U21" s="4">
        <f t="shared" si="1"/>
        <v>6.4701378254211352</v>
      </c>
      <c r="V21" s="15" t="str">
        <f t="shared" si="2"/>
        <v>NARROWMARGIN</v>
      </c>
    </row>
    <row r="22" spans="1:22" x14ac:dyDescent="0.25">
      <c r="A22" s="2">
        <v>19</v>
      </c>
      <c r="B22" s="2">
        <v>41</v>
      </c>
      <c r="C22" s="2" t="s">
        <v>56</v>
      </c>
      <c r="D22" s="2">
        <v>5</v>
      </c>
      <c r="E22" s="11" t="s">
        <v>57</v>
      </c>
      <c r="F22" s="4">
        <v>647</v>
      </c>
      <c r="G22" s="4">
        <v>132.14840142809143</v>
      </c>
      <c r="H22" s="4">
        <v>17463.2</v>
      </c>
      <c r="I22" s="4">
        <v>498.6</v>
      </c>
      <c r="J22" s="4">
        <v>155.11621449738902</v>
      </c>
      <c r="K22" s="4">
        <v>24061.040000000001</v>
      </c>
      <c r="L22" s="4">
        <v>135</v>
      </c>
      <c r="M22" s="4">
        <v>35.122642269624308</v>
      </c>
      <c r="N22" s="4">
        <v>1233.5999999999999</v>
      </c>
      <c r="O22" s="2" t="str">
        <f>IF(A21&gt;80,"EXCELLENT",IF(A21&gt;70,"STRONG",IF(A21&gt;60,"AVG",IF(A21&gt;50,"WEAK",IF(A21&lt;50,"VLOW")))))</f>
        <v>VLOW</v>
      </c>
      <c r="P22" s="3" t="str">
        <f>IF(C22&gt;80,"EXCELLENT",IF(C22&gt;70,"STRONG",IF(C22&gt;60,"AVG",IF(C22&gt;50,"WEAK",IF(C22&lt;50,"VLOW")))))</f>
        <v>EXCELLENT</v>
      </c>
      <c r="Q22" s="2" t="str">
        <f>IF(J20&gt;80,"EXCELLENT",IF(J20&gt;70,"STRONG",IF(J20&gt;60,"AVG",IF(J20&gt;50,"WEAK",IF(J20&lt;50,"VLOW")))))</f>
        <v>EXCELLENT</v>
      </c>
      <c r="R22" s="2" t="s">
        <v>29</v>
      </c>
      <c r="S22" s="2" t="e">
        <f>IF(E22&gt;#REF!,"H","O")</f>
        <v>#REF!</v>
      </c>
      <c r="T22" s="14" t="str">
        <f t="shared" si="0"/>
        <v>BJP GAIN</v>
      </c>
      <c r="U22" s="4">
        <f t="shared" si="1"/>
        <v>56.197836166924262</v>
      </c>
      <c r="V22" s="15" t="str">
        <f t="shared" si="2"/>
        <v>VERYHIGHMARGIN</v>
      </c>
    </row>
    <row r="23" spans="1:22" x14ac:dyDescent="0.25">
      <c r="A23" s="2">
        <v>20</v>
      </c>
      <c r="B23" s="2">
        <v>42</v>
      </c>
      <c r="C23" s="2" t="s">
        <v>70</v>
      </c>
      <c r="D23" s="2">
        <v>7</v>
      </c>
      <c r="E23" s="2" t="s">
        <v>71</v>
      </c>
      <c r="F23" s="4">
        <v>734.42857142857144</v>
      </c>
      <c r="G23" s="4">
        <v>159.27860330059326</v>
      </c>
      <c r="H23" s="4">
        <v>25369.673469387755</v>
      </c>
      <c r="I23" s="4">
        <v>524.28571428571433</v>
      </c>
      <c r="J23" s="4">
        <v>220.14067858382498</v>
      </c>
      <c r="K23" s="4">
        <v>48461.918367346938</v>
      </c>
      <c r="L23" s="4">
        <v>187.28571428571428</v>
      </c>
      <c r="M23" s="4">
        <v>81.202945558316657</v>
      </c>
      <c r="N23" s="4">
        <v>6593.9183673469388</v>
      </c>
      <c r="O23" s="2" t="s">
        <v>14</v>
      </c>
      <c r="P23" s="3" t="s">
        <v>16</v>
      </c>
      <c r="Q23" s="2" t="s">
        <v>15</v>
      </c>
      <c r="R23" s="2" t="s">
        <v>17</v>
      </c>
      <c r="S23" s="2" t="s">
        <v>38</v>
      </c>
      <c r="T23" s="14" t="str">
        <f t="shared" si="0"/>
        <v>BJP GAIN</v>
      </c>
      <c r="U23" s="4">
        <f t="shared" si="1"/>
        <v>45.886014394086757</v>
      </c>
      <c r="V23" s="15" t="str">
        <f t="shared" si="2"/>
        <v>HIGHMARGIN</v>
      </c>
    </row>
    <row r="24" spans="1:22" x14ac:dyDescent="0.25">
      <c r="A24" s="2">
        <v>21</v>
      </c>
      <c r="B24" s="2">
        <v>43</v>
      </c>
      <c r="C24" s="2" t="s">
        <v>72</v>
      </c>
      <c r="D24" s="2">
        <v>5</v>
      </c>
      <c r="E24" s="2" t="s">
        <v>73</v>
      </c>
      <c r="F24" s="4">
        <v>679.8</v>
      </c>
      <c r="G24" s="4">
        <v>122.31336803473282</v>
      </c>
      <c r="H24" s="4">
        <v>14960.56</v>
      </c>
      <c r="I24" s="4">
        <v>177</v>
      </c>
      <c r="J24" s="4">
        <v>58.872744118140105</v>
      </c>
      <c r="K24" s="4">
        <v>3466</v>
      </c>
      <c r="L24" s="4">
        <v>462.8</v>
      </c>
      <c r="M24" s="4">
        <v>103.39129557172596</v>
      </c>
      <c r="N24" s="4">
        <v>10689.76</v>
      </c>
      <c r="O24" s="2" t="s">
        <v>14</v>
      </c>
      <c r="P24" s="3" t="s">
        <v>15</v>
      </c>
      <c r="Q24" s="2" t="s">
        <v>16</v>
      </c>
      <c r="R24" s="2" t="s">
        <v>17</v>
      </c>
      <c r="S24" s="2" t="s">
        <v>38</v>
      </c>
      <c r="T24" s="3" t="str">
        <f t="shared" si="0"/>
        <v>CONGRESS GAIN</v>
      </c>
      <c r="U24" s="4">
        <f>((L24-I24)/F24)*100</f>
        <v>42.041776993233313</v>
      </c>
      <c r="V24" s="15" t="str">
        <f t="shared" si="2"/>
        <v>HIGHMARGIN</v>
      </c>
    </row>
    <row r="25" spans="1:22" x14ac:dyDescent="0.25">
      <c r="A25" s="2">
        <v>22</v>
      </c>
      <c r="B25" s="2">
        <v>44</v>
      </c>
      <c r="C25" s="2" t="s">
        <v>75</v>
      </c>
      <c r="D25" s="2">
        <v>6</v>
      </c>
      <c r="E25" s="2" t="s">
        <v>76</v>
      </c>
      <c r="F25" s="4">
        <v>560</v>
      </c>
      <c r="G25" s="4">
        <v>141.95891424399289</v>
      </c>
      <c r="H25" s="4">
        <v>20152.333333333332</v>
      </c>
      <c r="I25" s="4">
        <v>225.83333333333334</v>
      </c>
      <c r="J25" s="4">
        <v>124.91786190222047</v>
      </c>
      <c r="K25" s="4">
        <v>15604.472222222223</v>
      </c>
      <c r="L25" s="4">
        <v>298.16666666666669</v>
      </c>
      <c r="M25" s="4">
        <v>159.11465118656491</v>
      </c>
      <c r="N25" s="4">
        <v>25317.472222222223</v>
      </c>
      <c r="O25" s="2" t="s">
        <v>14</v>
      </c>
      <c r="P25" s="3" t="s">
        <v>45</v>
      </c>
      <c r="Q25" s="2" t="s">
        <v>15</v>
      </c>
      <c r="R25" s="2" t="s">
        <v>29</v>
      </c>
      <c r="S25" s="2" t="s">
        <v>32</v>
      </c>
      <c r="T25" s="3" t="str">
        <f t="shared" si="0"/>
        <v>CONGRESS GAIN</v>
      </c>
      <c r="U25" s="4">
        <f>((L25-I25)/F25)*100</f>
        <v>12.916666666666668</v>
      </c>
      <c r="V25" s="15" t="str">
        <f t="shared" si="2"/>
        <v>LOWMARGIN</v>
      </c>
    </row>
    <row r="26" spans="1:22" x14ac:dyDescent="0.25">
      <c r="A26" s="2">
        <v>23</v>
      </c>
      <c r="B26" s="2">
        <v>45</v>
      </c>
      <c r="C26" s="2" t="s">
        <v>78</v>
      </c>
      <c r="D26" s="2">
        <v>6</v>
      </c>
      <c r="E26" s="2" t="s">
        <v>79</v>
      </c>
      <c r="F26" s="4">
        <v>746.5</v>
      </c>
      <c r="G26" s="4">
        <v>103.15481892120535</v>
      </c>
      <c r="H26" s="4">
        <v>10640.916666666666</v>
      </c>
      <c r="I26" s="4">
        <v>362.5</v>
      </c>
      <c r="J26" s="4">
        <v>120.79286678718519</v>
      </c>
      <c r="K26" s="4">
        <v>14590.916666666666</v>
      </c>
      <c r="L26" s="4">
        <v>358.16666666666669</v>
      </c>
      <c r="M26" s="4">
        <v>124.48482727715142</v>
      </c>
      <c r="N26" s="4">
        <v>15496.472222222223</v>
      </c>
      <c r="O26" s="2" t="s">
        <v>14</v>
      </c>
      <c r="P26" s="3" t="s">
        <v>15</v>
      </c>
      <c r="Q26" s="2" t="s">
        <v>16</v>
      </c>
      <c r="R26" s="2" t="s">
        <v>17</v>
      </c>
      <c r="S26" s="2" t="e">
        <v>#DIV/0!</v>
      </c>
      <c r="T26" s="14" t="str">
        <f t="shared" si="0"/>
        <v>BJP GAIN</v>
      </c>
      <c r="U26" s="4">
        <f t="shared" si="1"/>
        <v>0.58048671578477085</v>
      </c>
      <c r="V26" s="15" t="str">
        <f>IF(U26&gt;=50,"VERYHIGHMARGIN",IF(U26&gt;=40,"HIGHMARGIN",IF(U26&gt;=30,"MEDIUMMARGIN",IF(U26&gt;10,"LOWMARGIN",IF(U26&lt;1,"NARROWMARGIN")))))</f>
        <v>NARROWMARGIN</v>
      </c>
    </row>
    <row r="27" spans="1:22" x14ac:dyDescent="0.25">
      <c r="A27" s="2">
        <v>24</v>
      </c>
      <c r="B27" s="2">
        <v>46</v>
      </c>
      <c r="C27" s="2" t="s">
        <v>80</v>
      </c>
      <c r="D27" s="2">
        <v>5</v>
      </c>
      <c r="E27" s="2" t="s">
        <v>81</v>
      </c>
      <c r="F27" s="4">
        <v>669</v>
      </c>
      <c r="G27" s="4">
        <v>68.190908484929281</v>
      </c>
      <c r="H27" s="4">
        <v>4650</v>
      </c>
      <c r="I27" s="4">
        <v>418.8</v>
      </c>
      <c r="J27" s="4">
        <v>84.88203579085507</v>
      </c>
      <c r="K27" s="4">
        <v>7204.96</v>
      </c>
      <c r="L27" s="4">
        <v>232.6</v>
      </c>
      <c r="M27" s="4">
        <v>78.974932731848526</v>
      </c>
      <c r="N27" s="4">
        <v>6237.04</v>
      </c>
      <c r="O27" s="2" t="s">
        <v>14</v>
      </c>
      <c r="P27" s="3" t="s">
        <v>15</v>
      </c>
      <c r="Q27" s="2" t="s">
        <v>16</v>
      </c>
      <c r="R27" s="2" t="s">
        <v>17</v>
      </c>
      <c r="S27" s="2" t="e">
        <v>#DIV/0!</v>
      </c>
      <c r="T27" s="14" t="str">
        <f t="shared" si="0"/>
        <v>BJP GAIN</v>
      </c>
      <c r="U27" s="4">
        <f t="shared" si="1"/>
        <v>27.832585949177879</v>
      </c>
      <c r="V27" s="15" t="str">
        <f t="shared" si="2"/>
        <v>LOWMARGIN</v>
      </c>
    </row>
    <row r="28" spans="1:22" x14ac:dyDescent="0.25">
      <c r="A28" s="2">
        <v>25</v>
      </c>
      <c r="B28" s="2">
        <v>47</v>
      </c>
      <c r="C28" s="2" t="s">
        <v>82</v>
      </c>
      <c r="D28" s="2">
        <v>5</v>
      </c>
      <c r="E28" s="2" t="s">
        <v>83</v>
      </c>
      <c r="F28" s="4">
        <v>720.8</v>
      </c>
      <c r="G28" s="4">
        <v>103.50149757370663</v>
      </c>
      <c r="H28" s="4">
        <v>10712.56</v>
      </c>
      <c r="I28" s="4">
        <v>304.39999999999998</v>
      </c>
      <c r="J28" s="4">
        <v>105.57575479247117</v>
      </c>
      <c r="K28" s="4">
        <v>11146.24</v>
      </c>
      <c r="L28" s="4">
        <v>379.4</v>
      </c>
      <c r="M28" s="4">
        <v>23.770570039441633</v>
      </c>
      <c r="N28" s="4">
        <v>565.04000000000019</v>
      </c>
      <c r="O28" s="2" t="s">
        <v>45</v>
      </c>
      <c r="P28" s="3" t="s">
        <v>15</v>
      </c>
      <c r="Q28" s="7" t="s">
        <v>14</v>
      </c>
      <c r="R28" s="2" t="s">
        <v>17</v>
      </c>
      <c r="S28" s="2" t="s">
        <v>32</v>
      </c>
      <c r="T28" s="3" t="str">
        <f t="shared" si="0"/>
        <v>CONGRESS GAIN</v>
      </c>
      <c r="U28" s="4">
        <f>((L28-I28)/F28)*100</f>
        <v>10.405105438401776</v>
      </c>
      <c r="V28" s="15" t="str">
        <f t="shared" si="2"/>
        <v>LOWMARGIN</v>
      </c>
    </row>
    <row r="29" spans="1:22" x14ac:dyDescent="0.25">
      <c r="A29" s="2">
        <v>26</v>
      </c>
      <c r="B29" s="2">
        <v>48</v>
      </c>
      <c r="C29" s="2" t="s">
        <v>85</v>
      </c>
      <c r="D29" s="2">
        <v>6</v>
      </c>
      <c r="E29" s="2" t="s">
        <v>86</v>
      </c>
      <c r="F29" s="4">
        <v>632.16666666666663</v>
      </c>
      <c r="G29" s="4">
        <v>174.04636993884387</v>
      </c>
      <c r="H29" s="4">
        <v>30292.138888888891</v>
      </c>
      <c r="I29" s="4">
        <v>285.83333333333331</v>
      </c>
      <c r="J29" s="4">
        <v>134.27014642958508</v>
      </c>
      <c r="K29" s="4">
        <v>18028.472222222223</v>
      </c>
      <c r="L29" s="4">
        <v>323.33333333333331</v>
      </c>
      <c r="M29" s="4">
        <v>52.353499299367648</v>
      </c>
      <c r="N29" s="4">
        <v>2740.8888888888887</v>
      </c>
      <c r="O29" s="2" t="s">
        <v>14</v>
      </c>
      <c r="P29" s="3" t="s">
        <v>16</v>
      </c>
      <c r="Q29" s="2" t="s">
        <v>15</v>
      </c>
      <c r="R29" s="2" t="s">
        <v>17</v>
      </c>
      <c r="S29" s="2" t="s">
        <v>32</v>
      </c>
      <c r="T29" s="3" t="str">
        <f t="shared" si="0"/>
        <v>CONGRESS GAIN</v>
      </c>
      <c r="U29" s="4">
        <f t="shared" ref="U29:U40" si="3">((L29-I29)/F29)*100</f>
        <v>5.9319799630899031</v>
      </c>
      <c r="V29" s="15" t="str">
        <f t="shared" si="2"/>
        <v>NARROWMARGIN</v>
      </c>
    </row>
    <row r="30" spans="1:22" x14ac:dyDescent="0.25">
      <c r="A30" s="2">
        <v>27</v>
      </c>
      <c r="B30" s="2">
        <v>49</v>
      </c>
      <c r="C30" s="2" t="s">
        <v>87</v>
      </c>
      <c r="D30" s="2">
        <v>6</v>
      </c>
      <c r="E30" s="2" t="s">
        <v>88</v>
      </c>
      <c r="F30" s="4">
        <v>688.5</v>
      </c>
      <c r="G30" s="4">
        <v>268.03280271887121</v>
      </c>
      <c r="H30" s="4">
        <v>71841.583333333328</v>
      </c>
      <c r="I30" s="4">
        <v>377.83333333333331</v>
      </c>
      <c r="J30" s="4">
        <v>193.06425240203208</v>
      </c>
      <c r="K30" s="4">
        <v>37273.805555555555</v>
      </c>
      <c r="L30" s="4">
        <v>284.83333333333331</v>
      </c>
      <c r="M30" s="4">
        <v>95.485455553305201</v>
      </c>
      <c r="N30" s="4">
        <v>9117.4722222222226</v>
      </c>
      <c r="O30" s="2" t="s">
        <v>22</v>
      </c>
      <c r="P30" s="3" t="s">
        <v>16</v>
      </c>
      <c r="Q30" s="2" t="s">
        <v>15</v>
      </c>
      <c r="R30" s="2" t="s">
        <v>17</v>
      </c>
      <c r="S30" s="2" t="s">
        <v>32</v>
      </c>
      <c r="T30" s="14" t="str">
        <f t="shared" si="0"/>
        <v>BJP GAIN</v>
      </c>
      <c r="U30" s="4">
        <f>((I30-L30)/F30)*100</f>
        <v>13.507625272331156</v>
      </c>
      <c r="V30" s="15" t="str">
        <f t="shared" si="2"/>
        <v>LOWMARGIN</v>
      </c>
    </row>
    <row r="31" spans="1:22" x14ac:dyDescent="0.25">
      <c r="A31" s="2">
        <v>28</v>
      </c>
      <c r="B31" s="2">
        <v>50</v>
      </c>
      <c r="C31" s="2" t="s">
        <v>89</v>
      </c>
      <c r="D31" s="2">
        <v>8</v>
      </c>
      <c r="E31" s="2" t="s">
        <v>90</v>
      </c>
      <c r="F31" s="4">
        <v>534.125</v>
      </c>
      <c r="G31" s="4">
        <v>130.15897731236214</v>
      </c>
      <c r="H31" s="4">
        <v>16941.359375</v>
      </c>
      <c r="I31" s="4">
        <v>317.625</v>
      </c>
      <c r="J31" s="4">
        <v>116.56000332446804</v>
      </c>
      <c r="K31" s="4">
        <v>13586.234375</v>
      </c>
      <c r="L31" s="4">
        <v>189.875</v>
      </c>
      <c r="M31" s="4">
        <v>34.649810605542996</v>
      </c>
      <c r="N31" s="4">
        <v>1200.609375</v>
      </c>
      <c r="O31" s="2" t="s">
        <v>22</v>
      </c>
      <c r="P31" s="3" t="s">
        <v>22</v>
      </c>
      <c r="Q31" s="2" t="s">
        <v>15</v>
      </c>
      <c r="R31" s="2" t="s">
        <v>17</v>
      </c>
      <c r="S31" s="2" t="s">
        <v>38</v>
      </c>
      <c r="T31" s="14" t="str">
        <f t="shared" si="0"/>
        <v>BJP GAIN</v>
      </c>
      <c r="U31" s="4">
        <f>((I31-L31)/F31)*100</f>
        <v>23.917622279428976</v>
      </c>
      <c r="V31" s="15" t="str">
        <f t="shared" si="2"/>
        <v>LOWMARGIN</v>
      </c>
    </row>
    <row r="32" spans="1:22" x14ac:dyDescent="0.25">
      <c r="A32" s="2">
        <v>29</v>
      </c>
      <c r="B32" s="2">
        <v>51</v>
      </c>
      <c r="C32" s="2" t="s">
        <v>91</v>
      </c>
      <c r="D32" s="2">
        <v>8</v>
      </c>
      <c r="E32" s="2" t="s">
        <v>92</v>
      </c>
      <c r="F32" s="4">
        <v>625.28571428571433</v>
      </c>
      <c r="G32" s="4">
        <v>111.76213808890773</v>
      </c>
      <c r="H32" s="4">
        <v>12490.775510204081</v>
      </c>
      <c r="I32" s="4">
        <v>327</v>
      </c>
      <c r="J32" s="4">
        <v>89.489025663964597</v>
      </c>
      <c r="K32" s="4">
        <v>8008.2857142857147</v>
      </c>
      <c r="L32" s="4">
        <v>281.85714285714283</v>
      </c>
      <c r="M32" s="4">
        <v>58.249288337598891</v>
      </c>
      <c r="N32" s="4">
        <v>3392.9795918367345</v>
      </c>
      <c r="O32" s="2" t="s">
        <v>22</v>
      </c>
      <c r="P32" s="3" t="s">
        <v>45</v>
      </c>
      <c r="Q32" s="2" t="s">
        <v>15</v>
      </c>
      <c r="R32" s="2" t="s">
        <v>17</v>
      </c>
      <c r="S32" s="2" t="s">
        <v>38</v>
      </c>
      <c r="T32" s="14" t="str">
        <f t="shared" si="0"/>
        <v>BJP GAIN</v>
      </c>
      <c r="U32" s="4">
        <f>((I32-L32)/F32)*100</f>
        <v>7.2195567740461541</v>
      </c>
      <c r="V32" s="15" t="str">
        <f t="shared" si="2"/>
        <v>NARROWMARGIN</v>
      </c>
    </row>
    <row r="33" spans="1:22" x14ac:dyDescent="0.25">
      <c r="A33" s="2">
        <v>30</v>
      </c>
      <c r="B33" s="2">
        <v>52</v>
      </c>
      <c r="C33" s="2" t="s">
        <v>93</v>
      </c>
      <c r="D33" s="2">
        <v>6</v>
      </c>
      <c r="E33" s="2" t="s">
        <v>94</v>
      </c>
      <c r="F33" s="4">
        <v>676.5</v>
      </c>
      <c r="G33" s="4">
        <v>127.53790286290059</v>
      </c>
      <c r="H33" s="4">
        <v>16265.916666666666</v>
      </c>
      <c r="I33" s="4">
        <v>279</v>
      </c>
      <c r="J33" s="4">
        <v>183.94383200676594</v>
      </c>
      <c r="K33" s="4">
        <v>33835.333333333336</v>
      </c>
      <c r="L33" s="4">
        <v>321.83333333333331</v>
      </c>
      <c r="M33" s="4">
        <v>207.50776424563546</v>
      </c>
      <c r="N33" s="4">
        <v>43059.472222222219</v>
      </c>
      <c r="O33" s="2" t="s">
        <v>22</v>
      </c>
      <c r="P33" s="3" t="s">
        <v>16</v>
      </c>
      <c r="Q33" s="2" t="s">
        <v>15</v>
      </c>
      <c r="R33" s="2" t="s">
        <v>17</v>
      </c>
      <c r="S33" s="2" t="s">
        <v>38</v>
      </c>
      <c r="T33" s="3" t="str">
        <f t="shared" si="0"/>
        <v>CONGRESS GAIN</v>
      </c>
      <c r="U33" s="4">
        <f t="shared" si="3"/>
        <v>6.3316087706331583</v>
      </c>
      <c r="V33" s="15" t="str">
        <f t="shared" si="2"/>
        <v>NARROWMARGIN</v>
      </c>
    </row>
    <row r="34" spans="1:22" x14ac:dyDescent="0.25">
      <c r="A34" s="2">
        <v>31</v>
      </c>
      <c r="B34" s="2">
        <v>53</v>
      </c>
      <c r="C34" s="2" t="s">
        <v>96</v>
      </c>
      <c r="D34" s="2">
        <v>7</v>
      </c>
      <c r="E34" s="2" t="s">
        <v>97</v>
      </c>
      <c r="F34" s="4">
        <v>693.14285714285711</v>
      </c>
      <c r="G34" s="4">
        <v>136.70450778587951</v>
      </c>
      <c r="H34" s="4">
        <v>18688.122448979593</v>
      </c>
      <c r="I34" s="4">
        <v>265.71428571428572</v>
      </c>
      <c r="J34" s="4">
        <v>139.15429697766052</v>
      </c>
      <c r="K34" s="4">
        <v>19363.918367346938</v>
      </c>
      <c r="L34" s="4">
        <v>349.57142857142856</v>
      </c>
      <c r="M34" s="4">
        <v>155.52203072496297</v>
      </c>
      <c r="N34" s="4">
        <v>24187.102040816328</v>
      </c>
      <c r="O34" s="2" t="s">
        <v>22</v>
      </c>
      <c r="P34" s="3" t="s">
        <v>15</v>
      </c>
      <c r="Q34" s="2" t="s">
        <v>15</v>
      </c>
      <c r="R34" s="2" t="s">
        <v>17</v>
      </c>
      <c r="S34" s="2" t="s">
        <v>38</v>
      </c>
      <c r="T34" s="3" t="str">
        <f t="shared" si="0"/>
        <v>CONGRESS GAIN</v>
      </c>
      <c r="U34" s="4">
        <f t="shared" si="3"/>
        <v>12.098103874690846</v>
      </c>
      <c r="V34" s="15" t="str">
        <f t="shared" si="2"/>
        <v>LOWMARGIN</v>
      </c>
    </row>
    <row r="35" spans="1:22" x14ac:dyDescent="0.25">
      <c r="A35" s="2">
        <v>32</v>
      </c>
      <c r="B35" s="2">
        <v>54</v>
      </c>
      <c r="C35" s="2" t="s">
        <v>98</v>
      </c>
      <c r="D35" s="2">
        <v>5</v>
      </c>
      <c r="E35" s="2" t="s">
        <v>99</v>
      </c>
      <c r="F35" s="4">
        <v>885.8</v>
      </c>
      <c r="G35" s="4">
        <v>209.9594246515264</v>
      </c>
      <c r="H35" s="4">
        <v>44082.96</v>
      </c>
      <c r="I35" s="4">
        <v>463</v>
      </c>
      <c r="J35" s="4">
        <v>217.68141859148199</v>
      </c>
      <c r="K35" s="4">
        <v>47385.2</v>
      </c>
      <c r="L35" s="4">
        <v>360.8</v>
      </c>
      <c r="M35" s="4">
        <v>42.517760994671391</v>
      </c>
      <c r="N35" s="4">
        <v>1807.76</v>
      </c>
      <c r="O35" s="2" t="s">
        <v>22</v>
      </c>
      <c r="P35" s="3" t="s">
        <v>15</v>
      </c>
      <c r="Q35" s="2" t="s">
        <v>16</v>
      </c>
      <c r="R35" s="2" t="s">
        <v>17</v>
      </c>
      <c r="S35" s="2" t="s">
        <v>38</v>
      </c>
      <c r="T35" s="14" t="str">
        <f t="shared" si="0"/>
        <v>BJP GAIN</v>
      </c>
      <c r="U35" s="4">
        <f>((I35-L35)/F35)*100</f>
        <v>11.537593136148114</v>
      </c>
      <c r="V35" s="15" t="str">
        <f t="shared" si="2"/>
        <v>LOWMARGIN</v>
      </c>
    </row>
    <row r="36" spans="1:22" x14ac:dyDescent="0.25">
      <c r="A36" s="2">
        <v>33</v>
      </c>
      <c r="B36" s="2">
        <v>55</v>
      </c>
      <c r="C36" s="2" t="s">
        <v>100</v>
      </c>
      <c r="D36" s="2">
        <v>8</v>
      </c>
      <c r="E36" s="2" t="s">
        <v>101</v>
      </c>
      <c r="F36" s="4">
        <v>578.875</v>
      </c>
      <c r="G36" s="4">
        <v>42.724224685768142</v>
      </c>
      <c r="H36" s="4">
        <v>1825.359375</v>
      </c>
      <c r="I36" s="4">
        <v>283.625</v>
      </c>
      <c r="J36" s="4">
        <v>72.708213944505616</v>
      </c>
      <c r="K36" s="4">
        <v>5286.484375</v>
      </c>
      <c r="L36" s="4">
        <v>275.375</v>
      </c>
      <c r="M36" s="4">
        <v>75.091506676853939</v>
      </c>
      <c r="N36" s="4">
        <v>5638.734375</v>
      </c>
      <c r="O36" s="2" t="s">
        <v>14</v>
      </c>
      <c r="P36" s="3" t="s">
        <v>15</v>
      </c>
      <c r="Q36" s="2" t="s">
        <v>16</v>
      </c>
      <c r="R36" s="2" t="s">
        <v>17</v>
      </c>
      <c r="S36" s="2" t="e">
        <v>#DIV/0!</v>
      </c>
      <c r="T36" s="14" t="str">
        <f t="shared" si="0"/>
        <v>BJP GAIN</v>
      </c>
      <c r="U36" s="4">
        <f>((I36-L36)/F36)*100</f>
        <v>1.4251781472684086</v>
      </c>
      <c r="V36" s="15" t="str">
        <f t="shared" si="2"/>
        <v>NARROWMARGIN</v>
      </c>
    </row>
    <row r="37" spans="1:22" x14ac:dyDescent="0.25">
      <c r="A37" s="2">
        <v>34</v>
      </c>
      <c r="B37" s="2">
        <v>56</v>
      </c>
      <c r="C37" s="2" t="s">
        <v>102</v>
      </c>
      <c r="D37" s="2">
        <v>5</v>
      </c>
      <c r="E37" s="2" t="s">
        <v>103</v>
      </c>
      <c r="F37" s="4">
        <v>668.2</v>
      </c>
      <c r="G37" s="4">
        <v>109.11718471441608</v>
      </c>
      <c r="H37" s="4">
        <v>11906.56</v>
      </c>
      <c r="I37" s="4">
        <v>372.2</v>
      </c>
      <c r="J37" s="4">
        <v>101.82809042695439</v>
      </c>
      <c r="K37" s="4">
        <v>10368.959999999999</v>
      </c>
      <c r="L37" s="4">
        <v>276.8</v>
      </c>
      <c r="M37" s="4">
        <v>44.557378737982333</v>
      </c>
      <c r="N37" s="4">
        <v>1985.36</v>
      </c>
      <c r="O37" s="2" t="s">
        <v>14</v>
      </c>
      <c r="P37" s="3" t="s">
        <v>15</v>
      </c>
      <c r="Q37" s="2" t="s">
        <v>16</v>
      </c>
      <c r="R37" s="2" t="s">
        <v>17</v>
      </c>
      <c r="S37" s="2" t="e">
        <v>#DIV/0!</v>
      </c>
      <c r="T37" s="14" t="str">
        <f t="shared" si="0"/>
        <v>BJP GAIN</v>
      </c>
      <c r="U37" s="4">
        <f>((I37-L37)/F37)*100</f>
        <v>14.277162526189761</v>
      </c>
      <c r="V37" s="15" t="str">
        <f t="shared" si="2"/>
        <v>LOWMARGIN</v>
      </c>
    </row>
    <row r="38" spans="1:22" x14ac:dyDescent="0.25">
      <c r="A38" s="2">
        <v>35</v>
      </c>
      <c r="B38" s="2">
        <v>57</v>
      </c>
      <c r="C38" s="2" t="s">
        <v>104</v>
      </c>
      <c r="D38" s="2">
        <v>5</v>
      </c>
      <c r="E38" s="2" t="s">
        <v>105</v>
      </c>
      <c r="F38" s="4">
        <v>805.4</v>
      </c>
      <c r="G38" s="4">
        <v>71.019997183891803</v>
      </c>
      <c r="H38" s="4">
        <v>5043.84</v>
      </c>
      <c r="I38" s="4">
        <v>480.2</v>
      </c>
      <c r="J38" s="4">
        <v>50.751945775506975</v>
      </c>
      <c r="K38" s="4">
        <v>2575.7600000000002</v>
      </c>
      <c r="L38" s="4">
        <v>293.60000000000002</v>
      </c>
      <c r="M38" s="4">
        <v>53.79070551684557</v>
      </c>
      <c r="N38" s="4">
        <v>2893.44</v>
      </c>
      <c r="O38" s="2" t="s">
        <v>14</v>
      </c>
      <c r="P38" s="3" t="s">
        <v>15</v>
      </c>
      <c r="Q38" s="2" t="s">
        <v>16</v>
      </c>
      <c r="R38" s="2" t="s">
        <v>17</v>
      </c>
      <c r="S38" s="2" t="e">
        <v>#DIV/0!</v>
      </c>
      <c r="T38" s="14" t="str">
        <f t="shared" si="0"/>
        <v>BJP GAIN</v>
      </c>
      <c r="U38" s="4">
        <f>((I38-L38)/F38)*100</f>
        <v>23.168611869878315</v>
      </c>
      <c r="V38" s="15" t="str">
        <f t="shared" si="2"/>
        <v>LOWMARGIN</v>
      </c>
    </row>
    <row r="39" spans="1:22" x14ac:dyDescent="0.25">
      <c r="A39" s="2">
        <v>36</v>
      </c>
      <c r="B39" s="2">
        <v>58</v>
      </c>
      <c r="C39" s="2" t="s">
        <v>106</v>
      </c>
      <c r="D39" s="2">
        <v>4</v>
      </c>
      <c r="E39" s="2" t="s">
        <v>107</v>
      </c>
      <c r="F39" s="4">
        <v>773.75</v>
      </c>
      <c r="G39" s="4">
        <v>87.262176800719331</v>
      </c>
      <c r="H39" s="4">
        <v>7614.6875</v>
      </c>
      <c r="I39" s="4">
        <v>413.75</v>
      </c>
      <c r="J39" s="4">
        <v>109.14296816561294</v>
      </c>
      <c r="K39" s="4">
        <v>11912.1875</v>
      </c>
      <c r="L39" s="4">
        <v>335.25</v>
      </c>
      <c r="M39" s="4">
        <v>92.2398368385374</v>
      </c>
      <c r="N39" s="4">
        <v>8508.1875</v>
      </c>
      <c r="O39" s="2" t="s">
        <v>14</v>
      </c>
      <c r="P39" s="3" t="s">
        <v>15</v>
      </c>
      <c r="Q39" s="2" t="s">
        <v>16</v>
      </c>
      <c r="R39" s="2" t="s">
        <v>17</v>
      </c>
      <c r="S39" s="2" t="e">
        <v>#DIV/0!</v>
      </c>
      <c r="T39" s="14" t="str">
        <f t="shared" si="0"/>
        <v>BJP GAIN</v>
      </c>
      <c r="U39" s="4">
        <f>((I39-L39)/F39)*100</f>
        <v>10.145395799676898</v>
      </c>
      <c r="V39" s="15" t="str">
        <f t="shared" si="2"/>
        <v>LOWMARGIN</v>
      </c>
    </row>
    <row r="40" spans="1:22" x14ac:dyDescent="0.25">
      <c r="A40" s="2">
        <v>37</v>
      </c>
      <c r="B40" s="2">
        <v>59</v>
      </c>
      <c r="C40" s="2" t="s">
        <v>108</v>
      </c>
      <c r="D40" s="2">
        <v>6</v>
      </c>
      <c r="E40" s="2" t="s">
        <v>109</v>
      </c>
      <c r="F40" s="4">
        <v>731.66666666666663</v>
      </c>
      <c r="G40" s="4">
        <v>153.3891202863561</v>
      </c>
      <c r="H40" s="4">
        <v>23528.222222222223</v>
      </c>
      <c r="I40" s="4">
        <v>300.83333333333331</v>
      </c>
      <c r="J40" s="4">
        <v>85.851454397827311</v>
      </c>
      <c r="K40" s="4">
        <v>7370.4722222222226</v>
      </c>
      <c r="L40" s="4">
        <v>396.16666666666669</v>
      </c>
      <c r="M40" s="4">
        <v>96.766758525619508</v>
      </c>
      <c r="N40" s="4">
        <v>9363.8055555555547</v>
      </c>
      <c r="O40" s="2" t="s">
        <v>14</v>
      </c>
      <c r="P40" s="3" t="s">
        <v>15</v>
      </c>
      <c r="Q40" s="2" t="s">
        <v>16</v>
      </c>
      <c r="R40" s="2" t="s">
        <v>17</v>
      </c>
      <c r="S40" s="2" t="e">
        <v>#DIV/0!</v>
      </c>
      <c r="T40" s="3" t="str">
        <f t="shared" si="0"/>
        <v>CONGRESS GAIN</v>
      </c>
      <c r="U40" s="4">
        <f t="shared" si="3"/>
        <v>13.029612756264243</v>
      </c>
      <c r="V40" s="15" t="str">
        <f t="shared" si="2"/>
        <v>LOWMARGIN</v>
      </c>
    </row>
    <row r="41" spans="1:22" x14ac:dyDescent="0.25">
      <c r="A41" s="2">
        <v>38</v>
      </c>
      <c r="B41" s="2">
        <v>60</v>
      </c>
      <c r="C41" s="2" t="s">
        <v>110</v>
      </c>
      <c r="D41" s="2">
        <v>8</v>
      </c>
      <c r="E41" s="2" t="s">
        <v>111</v>
      </c>
      <c r="F41" s="4">
        <v>741</v>
      </c>
      <c r="G41" s="4">
        <v>131.13025149500348</v>
      </c>
      <c r="H41" s="4">
        <v>17195.142857142859</v>
      </c>
      <c r="I41" s="4">
        <v>397.85714285714283</v>
      </c>
      <c r="J41" s="4">
        <v>243.76418849338131</v>
      </c>
      <c r="K41" s="4">
        <v>59420.979591836738</v>
      </c>
      <c r="L41" s="4">
        <v>288.28571428571428</v>
      </c>
      <c r="M41" s="4">
        <v>203.52866718805717</v>
      </c>
      <c r="N41" s="4">
        <v>41423.918367346938</v>
      </c>
      <c r="O41" s="2" t="s">
        <v>22</v>
      </c>
      <c r="P41" s="3" t="s">
        <v>15</v>
      </c>
      <c r="Q41" s="2" t="s">
        <v>15</v>
      </c>
      <c r="R41" s="2" t="s">
        <v>17</v>
      </c>
      <c r="S41" s="2" t="s">
        <v>32</v>
      </c>
      <c r="T41" s="14" t="str">
        <f t="shared" si="0"/>
        <v>BJP GAIN</v>
      </c>
      <c r="U41" s="4">
        <f>((I41-L41)/F41)*100</f>
        <v>14.786967418546364</v>
      </c>
      <c r="V41" s="15" t="str">
        <f t="shared" si="2"/>
        <v>LOWMARGIN</v>
      </c>
    </row>
  </sheetData>
  <autoFilter ref="T2:V41" xr:uid="{00000000-0009-0000-0000-000002000000}"/>
  <mergeCells count="13">
    <mergeCell ref="T2:T3"/>
    <mergeCell ref="U2:U3"/>
    <mergeCell ref="V2:V3"/>
    <mergeCell ref="A1:V1"/>
    <mergeCell ref="A2:A3"/>
    <mergeCell ref="B2:B3"/>
    <mergeCell ref="C2:C3"/>
    <mergeCell ref="D2:D3"/>
    <mergeCell ref="E2:E3"/>
    <mergeCell ref="F2:H2"/>
    <mergeCell ref="I2:K2"/>
    <mergeCell ref="L2:N2"/>
    <mergeCell ref="O2:S2"/>
  </mergeCells>
  <conditionalFormatting sqref="O4:O12 O17:O41">
    <cfRule type="containsText" dxfId="44" priority="313" operator="containsText" text="AVG">
      <formula>NOT(ISERROR(SEARCH("AVG",O4)))</formula>
    </cfRule>
  </conditionalFormatting>
  <conditionalFormatting sqref="O4:O12 O17:O41">
    <cfRule type="cellIs" dxfId="43" priority="312" operator="equal">
      <formula>"STRONG"</formula>
    </cfRule>
  </conditionalFormatting>
  <conditionalFormatting sqref="O4:O12 O17:O41">
    <cfRule type="containsText" dxfId="42" priority="311" operator="containsText" text="VSTRONG">
      <formula>NOT(ISERROR(SEARCH("VSTRONG",O4)))</formula>
    </cfRule>
  </conditionalFormatting>
  <conditionalFormatting sqref="P4:P5 P7:P8 P17:P41">
    <cfRule type="containsText" dxfId="41" priority="310" operator="containsText" text="STRONG">
      <formula>NOT(ISERROR(SEARCH("STRONG",P4)))</formula>
    </cfRule>
  </conditionalFormatting>
  <conditionalFormatting sqref="P4:P5 P7:P8 P17:P41">
    <cfRule type="containsText" dxfId="40" priority="309" operator="containsText" text="VSTRONG">
      <formula>NOT(ISERROR(SEARCH("VSTRONG",P4)))</formula>
    </cfRule>
  </conditionalFormatting>
  <conditionalFormatting sqref="R4:R5 R7:R8 R17:R41">
    <cfRule type="containsText" dxfId="39" priority="308" operator="containsText" text="FEMALE DOM">
      <formula>NOT(ISERROR(SEARCH("FEMALE DOM",R4)))</formula>
    </cfRule>
  </conditionalFormatting>
  <conditionalFormatting sqref="O4:O12 O17:O41">
    <cfRule type="containsText" dxfId="38" priority="307" operator="containsText" text="AVG">
      <formula>NOT(ISERROR(SEARCH("AVG",O4)))</formula>
    </cfRule>
  </conditionalFormatting>
  <conditionalFormatting sqref="Q4:Q5 Q7:Q8 Q17:Q41">
    <cfRule type="cellIs" dxfId="37" priority="306" operator="equal">
      <formula>"VWEAK"</formula>
    </cfRule>
  </conditionalFormatting>
  <conditionalFormatting sqref="Q4:Q5 P7:Q7 Q8 P17:Q41">
    <cfRule type="containsText" dxfId="36" priority="305" operator="containsText" text="AVG">
      <formula>NOT(ISERROR(SEARCH("AVG",P4)))</formula>
    </cfRule>
  </conditionalFormatting>
  <conditionalFormatting sqref="Q4:Q5 Q7:Q8 Q17:Q41">
    <cfRule type="containsText" dxfId="35" priority="304" operator="containsText" text="VSTRONG">
      <formula>NOT(ISERROR(SEARCH("VSTRONG",Q4)))</formula>
    </cfRule>
  </conditionalFormatting>
  <conditionalFormatting sqref="R7 R17:R41">
    <cfRule type="containsText" dxfId="34" priority="303" operator="containsText" text="MEN">
      <formula>NOT(ISERROR(SEARCH("MEN",R7)))</formula>
    </cfRule>
  </conditionalFormatting>
  <conditionalFormatting sqref="S17:S41">
    <cfRule type="containsText" dxfId="33" priority="302" operator="containsText" text="O">
      <formula>NOT(ISERROR(SEARCH("O",S17)))</formula>
    </cfRule>
  </conditionalFormatting>
  <conditionalFormatting sqref="S17:S41">
    <cfRule type="containsText" dxfId="32" priority="300" operator="containsText" text="H">
      <formula>NOT(ISERROR(SEARCH("H",S17)))</formula>
    </cfRule>
    <cfRule type="containsText" dxfId="31" priority="301" operator="containsText" text="H">
      <formula>NOT(ISERROR(SEARCH("H",S17)))</formula>
    </cfRule>
  </conditionalFormatting>
  <conditionalFormatting sqref="S17:S41">
    <cfRule type="containsText" dxfId="30" priority="299" operator="containsText" text="H">
      <formula>NOT(ISERROR(SEARCH("H",S17)))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0"/>
  <sheetViews>
    <sheetView topLeftCell="H58" workbookViewId="0">
      <selection activeCell="F5" sqref="F5:H5"/>
    </sheetView>
  </sheetViews>
  <sheetFormatPr defaultRowHeight="15" x14ac:dyDescent="0.25"/>
  <cols>
    <col min="1" max="1" width="9.140625" style="9"/>
    <col min="2" max="2" width="10.5703125" style="9" bestFit="1" customWidth="1"/>
    <col min="3" max="3" width="18" style="9" bestFit="1" customWidth="1"/>
    <col min="4" max="4" width="20.28515625" style="9" bestFit="1" customWidth="1"/>
    <col min="5" max="5" width="32.7109375" style="9" bestFit="1" customWidth="1"/>
    <col min="6" max="6" width="12" style="9" bestFit="1" customWidth="1"/>
    <col min="7" max="7" width="13" style="9" bestFit="1" customWidth="1"/>
    <col min="8" max="8" width="12.140625" style="9" bestFit="1" customWidth="1"/>
    <col min="9" max="14" width="12" style="9" bestFit="1" customWidth="1"/>
    <col min="15" max="15" width="8.42578125" style="9" bestFit="1" customWidth="1"/>
    <col min="16" max="17" width="10.42578125" style="9" bestFit="1" customWidth="1"/>
    <col min="18" max="18" width="12.7109375" style="9" bestFit="1" customWidth="1"/>
    <col min="19" max="19" width="9" style="9" bestFit="1" customWidth="1"/>
    <col min="20" max="20" width="15.5703125" style="9" bestFit="1" customWidth="1"/>
    <col min="21" max="21" width="13.28515625" style="9" bestFit="1" customWidth="1"/>
    <col min="22" max="22" width="16.85546875" style="9" bestFit="1" customWidth="1"/>
    <col min="23" max="16384" width="9.140625" style="9"/>
  </cols>
  <sheetData>
    <row r="1" spans="1:22" x14ac:dyDescent="0.25">
      <c r="A1" s="34" t="s">
        <v>118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28.5" x14ac:dyDescent="0.25">
      <c r="A4" s="33" t="s">
        <v>95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23" t="s">
        <v>2</v>
      </c>
      <c r="G5" s="23"/>
      <c r="H5" s="23"/>
      <c r="I5" s="20" t="s">
        <v>0</v>
      </c>
      <c r="J5" s="20"/>
      <c r="K5" s="20"/>
      <c r="L5" s="25" t="s">
        <v>8</v>
      </c>
      <c r="M5" s="25"/>
      <c r="N5" s="25"/>
      <c r="O5" s="23">
        <v>2018</v>
      </c>
      <c r="P5" s="23"/>
      <c r="Q5" s="23"/>
      <c r="R5" s="23"/>
      <c r="S5" s="23"/>
      <c r="T5" s="24" t="s">
        <v>60</v>
      </c>
      <c r="U5" s="24" t="s">
        <v>62</v>
      </c>
      <c r="V5" s="24" t="s">
        <v>61</v>
      </c>
    </row>
    <row r="6" spans="1:22" ht="90" x14ac:dyDescent="0.25">
      <c r="A6" s="23"/>
      <c r="B6" s="23"/>
      <c r="C6" s="23"/>
      <c r="D6" s="23"/>
      <c r="E6" s="23"/>
      <c r="F6" s="5" t="s">
        <v>1</v>
      </c>
      <c r="G6" s="5" t="s">
        <v>116</v>
      </c>
      <c r="H6" s="5" t="s">
        <v>115</v>
      </c>
      <c r="I6" s="5" t="s">
        <v>1</v>
      </c>
      <c r="J6" s="5" t="s">
        <v>116</v>
      </c>
      <c r="K6" s="5" t="s">
        <v>115</v>
      </c>
      <c r="L6" s="5" t="s">
        <v>1</v>
      </c>
      <c r="M6" s="5" t="s">
        <v>116</v>
      </c>
      <c r="N6" s="5" t="s">
        <v>115</v>
      </c>
      <c r="O6" s="5" t="s">
        <v>10</v>
      </c>
      <c r="P6" s="5" t="s">
        <v>11</v>
      </c>
      <c r="Q6" s="5" t="s">
        <v>12</v>
      </c>
      <c r="R6" s="5" t="s">
        <v>13</v>
      </c>
      <c r="S6" s="5" t="s">
        <v>113</v>
      </c>
      <c r="T6" s="24"/>
      <c r="U6" s="24"/>
      <c r="V6" s="24"/>
    </row>
    <row r="7" spans="1:22" x14ac:dyDescent="0.25">
      <c r="A7" s="2">
        <v>13</v>
      </c>
      <c r="B7" s="2">
        <v>35</v>
      </c>
      <c r="C7" s="10" t="s">
        <v>46</v>
      </c>
      <c r="D7" s="2">
        <v>7</v>
      </c>
      <c r="E7" s="11" t="s">
        <v>47</v>
      </c>
      <c r="F7" s="4">
        <v>785.28571428571433</v>
      </c>
      <c r="G7" s="4">
        <v>96.863253073177177</v>
      </c>
      <c r="H7" s="4">
        <v>9382.4897959183672</v>
      </c>
      <c r="I7" s="4">
        <v>415.85714285714283</v>
      </c>
      <c r="J7" s="4">
        <v>88.56059841620727</v>
      </c>
      <c r="K7" s="4">
        <v>7842.9795918367345</v>
      </c>
      <c r="L7" s="4">
        <v>339.14285714285717</v>
      </c>
      <c r="M7" s="4">
        <v>101.89830865192242</v>
      </c>
      <c r="N7" s="4">
        <v>10383.265306122448</v>
      </c>
      <c r="O7" s="12" t="s">
        <v>14</v>
      </c>
      <c r="P7" s="3" t="s">
        <v>15</v>
      </c>
      <c r="Q7" s="2" t="s">
        <v>16</v>
      </c>
      <c r="R7" s="13" t="s">
        <v>17</v>
      </c>
      <c r="S7" s="2" t="e">
        <v>#DIV/0!</v>
      </c>
      <c r="T7" s="14" t="s">
        <v>63</v>
      </c>
      <c r="U7" s="4">
        <v>9.7689648899399604</v>
      </c>
      <c r="V7" s="15" t="s">
        <v>77</v>
      </c>
    </row>
    <row r="8" spans="1:22" x14ac:dyDescent="0.25">
      <c r="A8" s="2">
        <v>14</v>
      </c>
      <c r="B8" s="2">
        <v>36</v>
      </c>
      <c r="C8" s="10" t="s">
        <v>48</v>
      </c>
      <c r="D8" s="2">
        <v>3</v>
      </c>
      <c r="E8" s="11" t="s">
        <v>49</v>
      </c>
      <c r="F8" s="4">
        <v>804</v>
      </c>
      <c r="G8" s="4">
        <v>89.859149042635977</v>
      </c>
      <c r="H8" s="4">
        <v>8074.666666666667</v>
      </c>
      <c r="I8" s="4">
        <v>370.66666666666669</v>
      </c>
      <c r="J8" s="4">
        <v>6.342099196813483</v>
      </c>
      <c r="K8" s="4">
        <v>40.222222222222221</v>
      </c>
      <c r="L8" s="4">
        <v>405.33333333333331</v>
      </c>
      <c r="M8" s="4">
        <v>90.753634760389744</v>
      </c>
      <c r="N8" s="4">
        <v>8236.2222222222226</v>
      </c>
      <c r="O8" s="2" t="s">
        <v>22</v>
      </c>
      <c r="P8" s="3" t="s">
        <v>15</v>
      </c>
      <c r="Q8" s="2" t="s">
        <v>16</v>
      </c>
      <c r="R8" s="2" t="s">
        <v>17</v>
      </c>
      <c r="S8" s="2" t="e">
        <v>#DIV/0!</v>
      </c>
      <c r="T8" s="3" t="s">
        <v>65</v>
      </c>
      <c r="U8" s="4">
        <v>4.311774461028187</v>
      </c>
      <c r="V8" s="15" t="s">
        <v>77</v>
      </c>
    </row>
    <row r="9" spans="1:22" x14ac:dyDescent="0.25">
      <c r="A9" s="2">
        <v>15</v>
      </c>
      <c r="B9" s="2">
        <v>37</v>
      </c>
      <c r="C9" s="10" t="s">
        <v>50</v>
      </c>
      <c r="D9" s="2">
        <v>6</v>
      </c>
      <c r="E9" s="11" t="s">
        <v>51</v>
      </c>
      <c r="F9" s="4">
        <v>728.33333333333337</v>
      </c>
      <c r="G9" s="4">
        <v>171.83680888822653</v>
      </c>
      <c r="H9" s="4">
        <v>29527.888888888891</v>
      </c>
      <c r="I9" s="4">
        <v>371.83333333333331</v>
      </c>
      <c r="J9" s="4">
        <v>154.13999769329467</v>
      </c>
      <c r="K9" s="4">
        <v>23759.138888888891</v>
      </c>
      <c r="L9" s="4">
        <v>335.66666666666669</v>
      </c>
      <c r="M9" s="4">
        <v>40.247843282452898</v>
      </c>
      <c r="N9" s="4">
        <v>1619.8888888888889</v>
      </c>
      <c r="O9" s="2" t="s">
        <v>15</v>
      </c>
      <c r="P9" s="3" t="s">
        <v>16</v>
      </c>
      <c r="Q9" s="2" t="s">
        <v>16</v>
      </c>
      <c r="R9" s="2" t="s">
        <v>17</v>
      </c>
      <c r="S9" s="2" t="e">
        <v>#REF!</v>
      </c>
      <c r="T9" s="14" t="s">
        <v>63</v>
      </c>
      <c r="U9" s="4">
        <v>4.9656750572082329</v>
      </c>
      <c r="V9" s="15" t="s">
        <v>77</v>
      </c>
    </row>
    <row r="10" spans="1:22" x14ac:dyDescent="0.25">
      <c r="A10" s="2">
        <v>18</v>
      </c>
      <c r="B10" s="2">
        <v>40</v>
      </c>
      <c r="C10" s="2" t="s">
        <v>54</v>
      </c>
      <c r="D10" s="2">
        <v>5</v>
      </c>
      <c r="E10" s="11" t="s">
        <v>55</v>
      </c>
      <c r="F10" s="4">
        <v>522.4</v>
      </c>
      <c r="G10" s="4">
        <v>97.448653146156929</v>
      </c>
      <c r="H10" s="4">
        <v>9496.24</v>
      </c>
      <c r="I10" s="4">
        <v>262.8</v>
      </c>
      <c r="J10" s="4">
        <v>61.349490625432253</v>
      </c>
      <c r="K10" s="4">
        <v>3763.76</v>
      </c>
      <c r="L10" s="4">
        <v>229</v>
      </c>
      <c r="M10" s="4">
        <v>87.386497812877252</v>
      </c>
      <c r="N10" s="4">
        <v>7636.4</v>
      </c>
      <c r="O10" s="2" t="s">
        <v>45</v>
      </c>
      <c r="P10" s="3" t="s">
        <v>15</v>
      </c>
      <c r="Q10" s="2" t="s">
        <v>16</v>
      </c>
      <c r="R10" s="2" t="s">
        <v>17</v>
      </c>
      <c r="S10" s="2" t="e">
        <v>#DIV/0!</v>
      </c>
      <c r="T10" s="14" t="s">
        <v>63</v>
      </c>
      <c r="U10" s="4">
        <v>6.4701378254211352</v>
      </c>
      <c r="V10" s="15" t="s">
        <v>77</v>
      </c>
    </row>
    <row r="11" spans="1:22" x14ac:dyDescent="0.25">
      <c r="A11" s="2">
        <v>23</v>
      </c>
      <c r="B11" s="2">
        <v>45</v>
      </c>
      <c r="C11" s="2" t="s">
        <v>78</v>
      </c>
      <c r="D11" s="2">
        <v>6</v>
      </c>
      <c r="E11" s="2" t="s">
        <v>79</v>
      </c>
      <c r="F11" s="4">
        <v>746.5</v>
      </c>
      <c r="G11" s="4">
        <v>103.15481892120535</v>
      </c>
      <c r="H11" s="4">
        <v>10640.916666666666</v>
      </c>
      <c r="I11" s="4">
        <v>362.5</v>
      </c>
      <c r="J11" s="4">
        <v>120.79286678718519</v>
      </c>
      <c r="K11" s="4">
        <v>14590.916666666666</v>
      </c>
      <c r="L11" s="4">
        <v>358.16666666666669</v>
      </c>
      <c r="M11" s="4">
        <v>124.48482727715142</v>
      </c>
      <c r="N11" s="4">
        <v>15496.472222222223</v>
      </c>
      <c r="O11" s="2" t="s">
        <v>14</v>
      </c>
      <c r="P11" s="3" t="s">
        <v>15</v>
      </c>
      <c r="Q11" s="2" t="s">
        <v>16</v>
      </c>
      <c r="R11" s="2" t="s">
        <v>17</v>
      </c>
      <c r="S11" s="2" t="e">
        <v>#DIV/0!</v>
      </c>
      <c r="T11" s="14" t="s">
        <v>63</v>
      </c>
      <c r="U11" s="4">
        <v>0.58048671578477085</v>
      </c>
      <c r="V11" s="15" t="s">
        <v>77</v>
      </c>
    </row>
    <row r="12" spans="1:22" x14ac:dyDescent="0.25">
      <c r="A12" s="2">
        <v>26</v>
      </c>
      <c r="B12" s="2">
        <v>48</v>
      </c>
      <c r="C12" s="2" t="s">
        <v>85</v>
      </c>
      <c r="D12" s="2">
        <v>6</v>
      </c>
      <c r="E12" s="2" t="s">
        <v>86</v>
      </c>
      <c r="F12" s="4">
        <v>632.16666666666663</v>
      </c>
      <c r="G12" s="4">
        <v>174.04636993884387</v>
      </c>
      <c r="H12" s="4">
        <v>30292.138888888891</v>
      </c>
      <c r="I12" s="4">
        <v>285.83333333333331</v>
      </c>
      <c r="J12" s="4">
        <v>134.27014642958508</v>
      </c>
      <c r="K12" s="4">
        <v>18028.472222222223</v>
      </c>
      <c r="L12" s="4">
        <v>323.33333333333331</v>
      </c>
      <c r="M12" s="4">
        <v>52.353499299367648</v>
      </c>
      <c r="N12" s="4">
        <v>2740.8888888888887</v>
      </c>
      <c r="O12" s="2" t="s">
        <v>14</v>
      </c>
      <c r="P12" s="3" t="s">
        <v>16</v>
      </c>
      <c r="Q12" s="2" t="s">
        <v>15</v>
      </c>
      <c r="R12" s="2" t="s">
        <v>17</v>
      </c>
      <c r="S12" s="2" t="s">
        <v>32</v>
      </c>
      <c r="T12" s="3" t="s">
        <v>65</v>
      </c>
      <c r="U12" s="4">
        <v>5.9319799630899031</v>
      </c>
      <c r="V12" s="15" t="s">
        <v>77</v>
      </c>
    </row>
    <row r="13" spans="1:22" x14ac:dyDescent="0.25">
      <c r="A13" s="2">
        <v>29</v>
      </c>
      <c r="B13" s="2">
        <v>51</v>
      </c>
      <c r="C13" s="2" t="s">
        <v>91</v>
      </c>
      <c r="D13" s="2">
        <v>8</v>
      </c>
      <c r="E13" s="2" t="s">
        <v>92</v>
      </c>
      <c r="F13" s="4">
        <v>625.28571428571433</v>
      </c>
      <c r="G13" s="4">
        <v>111.76213808890773</v>
      </c>
      <c r="H13" s="4">
        <v>12490.775510204081</v>
      </c>
      <c r="I13" s="4">
        <v>327</v>
      </c>
      <c r="J13" s="4">
        <v>89.489025663964597</v>
      </c>
      <c r="K13" s="4">
        <v>8008.2857142857147</v>
      </c>
      <c r="L13" s="4">
        <v>281.85714285714283</v>
      </c>
      <c r="M13" s="4">
        <v>58.249288337598891</v>
      </c>
      <c r="N13" s="4">
        <v>3392.9795918367345</v>
      </c>
      <c r="O13" s="2" t="s">
        <v>22</v>
      </c>
      <c r="P13" s="3" t="s">
        <v>45</v>
      </c>
      <c r="Q13" s="2" t="s">
        <v>15</v>
      </c>
      <c r="R13" s="2" t="s">
        <v>17</v>
      </c>
      <c r="S13" s="2" t="s">
        <v>38</v>
      </c>
      <c r="T13" s="14" t="s">
        <v>63</v>
      </c>
      <c r="U13" s="4">
        <v>7.2195567740461541</v>
      </c>
      <c r="V13" s="15" t="s">
        <v>77</v>
      </c>
    </row>
    <row r="14" spans="1:22" x14ac:dyDescent="0.25">
      <c r="A14" s="2">
        <v>30</v>
      </c>
      <c r="B14" s="2">
        <v>52</v>
      </c>
      <c r="C14" s="2" t="s">
        <v>93</v>
      </c>
      <c r="D14" s="2">
        <v>6</v>
      </c>
      <c r="E14" s="2" t="s">
        <v>94</v>
      </c>
      <c r="F14" s="4">
        <v>676.5</v>
      </c>
      <c r="G14" s="4">
        <v>127.53790286290059</v>
      </c>
      <c r="H14" s="4">
        <v>16265.916666666666</v>
      </c>
      <c r="I14" s="4">
        <v>279</v>
      </c>
      <c r="J14" s="4">
        <v>183.94383200676594</v>
      </c>
      <c r="K14" s="4">
        <v>33835.333333333336</v>
      </c>
      <c r="L14" s="4">
        <v>321.83333333333331</v>
      </c>
      <c r="M14" s="4">
        <v>207.50776424563546</v>
      </c>
      <c r="N14" s="4">
        <v>43059.472222222219</v>
      </c>
      <c r="O14" s="2" t="s">
        <v>22</v>
      </c>
      <c r="P14" s="3" t="s">
        <v>16</v>
      </c>
      <c r="Q14" s="2" t="s">
        <v>15</v>
      </c>
      <c r="R14" s="2" t="s">
        <v>17</v>
      </c>
      <c r="S14" s="2" t="s">
        <v>38</v>
      </c>
      <c r="T14" s="3" t="s">
        <v>65</v>
      </c>
      <c r="U14" s="4">
        <v>6.3316087706331583</v>
      </c>
      <c r="V14" s="15" t="s">
        <v>77</v>
      </c>
    </row>
    <row r="15" spans="1:22" x14ac:dyDescent="0.25">
      <c r="A15" s="2">
        <v>33</v>
      </c>
      <c r="B15" s="2">
        <v>55</v>
      </c>
      <c r="C15" s="2" t="s">
        <v>100</v>
      </c>
      <c r="D15" s="2">
        <v>8</v>
      </c>
      <c r="E15" s="2" t="s">
        <v>101</v>
      </c>
      <c r="F15" s="4">
        <v>578.875</v>
      </c>
      <c r="G15" s="4">
        <v>42.724224685768142</v>
      </c>
      <c r="H15" s="4">
        <v>1825.359375</v>
      </c>
      <c r="I15" s="4">
        <v>283.625</v>
      </c>
      <c r="J15" s="4">
        <v>72.708213944505616</v>
      </c>
      <c r="K15" s="4">
        <v>5286.484375</v>
      </c>
      <c r="L15" s="4">
        <v>275.375</v>
      </c>
      <c r="M15" s="4">
        <v>75.091506676853939</v>
      </c>
      <c r="N15" s="4">
        <v>5638.734375</v>
      </c>
      <c r="O15" s="2" t="s">
        <v>14</v>
      </c>
      <c r="P15" s="3" t="s">
        <v>15</v>
      </c>
      <c r="Q15" s="2" t="s">
        <v>16</v>
      </c>
      <c r="R15" s="2" t="s">
        <v>17</v>
      </c>
      <c r="S15" s="2" t="e">
        <v>#DIV/0!</v>
      </c>
      <c r="T15" s="14" t="s">
        <v>63</v>
      </c>
      <c r="U15" s="4">
        <v>1.4251781472684086</v>
      </c>
      <c r="V15" s="15" t="s">
        <v>77</v>
      </c>
    </row>
    <row r="17" spans="1:22" ht="28.5" x14ac:dyDescent="0.25">
      <c r="A17" s="33" t="s">
        <v>69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x14ac:dyDescent="0.25">
      <c r="A18" s="23" t="s">
        <v>3</v>
      </c>
      <c r="B18" s="23" t="s">
        <v>4</v>
      </c>
      <c r="C18" s="23" t="s">
        <v>5</v>
      </c>
      <c r="D18" s="23" t="s">
        <v>6</v>
      </c>
      <c r="E18" s="23" t="s">
        <v>7</v>
      </c>
      <c r="F18" s="23" t="s">
        <v>2</v>
      </c>
      <c r="G18" s="23"/>
      <c r="H18" s="23"/>
      <c r="I18" s="20" t="s">
        <v>0</v>
      </c>
      <c r="J18" s="20"/>
      <c r="K18" s="20"/>
      <c r="L18" s="25" t="s">
        <v>8</v>
      </c>
      <c r="M18" s="25"/>
      <c r="N18" s="25"/>
      <c r="O18" s="23">
        <v>2018</v>
      </c>
      <c r="P18" s="23"/>
      <c r="Q18" s="23"/>
      <c r="R18" s="23"/>
      <c r="S18" s="23"/>
      <c r="T18" s="24" t="s">
        <v>60</v>
      </c>
      <c r="U18" s="24" t="s">
        <v>62</v>
      </c>
      <c r="V18" s="24" t="s">
        <v>61</v>
      </c>
    </row>
    <row r="19" spans="1:22" ht="90" x14ac:dyDescent="0.25">
      <c r="A19" s="23"/>
      <c r="B19" s="23"/>
      <c r="C19" s="23"/>
      <c r="D19" s="23"/>
      <c r="E19" s="23"/>
      <c r="F19" s="5" t="s">
        <v>1</v>
      </c>
      <c r="G19" s="5" t="s">
        <v>116</v>
      </c>
      <c r="H19" s="5" t="s">
        <v>115</v>
      </c>
      <c r="I19" s="5" t="s">
        <v>1</v>
      </c>
      <c r="J19" s="5" t="s">
        <v>116</v>
      </c>
      <c r="K19" s="5" t="s">
        <v>115</v>
      </c>
      <c r="L19" s="5" t="s">
        <v>1</v>
      </c>
      <c r="M19" s="5" t="s">
        <v>116</v>
      </c>
      <c r="N19" s="5" t="s">
        <v>115</v>
      </c>
      <c r="O19" s="5" t="s">
        <v>10</v>
      </c>
      <c r="P19" s="5" t="s">
        <v>11</v>
      </c>
      <c r="Q19" s="5" t="s">
        <v>12</v>
      </c>
      <c r="R19" s="5" t="s">
        <v>13</v>
      </c>
      <c r="S19" s="5" t="s">
        <v>113</v>
      </c>
      <c r="T19" s="24"/>
      <c r="U19" s="24"/>
      <c r="V19" s="24"/>
    </row>
    <row r="20" spans="1:22" x14ac:dyDescent="0.25">
      <c r="A20" s="2">
        <v>1</v>
      </c>
      <c r="B20" s="2">
        <v>21</v>
      </c>
      <c r="C20" s="10" t="s">
        <v>34</v>
      </c>
      <c r="D20" s="2">
        <v>6</v>
      </c>
      <c r="E20" s="2" t="s">
        <v>9</v>
      </c>
      <c r="F20" s="4">
        <v>784.66666666666663</v>
      </c>
      <c r="G20" s="4">
        <v>174.77763650485213</v>
      </c>
      <c r="H20" s="4">
        <v>30547.222222222223</v>
      </c>
      <c r="I20" s="4">
        <v>491.16666666666669</v>
      </c>
      <c r="J20" s="4">
        <v>136.83495735942464</v>
      </c>
      <c r="K20" s="4">
        <v>18723.805555555555</v>
      </c>
      <c r="L20" s="4">
        <v>264.66666666666669</v>
      </c>
      <c r="M20" s="4">
        <v>52.651896663104381</v>
      </c>
      <c r="N20" s="4">
        <v>2772.2222222222222</v>
      </c>
      <c r="O20" s="2" t="s">
        <v>14</v>
      </c>
      <c r="P20" s="3" t="s">
        <v>15</v>
      </c>
      <c r="Q20" s="2" t="s">
        <v>16</v>
      </c>
      <c r="R20" s="2" t="s">
        <v>17</v>
      </c>
      <c r="S20" s="2" t="e">
        <v>#DIV/0!</v>
      </c>
      <c r="T20" s="14" t="s">
        <v>63</v>
      </c>
      <c r="U20" s="4">
        <v>28.865760407816481</v>
      </c>
      <c r="V20" s="15" t="s">
        <v>64</v>
      </c>
    </row>
    <row r="21" spans="1:22" x14ac:dyDescent="0.25">
      <c r="A21" s="2">
        <v>2</v>
      </c>
      <c r="B21" s="2">
        <v>24</v>
      </c>
      <c r="C21" s="10" t="s">
        <v>18</v>
      </c>
      <c r="D21" s="2">
        <v>6</v>
      </c>
      <c r="E21" s="2" t="s">
        <v>19</v>
      </c>
      <c r="F21" s="4">
        <v>665.66666666666663</v>
      </c>
      <c r="G21" s="4">
        <v>167.92723291817666</v>
      </c>
      <c r="H21" s="4">
        <v>28199.555555555555</v>
      </c>
      <c r="I21" s="4">
        <v>387</v>
      </c>
      <c r="J21" s="4">
        <v>55.027265968790417</v>
      </c>
      <c r="K21" s="4">
        <v>3028</v>
      </c>
      <c r="L21" s="4">
        <v>257.66666666666669</v>
      </c>
      <c r="M21" s="4">
        <v>113.72579107465269</v>
      </c>
      <c r="N21" s="4">
        <v>12933.555555555555</v>
      </c>
      <c r="O21" s="2" t="s">
        <v>14</v>
      </c>
      <c r="P21" s="3" t="s">
        <v>15</v>
      </c>
      <c r="Q21" s="2" t="s">
        <v>16</v>
      </c>
      <c r="R21" s="2" t="s">
        <v>17</v>
      </c>
      <c r="S21" s="2" t="e">
        <v>#DIV/0!</v>
      </c>
      <c r="T21" s="14" t="s">
        <v>63</v>
      </c>
      <c r="U21" s="4">
        <v>19.429143715573357</v>
      </c>
      <c r="V21" s="15" t="s">
        <v>64</v>
      </c>
    </row>
    <row r="22" spans="1:22" x14ac:dyDescent="0.25">
      <c r="A22" s="2">
        <v>3</v>
      </c>
      <c r="B22" s="2">
        <v>25</v>
      </c>
      <c r="C22" s="10" t="s">
        <v>20</v>
      </c>
      <c r="D22" s="2">
        <v>6</v>
      </c>
      <c r="E22" s="2" t="s">
        <v>21</v>
      </c>
      <c r="F22" s="8">
        <v>740.83333333333337</v>
      </c>
      <c r="G22" s="8">
        <v>182.55539494143201</v>
      </c>
      <c r="H22" s="8">
        <v>33326.472222222219</v>
      </c>
      <c r="I22" s="8">
        <v>399.5</v>
      </c>
      <c r="J22" s="8">
        <v>70.754858490424525</v>
      </c>
      <c r="K22" s="8">
        <v>5006.25</v>
      </c>
      <c r="L22" s="8">
        <v>304.66666666666669</v>
      </c>
      <c r="M22" s="8">
        <v>109.72187060421859</v>
      </c>
      <c r="N22" s="8">
        <v>12038.888888888889</v>
      </c>
      <c r="O22" s="2" t="s">
        <v>14</v>
      </c>
      <c r="P22" s="3" t="s">
        <v>22</v>
      </c>
      <c r="Q22" s="2" t="s">
        <v>15</v>
      </c>
      <c r="R22" s="13" t="s">
        <v>17</v>
      </c>
      <c r="S22" s="2" t="e">
        <v>#DIV/0!</v>
      </c>
      <c r="T22" s="14" t="s">
        <v>63</v>
      </c>
      <c r="U22" s="4">
        <v>12.800899887514058</v>
      </c>
      <c r="V22" s="15" t="s">
        <v>64</v>
      </c>
    </row>
    <row r="23" spans="1:22" x14ac:dyDescent="0.25">
      <c r="A23" s="2">
        <v>4</v>
      </c>
      <c r="B23" s="2">
        <v>26</v>
      </c>
      <c r="C23" s="10" t="s">
        <v>23</v>
      </c>
      <c r="D23" s="2">
        <v>7</v>
      </c>
      <c r="E23" s="11" t="s">
        <v>24</v>
      </c>
      <c r="F23" s="4">
        <v>716</v>
      </c>
      <c r="G23" s="4">
        <v>201.78577749682955</v>
      </c>
      <c r="H23" s="4">
        <v>40717.5</v>
      </c>
      <c r="I23" s="4">
        <v>435.875</v>
      </c>
      <c r="J23" s="4">
        <v>130.40555730105984</v>
      </c>
      <c r="K23" s="4">
        <v>17005.609375</v>
      </c>
      <c r="L23" s="4">
        <v>261.125</v>
      </c>
      <c r="M23" s="4">
        <v>73.084604226882149</v>
      </c>
      <c r="N23" s="4">
        <v>5341.359375</v>
      </c>
      <c r="O23" s="2" t="s">
        <v>14</v>
      </c>
      <c r="P23" s="3" t="s">
        <v>16</v>
      </c>
      <c r="Q23" s="2" t="s">
        <v>15</v>
      </c>
      <c r="R23" s="2" t="s">
        <v>17</v>
      </c>
      <c r="S23" s="2" t="e">
        <v>#DIV/0!</v>
      </c>
      <c r="T23" s="14" t="s">
        <v>63</v>
      </c>
      <c r="U23" s="4">
        <v>24.406424581005588</v>
      </c>
      <c r="V23" s="15" t="s">
        <v>64</v>
      </c>
    </row>
    <row r="24" spans="1:22" x14ac:dyDescent="0.25">
      <c r="A24" s="2">
        <v>8</v>
      </c>
      <c r="B24" s="2">
        <v>30</v>
      </c>
      <c r="C24" s="10" t="s">
        <v>33</v>
      </c>
      <c r="D24" s="2">
        <v>5</v>
      </c>
      <c r="E24" s="11" t="s">
        <v>35</v>
      </c>
      <c r="F24" s="4">
        <v>710.4</v>
      </c>
      <c r="G24" s="4">
        <v>106.07657611367365</v>
      </c>
      <c r="H24" s="4">
        <v>11252.24</v>
      </c>
      <c r="I24" s="4">
        <v>440.6</v>
      </c>
      <c r="J24" s="4">
        <v>105.86897562553442</v>
      </c>
      <c r="K24" s="4">
        <v>11208.24</v>
      </c>
      <c r="L24" s="4">
        <v>248</v>
      </c>
      <c r="M24" s="4">
        <v>24.363907732545698</v>
      </c>
      <c r="N24" s="4">
        <v>593.6</v>
      </c>
      <c r="O24" s="2" t="s">
        <v>14</v>
      </c>
      <c r="P24" s="3" t="s">
        <v>15</v>
      </c>
      <c r="Q24" s="2" t="s">
        <v>16</v>
      </c>
      <c r="R24" s="13" t="s">
        <v>17</v>
      </c>
      <c r="S24" s="2" t="e">
        <v>#DIV/0!</v>
      </c>
      <c r="T24" s="14" t="s">
        <v>63</v>
      </c>
      <c r="U24" s="4">
        <v>27.111486486486491</v>
      </c>
      <c r="V24" s="15" t="s">
        <v>64</v>
      </c>
    </row>
    <row r="25" spans="1:22" x14ac:dyDescent="0.25">
      <c r="A25" s="2">
        <v>9</v>
      </c>
      <c r="B25" s="2">
        <v>31</v>
      </c>
      <c r="C25" s="10" t="s">
        <v>36</v>
      </c>
      <c r="D25" s="2">
        <v>6</v>
      </c>
      <c r="E25" s="11" t="s">
        <v>37</v>
      </c>
      <c r="F25" s="4">
        <v>709.66666666666663</v>
      </c>
      <c r="G25" s="4">
        <v>127.43189902410184</v>
      </c>
      <c r="H25" s="4">
        <v>16238.888888888889</v>
      </c>
      <c r="I25" s="4">
        <v>393.5</v>
      </c>
      <c r="J25" s="4">
        <v>89.734330108381599</v>
      </c>
      <c r="K25" s="4">
        <v>8052.25</v>
      </c>
      <c r="L25" s="4">
        <v>284.83333333333331</v>
      </c>
      <c r="M25" s="4">
        <v>42.908494367536235</v>
      </c>
      <c r="N25" s="4">
        <v>1841.1388888888889</v>
      </c>
      <c r="O25" s="2" t="s">
        <v>14</v>
      </c>
      <c r="P25" s="3" t="s">
        <v>14</v>
      </c>
      <c r="Q25" s="2" t="s">
        <v>15</v>
      </c>
      <c r="R25" s="13" t="s">
        <v>17</v>
      </c>
      <c r="S25" s="3" t="s">
        <v>38</v>
      </c>
      <c r="T25" s="14" t="s">
        <v>63</v>
      </c>
      <c r="U25" s="4">
        <v>15.312353217472996</v>
      </c>
      <c r="V25" s="15" t="s">
        <v>64</v>
      </c>
    </row>
    <row r="26" spans="1:22" x14ac:dyDescent="0.25">
      <c r="A26" s="2">
        <v>10</v>
      </c>
      <c r="B26" s="2">
        <v>32</v>
      </c>
      <c r="C26" s="10" t="s">
        <v>39</v>
      </c>
      <c r="D26" s="2">
        <v>5</v>
      </c>
      <c r="E26" s="11" t="s">
        <v>40</v>
      </c>
      <c r="F26" s="4">
        <v>705.8</v>
      </c>
      <c r="G26" s="4">
        <v>207.31560481546006</v>
      </c>
      <c r="H26" s="4">
        <v>42979.76</v>
      </c>
      <c r="I26" s="4">
        <v>442.8</v>
      </c>
      <c r="J26" s="4">
        <v>125.49007928916134</v>
      </c>
      <c r="K26" s="4">
        <v>15747.76</v>
      </c>
      <c r="L26" s="4">
        <v>238.4</v>
      </c>
      <c r="M26" s="4">
        <v>90.034659992693918</v>
      </c>
      <c r="N26" s="4">
        <v>8106.24</v>
      </c>
      <c r="O26" s="4" t="s">
        <v>22</v>
      </c>
      <c r="P26" s="3" t="s">
        <v>16</v>
      </c>
      <c r="Q26" s="2" t="s">
        <v>15</v>
      </c>
      <c r="R26" s="13" t="s">
        <v>17</v>
      </c>
      <c r="S26" s="3" t="s">
        <v>38</v>
      </c>
      <c r="T26" s="14" t="s">
        <v>63</v>
      </c>
      <c r="U26" s="4">
        <v>28.960045338622841</v>
      </c>
      <c r="V26" s="15" t="s">
        <v>64</v>
      </c>
    </row>
    <row r="27" spans="1:22" x14ac:dyDescent="0.25">
      <c r="A27" s="2">
        <v>11</v>
      </c>
      <c r="B27" s="2">
        <v>33</v>
      </c>
      <c r="C27" s="10" t="s">
        <v>41</v>
      </c>
      <c r="D27" s="2">
        <v>4</v>
      </c>
      <c r="E27" s="11" t="s">
        <v>42</v>
      </c>
      <c r="F27" s="4">
        <v>757.75</v>
      </c>
      <c r="G27" s="4">
        <v>48.432298107771018</v>
      </c>
      <c r="H27" s="4">
        <v>2345.6875</v>
      </c>
      <c r="I27" s="4">
        <v>476.25</v>
      </c>
      <c r="J27" s="4">
        <v>60.911308473878641</v>
      </c>
      <c r="K27" s="4">
        <v>3710.1875</v>
      </c>
      <c r="L27" s="4">
        <v>253.25</v>
      </c>
      <c r="M27" s="4">
        <v>102.15031815907379</v>
      </c>
      <c r="N27" s="4">
        <v>10434.6875</v>
      </c>
      <c r="O27" s="12" t="s">
        <v>14</v>
      </c>
      <c r="P27" s="3" t="s">
        <v>16</v>
      </c>
      <c r="Q27" s="2" t="s">
        <v>15</v>
      </c>
      <c r="R27" s="13" t="s">
        <v>17</v>
      </c>
      <c r="S27" s="3" t="s">
        <v>38</v>
      </c>
      <c r="T27" s="14" t="s">
        <v>63</v>
      </c>
      <c r="U27" s="4">
        <v>29.429231276806334</v>
      </c>
      <c r="V27" s="15" t="s">
        <v>64</v>
      </c>
    </row>
    <row r="28" spans="1:22" x14ac:dyDescent="0.25">
      <c r="A28" s="2">
        <v>12</v>
      </c>
      <c r="B28" s="2">
        <v>34</v>
      </c>
      <c r="C28" s="10" t="s">
        <v>43</v>
      </c>
      <c r="D28" s="2">
        <v>5</v>
      </c>
      <c r="E28" s="11" t="s">
        <v>44</v>
      </c>
      <c r="F28" s="4">
        <v>686.6</v>
      </c>
      <c r="G28" s="4">
        <v>60.101913447077536</v>
      </c>
      <c r="H28" s="4">
        <v>3612.24</v>
      </c>
      <c r="I28" s="4">
        <v>305.39999999999998</v>
      </c>
      <c r="J28" s="4">
        <v>35.617972991173993</v>
      </c>
      <c r="K28" s="4">
        <v>1268.6400000000001</v>
      </c>
      <c r="L28" s="4">
        <v>378.4</v>
      </c>
      <c r="M28" s="4">
        <v>106.05772013389689</v>
      </c>
      <c r="N28" s="4">
        <v>11248.24</v>
      </c>
      <c r="O28" s="12" t="s">
        <v>14</v>
      </c>
      <c r="P28" s="3" t="s">
        <v>15</v>
      </c>
      <c r="Q28" s="2" t="s">
        <v>45</v>
      </c>
      <c r="R28" s="13" t="s">
        <v>17</v>
      </c>
      <c r="S28" s="14" t="s">
        <v>32</v>
      </c>
      <c r="T28" s="3" t="s">
        <v>65</v>
      </c>
      <c r="U28" s="4">
        <v>10.632100203903292</v>
      </c>
      <c r="V28" s="15" t="s">
        <v>64</v>
      </c>
    </row>
    <row r="29" spans="1:22" x14ac:dyDescent="0.25">
      <c r="A29" s="2">
        <v>16</v>
      </c>
      <c r="B29" s="2">
        <v>38</v>
      </c>
      <c r="C29" s="2" t="s">
        <v>52</v>
      </c>
      <c r="D29" s="2">
        <v>7</v>
      </c>
      <c r="E29" s="11" t="s">
        <v>53</v>
      </c>
      <c r="F29" s="4">
        <v>574.14285714285711</v>
      </c>
      <c r="G29" s="4">
        <v>93.920070229087528</v>
      </c>
      <c r="H29" s="4">
        <v>8820.9795918367345</v>
      </c>
      <c r="I29" s="4">
        <v>194.85714285714286</v>
      </c>
      <c r="J29" s="4">
        <v>83.820264463278079</v>
      </c>
      <c r="K29" s="4">
        <v>7025.8367346938776</v>
      </c>
      <c r="L29" s="4">
        <v>345.42857142857144</v>
      </c>
      <c r="M29" s="4">
        <v>50.412178638718252</v>
      </c>
      <c r="N29" s="4">
        <v>2541.387755102041</v>
      </c>
      <c r="O29" s="2" t="s">
        <v>45</v>
      </c>
      <c r="P29" s="3" t="s">
        <v>15</v>
      </c>
      <c r="Q29" s="2" t="s">
        <v>16</v>
      </c>
      <c r="R29" s="2" t="s">
        <v>17</v>
      </c>
      <c r="S29" s="2" t="e">
        <v>#DIV/0!</v>
      </c>
      <c r="T29" s="3" t="s">
        <v>65</v>
      </c>
      <c r="U29" s="4">
        <v>26.225429211246581</v>
      </c>
      <c r="V29" s="15" t="s">
        <v>64</v>
      </c>
    </row>
    <row r="30" spans="1:22" x14ac:dyDescent="0.25">
      <c r="A30" s="2">
        <v>22</v>
      </c>
      <c r="B30" s="2">
        <v>44</v>
      </c>
      <c r="C30" s="2" t="s">
        <v>75</v>
      </c>
      <c r="D30" s="2">
        <v>6</v>
      </c>
      <c r="E30" s="2" t="s">
        <v>76</v>
      </c>
      <c r="F30" s="4">
        <v>560</v>
      </c>
      <c r="G30" s="4">
        <v>141.95891424399289</v>
      </c>
      <c r="H30" s="4">
        <v>20152.333333333332</v>
      </c>
      <c r="I30" s="4">
        <v>225.83333333333334</v>
      </c>
      <c r="J30" s="4">
        <v>124.91786190222047</v>
      </c>
      <c r="K30" s="4">
        <v>15604.472222222223</v>
      </c>
      <c r="L30" s="4">
        <v>298.16666666666669</v>
      </c>
      <c r="M30" s="4">
        <v>159.11465118656491</v>
      </c>
      <c r="N30" s="4">
        <v>25317.472222222223</v>
      </c>
      <c r="O30" s="2" t="s">
        <v>14</v>
      </c>
      <c r="P30" s="3" t="s">
        <v>45</v>
      </c>
      <c r="Q30" s="2" t="s">
        <v>15</v>
      </c>
      <c r="R30" s="2" t="s">
        <v>29</v>
      </c>
      <c r="S30" s="2" t="s">
        <v>32</v>
      </c>
      <c r="T30" s="3" t="s">
        <v>65</v>
      </c>
      <c r="U30" s="4">
        <v>12.916666666666668</v>
      </c>
      <c r="V30" s="15" t="s">
        <v>64</v>
      </c>
    </row>
    <row r="31" spans="1:22" x14ac:dyDescent="0.25">
      <c r="A31" s="2">
        <v>24</v>
      </c>
      <c r="B31" s="2">
        <v>46</v>
      </c>
      <c r="C31" s="2" t="s">
        <v>80</v>
      </c>
      <c r="D31" s="2">
        <v>5</v>
      </c>
      <c r="E31" s="2" t="s">
        <v>81</v>
      </c>
      <c r="F31" s="4">
        <v>669</v>
      </c>
      <c r="G31" s="4">
        <v>68.190908484929281</v>
      </c>
      <c r="H31" s="4">
        <v>4650</v>
      </c>
      <c r="I31" s="4">
        <v>418.8</v>
      </c>
      <c r="J31" s="4">
        <v>84.88203579085507</v>
      </c>
      <c r="K31" s="4">
        <v>7204.96</v>
      </c>
      <c r="L31" s="4">
        <v>232.6</v>
      </c>
      <c r="M31" s="4">
        <v>78.974932731848526</v>
      </c>
      <c r="N31" s="4">
        <v>6237.04</v>
      </c>
      <c r="O31" s="2" t="s">
        <v>14</v>
      </c>
      <c r="P31" s="3" t="s">
        <v>15</v>
      </c>
      <c r="Q31" s="2" t="s">
        <v>16</v>
      </c>
      <c r="R31" s="2" t="s">
        <v>17</v>
      </c>
      <c r="S31" s="2" t="e">
        <v>#DIV/0!</v>
      </c>
      <c r="T31" s="14" t="s">
        <v>63</v>
      </c>
      <c r="U31" s="4">
        <v>27.832585949177879</v>
      </c>
      <c r="V31" s="15" t="s">
        <v>64</v>
      </c>
    </row>
    <row r="32" spans="1:22" x14ac:dyDescent="0.25">
      <c r="A32" s="2">
        <v>25</v>
      </c>
      <c r="B32" s="2">
        <v>47</v>
      </c>
      <c r="C32" s="2" t="s">
        <v>82</v>
      </c>
      <c r="D32" s="2">
        <v>5</v>
      </c>
      <c r="E32" s="2" t="s">
        <v>83</v>
      </c>
      <c r="F32" s="4">
        <v>720.8</v>
      </c>
      <c r="G32" s="4">
        <v>103.50149757370663</v>
      </c>
      <c r="H32" s="4">
        <v>10712.56</v>
      </c>
      <c r="I32" s="4">
        <v>304.39999999999998</v>
      </c>
      <c r="J32" s="4">
        <v>105.57575479247117</v>
      </c>
      <c r="K32" s="4">
        <v>11146.24</v>
      </c>
      <c r="L32" s="4">
        <v>379.4</v>
      </c>
      <c r="M32" s="4">
        <v>23.770570039441633</v>
      </c>
      <c r="N32" s="4">
        <v>565.04000000000019</v>
      </c>
      <c r="O32" s="2" t="s">
        <v>45</v>
      </c>
      <c r="P32" s="3" t="s">
        <v>15</v>
      </c>
      <c r="Q32" s="7" t="s">
        <v>14</v>
      </c>
      <c r="R32" s="2" t="s">
        <v>17</v>
      </c>
      <c r="S32" s="2" t="s">
        <v>32</v>
      </c>
      <c r="T32" s="3" t="s">
        <v>65</v>
      </c>
      <c r="U32" s="4">
        <v>10.405105438401776</v>
      </c>
      <c r="V32" s="15" t="s">
        <v>64</v>
      </c>
    </row>
    <row r="33" spans="1:22" x14ac:dyDescent="0.25">
      <c r="A33" s="2">
        <v>27</v>
      </c>
      <c r="B33" s="2">
        <v>49</v>
      </c>
      <c r="C33" s="2" t="s">
        <v>87</v>
      </c>
      <c r="D33" s="2">
        <v>6</v>
      </c>
      <c r="E33" s="2" t="s">
        <v>88</v>
      </c>
      <c r="F33" s="4">
        <v>688.5</v>
      </c>
      <c r="G33" s="4">
        <v>268.03280271887121</v>
      </c>
      <c r="H33" s="4">
        <v>71841.583333333328</v>
      </c>
      <c r="I33" s="4">
        <v>377.83333333333331</v>
      </c>
      <c r="J33" s="4">
        <v>193.06425240203208</v>
      </c>
      <c r="K33" s="4">
        <v>37273.805555555555</v>
      </c>
      <c r="L33" s="4">
        <v>284.83333333333331</v>
      </c>
      <c r="M33" s="4">
        <v>95.485455553305201</v>
      </c>
      <c r="N33" s="4">
        <v>9117.4722222222226</v>
      </c>
      <c r="O33" s="2" t="s">
        <v>22</v>
      </c>
      <c r="P33" s="3" t="s">
        <v>16</v>
      </c>
      <c r="Q33" s="2" t="s">
        <v>15</v>
      </c>
      <c r="R33" s="2" t="s">
        <v>17</v>
      </c>
      <c r="S33" s="2" t="s">
        <v>32</v>
      </c>
      <c r="T33" s="14" t="s">
        <v>63</v>
      </c>
      <c r="U33" s="4">
        <v>13.507625272331156</v>
      </c>
      <c r="V33" s="15" t="s">
        <v>64</v>
      </c>
    </row>
    <row r="34" spans="1:22" x14ac:dyDescent="0.25">
      <c r="A34" s="2">
        <v>28</v>
      </c>
      <c r="B34" s="2">
        <v>50</v>
      </c>
      <c r="C34" s="2" t="s">
        <v>89</v>
      </c>
      <c r="D34" s="2">
        <v>8</v>
      </c>
      <c r="E34" s="2" t="s">
        <v>90</v>
      </c>
      <c r="F34" s="4">
        <v>534.125</v>
      </c>
      <c r="G34" s="4">
        <v>130.15897731236214</v>
      </c>
      <c r="H34" s="4">
        <v>16941.359375</v>
      </c>
      <c r="I34" s="4">
        <v>317.625</v>
      </c>
      <c r="J34" s="4">
        <v>116.56000332446804</v>
      </c>
      <c r="K34" s="4">
        <v>13586.234375</v>
      </c>
      <c r="L34" s="4">
        <v>189.875</v>
      </c>
      <c r="M34" s="4">
        <v>34.649810605542996</v>
      </c>
      <c r="N34" s="4">
        <v>1200.609375</v>
      </c>
      <c r="O34" s="2" t="s">
        <v>22</v>
      </c>
      <c r="P34" s="3" t="s">
        <v>22</v>
      </c>
      <c r="Q34" s="2" t="s">
        <v>15</v>
      </c>
      <c r="R34" s="2" t="s">
        <v>17</v>
      </c>
      <c r="S34" s="2" t="s">
        <v>38</v>
      </c>
      <c r="T34" s="14" t="s">
        <v>63</v>
      </c>
      <c r="U34" s="4">
        <v>23.917622279428976</v>
      </c>
      <c r="V34" s="15" t="s">
        <v>64</v>
      </c>
    </row>
    <row r="35" spans="1:22" x14ac:dyDescent="0.25">
      <c r="A35" s="2">
        <v>31</v>
      </c>
      <c r="B35" s="2">
        <v>53</v>
      </c>
      <c r="C35" s="2" t="s">
        <v>96</v>
      </c>
      <c r="D35" s="2">
        <v>7</v>
      </c>
      <c r="E35" s="2" t="s">
        <v>97</v>
      </c>
      <c r="F35" s="4">
        <v>693.14285714285711</v>
      </c>
      <c r="G35" s="4">
        <v>136.70450778587951</v>
      </c>
      <c r="H35" s="4">
        <v>18688.122448979593</v>
      </c>
      <c r="I35" s="4">
        <v>265.71428571428572</v>
      </c>
      <c r="J35" s="4">
        <v>139.15429697766052</v>
      </c>
      <c r="K35" s="4">
        <v>19363.918367346938</v>
      </c>
      <c r="L35" s="4">
        <v>349.57142857142856</v>
      </c>
      <c r="M35" s="4">
        <v>155.52203072496297</v>
      </c>
      <c r="N35" s="4">
        <v>24187.102040816328</v>
      </c>
      <c r="O35" s="2" t="s">
        <v>22</v>
      </c>
      <c r="P35" s="3" t="s">
        <v>15</v>
      </c>
      <c r="Q35" s="2" t="s">
        <v>15</v>
      </c>
      <c r="R35" s="2" t="s">
        <v>17</v>
      </c>
      <c r="S35" s="2" t="s">
        <v>38</v>
      </c>
      <c r="T35" s="3" t="s">
        <v>65</v>
      </c>
      <c r="U35" s="4">
        <v>12.098103874690846</v>
      </c>
      <c r="V35" s="15" t="s">
        <v>64</v>
      </c>
    </row>
    <row r="36" spans="1:22" x14ac:dyDescent="0.25">
      <c r="A36" s="2">
        <v>32</v>
      </c>
      <c r="B36" s="2">
        <v>54</v>
      </c>
      <c r="C36" s="2" t="s">
        <v>98</v>
      </c>
      <c r="D36" s="2">
        <v>5</v>
      </c>
      <c r="E36" s="2" t="s">
        <v>99</v>
      </c>
      <c r="F36" s="4">
        <v>885.8</v>
      </c>
      <c r="G36" s="4">
        <v>209.9594246515264</v>
      </c>
      <c r="H36" s="4">
        <v>44082.96</v>
      </c>
      <c r="I36" s="4">
        <v>463</v>
      </c>
      <c r="J36" s="4">
        <v>217.68141859148199</v>
      </c>
      <c r="K36" s="4">
        <v>47385.2</v>
      </c>
      <c r="L36" s="4">
        <v>360.8</v>
      </c>
      <c r="M36" s="4">
        <v>42.517760994671391</v>
      </c>
      <c r="N36" s="4">
        <v>1807.76</v>
      </c>
      <c r="O36" s="2" t="s">
        <v>22</v>
      </c>
      <c r="P36" s="3" t="s">
        <v>15</v>
      </c>
      <c r="Q36" s="2" t="s">
        <v>16</v>
      </c>
      <c r="R36" s="2" t="s">
        <v>17</v>
      </c>
      <c r="S36" s="2" t="s">
        <v>38</v>
      </c>
      <c r="T36" s="14" t="s">
        <v>63</v>
      </c>
      <c r="U36" s="4">
        <v>11.537593136148114</v>
      </c>
      <c r="V36" s="15" t="s">
        <v>64</v>
      </c>
    </row>
    <row r="37" spans="1:22" x14ac:dyDescent="0.25">
      <c r="A37" s="2">
        <v>34</v>
      </c>
      <c r="B37" s="2">
        <v>56</v>
      </c>
      <c r="C37" s="2" t="s">
        <v>102</v>
      </c>
      <c r="D37" s="2">
        <v>5</v>
      </c>
      <c r="E37" s="2" t="s">
        <v>103</v>
      </c>
      <c r="F37" s="4">
        <v>668.2</v>
      </c>
      <c r="G37" s="4">
        <v>109.11718471441608</v>
      </c>
      <c r="H37" s="4">
        <v>11906.56</v>
      </c>
      <c r="I37" s="4">
        <v>372.2</v>
      </c>
      <c r="J37" s="4">
        <v>101.82809042695439</v>
      </c>
      <c r="K37" s="4">
        <v>10368.959999999999</v>
      </c>
      <c r="L37" s="4">
        <v>276.8</v>
      </c>
      <c r="M37" s="4">
        <v>44.557378737982333</v>
      </c>
      <c r="N37" s="4">
        <v>1985.36</v>
      </c>
      <c r="O37" s="2" t="s">
        <v>14</v>
      </c>
      <c r="P37" s="3" t="s">
        <v>15</v>
      </c>
      <c r="Q37" s="2" t="s">
        <v>16</v>
      </c>
      <c r="R37" s="2" t="s">
        <v>17</v>
      </c>
      <c r="S37" s="2" t="e">
        <v>#DIV/0!</v>
      </c>
      <c r="T37" s="14" t="s">
        <v>63</v>
      </c>
      <c r="U37" s="4">
        <v>14.277162526189761</v>
      </c>
      <c r="V37" s="15" t="s">
        <v>64</v>
      </c>
    </row>
    <row r="38" spans="1:22" x14ac:dyDescent="0.25">
      <c r="A38" s="2">
        <v>35</v>
      </c>
      <c r="B38" s="2">
        <v>57</v>
      </c>
      <c r="C38" s="2" t="s">
        <v>104</v>
      </c>
      <c r="D38" s="2">
        <v>5</v>
      </c>
      <c r="E38" s="2" t="s">
        <v>105</v>
      </c>
      <c r="F38" s="4">
        <v>805.4</v>
      </c>
      <c r="G38" s="4">
        <v>71.019997183891803</v>
      </c>
      <c r="H38" s="4">
        <v>5043.84</v>
      </c>
      <c r="I38" s="4">
        <v>480.2</v>
      </c>
      <c r="J38" s="4">
        <v>50.751945775506975</v>
      </c>
      <c r="K38" s="4">
        <v>2575.7600000000002</v>
      </c>
      <c r="L38" s="4">
        <v>293.60000000000002</v>
      </c>
      <c r="M38" s="4">
        <v>53.79070551684557</v>
      </c>
      <c r="N38" s="4">
        <v>2893.44</v>
      </c>
      <c r="O38" s="2" t="s">
        <v>14</v>
      </c>
      <c r="P38" s="3" t="s">
        <v>15</v>
      </c>
      <c r="Q38" s="2" t="s">
        <v>16</v>
      </c>
      <c r="R38" s="2" t="s">
        <v>17</v>
      </c>
      <c r="S38" s="2" t="e">
        <v>#DIV/0!</v>
      </c>
      <c r="T38" s="14" t="s">
        <v>63</v>
      </c>
      <c r="U38" s="4">
        <v>23.168611869878315</v>
      </c>
      <c r="V38" s="15" t="s">
        <v>64</v>
      </c>
    </row>
    <row r="39" spans="1:22" x14ac:dyDescent="0.25">
      <c r="A39" s="2">
        <v>36</v>
      </c>
      <c r="B39" s="2">
        <v>58</v>
      </c>
      <c r="C39" s="2" t="s">
        <v>106</v>
      </c>
      <c r="D39" s="2">
        <v>4</v>
      </c>
      <c r="E39" s="2" t="s">
        <v>107</v>
      </c>
      <c r="F39" s="4">
        <v>773.75</v>
      </c>
      <c r="G39" s="4">
        <v>87.262176800719331</v>
      </c>
      <c r="H39" s="4">
        <v>7614.6875</v>
      </c>
      <c r="I39" s="4">
        <v>413.75</v>
      </c>
      <c r="J39" s="4">
        <v>109.14296816561294</v>
      </c>
      <c r="K39" s="4">
        <v>11912.1875</v>
      </c>
      <c r="L39" s="4">
        <v>335.25</v>
      </c>
      <c r="M39" s="4">
        <v>92.2398368385374</v>
      </c>
      <c r="N39" s="4">
        <v>8508.1875</v>
      </c>
      <c r="O39" s="2" t="s">
        <v>14</v>
      </c>
      <c r="P39" s="3" t="s">
        <v>15</v>
      </c>
      <c r="Q39" s="2" t="s">
        <v>16</v>
      </c>
      <c r="R39" s="2" t="s">
        <v>17</v>
      </c>
      <c r="S39" s="2" t="e">
        <v>#DIV/0!</v>
      </c>
      <c r="T39" s="14" t="s">
        <v>63</v>
      </c>
      <c r="U39" s="4">
        <v>10.145395799676898</v>
      </c>
      <c r="V39" s="15" t="s">
        <v>64</v>
      </c>
    </row>
    <row r="40" spans="1:22" x14ac:dyDescent="0.25">
      <c r="A40" s="2">
        <v>37</v>
      </c>
      <c r="B40" s="2">
        <v>59</v>
      </c>
      <c r="C40" s="2" t="s">
        <v>108</v>
      </c>
      <c r="D40" s="2">
        <v>6</v>
      </c>
      <c r="E40" s="2" t="s">
        <v>109</v>
      </c>
      <c r="F40" s="4">
        <v>731.66666666666663</v>
      </c>
      <c r="G40" s="4">
        <v>153.3891202863561</v>
      </c>
      <c r="H40" s="4">
        <v>23528.222222222223</v>
      </c>
      <c r="I40" s="4">
        <v>300.83333333333331</v>
      </c>
      <c r="J40" s="4">
        <v>85.851454397827311</v>
      </c>
      <c r="K40" s="4">
        <v>7370.4722222222226</v>
      </c>
      <c r="L40" s="4">
        <v>396.16666666666669</v>
      </c>
      <c r="M40" s="4">
        <v>96.766758525619508</v>
      </c>
      <c r="N40" s="4">
        <v>9363.8055555555547</v>
      </c>
      <c r="O40" s="2" t="s">
        <v>14</v>
      </c>
      <c r="P40" s="3" t="s">
        <v>15</v>
      </c>
      <c r="Q40" s="2" t="s">
        <v>16</v>
      </c>
      <c r="R40" s="2" t="s">
        <v>17</v>
      </c>
      <c r="S40" s="2" t="e">
        <v>#DIV/0!</v>
      </c>
      <c r="T40" s="3" t="s">
        <v>65</v>
      </c>
      <c r="U40" s="4">
        <v>13.029612756264243</v>
      </c>
      <c r="V40" s="15" t="s">
        <v>64</v>
      </c>
    </row>
    <row r="41" spans="1:22" x14ac:dyDescent="0.25">
      <c r="A41" s="2">
        <v>38</v>
      </c>
      <c r="B41" s="2">
        <v>60</v>
      </c>
      <c r="C41" s="2" t="s">
        <v>110</v>
      </c>
      <c r="D41" s="2">
        <v>8</v>
      </c>
      <c r="E41" s="2" t="s">
        <v>111</v>
      </c>
      <c r="F41" s="4">
        <v>741</v>
      </c>
      <c r="G41" s="4">
        <v>131.13025149500348</v>
      </c>
      <c r="H41" s="4">
        <v>17195.142857142859</v>
      </c>
      <c r="I41" s="4">
        <v>397.85714285714283</v>
      </c>
      <c r="J41" s="4">
        <v>243.76418849338131</v>
      </c>
      <c r="K41" s="4">
        <v>59420.979591836738</v>
      </c>
      <c r="L41" s="4">
        <v>288.28571428571428</v>
      </c>
      <c r="M41" s="4">
        <v>203.52866718805717</v>
      </c>
      <c r="N41" s="4">
        <v>41423.918367346938</v>
      </c>
      <c r="O41" s="2" t="s">
        <v>22</v>
      </c>
      <c r="P41" s="3" t="s">
        <v>15</v>
      </c>
      <c r="Q41" s="2" t="s">
        <v>15</v>
      </c>
      <c r="R41" s="2" t="s">
        <v>17</v>
      </c>
      <c r="S41" s="2" t="s">
        <v>32</v>
      </c>
      <c r="T41" s="14" t="s">
        <v>63</v>
      </c>
      <c r="U41" s="4">
        <v>14.786967418546364</v>
      </c>
      <c r="V41" s="15" t="s">
        <v>64</v>
      </c>
    </row>
    <row r="43" spans="1:22" ht="28.5" x14ac:dyDescent="0.25">
      <c r="A43" s="33" t="s">
        <v>74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1:22" x14ac:dyDescent="0.25">
      <c r="A44" s="23" t="s">
        <v>3</v>
      </c>
      <c r="B44" s="23" t="s">
        <v>4</v>
      </c>
      <c r="C44" s="23" t="s">
        <v>5</v>
      </c>
      <c r="D44" s="23" t="s">
        <v>6</v>
      </c>
      <c r="E44" s="23" t="s">
        <v>7</v>
      </c>
      <c r="F44" s="23" t="s">
        <v>2</v>
      </c>
      <c r="G44" s="23"/>
      <c r="H44" s="23"/>
      <c r="I44" s="20" t="s">
        <v>0</v>
      </c>
      <c r="J44" s="20"/>
      <c r="K44" s="20"/>
      <c r="L44" s="25" t="s">
        <v>8</v>
      </c>
      <c r="M44" s="25"/>
      <c r="N44" s="25"/>
      <c r="O44" s="23">
        <v>2018</v>
      </c>
      <c r="P44" s="23"/>
      <c r="Q44" s="23"/>
      <c r="R44" s="23"/>
      <c r="S44" s="23"/>
      <c r="T44" s="24" t="s">
        <v>60</v>
      </c>
      <c r="U44" s="24" t="s">
        <v>62</v>
      </c>
      <c r="V44" s="24" t="s">
        <v>61</v>
      </c>
    </row>
    <row r="45" spans="1:22" ht="90" x14ac:dyDescent="0.25">
      <c r="A45" s="23"/>
      <c r="B45" s="23"/>
      <c r="C45" s="23"/>
      <c r="D45" s="23"/>
      <c r="E45" s="23"/>
      <c r="F45" s="5" t="s">
        <v>1</v>
      </c>
      <c r="G45" s="5" t="s">
        <v>116</v>
      </c>
      <c r="H45" s="5" t="s">
        <v>115</v>
      </c>
      <c r="I45" s="5" t="s">
        <v>1</v>
      </c>
      <c r="J45" s="5" t="s">
        <v>116</v>
      </c>
      <c r="K45" s="5" t="s">
        <v>115</v>
      </c>
      <c r="L45" s="5" t="s">
        <v>1</v>
      </c>
      <c r="M45" s="5" t="s">
        <v>116</v>
      </c>
      <c r="N45" s="5" t="s">
        <v>115</v>
      </c>
      <c r="O45" s="5" t="s">
        <v>10</v>
      </c>
      <c r="P45" s="5" t="s">
        <v>11</v>
      </c>
      <c r="Q45" s="5" t="s">
        <v>12</v>
      </c>
      <c r="R45" s="5" t="s">
        <v>13</v>
      </c>
      <c r="S45" s="5" t="s">
        <v>113</v>
      </c>
      <c r="T45" s="24"/>
      <c r="U45" s="24"/>
      <c r="V45" s="24"/>
    </row>
    <row r="46" spans="1:22" x14ac:dyDescent="0.25">
      <c r="A46" s="2">
        <v>5</v>
      </c>
      <c r="B46" s="2">
        <v>27</v>
      </c>
      <c r="C46" s="10" t="s">
        <v>25</v>
      </c>
      <c r="D46" s="2">
        <v>6</v>
      </c>
      <c r="E46" s="11" t="s">
        <v>26</v>
      </c>
      <c r="F46" s="4">
        <v>750</v>
      </c>
      <c r="G46" s="4">
        <v>180.03240449059905</v>
      </c>
      <c r="H46" s="4">
        <v>32411.666666666668</v>
      </c>
      <c r="I46" s="4">
        <v>482</v>
      </c>
      <c r="J46" s="4">
        <v>119.7260762462937</v>
      </c>
      <c r="K46" s="4">
        <v>14334.333333333334</v>
      </c>
      <c r="L46" s="4">
        <v>251.16666666666666</v>
      </c>
      <c r="M46" s="4">
        <v>81.96628710770193</v>
      </c>
      <c r="N46" s="4">
        <v>6718.4722222222226</v>
      </c>
      <c r="O46" s="2" t="s">
        <v>14</v>
      </c>
      <c r="P46" s="3" t="s">
        <v>15</v>
      </c>
      <c r="Q46" s="2" t="s">
        <v>16</v>
      </c>
      <c r="R46" s="2" t="s">
        <v>17</v>
      </c>
      <c r="S46" s="2" t="e">
        <v>#DIV/0!</v>
      </c>
      <c r="T46" s="14" t="str">
        <f t="shared" ref="T46" si="0">IF(I46&gt;L46,"BJP GAIN","CONGRESS GAIN")</f>
        <v>BJP GAIN</v>
      </c>
      <c r="U46" s="4">
        <f t="shared" ref="U46" si="1">((I46-L46)/F46)*100</f>
        <v>30.777777777777782</v>
      </c>
      <c r="V46" s="15" t="str">
        <f t="shared" ref="V46" si="2">IF(U46&gt;=50,"VERYHIGHMARGIN",IF(U46&gt;=40,"HIGHMARGIN",IF(U46&gt;=30,"MEDIUMMARGIN",IF(U46&gt;10,"LOWMARGIN",IF(U46&gt;=1,"NARROWMARGIN")))))</f>
        <v>MEDIUMMARGIN</v>
      </c>
    </row>
    <row r="48" spans="1:22" ht="28.5" x14ac:dyDescent="0.25">
      <c r="A48" s="33" t="s">
        <v>114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spans="1:22" x14ac:dyDescent="0.25">
      <c r="A49" s="23" t="s">
        <v>3</v>
      </c>
      <c r="B49" s="23" t="s">
        <v>4</v>
      </c>
      <c r="C49" s="23" t="s">
        <v>5</v>
      </c>
      <c r="D49" s="23" t="s">
        <v>6</v>
      </c>
      <c r="E49" s="23" t="s">
        <v>7</v>
      </c>
      <c r="F49" s="24" t="s">
        <v>2</v>
      </c>
      <c r="G49" s="24"/>
      <c r="H49" s="24"/>
      <c r="I49" s="35" t="s">
        <v>0</v>
      </c>
      <c r="J49" s="35"/>
      <c r="K49" s="35"/>
      <c r="L49" s="36" t="s">
        <v>8</v>
      </c>
      <c r="M49" s="36"/>
      <c r="N49" s="36"/>
      <c r="O49" s="24">
        <v>2018</v>
      </c>
      <c r="P49" s="24"/>
      <c r="Q49" s="24"/>
      <c r="R49" s="24"/>
      <c r="S49" s="24"/>
      <c r="T49" s="24" t="s">
        <v>60</v>
      </c>
      <c r="U49" s="24" t="s">
        <v>62</v>
      </c>
      <c r="V49" s="24" t="s">
        <v>61</v>
      </c>
    </row>
    <row r="50" spans="1:22" ht="90" x14ac:dyDescent="0.25">
      <c r="A50" s="23"/>
      <c r="B50" s="23"/>
      <c r="C50" s="23"/>
      <c r="D50" s="23"/>
      <c r="E50" s="23"/>
      <c r="F50" s="5" t="s">
        <v>1</v>
      </c>
      <c r="G50" s="5" t="s">
        <v>116</v>
      </c>
      <c r="H50" s="5" t="s">
        <v>115</v>
      </c>
      <c r="I50" s="5" t="s">
        <v>1</v>
      </c>
      <c r="J50" s="5" t="s">
        <v>116</v>
      </c>
      <c r="K50" s="5" t="s">
        <v>115</v>
      </c>
      <c r="L50" s="5" t="s">
        <v>1</v>
      </c>
      <c r="M50" s="5" t="s">
        <v>116</v>
      </c>
      <c r="N50" s="5" t="s">
        <v>115</v>
      </c>
      <c r="O50" s="5" t="s">
        <v>10</v>
      </c>
      <c r="P50" s="5" t="s">
        <v>11</v>
      </c>
      <c r="Q50" s="5" t="s">
        <v>12</v>
      </c>
      <c r="R50" s="5" t="s">
        <v>13</v>
      </c>
      <c r="S50" s="5" t="s">
        <v>113</v>
      </c>
      <c r="T50" s="24"/>
      <c r="U50" s="24"/>
      <c r="V50" s="24"/>
    </row>
    <row r="51" spans="1:22" x14ac:dyDescent="0.25">
      <c r="A51" s="2">
        <v>6</v>
      </c>
      <c r="B51" s="2">
        <v>28</v>
      </c>
      <c r="C51" s="10" t="s">
        <v>27</v>
      </c>
      <c r="D51" s="2">
        <v>4</v>
      </c>
      <c r="E51" s="11" t="s">
        <v>28</v>
      </c>
      <c r="F51" s="4">
        <v>853.25</v>
      </c>
      <c r="G51" s="4">
        <v>124.70640520839336</v>
      </c>
      <c r="H51" s="4">
        <v>15551.6875</v>
      </c>
      <c r="I51" s="4">
        <v>625.75</v>
      </c>
      <c r="J51" s="4">
        <v>107.26456777519779</v>
      </c>
      <c r="K51" s="4">
        <v>11505.6875</v>
      </c>
      <c r="L51" s="4">
        <v>206.25</v>
      </c>
      <c r="M51" s="4">
        <v>28.463792790139546</v>
      </c>
      <c r="N51" s="4">
        <v>810.1875</v>
      </c>
      <c r="O51" s="2" t="s">
        <v>14</v>
      </c>
      <c r="P51" s="3" t="s">
        <v>16</v>
      </c>
      <c r="Q51" s="2" t="s">
        <v>15</v>
      </c>
      <c r="R51" s="12" t="s">
        <v>29</v>
      </c>
      <c r="S51" s="2" t="e">
        <v>#DIV/0!</v>
      </c>
      <c r="T51" s="14" t="s">
        <v>63</v>
      </c>
      <c r="U51" s="4">
        <v>49.164957515382362</v>
      </c>
      <c r="V51" s="15" t="s">
        <v>84</v>
      </c>
    </row>
    <row r="52" spans="1:22" x14ac:dyDescent="0.25">
      <c r="A52" s="2">
        <v>17</v>
      </c>
      <c r="B52" s="2">
        <v>39</v>
      </c>
      <c r="C52" s="2" t="s">
        <v>58</v>
      </c>
      <c r="D52" s="2">
        <v>6</v>
      </c>
      <c r="E52" s="11" t="s">
        <v>59</v>
      </c>
      <c r="F52" s="4">
        <v>627.33333333333337</v>
      </c>
      <c r="G52" s="4">
        <v>192.45316890667772</v>
      </c>
      <c r="H52" s="4">
        <v>37038.222222222219</v>
      </c>
      <c r="I52" s="4">
        <v>165.16666666666666</v>
      </c>
      <c r="J52" s="4">
        <v>177.78584183099494</v>
      </c>
      <c r="K52" s="4">
        <v>31607.805555555555</v>
      </c>
      <c r="L52" s="4">
        <v>431.66666666666669</v>
      </c>
      <c r="M52" s="4">
        <v>63.491906745838264</v>
      </c>
      <c r="N52" s="4">
        <v>4031.2222222222222</v>
      </c>
      <c r="O52" s="2" t="s">
        <v>45</v>
      </c>
      <c r="P52" s="3" t="s">
        <v>15</v>
      </c>
      <c r="Q52" s="2" t="s">
        <v>16</v>
      </c>
      <c r="R52" s="2" t="s">
        <v>17</v>
      </c>
      <c r="S52" s="2" t="s">
        <v>38</v>
      </c>
      <c r="T52" s="3" t="s">
        <v>65</v>
      </c>
      <c r="U52" s="4">
        <v>42.48140276301806</v>
      </c>
      <c r="V52" s="15" t="s">
        <v>84</v>
      </c>
    </row>
    <row r="53" spans="1:22" x14ac:dyDescent="0.25">
      <c r="A53" s="2">
        <v>20</v>
      </c>
      <c r="B53" s="2">
        <v>42</v>
      </c>
      <c r="C53" s="2" t="s">
        <v>70</v>
      </c>
      <c r="D53" s="2">
        <v>7</v>
      </c>
      <c r="E53" s="2" t="s">
        <v>71</v>
      </c>
      <c r="F53" s="4">
        <v>734.42857142857144</v>
      </c>
      <c r="G53" s="4">
        <v>159.27860330059326</v>
      </c>
      <c r="H53" s="4">
        <v>25369.673469387755</v>
      </c>
      <c r="I53" s="4">
        <v>524.28571428571433</v>
      </c>
      <c r="J53" s="4">
        <v>220.14067858382498</v>
      </c>
      <c r="K53" s="4">
        <v>48461.918367346938</v>
      </c>
      <c r="L53" s="4">
        <v>187.28571428571428</v>
      </c>
      <c r="M53" s="4">
        <v>81.202945558316657</v>
      </c>
      <c r="N53" s="4">
        <v>6593.9183673469388</v>
      </c>
      <c r="O53" s="2" t="s">
        <v>14</v>
      </c>
      <c r="P53" s="3" t="s">
        <v>16</v>
      </c>
      <c r="Q53" s="2" t="s">
        <v>15</v>
      </c>
      <c r="R53" s="2" t="s">
        <v>17</v>
      </c>
      <c r="S53" s="2" t="s">
        <v>38</v>
      </c>
      <c r="T53" s="14" t="s">
        <v>63</v>
      </c>
      <c r="U53" s="4">
        <v>45.886014394086757</v>
      </c>
      <c r="V53" s="15" t="s">
        <v>84</v>
      </c>
    </row>
    <row r="54" spans="1:22" x14ac:dyDescent="0.25">
      <c r="A54" s="2">
        <v>21</v>
      </c>
      <c r="B54" s="2">
        <v>43</v>
      </c>
      <c r="C54" s="2" t="s">
        <v>72</v>
      </c>
      <c r="D54" s="2">
        <v>5</v>
      </c>
      <c r="E54" s="2" t="s">
        <v>73</v>
      </c>
      <c r="F54" s="4">
        <v>679.8</v>
      </c>
      <c r="G54" s="4">
        <v>122.31336803473282</v>
      </c>
      <c r="H54" s="4">
        <v>14960.56</v>
      </c>
      <c r="I54" s="4">
        <v>177</v>
      </c>
      <c r="J54" s="4">
        <v>58.872744118140105</v>
      </c>
      <c r="K54" s="4">
        <v>3466</v>
      </c>
      <c r="L54" s="4">
        <v>462.8</v>
      </c>
      <c r="M54" s="4">
        <v>103.39129557172596</v>
      </c>
      <c r="N54" s="4">
        <v>10689.76</v>
      </c>
      <c r="O54" s="2" t="s">
        <v>14</v>
      </c>
      <c r="P54" s="3" t="s">
        <v>15</v>
      </c>
      <c r="Q54" s="2" t="s">
        <v>16</v>
      </c>
      <c r="R54" s="2" t="s">
        <v>17</v>
      </c>
      <c r="S54" s="2" t="s">
        <v>38</v>
      </c>
      <c r="T54" s="3" t="s">
        <v>65</v>
      </c>
      <c r="U54" s="4">
        <v>42.041776993233313</v>
      </c>
      <c r="V54" s="15" t="s">
        <v>84</v>
      </c>
    </row>
    <row r="56" spans="1:22" ht="28.5" x14ac:dyDescent="0.25">
      <c r="A56" s="33" t="s">
        <v>67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x14ac:dyDescent="0.25">
      <c r="A57" s="23" t="s">
        <v>3</v>
      </c>
      <c r="B57" s="23" t="s">
        <v>4</v>
      </c>
      <c r="C57" s="23" t="s">
        <v>5</v>
      </c>
      <c r="D57" s="23" t="s">
        <v>6</v>
      </c>
      <c r="E57" s="23" t="s">
        <v>7</v>
      </c>
      <c r="F57" s="23" t="s">
        <v>2</v>
      </c>
      <c r="G57" s="23"/>
      <c r="H57" s="23"/>
      <c r="I57" s="20" t="s">
        <v>0</v>
      </c>
      <c r="J57" s="20"/>
      <c r="K57" s="20"/>
      <c r="L57" s="25" t="s">
        <v>8</v>
      </c>
      <c r="M57" s="25"/>
      <c r="N57" s="25"/>
      <c r="O57" s="23">
        <v>2018</v>
      </c>
      <c r="P57" s="23"/>
      <c r="Q57" s="23"/>
      <c r="R57" s="23"/>
      <c r="S57" s="23"/>
      <c r="T57" s="24" t="s">
        <v>60</v>
      </c>
      <c r="U57" s="24" t="s">
        <v>62</v>
      </c>
      <c r="V57" s="24" t="s">
        <v>61</v>
      </c>
    </row>
    <row r="58" spans="1:22" ht="90" x14ac:dyDescent="0.25">
      <c r="A58" s="23"/>
      <c r="B58" s="23"/>
      <c r="C58" s="23"/>
      <c r="D58" s="23"/>
      <c r="E58" s="23"/>
      <c r="F58" s="5" t="s">
        <v>1</v>
      </c>
      <c r="G58" s="5" t="s">
        <v>116</v>
      </c>
      <c r="H58" s="5" t="s">
        <v>115</v>
      </c>
      <c r="I58" s="5" t="s">
        <v>1</v>
      </c>
      <c r="J58" s="5" t="s">
        <v>116</v>
      </c>
      <c r="K58" s="5" t="s">
        <v>115</v>
      </c>
      <c r="L58" s="5" t="s">
        <v>1</v>
      </c>
      <c r="M58" s="5" t="s">
        <v>116</v>
      </c>
      <c r="N58" s="5" t="s">
        <v>115</v>
      </c>
      <c r="O58" s="5" t="s">
        <v>10</v>
      </c>
      <c r="P58" s="5" t="s">
        <v>11</v>
      </c>
      <c r="Q58" s="5" t="s">
        <v>12</v>
      </c>
      <c r="R58" s="5" t="s">
        <v>13</v>
      </c>
      <c r="S58" s="5" t="s">
        <v>113</v>
      </c>
      <c r="T58" s="24"/>
      <c r="U58" s="24"/>
      <c r="V58" s="24"/>
    </row>
    <row r="59" spans="1:22" x14ac:dyDescent="0.25">
      <c r="A59" s="2">
        <v>7</v>
      </c>
      <c r="B59" s="2">
        <v>29</v>
      </c>
      <c r="C59" s="10" t="s">
        <v>30</v>
      </c>
      <c r="D59" s="2">
        <v>4</v>
      </c>
      <c r="E59" s="11" t="s">
        <v>31</v>
      </c>
      <c r="F59" s="4">
        <v>778.25</v>
      </c>
      <c r="G59" s="4">
        <v>152.65545355472892</v>
      </c>
      <c r="H59" s="4">
        <v>23303.6875</v>
      </c>
      <c r="I59" s="4">
        <v>592.25</v>
      </c>
      <c r="J59" s="4">
        <v>152.66200411366282</v>
      </c>
      <c r="K59" s="4">
        <v>23305.6875</v>
      </c>
      <c r="L59" s="4">
        <v>165</v>
      </c>
      <c r="M59" s="4">
        <v>55.443665102516448</v>
      </c>
      <c r="N59" s="4">
        <v>3074</v>
      </c>
      <c r="O59" s="2" t="s">
        <v>14</v>
      </c>
      <c r="P59" s="3" t="s">
        <v>16</v>
      </c>
      <c r="Q59" s="2" t="s">
        <v>15</v>
      </c>
      <c r="R59" s="13" t="s">
        <v>17</v>
      </c>
      <c r="S59" s="14" t="s">
        <v>32</v>
      </c>
      <c r="T59" s="14" t="s">
        <v>63</v>
      </c>
      <c r="U59" s="4">
        <v>54.898811435913906</v>
      </c>
      <c r="V59" s="15" t="s">
        <v>66</v>
      </c>
    </row>
    <row r="60" spans="1:22" x14ac:dyDescent="0.25">
      <c r="A60" s="2">
        <v>19</v>
      </c>
      <c r="B60" s="2">
        <v>41</v>
      </c>
      <c r="C60" s="2" t="s">
        <v>56</v>
      </c>
      <c r="D60" s="2">
        <v>5</v>
      </c>
      <c r="E60" s="11" t="s">
        <v>57</v>
      </c>
      <c r="F60" s="4">
        <v>647</v>
      </c>
      <c r="G60" s="4">
        <v>132.14840142809143</v>
      </c>
      <c r="H60" s="4">
        <v>17463.2</v>
      </c>
      <c r="I60" s="4">
        <v>498.6</v>
      </c>
      <c r="J60" s="4">
        <v>155.11621449738902</v>
      </c>
      <c r="K60" s="4">
        <v>24061.040000000001</v>
      </c>
      <c r="L60" s="4">
        <v>135</v>
      </c>
      <c r="M60" s="4">
        <v>35.122642269624308</v>
      </c>
      <c r="N60" s="4">
        <v>1233.5999999999999</v>
      </c>
      <c r="O60" s="2" t="s">
        <v>15</v>
      </c>
      <c r="P60" s="3" t="s">
        <v>16</v>
      </c>
      <c r="Q60" s="2" t="s">
        <v>16</v>
      </c>
      <c r="R60" s="2" t="s">
        <v>29</v>
      </c>
      <c r="S60" s="2" t="e">
        <v>#REF!</v>
      </c>
      <c r="T60" s="14" t="s">
        <v>63</v>
      </c>
      <c r="U60" s="4">
        <v>56.197836166924262</v>
      </c>
      <c r="V60" s="15" t="s">
        <v>66</v>
      </c>
    </row>
  </sheetData>
  <mergeCells count="66">
    <mergeCell ref="A4:V4"/>
    <mergeCell ref="A5:A6"/>
    <mergeCell ref="B5:B6"/>
    <mergeCell ref="C5:C6"/>
    <mergeCell ref="D5:D6"/>
    <mergeCell ref="E5:E6"/>
    <mergeCell ref="F5:H5"/>
    <mergeCell ref="I5:K5"/>
    <mergeCell ref="L5:N5"/>
    <mergeCell ref="O5:S5"/>
    <mergeCell ref="V18:V19"/>
    <mergeCell ref="T5:T6"/>
    <mergeCell ref="U5:U6"/>
    <mergeCell ref="V5:V6"/>
    <mergeCell ref="A17:V17"/>
    <mergeCell ref="A18:A19"/>
    <mergeCell ref="B18:B19"/>
    <mergeCell ref="C18:C19"/>
    <mergeCell ref="D18:D19"/>
    <mergeCell ref="E18:E19"/>
    <mergeCell ref="F18:H18"/>
    <mergeCell ref="I18:K18"/>
    <mergeCell ref="L18:N18"/>
    <mergeCell ref="O18:S18"/>
    <mergeCell ref="T18:T19"/>
    <mergeCell ref="U18:U19"/>
    <mergeCell ref="A43:V43"/>
    <mergeCell ref="A44:A45"/>
    <mergeCell ref="B44:B45"/>
    <mergeCell ref="C44:C45"/>
    <mergeCell ref="D44:D45"/>
    <mergeCell ref="E44:E45"/>
    <mergeCell ref="F44:H44"/>
    <mergeCell ref="I44:K44"/>
    <mergeCell ref="L44:N44"/>
    <mergeCell ref="O44:S44"/>
    <mergeCell ref="U44:U45"/>
    <mergeCell ref="V44:V45"/>
    <mergeCell ref="A48:V48"/>
    <mergeCell ref="A49:A50"/>
    <mergeCell ref="B49:B50"/>
    <mergeCell ref="C49:C50"/>
    <mergeCell ref="D49:D50"/>
    <mergeCell ref="E49:E50"/>
    <mergeCell ref="F49:H49"/>
    <mergeCell ref="I49:K49"/>
    <mergeCell ref="L49:N49"/>
    <mergeCell ref="O49:S49"/>
    <mergeCell ref="T49:T50"/>
    <mergeCell ref="U49:U50"/>
    <mergeCell ref="A1:V3"/>
    <mergeCell ref="T57:T58"/>
    <mergeCell ref="U57:U58"/>
    <mergeCell ref="V57:V58"/>
    <mergeCell ref="A56:V56"/>
    <mergeCell ref="A57:A58"/>
    <mergeCell ref="B57:B58"/>
    <mergeCell ref="C57:C58"/>
    <mergeCell ref="D57:D58"/>
    <mergeCell ref="E57:E58"/>
    <mergeCell ref="F57:H57"/>
    <mergeCell ref="I57:K57"/>
    <mergeCell ref="L57:N57"/>
    <mergeCell ref="O57:S57"/>
    <mergeCell ref="V49:V50"/>
    <mergeCell ref="T44:T45"/>
  </mergeCells>
  <conditionalFormatting sqref="O8:O15 O20:O25 O29:O41 O46 O51:O54">
    <cfRule type="containsText" dxfId="29" priority="70" operator="containsText" text="AVG">
      <formula>NOT(ISERROR(SEARCH("AVG",O8)))</formula>
    </cfRule>
  </conditionalFormatting>
  <conditionalFormatting sqref="O8:O15 O20:O25 O29:O41 O46 O51:O54">
    <cfRule type="cellIs" dxfId="28" priority="69" operator="equal">
      <formula>"STRONG"</formula>
    </cfRule>
  </conditionalFormatting>
  <conditionalFormatting sqref="O8:O15 O20:O25 O29:O41 O46 O51:O54">
    <cfRule type="containsText" dxfId="27" priority="68" operator="containsText" text="VSTRONG">
      <formula>NOT(ISERROR(SEARCH("VSTRONG",O8)))</formula>
    </cfRule>
  </conditionalFormatting>
  <conditionalFormatting sqref="P8:P15 P20:P21 P23 P29:P41 P46 P52:P54">
    <cfRule type="containsText" dxfId="26" priority="67" operator="containsText" text="STRONG">
      <formula>NOT(ISERROR(SEARCH("STRONG",P8)))</formula>
    </cfRule>
  </conditionalFormatting>
  <conditionalFormatting sqref="P8:P15 P20:P21 P23 P29:P41 P46 P52:P54">
    <cfRule type="containsText" dxfId="25" priority="66" operator="containsText" text="VSTRONG">
      <formula>NOT(ISERROR(SEARCH("VSTRONG",P8)))</formula>
    </cfRule>
  </conditionalFormatting>
  <conditionalFormatting sqref="R8:R15 R20:R21 R23 R29:R41 R46 R52:R54">
    <cfRule type="containsText" dxfId="24" priority="65" operator="containsText" text="FEMALE DOM">
      <formula>NOT(ISERROR(SEARCH("FEMALE DOM",R8)))</formula>
    </cfRule>
  </conditionalFormatting>
  <conditionalFormatting sqref="O8:O15 O20:O25 O29:O41 O46 O51:O54">
    <cfRule type="containsText" dxfId="23" priority="64" operator="containsText" text="AVG">
      <formula>NOT(ISERROR(SEARCH("AVG",O8)))</formula>
    </cfRule>
  </conditionalFormatting>
  <conditionalFormatting sqref="Q8:Q15 Q20:Q21 Q23 Q29:Q41 Q46 Q52:Q54">
    <cfRule type="cellIs" dxfId="22" priority="63" operator="equal">
      <formula>"VWEAK"</formula>
    </cfRule>
  </conditionalFormatting>
  <conditionalFormatting sqref="P8:Q15 Q20:Q21 P23:Q23 P29:Q41 Q46 P52:Q54">
    <cfRule type="containsText" dxfId="21" priority="62" operator="containsText" text="AVG">
      <formula>NOT(ISERROR(SEARCH("AVG",P8)))</formula>
    </cfRule>
  </conditionalFormatting>
  <conditionalFormatting sqref="Q8:Q15 Q20:Q21 Q23 Q29:Q41 Q46 Q52:Q54">
    <cfRule type="containsText" dxfId="20" priority="61" operator="containsText" text="VSTRONG">
      <formula>NOT(ISERROR(SEARCH("VSTRONG",Q8)))</formula>
    </cfRule>
  </conditionalFormatting>
  <conditionalFormatting sqref="R8:R15 R23 R29:R41 R52:R54">
    <cfRule type="containsText" dxfId="19" priority="60" operator="containsText" text="MEN">
      <formula>NOT(ISERROR(SEARCH("MEN",R8)))</formula>
    </cfRule>
  </conditionalFormatting>
  <conditionalFormatting sqref="S8:S15 S29:S41 S52:S54">
    <cfRule type="containsText" dxfId="18" priority="59" operator="containsText" text="O">
      <formula>NOT(ISERROR(SEARCH("O",S8)))</formula>
    </cfRule>
  </conditionalFormatting>
  <conditionalFormatting sqref="S8:S15 S29:S41 S52:S54">
    <cfRule type="containsText" dxfId="17" priority="57" operator="containsText" text="H">
      <formula>NOT(ISERROR(SEARCH("H",S8)))</formula>
    </cfRule>
    <cfRule type="containsText" dxfId="16" priority="58" operator="containsText" text="H">
      <formula>NOT(ISERROR(SEARCH("H",S8)))</formula>
    </cfRule>
  </conditionalFormatting>
  <conditionalFormatting sqref="S8:S15 S29:S41 S52:S54">
    <cfRule type="containsText" dxfId="15" priority="56" operator="containsText" text="H">
      <formula>NOT(ISERROR(SEARCH("H",S8)))</formula>
    </cfRule>
  </conditionalFormatting>
  <conditionalFormatting sqref="O59:O60">
    <cfRule type="containsText" dxfId="14" priority="15" operator="containsText" text="AVG">
      <formula>NOT(ISERROR(SEARCH("AVG",O59)))</formula>
    </cfRule>
  </conditionalFormatting>
  <conditionalFormatting sqref="O59:O60">
    <cfRule type="cellIs" dxfId="13" priority="14" operator="equal">
      <formula>"STRONG"</formula>
    </cfRule>
  </conditionalFormatting>
  <conditionalFormatting sqref="O59:O60">
    <cfRule type="containsText" dxfId="12" priority="13" operator="containsText" text="VSTRONG">
      <formula>NOT(ISERROR(SEARCH("VSTRONG",O59)))</formula>
    </cfRule>
  </conditionalFormatting>
  <conditionalFormatting sqref="O59:O60">
    <cfRule type="containsText" dxfId="11" priority="12" operator="containsText" text="AVG">
      <formula>NOT(ISERROR(SEARCH("AVG",O59)))</formula>
    </cfRule>
  </conditionalFormatting>
  <conditionalFormatting sqref="P60">
    <cfRule type="containsText" dxfId="10" priority="11" operator="containsText" text="STRONG">
      <formula>NOT(ISERROR(SEARCH("STRONG",P60)))</formula>
    </cfRule>
  </conditionalFormatting>
  <conditionalFormatting sqref="P60">
    <cfRule type="containsText" dxfId="9" priority="10" operator="containsText" text="VSTRONG">
      <formula>NOT(ISERROR(SEARCH("VSTRONG",P60)))</formula>
    </cfRule>
  </conditionalFormatting>
  <conditionalFormatting sqref="R60">
    <cfRule type="containsText" dxfId="8" priority="9" operator="containsText" text="FEMALE DOM">
      <formula>NOT(ISERROR(SEARCH("FEMALE DOM",R60)))</formula>
    </cfRule>
  </conditionalFormatting>
  <conditionalFormatting sqref="Q60">
    <cfRule type="cellIs" dxfId="7" priority="8" operator="equal">
      <formula>"VWEAK"</formula>
    </cfRule>
  </conditionalFormatting>
  <conditionalFormatting sqref="P60:Q60">
    <cfRule type="containsText" dxfId="6" priority="7" operator="containsText" text="AVG">
      <formula>NOT(ISERROR(SEARCH("AVG",P60)))</formula>
    </cfRule>
  </conditionalFormatting>
  <conditionalFormatting sqref="Q60">
    <cfRule type="containsText" dxfId="5" priority="6" operator="containsText" text="VSTRONG">
      <formula>NOT(ISERROR(SEARCH("VSTRONG",Q60)))</formula>
    </cfRule>
  </conditionalFormatting>
  <conditionalFormatting sqref="R60">
    <cfRule type="containsText" dxfId="4" priority="5" operator="containsText" text="MEN">
      <formula>NOT(ISERROR(SEARCH("MEN",R60)))</formula>
    </cfRule>
  </conditionalFormatting>
  <conditionalFormatting sqref="S60">
    <cfRule type="containsText" dxfId="3" priority="4" operator="containsText" text="O">
      <formula>NOT(ISERROR(SEARCH("O",S60)))</formula>
    </cfRule>
  </conditionalFormatting>
  <conditionalFormatting sqref="S60">
    <cfRule type="containsText" dxfId="2" priority="2" operator="containsText" text="H">
      <formula>NOT(ISERROR(SEARCH("H",S60)))</formula>
    </cfRule>
    <cfRule type="containsText" dxfId="1" priority="3" operator="containsText" text="H">
      <formula>NOT(ISERROR(SEARCH("H",S60)))</formula>
    </cfRule>
  </conditionalFormatting>
  <conditionalFormatting sqref="S60">
    <cfRule type="containsText" dxfId="0" priority="1" operator="containsText" text="H">
      <formula>NOT(ISERROR(SEARCH("H",S60)))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Sheet4</vt:lpstr>
      <vt:lpstr>Sheet5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Windows User</cp:lastModifiedBy>
  <cp:lastPrinted>2018-10-31T10:00:51Z</cp:lastPrinted>
  <dcterms:created xsi:type="dcterms:W3CDTF">2018-10-30T11:51:04Z</dcterms:created>
  <dcterms:modified xsi:type="dcterms:W3CDTF">2024-02-09T17:19:19Z</dcterms:modified>
</cp:coreProperties>
</file>