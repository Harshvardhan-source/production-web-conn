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5"/>
  </bookViews>
  <sheets>
    <sheet name="BOOTH WISE" sheetId="5" r:id="rId1"/>
    <sheet name="WARD WISE ANALYSIS" sheetId="2" r:id="rId2"/>
    <sheet name="BJP WIN OR LOSS" sheetId="6" r:id="rId3"/>
    <sheet name="BJP" sheetId="3" r:id="rId4"/>
    <sheet name="CONGRESS" sheetId="4" r:id="rId5"/>
    <sheet name="WARD-BOOTH" sheetId="7" r:id="rId6"/>
  </sheets>
  <definedNames>
    <definedName name="_xlnm._FilterDatabase" localSheetId="1" hidden="1">'WARD WISE ANALYSIS'!$A$2:$W$43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<sst xmlns="http://schemas.openxmlformats.org/spreadsheetml/2006/main" count="868" uniqueCount="353">
  <si>
    <t>MANGALORE SOUTH BHOOTH WISE ANALYSIS OF YEAR 2014</t>
  </si>
  <si>
    <t>Booth No.</t>
  </si>
  <si>
    <t>PS Address</t>
  </si>
  <si>
    <t>Total Votes</t>
  </si>
  <si>
    <t>Total Polled Votes</t>
  </si>
  <si>
    <t>% of Votes Polled</t>
  </si>
  <si>
    <t>BJP</t>
  </si>
  <si>
    <t>%</t>
  </si>
  <si>
    <t>INC</t>
  </si>
  <si>
    <t>BSP</t>
  </si>
  <si>
    <t>CPIM</t>
  </si>
  <si>
    <t>AAP</t>
  </si>
  <si>
    <t>NOTA</t>
  </si>
  <si>
    <t>OTH</t>
  </si>
  <si>
    <t>BOOTH STATUS</t>
  </si>
  <si>
    <t>WIN MARGIN</t>
  </si>
  <si>
    <t>WIN STATUS</t>
  </si>
  <si>
    <t>Ashoka Nagar Higher Primary School  Ashoknagar  Ashoka Sadana (North Portion)</t>
  </si>
  <si>
    <t>Ashoka Nagar Higher Primary School, Ashoka Sadana (Middle Portion)</t>
  </si>
  <si>
    <t>Ashoka Nagar Higher Primary School. Ashoknagar  Sharada Sadana (East Portion)</t>
  </si>
  <si>
    <t>Ashoka Nagar Higher Primary School, Ashokanagara  Sharada Sadansa (Middle Wing )</t>
  </si>
  <si>
    <t>Saintt Peters Higher Primary School, Kottara (East Portion of New Building )</t>
  </si>
  <si>
    <t>Saint Peters Higher Primary School, Kottara (Middle Portion of New Building)</t>
  </si>
  <si>
    <t>Saint Peters Higher Primary School, Kottara( East part of Middle portion of New Building</t>
  </si>
  <si>
    <t>Saint Peters Higher Primary School, Kottara (West wing of New Building)</t>
  </si>
  <si>
    <t>Saint Peters Higher Primary School, Kottara (West wing of Old  Building)</t>
  </si>
  <si>
    <t>Lady Hill Higher Primary School, Lady Hill (Middle Division)</t>
  </si>
  <si>
    <t>Lady Hill Higher Primary School, Lady Hill (East wing)</t>
  </si>
  <si>
    <t>Ladyhill Victoria Girls High School, Lady Hill (North Wing)</t>
  </si>
  <si>
    <t>Lady Hill Victoria Girls High School, Lady Hill (South Wing)</t>
  </si>
  <si>
    <t>Dakshina Kannada Zilla Panchayath Higher Priamary School, Bejai, Kapikad (first room)</t>
  </si>
  <si>
    <t>Daskhina Kannada Zilla Panchayath Higher Primary School, Kapikad (2nd Room of middle Wing )</t>
  </si>
  <si>
    <t>Dakshina Kannada Zilla Panchayath Higher Primary School, Kapikad (2nd Room  of South wing)</t>
  </si>
  <si>
    <t>Dakshina Kannada Zilla Panchayath Higher Primary School, Kapikad (First Room  of East Building)</t>
  </si>
  <si>
    <t>St Francis Xavier Higher Primary School, Bejai (South Wing of South Building)</t>
  </si>
  <si>
    <t>St Francis Xaiver Higher Primary School, Bejai (North Wing  of South Building)</t>
  </si>
  <si>
    <t>St Francis Xavier High School, Bejai (North wing)</t>
  </si>
  <si>
    <t>Lourds High School, Bejai (East Wing)</t>
  </si>
  <si>
    <t>Lourds High School, Bejai (North wing of North Building)</t>
  </si>
  <si>
    <t>Lourds High School, Bejai, (South wing of North Building)</t>
  </si>
  <si>
    <t>Padavu High School, Padavu (East Wing)</t>
  </si>
  <si>
    <t>Padavu High School, Padavu (South Portion of East Wing)</t>
  </si>
  <si>
    <t>Padavu High School, Padavu (South Wing)</t>
  </si>
  <si>
    <t>K.S.S.I.D.C. Office Building, Yeyyadi</t>
  </si>
  <si>
    <t>Dakshina Kannda Zilla Panchayath Higher Primary School, Nalyapadavu, Shakthinagar (New Building)</t>
  </si>
  <si>
    <t>D. K.Zilla Panchayath Higher Primary School, Nalyapadavu, Shakthinagar ( East Wing of New Building )</t>
  </si>
  <si>
    <t>D. K. Zilla Panchayath Higher Primary School, Nalyapadavu, Shakthi Nagar(West Wing of new Building)</t>
  </si>
  <si>
    <t>D .K. Zilla Panchayath Higher Primary School, Nalyapadavu, Shakthi nagar (West portion of New Building)</t>
  </si>
  <si>
    <t>Sacred Heart High School, Kulashekar (1st room of East  Portion)</t>
  </si>
  <si>
    <t>Sacred Heart High School, Kulashekara (2nd Room of East Portion)</t>
  </si>
  <si>
    <t>Saint Joseph Higher Primary School, Kulashekara (Room no 1 of South building</t>
  </si>
  <si>
    <t>Saint Joseph Higher Primary School, Kulashekar (Room no 2 of South Building)</t>
  </si>
  <si>
    <t>Saint Joseph Higher Primary School, Kulashekar (Room no 3 of South Building)</t>
  </si>
  <si>
    <t>Saint Joseph Higher Primary School, Kulashekarr (Room no 4 of South Building)</t>
  </si>
  <si>
    <t>Saint Joseph Higher Primary School, Kulashekar (Room no 1  South Building )</t>
  </si>
  <si>
    <t>Saint Joseph Higher Primary School, Kulashekar (Room no 2 of South  Building)</t>
  </si>
  <si>
    <t>Anganavadi Centre, Saripalla, (Club Builiding) North wing</t>
  </si>
  <si>
    <t>Anganavadi Centre, Saripalla, (Club Builiding) South Wing</t>
  </si>
  <si>
    <t>Guardian Anglels Higher Primary School, Maroli (Middle Wing of East Building)</t>
  </si>
  <si>
    <t>Guardian Anglels Higher Primary School, Maroli (Stage Building)</t>
  </si>
  <si>
    <t>Guardian Angels Higher Primary School, Muroli (North Wing  of West Bulding)</t>
  </si>
  <si>
    <t>Guardian Angels Higher Primary SChool, Maroli (South Wing  of West Building)</t>
  </si>
  <si>
    <t>Guardian Angels Higher Primary School, Maroli (North Wing of West Building)</t>
  </si>
  <si>
    <t>Guardian Angles Higher Primary School, Maroli (North Wing  of  West Buliding)</t>
  </si>
  <si>
    <t>D. K Zilla Panchayath Higher Primary School, Bikarnakatte padavu(Left portion of building)</t>
  </si>
  <si>
    <t>Dakshina Kannada Zilla Panchayath Higher Primary School,  (Left portion of middle Building)</t>
  </si>
  <si>
    <t>D. K.Zilla Panchayath Higher Primary School, Bikarna Katte, Right Wing of the middle Buliding)</t>
  </si>
  <si>
    <t>Dakshina Kannada zilla Panchayath Higher Primary School, Bikarnakatte , (Right portion of Middle  Building)</t>
  </si>
  <si>
    <t>St Joseph Higher Primary School, Nanthuru Padavu, Kalvari (South Wing of Ground Floor of New Bilding</t>
  </si>
  <si>
    <t>St Joseph Higher Primary School, Nanthuru Padavu, Kalvari (North wing of ground floor of new Bilding</t>
  </si>
  <si>
    <t>Dakshina Kannada Zilla Panchayath Higher Primary School, Kadri, Mallikatte (East Wing)</t>
  </si>
  <si>
    <t>Dakshina Kannada Zilla Panchayath Higher Primary School, Kadri, Mallikatte (West wing )</t>
  </si>
  <si>
    <t>Dakshina Kannada Zilla Panchayath Higher Primary School, Kadri, Mallikatte(North Wing of East Bldng)</t>
  </si>
  <si>
    <t>Dakshina Kannada Zilla Panchayath High School, Kadri Mallikatte (East Wing)</t>
  </si>
  <si>
    <t>Dakshina Kannada Zilla Panchayath High School, Kadri Mallikatte (West Wing)</t>
  </si>
  <si>
    <t>District Education and Training Institute ,Kodialbail (West  Wing)</t>
  </si>
  <si>
    <t>District Education and Training Institute , Kodialbail, Mangalore (Middle Wing of Middle Building)</t>
  </si>
  <si>
    <t>District Education and Training Institute, Kodilbail, Mangalore (North wing of Middle Building)</t>
  </si>
  <si>
    <t>Canara College ,Kodialbail, Mangalore (Room no  14 of East Portin of South Building)</t>
  </si>
  <si>
    <t>Canara College, Kodialbail, Mangalore (Room no  15 of West Wing of South Building )</t>
  </si>
  <si>
    <t>Sri Dharmasthala Manjunatheshwara Law College ,  Kodialbail, Mangalore(west wing of north building)</t>
  </si>
  <si>
    <t>Sri Dharmasthala Manjunatheshwara Law College , (Middle Wing of North portion)</t>
  </si>
  <si>
    <t>Dakshina Kannada Zilla Panchayath Higher Primary School, Mannugudde (Back Side Building)</t>
  </si>
  <si>
    <t>Dakshina Kannada Zilla Panchayath Higher Primary School, Mannugudde (Middle Wing)</t>
  </si>
  <si>
    <t>Dakshina Kannada Zilla Panchayath Higher Primary School, Mannugudde (West wing)</t>
  </si>
  <si>
    <t>D.Kannada Zilla Panchayalth Model Higher Primary School, Bokkapatna ,Matadakani Road (East wing Of Old Bldng)</t>
  </si>
  <si>
    <t>D.K Z. Panchayath Model Higher Primary School, Bokkapattana , Matadakani Road(West Wing)</t>
  </si>
  <si>
    <t>D.K.Zilla Panchayath Model Higher Primary School, Bokkapattana, Matadakani Road (North West Building)</t>
  </si>
  <si>
    <t>Dakshina Kannada Zilla Panchayath Higher Primary School, Gandhinagar (Middle Wing)</t>
  </si>
  <si>
    <t>Dakshina Kannada Zilla Panchayath Higher Primary School, Gandhinagar (North Wing)</t>
  </si>
  <si>
    <t>Dakshina Kannada Zilla Panchayath Higher Primary School, Gandhinagar (South Wing)</t>
  </si>
  <si>
    <t>Saint Aloysiws English Medium Higher Primary School, Urva (West Wing)</t>
  </si>
  <si>
    <t>Saint Aloysiws English Medium Higher Primary School, Urva (South Wing)</t>
  </si>
  <si>
    <t>Saint Aloysiws Higher Primary School, Urva (East wing of South Building)</t>
  </si>
  <si>
    <t>Saint Aloysiws Higher Primary School, Urva (West wing of South Building)</t>
  </si>
  <si>
    <t>Saint Aloysiws English Medium Higher primary School, Urva (East Wing)</t>
  </si>
  <si>
    <t>Saint Aloysiws English Medium Higher Primary School, Urva (Middle Wing</t>
  </si>
  <si>
    <t>D.K. Z. Panchayath Higher Primary School, Bokkapattana , Boloor Road (East Wing of West  Building)</t>
  </si>
  <si>
    <t>D.K. Z. Panchayath Higher Primary School, Bokkapattana , Boloor Road (East Building)</t>
  </si>
  <si>
    <t>D. K. Z. Panchayath Higher Primary School, Bokkapattana, Boloor Road (West Wing Of West Building)</t>
  </si>
  <si>
    <t>Anganavadi Centre, Kudroli Bengre</t>
  </si>
  <si>
    <t>Dakshina Kannada Zilla Panchayath Higher Primary School, Kasba, Bengre (North Portion)</t>
  </si>
  <si>
    <t>Dakshina Kannada Zilla Panchayath Higher Primary School, Kasba, Bengre (West Portion)</t>
  </si>
  <si>
    <t>Dakshina Kannada Zilla Panchayath Higher Primary School, Kasba, Bengre (North Portion of the Hall)</t>
  </si>
  <si>
    <t>Dakshina Kannada Zilla Panchayath Higher Primary School, Kasba, Bengre (North Portion of East wing)</t>
  </si>
  <si>
    <t>Dakshina Kannada Zilla Panchayath Higher Primary School, Kasba Bengre (South Wing)</t>
  </si>
  <si>
    <t>Dakshina Kannada Zilla Panchayath Higher Primary SChool, Kasba, Bengre,(West portion of South Wing)</t>
  </si>
  <si>
    <t>Dakshina Kannada Zilla Panchayath Higher Primary School, Sandpit, Bangre(South Portion of New Building)</t>
  </si>
  <si>
    <t>Dakshina Kannada Zilla Panchayath Higher Primary School, Sandpit, Bangre(North Portion of the New Building)</t>
  </si>
  <si>
    <t>Dakshina Kananda Zilla Panchayath Higher Primary School, Sandpit , Bengre,(North portion)</t>
  </si>
  <si>
    <t>Vishranthi Nilaya, Community Hall, Bokkapatna (East Portion)</t>
  </si>
  <si>
    <t>Vishranthi Nilaya, Community Hall, Bokkapatna (West Portion)</t>
  </si>
  <si>
    <t>United Bosel Mission Higher Primary School, Bokkapattana (East Wing of New Building)</t>
  </si>
  <si>
    <t>United Bosel Mission Higher Primary School, Bokkapattana (South  Portion of Old Building)</t>
  </si>
  <si>
    <t>D.K.Z.P.Urdu H. P.School,Kudroli ( Sarvasikshana Abhiyana Building North Portion)</t>
  </si>
  <si>
    <t>Dakshina Kananda Zilla Panchayath Urdu Higher Primary SChool, Kudroli (Sarva Shikshana Abhiyana Building South Portion)</t>
  </si>
  <si>
    <t>Dakshina Kananda Zilla Panchayath Urdu Higher Primary School, Kudroli (East Side Of Middle Wing)</t>
  </si>
  <si>
    <t>Government Girls Pre-University College Car Street (South Wing West Building)</t>
  </si>
  <si>
    <t>Government Girls Pre- University College, Car street (North Wing Of West Building)</t>
  </si>
  <si>
    <t>B.E.M Higer Primary School,Carstreet (North Wing East Portion - 1st Std. Class Room)</t>
  </si>
  <si>
    <t>B.E.M Higer Primary School,Carstreet (North Wing East Portion - 5th Std. Class Room)</t>
  </si>
  <si>
    <t>Dakshina Kannada Zilla Panchayath Lower Primary School, Kandathapalli (Middle Wing)</t>
  </si>
  <si>
    <t>Dakshina Kannada Zilla Panchayath Lower Primary School,  Kandathapalli (East Wing)</t>
  </si>
  <si>
    <t>Dakshina Kannada Zilla Panchayath Urdu High School, Bunder (South Portion Of East Building)</t>
  </si>
  <si>
    <t>Govt High School(Urdu), Bunder (North portion of New Building)</t>
  </si>
  <si>
    <t>Dakshina Kannada Zilla Panchayath Higher Primary School, Bastigarden (West Wing)</t>
  </si>
  <si>
    <t>Dakshina Kannada Zilla Panchayath Higher Primary School, Bastigarden (East Wing)</t>
  </si>
  <si>
    <t>Ganapathi Composite Aided Pre-University College (South Wing Of Hall)</t>
  </si>
  <si>
    <t>Ganapathi Composite Aided Pre-University College  ( North Wing Of Hall)</t>
  </si>
  <si>
    <t>Ganapathi Kannada Medium Higher  Primary School, Hampanakatte (North  Wing )</t>
  </si>
  <si>
    <t>Milagrese English Medium Higher Primary School, Hampanakatta ,(East Portion - LKG Room No. 106)</t>
  </si>
  <si>
    <t>Milagrese English Medium Higher Primary School, Hampanakatta ,(East Portion - LKG Room No. 101)</t>
  </si>
  <si>
    <t>Government  Girls Pre-University College, Balmatta (West Wing of Old  Building)</t>
  </si>
  <si>
    <t>Government Girls Pre-University college, Balmatta (West Wing of New Building)</t>
  </si>
  <si>
    <t>Saint Agnes High School, Bendoor (North wing of Meeting hall)</t>
  </si>
  <si>
    <t>St Agnes High School, Bendoor (South wing of Meeting Hall)</t>
  </si>
  <si>
    <t>Saint Joseph Higher Primary School, Kankanady (North Wing)</t>
  </si>
  <si>
    <t>Saint Joseph Higher Primary School, Kankanady (South Wing)</t>
  </si>
  <si>
    <t>Saint Sebastian Higher Primary School, Bendoor (East Wing)</t>
  </si>
  <si>
    <t>St Sebastian Higher Primary School, Bendoor (West  Wing)</t>
  </si>
  <si>
    <t>Saint Agnes Higher Primary School, Bendoor, (West wing of Main Building)</t>
  </si>
  <si>
    <t>Dakshina Kannada Zilla Panchayath  Higher Primary School, Athavara (East Building Hall)</t>
  </si>
  <si>
    <t>Dakshina Kannada Zilla Panchayath  Higher Primary school, Attavara (East Wing)</t>
  </si>
  <si>
    <t>Dakshina Kannada Zilla Panchayath  Higher Primary School, Attavara (West Wing)</t>
  </si>
  <si>
    <t>University College, Hampanakatte, (North Wing)</t>
  </si>
  <si>
    <t>University College, Hampanakatte , (South Wing)</t>
  </si>
  <si>
    <t>Dr.Dayananda Pai and Sathish Pai Building,University College, Hampanakatte</t>
  </si>
  <si>
    <t>D. Kannada Zilla Panchayath Higher Primary  Schoool, Pandeshwara (North Wing of Main Building)</t>
  </si>
  <si>
    <t>Dakshina Kannada Zilla Panchayath Higher Primary School, Pandeshwara (South wing of Main Building</t>
  </si>
  <si>
    <t>Dakshina Kannada Zilla Panchayath Higher Primary School, Pandeshwara ( East wing  of South Building</t>
  </si>
  <si>
    <t>Daskhina Kannada Zilla Panchayath Higher Primary School, Pandeshwara (West Wing Of South Building)</t>
  </si>
  <si>
    <t>Badriya English Medium, Higher Primary School, Bunder (East wing )</t>
  </si>
  <si>
    <t>Badriya English Medium Higher Primary School, Bunder, (West wing)</t>
  </si>
  <si>
    <t>Dakshina Kannada Zilla Panchayath Lower  Primary School, Babugudde (East Wing)</t>
  </si>
  <si>
    <t>Dakshina Kannad Zilla Panchayath Lower PrimarySchool,Babugudde Attavar (Middle portion  )</t>
  </si>
  <si>
    <t>Dakshina Kannada Zilla PanchayathLowerPrimarySchool,Babugudde Attavara(West Portion )</t>
  </si>
  <si>
    <t>Kudmal Ranga Rao Samaja Bhavana Babugudda Attavara(South Portion)</t>
  </si>
  <si>
    <t>Saint Jerosa  High School, Jeppu  ( South Portion of West Building )</t>
  </si>
  <si>
    <t>Saint Jerosa  High School, Jeppu ( Middle Portion Of Main Building )</t>
  </si>
  <si>
    <t>Saint Jerosa High School, Jeppu (North Protion West Building)</t>
  </si>
  <si>
    <t>Infant Maries Higher Primary School, Jeppu (West Portion of South Building )</t>
  </si>
  <si>
    <t>Infant Maries Higher Primary School, Jeppu  (East Portion)</t>
  </si>
  <si>
    <t>Infant Maries Higher Primary School, Jeppu (South Wing Of East Building )</t>
  </si>
  <si>
    <t>Infant Maries Higher Primary School, Jeppu (North Portion)</t>
  </si>
  <si>
    <t>St Maries Girls High School, Falnir,( Room no 1)</t>
  </si>
  <si>
    <t>Saint Maries Girls Higher Primary School, Falnir, East wing</t>
  </si>
  <si>
    <t>St Maries Higher Primary School, Falnir, (South Wing)</t>
  </si>
  <si>
    <t>Saint Maries Girls high School, Falnir (East Portion Of Middle Building)</t>
  </si>
  <si>
    <t>United Bosel Mission Aided Higher Primary School, Balmatta</t>
  </si>
  <si>
    <t>United Bosel Mission Aided Higher Primary School, Gorigudda Jeppinamogaru(South Building East Portion)</t>
  </si>
  <si>
    <t>United Bosel Mission Aided Higher Primary School, Jeppu Gorigudde (South wing )</t>
  </si>
  <si>
    <t>Capitanio High School, Kankanady (South Wing )</t>
  </si>
  <si>
    <t>Capitanio High School, Kankanady (North  Wing )</t>
  </si>
  <si>
    <t>Capitanio High School, Kankanady (Middle Portion Of North Building )</t>
  </si>
  <si>
    <t>Capitanio High School,  Kankanady(Middle Portion Main Building)</t>
  </si>
  <si>
    <t>Capitanio High School, Kankanady(North Portion)</t>
  </si>
  <si>
    <t>Capitanio Higher Primary School Kankanady(North Portion of East Building)</t>
  </si>
  <si>
    <t>st.Joseph Hr.Pry.School Bajal Pakkaladka(Old Builing North Portion)</t>
  </si>
  <si>
    <t>St.Joseph Hr.Pry.School Bajal Pakkaladka ( Old Building South Portion)</t>
  </si>
  <si>
    <t>Capitanio Higher Primary School, Kankanady (Middle Portion Of East Builiding )</t>
  </si>
  <si>
    <t>Capitanio Higher Primary School, Kankanady (West wing of East Building )</t>
  </si>
  <si>
    <t>Adarsha Vidyanilaya Higher Primary School, Alape Karmaru (South Wing )</t>
  </si>
  <si>
    <t>Adarsha Vidyanilaya Higher Primary School, Alape Karmar ( Ist Room of South Wing )</t>
  </si>
  <si>
    <t>Adarsh Bharathi High School,Alape Karmaru (West wing )</t>
  </si>
  <si>
    <t>Adarsh Bharathi High School,Alape Karmar (Middle  wing )</t>
  </si>
  <si>
    <t>Adarsh Bharathi High School, Alape Karmar (East wing )</t>
  </si>
  <si>
    <t>Amritha College, Padil (East Portion)</t>
  </si>
  <si>
    <t>Amritha College, Padil (Stage Building )</t>
  </si>
  <si>
    <t>Amritha College, Padil (Middle Portion of East Side)</t>
  </si>
  <si>
    <t>Amritha College, Padil (Middle Portion of West Side)</t>
  </si>
  <si>
    <t>Anganavadi Centre, Veeranagar</t>
  </si>
  <si>
    <t>Ranga Mandira Veera Nagra</t>
  </si>
  <si>
    <t>Kannuru English Medium Higher Primary  School, Kannuru (East wing )</t>
  </si>
  <si>
    <t>Kannuru English Medium Higher Primary School, Kannuru (South Wing )</t>
  </si>
  <si>
    <t>Amritha College, Padil (West Portion)</t>
  </si>
  <si>
    <t>Old  Village Panchayath Office, Kannuru (South Wing )</t>
  </si>
  <si>
    <t>Old Village Panchayath Office, Kannuru (West wing )</t>
  </si>
  <si>
    <t>Dakshina Kannada Zilla Panchayath  Higher Primary School,Bajal Nanturu (Old Building )</t>
  </si>
  <si>
    <t>Dakshina Kannada Zilla Panchayath Higher Primary School.Bajal Nantoor (New Building)</t>
  </si>
  <si>
    <t>Dakshina Kannada Zilla Panchayath Higher Primary School, Bajal Padpu  (New Building )</t>
  </si>
  <si>
    <t>Dakshina Kannada Zilla Panchayath higher Primary School,Bajal  Padpu  (1 St room of Old Building)</t>
  </si>
  <si>
    <t>DKZP Hr. PRY.School Bajal Padpu(South Wing Of Old Building)</t>
  </si>
  <si>
    <t>DKZP Hr. Pry. School Bajal Padpu ( East Wing Of North Building)</t>
  </si>
  <si>
    <t>Saint Joseph Higher Primary School,Bajal Pakkaladka  (North wing )</t>
  </si>
  <si>
    <t>Saint Joseph Higher Primary School,Bajal Pakkaladka  (Middle Portion  )</t>
  </si>
  <si>
    <t>Saint Joseph Higher Primary School,Bajal Pakkaladka (South wing )</t>
  </si>
  <si>
    <t>Saint Joseph Higher Primary School,Bajal Pakkaladka (East Wing Of South Building)</t>
  </si>
  <si>
    <t>Dakshina Kannada Zilla Panchayath Kananda Medium Higher Primary School, Jappinamogaru (West Wing )</t>
  </si>
  <si>
    <t>Dakshina Kannada Zilla Panchayath Kannada Medium Higher Primary School, Jappinamogaru (Middle Portion )</t>
  </si>
  <si>
    <t>Dakshina Kannada Zilla Panchayath Kannada Medium Higher Primary School, Jappinamogaru (North wing )</t>
  </si>
  <si>
    <t>Dakshina Kannada Zilla Panchayath Higher Primary School, Jappinamogaru (East Wing )</t>
  </si>
  <si>
    <t>Dakshina Kannada Zilla Panchayath Higher Primary School, Valencia Suter Pet</t>
  </si>
  <si>
    <t>Cascia High School, Jeppu (North wing )</t>
  </si>
  <si>
    <t>Cascia High School, Jeppu (South wing )</t>
  </si>
  <si>
    <t>Saint Ritas Kannada Medium Aided Higher Primary School, Jeppu (North wing )</t>
  </si>
  <si>
    <t>Saint Retas Kannada Medium Aided Higher Primary School, Jeppu (Middle Wing )</t>
  </si>
  <si>
    <t>Saint Retas Kannada Medium Aided Higher Primary School, Jeppu (South wing )</t>
  </si>
  <si>
    <t>Saint Ritas Bala Christa Nursery School, Jeppu(Middle Wing Of East Buiding)</t>
  </si>
  <si>
    <t>Saint Jhon  Anganavadi Cenrre, Jeppu(North Wing Of East Building)</t>
  </si>
  <si>
    <t>Saint John Higher Primary School, Jeppu (Sharada Vachanalaya)</t>
  </si>
  <si>
    <t>Infant Jesus Joyland School, Bolar (East Wing, 4th Std, Class Room)</t>
  </si>
  <si>
    <t>Infant Jesus Joyland School, Bolar (West portion of the main building)</t>
  </si>
  <si>
    <t>Govt High School, Hoigebazar(North Wing Of Main Building)</t>
  </si>
  <si>
    <t>Sri Jnanodaya Lower Primary School, Hoigebazar (South wing of Main Building )</t>
  </si>
  <si>
    <t>Sri Jnanodaya Lower Primary School, Hoigebazar (North Wing Of Main Buliding)</t>
  </si>
  <si>
    <t>Government High School, Hoigebazar (West wing Of North Building )</t>
  </si>
  <si>
    <t>Dakshina Kannada Zilla Panchayath Model Higher Primary School, Bolar (West wing of South building )</t>
  </si>
  <si>
    <t>Dakshina Kannada Zilla Panchayath Model Higher Primary school, Bolar (East Wing of South Building )</t>
  </si>
  <si>
    <t>Daksina Kannada Zilla Panchayath Model higher Primary School, Bolar (South wing of West Building )</t>
  </si>
  <si>
    <t>Dakshina Kannada Zilla Panchayath Model Higher Primary School, Bolar (North wing of West Building )</t>
  </si>
  <si>
    <t>Dakshina Kannada Zilla Panchayath Higher Primary School, Mahakalipadpu (West wing )</t>
  </si>
  <si>
    <t>Daskhina Kannada Zilla Panchayath higher Primary School, Mahakalipadpu (Middle Wing)</t>
  </si>
  <si>
    <t>Dakshina Kannada Zilla Panchayath Higher Primary School, Mahakalipadpu (Room No 3 Middle Portion)</t>
  </si>
  <si>
    <t>Dakshina Kannada Zilla Panchayath Higher Primary School, Mahakalipadpu (East wing )</t>
  </si>
  <si>
    <t>St Sebastian Higher Primary School, Adamkudru</t>
  </si>
  <si>
    <t>TOTAL</t>
  </si>
  <si>
    <t>NARROW  MARGIN</t>
  </si>
  <si>
    <t>CONGRESS</t>
  </si>
  <si>
    <t>LOW MARGIN</t>
  </si>
  <si>
    <t>MEDIUM MARGIN</t>
  </si>
  <si>
    <t>HIGH MARGIN</t>
  </si>
  <si>
    <t>VERY HIGH MARGIN</t>
  </si>
  <si>
    <t xml:space="preserve">MANGALORE SOUTH WARDWISE STATISTICAL ANALYSIS OF YEAR 2014 </t>
  </si>
  <si>
    <t>SL. NO</t>
  </si>
  <si>
    <t>WARD NO.</t>
  </si>
  <si>
    <t>WARD NAME</t>
  </si>
  <si>
    <t>TOTAL NO. OF BOOTH</t>
  </si>
  <si>
    <t>BOOTH DETAILS</t>
  </si>
  <si>
    <t>TOTAL VOTERS</t>
  </si>
  <si>
    <t>TOTAL POLLED</t>
  </si>
  <si>
    <t>WARD STATUS</t>
  </si>
  <si>
    <t>MARGIN STATUS</t>
  </si>
  <si>
    <t>MEAN</t>
  </si>
  <si>
    <t>STANDARD DEVIATION</t>
  </si>
  <si>
    <t>VARIANCE</t>
  </si>
  <si>
    <t>BJP POLLED</t>
  </si>
  <si>
    <t>CONGRESS POLED</t>
  </si>
  <si>
    <t>Padav West</t>
  </si>
  <si>
    <t>28,29,48,49,50,51</t>
  </si>
  <si>
    <t>Derebail South</t>
  </si>
  <si>
    <t>8,10,11,12,13,15</t>
  </si>
  <si>
    <t>Derebail West</t>
  </si>
  <si>
    <t>4,5,6,7,1,2</t>
  </si>
  <si>
    <t>Derebail Nairuthya</t>
  </si>
  <si>
    <t>3,4,75,75,77,78,79,80</t>
  </si>
  <si>
    <t>Boloor</t>
  </si>
  <si>
    <t>71,73,74,81,82,83</t>
  </si>
  <si>
    <t>Mannagudda</t>
  </si>
  <si>
    <t>68,69,70,72</t>
  </si>
  <si>
    <t>Kambala</t>
  </si>
  <si>
    <t>61,62,63,64</t>
  </si>
  <si>
    <t>Kodialbail</t>
  </si>
  <si>
    <t>20,22,23,59,60</t>
  </si>
  <si>
    <t>Bejai</t>
  </si>
  <si>
    <t>14,16,17,18,19,21</t>
  </si>
  <si>
    <t>Kadri North</t>
  </si>
  <si>
    <t>24,27,57,25,26</t>
  </si>
  <si>
    <t>kadri south</t>
  </si>
  <si>
    <t>54,55,56,58</t>
  </si>
  <si>
    <t>Shivabagh</t>
  </si>
  <si>
    <t>52,53,117,119,123</t>
  </si>
  <si>
    <t>Padav Central</t>
  </si>
  <si>
    <t>30,31,34,38,39,35,37</t>
  </si>
  <si>
    <t>Padav East</t>
  </si>
  <si>
    <t>32,33,36</t>
  </si>
  <si>
    <t>Maroli</t>
  </si>
  <si>
    <t>42,43,44,45,46,47</t>
  </si>
  <si>
    <t>Bendoor</t>
  </si>
  <si>
    <t>117,118,122,124,148,149,153</t>
  </si>
  <si>
    <t>Falnir</t>
  </si>
  <si>
    <t>144,145,146,154,155,147</t>
  </si>
  <si>
    <t>Court</t>
  </si>
  <si>
    <t>114,115,116,129,130</t>
  </si>
  <si>
    <t>Central</t>
  </si>
  <si>
    <t>111,112,113,109,110</t>
  </si>
  <si>
    <t>DONGARAKERY</t>
  </si>
  <si>
    <t>65, 66, 67, 98,100, 102,103</t>
  </si>
  <si>
    <t>KUDROLI</t>
  </si>
  <si>
    <t>94, 95, 96, 97,99</t>
  </si>
  <si>
    <t>NAVAYATH</t>
  </si>
  <si>
    <t>106, 107, 108, 109,101, 104</t>
  </si>
  <si>
    <t>PORT</t>
  </si>
  <si>
    <t>131,135, 136, 208, 209, 210</t>
  </si>
  <si>
    <t>CONTONMENT</t>
  </si>
  <si>
    <t>125, 128, 132, 133, 137</t>
  </si>
  <si>
    <t>MILLAGRES</t>
  </si>
  <si>
    <t>126, 127, 150, 151, 152</t>
  </si>
  <si>
    <t>VALANCIA</t>
  </si>
  <si>
    <t>120, 121, 156, 157, 158, 165</t>
  </si>
  <si>
    <t>KANKANADY</t>
  </si>
  <si>
    <t>157, 160, 161, 167, 163, 164</t>
  </si>
  <si>
    <t>ALAPE SOUTH</t>
  </si>
  <si>
    <t>166, 167, 168, 169, 170, 189, 190, 191</t>
  </si>
  <si>
    <t>ALAPE NORTH</t>
  </si>
  <si>
    <t>40, 41, 171, 172, 173, 174, 179</t>
  </si>
  <si>
    <t>KANNUR</t>
  </si>
  <si>
    <t>175, 176, 177,178, 180, 181</t>
  </si>
  <si>
    <t>BAJAL</t>
  </si>
  <si>
    <t>182, 183, 184, 185, 186,187, 188</t>
  </si>
  <si>
    <t>JAPPINAMOGARU</t>
  </si>
  <si>
    <t>192, 193, 194, 195, 219</t>
  </si>
  <si>
    <t>ATTAVARA</t>
  </si>
  <si>
    <t>138, 139, 140, 197, 198, 199, 200, 217</t>
  </si>
  <si>
    <t>MANGALADEVI</t>
  </si>
  <si>
    <t>199, 200, 202, 203, 204</t>
  </si>
  <si>
    <t>HOIGE BAZAR</t>
  </si>
  <si>
    <t>206, 207, 210, 213, 214</t>
  </si>
  <si>
    <t>BOLOOR</t>
  </si>
  <si>
    <t>201, 211, 212, 205</t>
  </si>
  <si>
    <t>JEPPU</t>
  </si>
  <si>
    <t>141, 142, 143, 196, 215, 216</t>
  </si>
  <si>
    <t>BENGRE</t>
  </si>
  <si>
    <t>84, 85, 91, 93, 185, 186, 184</t>
  </si>
  <si>
    <t>AVERAGE</t>
  </si>
  <si>
    <t xml:space="preserve"> </t>
  </si>
  <si>
    <t>NARROW MARGIN</t>
  </si>
  <si>
    <t>HIGHMARGIN</t>
  </si>
  <si>
    <t>VERYHIGHMARGIN</t>
  </si>
  <si>
    <t>WIN</t>
  </si>
  <si>
    <t>LOSS</t>
  </si>
  <si>
    <t>SL.NO</t>
  </si>
  <si>
    <t>WARD NO</t>
  </si>
  <si>
    <t>LOSS MARGIN</t>
  </si>
  <si>
    <t>LOWMARGIN</t>
  </si>
  <si>
    <t>NARROWMARGIN</t>
  </si>
  <si>
    <t>MEDIUMMARGIN</t>
  </si>
  <si>
    <t>CONGRESS WIN MARGIN STATUS</t>
  </si>
  <si>
    <t>BJP WIN MARGIN STATUS</t>
  </si>
  <si>
    <t>BJP WARD WISE MARGIN BASED STATISTICAL ANALYSIS OF YEAR 2014</t>
  </si>
  <si>
    <t>BJP GAIN</t>
  </si>
  <si>
    <t>VERYHIGH MARGIN</t>
  </si>
  <si>
    <t>CONGRESS  WARD WISE MARGIN BASED STATISTICAL ANALYSIS OF YEAR 2014</t>
  </si>
  <si>
    <t>CONGRESS GAIN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</si>
</sst>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name val="Calibri"/>
      <charset val="134"/>
      <scheme val="minor"/>
    </font>
    <font>
      <b/>
      <sz val="10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1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1" xfId="3" applyNumberFormat="1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1" fillId="5" borderId="2" xfId="0" applyFont="1" applyFill="1" applyBorder="1" applyAlignment="1" applyProtection="1">
      <alignment horizontal="center" vertical="center"/>
      <protection hidden="1"/>
    </xf>
    <xf numFmtId="0" fontId="1" fillId="5" borderId="3" xfId="0" applyFont="1" applyFill="1" applyBorder="1" applyAlignment="1" applyProtection="1">
      <alignment horizontal="center" vertical="center"/>
      <protection hidden="1"/>
    </xf>
    <xf numFmtId="0" fontId="1" fillId="5" borderId="6" xfId="0" applyFont="1" applyFill="1" applyBorder="1" applyAlignment="1" applyProtection="1">
      <alignment horizontal="center" vertical="center"/>
      <protection hidden="1"/>
    </xf>
    <xf numFmtId="0" fontId="1" fillId="6" borderId="2" xfId="0" applyFont="1" applyFill="1" applyBorder="1" applyAlignment="1" applyProtection="1">
      <alignment horizontal="center" vertical="center"/>
      <protection hidden="1"/>
    </xf>
    <xf numFmtId="0" fontId="1" fillId="6" borderId="3" xfId="0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1" fillId="6" borderId="6" xfId="0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0" fillId="4" borderId="1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horizontal="center" vertical="center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0" fontId="8" fillId="11" borderId="7" xfId="0" applyFont="1" applyFill="1" applyBorder="1" applyAlignment="1" applyProtection="1">
      <alignment horizontal="center" vertical="center"/>
      <protection hidden="1"/>
    </xf>
    <xf numFmtId="0" fontId="8" fillId="11" borderId="8" xfId="0" applyFont="1" applyFill="1" applyBorder="1" applyAlignment="1" applyProtection="1">
      <alignment horizontal="center" vertical="center"/>
      <protection hidden="1"/>
    </xf>
    <xf numFmtId="0" fontId="8" fillId="11" borderId="9" xfId="0" applyFont="1" applyFill="1" applyBorder="1" applyAlignment="1" applyProtection="1">
      <alignment horizontal="center" vertical="center"/>
      <protection hidden="1"/>
    </xf>
    <xf numFmtId="0" fontId="9" fillId="8" borderId="7" xfId="0" applyFont="1" applyFill="1" applyBorder="1" applyAlignment="1" applyProtection="1">
      <alignment horizontal="center" vertical="center"/>
      <protection hidden="1"/>
    </xf>
    <xf numFmtId="0" fontId="8" fillId="11" borderId="10" xfId="0" applyFont="1" applyFill="1" applyBorder="1" applyAlignment="1" applyProtection="1">
      <alignment horizontal="center" vertical="center"/>
      <protection hidden="1"/>
    </xf>
    <xf numFmtId="0" fontId="8" fillId="11" borderId="11" xfId="0" applyFont="1" applyFill="1" applyBorder="1" applyAlignment="1" applyProtection="1">
      <alignment horizontal="center" vertical="center"/>
      <protection hidden="1"/>
    </xf>
    <xf numFmtId="0" fontId="8" fillId="11" borderId="12" xfId="0" applyFont="1" applyFill="1" applyBorder="1" applyAlignment="1" applyProtection="1">
      <alignment horizontal="center" vertical="center"/>
      <protection hidden="1"/>
    </xf>
    <xf numFmtId="0" fontId="9" fillId="8" borderId="10" xfId="0" applyFont="1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/>
      <protection hidden="1"/>
    </xf>
    <xf numFmtId="0" fontId="0" fillId="11" borderId="1" xfId="0" applyFill="1" applyBorder="1" applyAlignment="1" applyProtection="1">
      <alignment horizontal="center"/>
      <protection hidden="1"/>
    </xf>
    <xf numFmtId="0" fontId="1" fillId="0" borderId="0" xfId="0" applyFont="1" applyBorder="1" applyAlignment="1" applyProtection="1">
      <alignment horizontal="left"/>
      <protection hidden="1"/>
    </xf>
    <xf numFmtId="0" fontId="9" fillId="8" borderId="8" xfId="0" applyFont="1" applyFill="1" applyBorder="1" applyAlignment="1" applyProtection="1">
      <alignment horizontal="center" vertical="center"/>
      <protection hidden="1"/>
    </xf>
    <xf numFmtId="0" fontId="9" fillId="8" borderId="9" xfId="0" applyFont="1" applyFill="1" applyBorder="1" applyAlignment="1" applyProtection="1">
      <alignment horizontal="center" vertical="center"/>
      <protection hidden="1"/>
    </xf>
    <xf numFmtId="0" fontId="9" fillId="8" borderId="11" xfId="0" applyFont="1" applyFill="1" applyBorder="1" applyAlignment="1" applyProtection="1">
      <alignment horizontal="center" vertical="center"/>
      <protection hidden="1"/>
    </xf>
    <xf numFmtId="0" fontId="9" fillId="8" borderId="12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 wrapText="1"/>
      <protection hidden="1"/>
    </xf>
    <xf numFmtId="0" fontId="1" fillId="2" borderId="12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10" fillId="3" borderId="1" xfId="0" applyFont="1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/>
      <protection hidden="1"/>
    </xf>
    <xf numFmtId="0" fontId="10" fillId="3" borderId="1" xfId="0" applyFont="1" applyFill="1" applyBorder="1" applyProtection="1">
      <protection hidden="1"/>
    </xf>
    <xf numFmtId="0" fontId="8" fillId="5" borderId="1" xfId="0" applyFont="1" applyFill="1" applyBorder="1" applyAlignment="1" applyProtection="1">
      <alignment horizontal="center"/>
      <protection hidden="1"/>
    </xf>
    <xf numFmtId="0" fontId="8" fillId="6" borderId="1" xfId="0" applyFont="1" applyFill="1" applyBorder="1" applyAlignment="1" applyProtection="1">
      <alignment horizontal="center" vertical="top"/>
      <protection hidden="1"/>
    </xf>
    <xf numFmtId="0" fontId="1" fillId="5" borderId="1" xfId="0" applyFont="1" applyFill="1" applyBorder="1" applyAlignment="1" applyProtection="1">
      <alignment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5" borderId="1" xfId="0" applyFill="1" applyBorder="1" applyProtection="1">
      <protection hidden="1"/>
    </xf>
    <xf numFmtId="0" fontId="0" fillId="5" borderId="2" xfId="0" applyFill="1" applyBorder="1" applyAlignment="1" applyProtection="1">
      <alignment horizontal="center" vertical="center"/>
      <protection hidden="1"/>
    </xf>
    <xf numFmtId="0" fontId="0" fillId="11" borderId="1" xfId="0" applyFill="1" applyBorder="1" applyProtection="1">
      <protection hidden="1"/>
    </xf>
    <xf numFmtId="0" fontId="0" fillId="11" borderId="2" xfId="0" applyFill="1" applyBorder="1" applyAlignment="1" applyProtection="1">
      <alignment horizontal="center" vertic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10" fillId="8" borderId="1" xfId="0" applyFont="1" applyFill="1" applyBorder="1" applyAlignment="1" applyProtection="1">
      <alignment horizontal="center"/>
      <protection hidden="1"/>
    </xf>
    <xf numFmtId="0" fontId="10" fillId="3" borderId="1" xfId="0" applyFont="1" applyFill="1" applyBorder="1" applyAlignment="1" applyProtection="1">
      <alignment horizontal="center"/>
      <protection hidden="1"/>
    </xf>
    <xf numFmtId="0" fontId="10" fillId="8" borderId="2" xfId="0" applyFont="1" applyFill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1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180" fontId="1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80" fontId="13" fillId="2" borderId="1" xfId="0" applyNumberFormat="1" applyFont="1" applyFill="1" applyBorder="1" applyAlignment="1" applyProtection="1">
      <alignment horizontal="center" vertical="center" textRotation="255"/>
      <protection hidden="1"/>
    </xf>
    <xf numFmtId="0" fontId="7" fillId="4" borderId="1" xfId="0" applyFont="1" applyFill="1" applyBorder="1" applyAlignment="1" applyProtection="1">
      <alignment vertical="center"/>
      <protection hidden="1"/>
    </xf>
    <xf numFmtId="2" fontId="7" fillId="4" borderId="1" xfId="0" applyNumberFormat="1" applyFont="1" applyFill="1" applyBorder="1" applyAlignment="1" applyProtection="1">
      <alignment horizontal="center" vertical="center"/>
      <protection hidden="1"/>
    </xf>
    <xf numFmtId="0" fontId="11" fillId="0" borderId="11" xfId="0" applyFont="1" applyBorder="1" applyAlignment="1" applyProtection="1">
      <alignment vertical="center"/>
      <protection hidden="1"/>
    </xf>
    <xf numFmtId="2" fontId="5" fillId="2" borderId="13" xfId="0" applyNumberFormat="1" applyFont="1" applyFill="1" applyBorder="1" applyAlignment="1" applyProtection="1">
      <alignment horizontal="center" vertical="center" wrapText="1"/>
      <protection hidden="1"/>
    </xf>
    <xf numFmtId="2" fontId="0" fillId="3" borderId="1" xfId="0" applyNumberFormat="1" applyFill="1" applyBorder="1" applyAlignment="1" applyProtection="1">
      <alignment horizontal="center" vertical="center"/>
      <protection hidden="1"/>
    </xf>
    <xf numFmtId="0" fontId="0" fillId="13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Protection="1"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1" fillId="7" borderId="1" xfId="0" applyFont="1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/>
      <protection hidden="1"/>
    </xf>
    <xf numFmtId="0" fontId="1" fillId="8" borderId="1" xfId="0" applyFon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/>
      <protection hidden="1"/>
    </xf>
    <xf numFmtId="0" fontId="1" fillId="10" borderId="1" xfId="0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1" fillId="9" borderId="1" xfId="0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2614360688882"/>
          <c:y val="0.208807961504812"/>
          <c:w val="0.726454707533722"/>
          <c:h val="0.64972040657080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elete val="1"/>
          </c:dLbls>
          <c:cat>
            <c:strRef>
              <c:f>'BJP WIN OR LOSS'!$A$39:$A$43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LOSS'!$B$39:$B$43</c:f>
              <c:numCache>
                <c:formatCode>General</c:formatCode>
                <c:ptCount val="5"/>
                <c:pt idx="0">
                  <c:v>6</c:v>
                </c:pt>
                <c:pt idx="1">
                  <c:v>16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344640"/>
        <c:axId val="65346176"/>
      </c:barChart>
      <c:catAx>
        <c:axId val="653446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346176"/>
        <c:crosses val="autoZero"/>
        <c:auto val="1"/>
        <c:lblAlgn val="ctr"/>
        <c:lblOffset val="100"/>
        <c:noMultiLvlLbl val="0"/>
      </c:catAx>
      <c:valAx>
        <c:axId val="6534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3446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IN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7935362642488"/>
          <c:y val="0.249903310473288"/>
          <c:w val="0.741777146102695"/>
          <c:h val="0.61039403945474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elete val="1"/>
          </c:dLbls>
          <c:cat>
            <c:strRef>
              <c:f>'BJP WIN OR LOSS'!$H$21:$H$25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LOSS'!$I$21:$I$25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675648"/>
        <c:axId val="65677184"/>
      </c:barChart>
      <c:catAx>
        <c:axId val="656756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677184"/>
        <c:crosses val="autoZero"/>
        <c:auto val="1"/>
        <c:lblAlgn val="ctr"/>
        <c:lblOffset val="100"/>
        <c:noMultiLvlLbl val="0"/>
      </c:catAx>
      <c:valAx>
        <c:axId val="6567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67564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316922</xdr:colOff>
      <xdr:row>34</xdr:row>
      <xdr:rowOff>15585</xdr:rowOff>
    </xdr:from>
    <xdr:to>
      <xdr:col>8</xdr:col>
      <xdr:colOff>478847</xdr:colOff>
      <xdr:row>47</xdr:row>
      <xdr:rowOff>191365</xdr:rowOff>
    </xdr:to>
    <xdr:graphicFrame>
      <xdr:nvGraphicFramePr>
        <xdr:cNvPr id="2" name="Chart 1"/>
        <xdr:cNvGraphicFramePr/>
      </xdr:nvGraphicFramePr>
      <xdr:xfrm>
        <a:off x="2774315" y="6492240"/>
        <a:ext cx="8429625" cy="2585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149225</xdr:colOff>
      <xdr:row>18</xdr:row>
      <xdr:rowOff>161925</xdr:rowOff>
    </xdr:from>
    <xdr:to>
      <xdr:col>16</xdr:col>
      <xdr:colOff>244475</xdr:colOff>
      <xdr:row>33</xdr:row>
      <xdr:rowOff>104775</xdr:rowOff>
    </xdr:to>
    <xdr:graphicFrame>
      <xdr:nvGraphicFramePr>
        <xdr:cNvPr id="4" name="Chart 3"/>
        <xdr:cNvGraphicFramePr/>
      </xdr:nvGraphicFramePr>
      <xdr:xfrm>
        <a:off x="11750675" y="3590925"/>
        <a:ext cx="7162800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0.33072</cdr:x>
      <cdr:y>0.04304</cdr:y>
    </cdr:from>
    <cdr:to>
      <cdr:x>0.66013</cdr:x>
      <cdr:y>0.15498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783645" y="111415"/>
          <a:ext cx="2772620" cy="289794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/>
        <a:p>
          <a:r>
            <a:rPr lang="en-IN" sz="1400" b="1"/>
            <a:t>BJP  WIN  MARGIN  STATUS</a:t>
          </a:r>
          <a:endParaRPr lang="en-IN" sz="1400" b="1"/>
        </a:p>
      </cdr:txBody>
    </cdr:sp>
  </cdr:relSizeAnchor>
  <cdr:relSizeAnchor xmlns:cdr="http://schemas.openxmlformats.org/drawingml/2006/chartDrawing">
    <cdr:from>
      <cdr:x>0.25882</cdr:x>
      <cdr:y>0.03321</cdr:y>
    </cdr:from>
    <cdr:to>
      <cdr:x>0.67059</cdr:x>
      <cdr:y>0.16236</cdr:y>
    </cdr:to>
    <cdr:sp>
      <cdr:nvSpPr>
        <cdr:cNvPr id="3" name="Rectangles 2"/>
        <cdr:cNvSpPr/>
      </cdr:nvSpPr>
      <cdr:spPr xmlns:a="http://schemas.openxmlformats.org/drawingml/2006/main">
        <a:xfrm xmlns:a="http://schemas.openxmlformats.org/drawingml/2006/main">
          <a:off x="1885949" y="85725"/>
          <a:ext cx="3000375" cy="33337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endParaRPr lang="en-IN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0.328</cdr:x>
      <cdr:y>0.06182</cdr:y>
    </cdr:from>
    <cdr:to>
      <cdr:x>0.77467</cdr:x>
      <cdr:y>0.14059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343149" y="173118"/>
          <a:ext cx="3190875" cy="220582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 b="1">
              <a:latin typeface="+mn-lt"/>
              <a:ea typeface="+mn-ea"/>
              <a:cs typeface="+mn-cs"/>
            </a:rPr>
            <a:t>CONGRESS  WIN  MARGIN  STATUS</a:t>
          </a:r>
          <a:endParaRPr lang="en-IN"/>
        </a:p>
        <a:p>
          <a:endParaRPr lang="en-IN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7"/>
  <sheetViews>
    <sheetView workbookViewId="0">
      <selection activeCell="A221" sqref="A3:A221"/>
    </sheetView>
  </sheetViews>
  <sheetFormatPr defaultColWidth="9" defaultRowHeight="15"/>
  <cols>
    <col min="1" max="1" width="9.14285714285714" style="6"/>
    <col min="2" max="2" width="54.2857142857143" style="6" customWidth="1"/>
    <col min="3" max="19" width="9.14285714285714" style="6"/>
    <col min="20" max="20" width="15.5714285714286" style="6" customWidth="1"/>
    <col min="21" max="21" width="9.14285714285714" style="6"/>
    <col min="22" max="22" width="17.5714285714286" style="6" customWidth="1"/>
    <col min="23" max="16384" width="9.14285714285714" style="6"/>
  </cols>
  <sheetData>
    <row r="1" ht="26.25" spans="1:24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9"/>
      <c r="X1" s="89"/>
    </row>
    <row r="2" ht="38.25" spans="1:22">
      <c r="A2" s="82" t="s">
        <v>1</v>
      </c>
      <c r="B2" s="83" t="s">
        <v>2</v>
      </c>
      <c r="C2" s="82" t="s">
        <v>3</v>
      </c>
      <c r="D2" s="82" t="s">
        <v>4</v>
      </c>
      <c r="E2" s="84" t="s">
        <v>5</v>
      </c>
      <c r="F2" s="85" t="s">
        <v>6</v>
      </c>
      <c r="G2" s="86" t="s">
        <v>7</v>
      </c>
      <c r="H2" s="85" t="s">
        <v>8</v>
      </c>
      <c r="I2" s="86" t="s">
        <v>7</v>
      </c>
      <c r="J2" s="85" t="s">
        <v>9</v>
      </c>
      <c r="K2" s="86" t="s">
        <v>7</v>
      </c>
      <c r="L2" s="85" t="s">
        <v>10</v>
      </c>
      <c r="M2" s="86" t="s">
        <v>7</v>
      </c>
      <c r="N2" s="85" t="s">
        <v>11</v>
      </c>
      <c r="O2" s="86" t="s">
        <v>7</v>
      </c>
      <c r="P2" s="85" t="s">
        <v>12</v>
      </c>
      <c r="Q2" s="86" t="s">
        <v>7</v>
      </c>
      <c r="R2" s="85" t="s">
        <v>13</v>
      </c>
      <c r="S2" s="86" t="s">
        <v>7</v>
      </c>
      <c r="T2" s="90" t="s">
        <v>14</v>
      </c>
      <c r="U2" s="90" t="s">
        <v>15</v>
      </c>
      <c r="V2" s="90" t="s">
        <v>16</v>
      </c>
    </row>
    <row r="3" spans="1:22">
      <c r="A3" s="33">
        <v>1</v>
      </c>
      <c r="B3" s="87" t="s">
        <v>17</v>
      </c>
      <c r="C3" s="33">
        <v>1055</v>
      </c>
      <c r="D3" s="33">
        <v>724</v>
      </c>
      <c r="E3" s="88">
        <v>68.6255924170616</v>
      </c>
      <c r="F3" s="33">
        <v>377</v>
      </c>
      <c r="G3" s="88">
        <v>52.0718232044199</v>
      </c>
      <c r="H3" s="33">
        <v>329</v>
      </c>
      <c r="I3" s="88">
        <v>45.4419889502762</v>
      </c>
      <c r="J3" s="33">
        <v>0</v>
      </c>
      <c r="K3" s="88">
        <v>0</v>
      </c>
      <c r="L3" s="33">
        <v>5</v>
      </c>
      <c r="M3" s="88">
        <v>0.69060773480663</v>
      </c>
      <c r="N3" s="33">
        <v>7</v>
      </c>
      <c r="O3" s="88">
        <v>0.966850828729282</v>
      </c>
      <c r="P3" s="33">
        <v>5</v>
      </c>
      <c r="Q3" s="88">
        <v>0.69060773480663</v>
      </c>
      <c r="R3" s="33">
        <v>1</v>
      </c>
      <c r="S3" s="88">
        <v>0.138121546961326</v>
      </c>
      <c r="T3" s="34" t="str">
        <f>IF(G3&gt;I3,"BJP GAIN","CONGRESS GAIN")</f>
        <v>BJP GAIN</v>
      </c>
      <c r="U3" s="91">
        <f>G3-I3</f>
        <v>6.62983425414365</v>
      </c>
      <c r="V3" s="26" t="str">
        <f>IF(U3&gt;=50,"VERYHIGHMARGIN",IF(U3&gt;=40,"HIGHMARGIN",IF(U3&gt;=30,"MEDIUMMARGIN",IF(U3&gt;10,"LOWMARGIN",IF(U3&gt;=1,"NARROWMARGIN")))))</f>
        <v>NARROWMARGIN</v>
      </c>
    </row>
    <row r="4" spans="1:22">
      <c r="A4" s="33">
        <v>2</v>
      </c>
      <c r="B4" s="87" t="s">
        <v>18</v>
      </c>
      <c r="C4" s="33">
        <v>1388</v>
      </c>
      <c r="D4" s="33">
        <v>1005</v>
      </c>
      <c r="E4" s="88">
        <v>72.4063400576369</v>
      </c>
      <c r="F4" s="33">
        <v>494</v>
      </c>
      <c r="G4" s="88">
        <v>49.1542288557214</v>
      </c>
      <c r="H4" s="33">
        <v>486</v>
      </c>
      <c r="I4" s="88">
        <v>48.3582089552239</v>
      </c>
      <c r="J4" s="33">
        <v>1</v>
      </c>
      <c r="K4" s="88">
        <v>0.099502487562189</v>
      </c>
      <c r="L4" s="33">
        <v>2</v>
      </c>
      <c r="M4" s="88">
        <v>0.199004975124378</v>
      </c>
      <c r="N4" s="33">
        <v>16</v>
      </c>
      <c r="O4" s="88">
        <v>1.59203980099502</v>
      </c>
      <c r="P4" s="33">
        <v>3</v>
      </c>
      <c r="Q4" s="88">
        <v>0.298507462686567</v>
      </c>
      <c r="R4" s="33">
        <v>3</v>
      </c>
      <c r="S4" s="88">
        <v>0.298507462686567</v>
      </c>
      <c r="T4" s="34" t="str">
        <f t="shared" ref="T4:T67" si="0">IF(G4&gt;I4,"BJP GAIN","CONGRESS GAIN")</f>
        <v>BJP GAIN</v>
      </c>
      <c r="U4" s="91">
        <f t="shared" ref="U4:U67" si="1">G4-I4</f>
        <v>0.796019900497512</v>
      </c>
      <c r="V4" s="26" t="str">
        <f>IF(U4&gt;=50,"VERYHIGHMARGIN",IF(U4&gt;=40,"HIGHMARGIN",IF(U4&gt;=30,"MEDIUMMARGIN",IF(U4&gt;10,"LOWMARGIN",IF(U4&lt;1,"NARROWMARGIN")))))</f>
        <v>NARROWMARGIN</v>
      </c>
    </row>
    <row r="5" spans="1:22">
      <c r="A5" s="33">
        <v>3</v>
      </c>
      <c r="B5" s="87" t="s">
        <v>19</v>
      </c>
      <c r="C5" s="33">
        <v>1165</v>
      </c>
      <c r="D5" s="33">
        <v>916</v>
      </c>
      <c r="E5" s="88">
        <v>78.6266094420601</v>
      </c>
      <c r="F5" s="33">
        <v>541</v>
      </c>
      <c r="G5" s="88">
        <v>59.061135371179</v>
      </c>
      <c r="H5" s="33">
        <v>356</v>
      </c>
      <c r="I5" s="88">
        <v>38.8646288209607</v>
      </c>
      <c r="J5" s="33">
        <v>1</v>
      </c>
      <c r="K5" s="88">
        <v>0.109170305676856</v>
      </c>
      <c r="L5" s="33">
        <v>3</v>
      </c>
      <c r="M5" s="88">
        <v>0.327510917030568</v>
      </c>
      <c r="N5" s="33">
        <v>1</v>
      </c>
      <c r="O5" s="88">
        <v>0.109170305676856</v>
      </c>
      <c r="P5" s="33">
        <v>7</v>
      </c>
      <c r="Q5" s="88">
        <v>0.764192139737991</v>
      </c>
      <c r="R5" s="33">
        <v>7</v>
      </c>
      <c r="S5" s="88">
        <v>0.764192139737991</v>
      </c>
      <c r="T5" s="34" t="str">
        <f t="shared" si="0"/>
        <v>BJP GAIN</v>
      </c>
      <c r="U5" s="91">
        <f t="shared" si="1"/>
        <v>20.1965065502183</v>
      </c>
      <c r="V5" s="27" t="str">
        <f t="shared" ref="V5:V68" si="2">IF(U5&gt;=50,"VERYHIGHMARGIN",IF(U5&gt;=40,"HIGHMARGIN",IF(U5&gt;=30,"MEDIUMMARGIN",IF(U5&gt;10,"LOWMARGIN",IF(U5&gt;=1,"NARROWMARGIN")))))</f>
        <v>LOWMARGIN</v>
      </c>
    </row>
    <row r="6" spans="1:22">
      <c r="A6" s="33">
        <v>4</v>
      </c>
      <c r="B6" s="87" t="s">
        <v>20</v>
      </c>
      <c r="C6" s="33">
        <v>1065</v>
      </c>
      <c r="D6" s="33">
        <v>804</v>
      </c>
      <c r="E6" s="88">
        <v>75.4929577464789</v>
      </c>
      <c r="F6" s="33">
        <v>478</v>
      </c>
      <c r="G6" s="88">
        <v>59.452736318408</v>
      </c>
      <c r="H6" s="33">
        <v>303</v>
      </c>
      <c r="I6" s="88">
        <v>37.6865671641791</v>
      </c>
      <c r="J6" s="33">
        <v>1</v>
      </c>
      <c r="K6" s="88">
        <v>0.124378109452736</v>
      </c>
      <c r="L6" s="33">
        <v>6</v>
      </c>
      <c r="M6" s="88">
        <v>0.746268656716418</v>
      </c>
      <c r="N6" s="33">
        <v>6</v>
      </c>
      <c r="O6" s="88">
        <v>0.746268656716418</v>
      </c>
      <c r="P6" s="33">
        <v>3</v>
      </c>
      <c r="Q6" s="88">
        <v>0.373134328358209</v>
      </c>
      <c r="R6" s="33">
        <v>7</v>
      </c>
      <c r="S6" s="88">
        <v>0.870646766169154</v>
      </c>
      <c r="T6" s="34" t="str">
        <f t="shared" si="0"/>
        <v>BJP GAIN</v>
      </c>
      <c r="U6" s="91">
        <f t="shared" si="1"/>
        <v>21.7661691542289</v>
      </c>
      <c r="V6" s="27" t="str">
        <f t="shared" si="2"/>
        <v>LOWMARGIN</v>
      </c>
    </row>
    <row r="7" spans="1:22">
      <c r="A7" s="33">
        <v>5</v>
      </c>
      <c r="B7" s="87" t="s">
        <v>21</v>
      </c>
      <c r="C7" s="33">
        <v>1090</v>
      </c>
      <c r="D7" s="33">
        <v>887</v>
      </c>
      <c r="E7" s="88">
        <v>81.3761467889908</v>
      </c>
      <c r="F7" s="33">
        <v>415</v>
      </c>
      <c r="G7" s="88">
        <v>46.7869222096956</v>
      </c>
      <c r="H7" s="33">
        <v>365</v>
      </c>
      <c r="I7" s="88">
        <v>41.1499436302142</v>
      </c>
      <c r="J7" s="33">
        <v>4</v>
      </c>
      <c r="K7" s="88">
        <v>0.450958286358512</v>
      </c>
      <c r="L7" s="33">
        <v>79</v>
      </c>
      <c r="M7" s="88">
        <v>8.90642615558061</v>
      </c>
      <c r="N7" s="33">
        <v>8</v>
      </c>
      <c r="O7" s="88">
        <v>0.901916572717024</v>
      </c>
      <c r="P7" s="33">
        <v>7</v>
      </c>
      <c r="Q7" s="88">
        <v>0.789177001127396</v>
      </c>
      <c r="R7" s="33">
        <v>9</v>
      </c>
      <c r="S7" s="88">
        <v>1.01465614430665</v>
      </c>
      <c r="T7" s="34" t="str">
        <f t="shared" si="0"/>
        <v>BJP GAIN</v>
      </c>
      <c r="U7" s="91">
        <f t="shared" si="1"/>
        <v>5.6369785794814</v>
      </c>
      <c r="V7" s="26" t="str">
        <f t="shared" si="2"/>
        <v>NARROWMARGIN</v>
      </c>
    </row>
    <row r="8" spans="1:22">
      <c r="A8" s="33">
        <v>6</v>
      </c>
      <c r="B8" s="87" t="s">
        <v>22</v>
      </c>
      <c r="C8" s="33">
        <v>729</v>
      </c>
      <c r="D8" s="33">
        <v>524</v>
      </c>
      <c r="E8" s="88">
        <v>71.8792866941015</v>
      </c>
      <c r="F8" s="33">
        <v>331</v>
      </c>
      <c r="G8" s="88">
        <v>63.1679389312977</v>
      </c>
      <c r="H8" s="33">
        <v>163</v>
      </c>
      <c r="I8" s="88">
        <v>31.1068702290076</v>
      </c>
      <c r="J8" s="33">
        <v>0</v>
      </c>
      <c r="K8" s="88">
        <v>0</v>
      </c>
      <c r="L8" s="33">
        <v>13</v>
      </c>
      <c r="M8" s="88">
        <v>2.48091603053435</v>
      </c>
      <c r="N8" s="33">
        <v>6</v>
      </c>
      <c r="O8" s="88">
        <v>1.14503816793893</v>
      </c>
      <c r="P8" s="33">
        <v>3</v>
      </c>
      <c r="Q8" s="88">
        <v>0.572519083969466</v>
      </c>
      <c r="R8" s="33">
        <v>8</v>
      </c>
      <c r="S8" s="88">
        <v>1.52671755725191</v>
      </c>
      <c r="T8" s="34" t="str">
        <f t="shared" si="0"/>
        <v>BJP GAIN</v>
      </c>
      <c r="U8" s="91">
        <f t="shared" si="1"/>
        <v>32.0610687022901</v>
      </c>
      <c r="V8" s="35" t="str">
        <f t="shared" si="2"/>
        <v>MEDIUMMARGIN</v>
      </c>
    </row>
    <row r="9" spans="1:22">
      <c r="A9" s="33">
        <v>7</v>
      </c>
      <c r="B9" s="87" t="s">
        <v>23</v>
      </c>
      <c r="C9" s="33">
        <v>742</v>
      </c>
      <c r="D9" s="33">
        <v>501</v>
      </c>
      <c r="E9" s="88">
        <v>67.5202156334232</v>
      </c>
      <c r="F9" s="33">
        <v>302</v>
      </c>
      <c r="G9" s="88">
        <v>60.2794411177645</v>
      </c>
      <c r="H9" s="33">
        <v>182</v>
      </c>
      <c r="I9" s="88">
        <v>36.3273453093812</v>
      </c>
      <c r="J9" s="33">
        <v>0</v>
      </c>
      <c r="K9" s="88">
        <v>0</v>
      </c>
      <c r="L9" s="33">
        <v>1</v>
      </c>
      <c r="M9" s="88">
        <v>0.199600798403194</v>
      </c>
      <c r="N9" s="33">
        <v>6</v>
      </c>
      <c r="O9" s="88">
        <v>1.19760479041916</v>
      </c>
      <c r="P9" s="33">
        <v>5</v>
      </c>
      <c r="Q9" s="88">
        <v>0.998003992015968</v>
      </c>
      <c r="R9" s="33">
        <v>5</v>
      </c>
      <c r="S9" s="88">
        <v>0.998003992015968</v>
      </c>
      <c r="T9" s="34" t="str">
        <f t="shared" si="0"/>
        <v>BJP GAIN</v>
      </c>
      <c r="U9" s="91">
        <f t="shared" si="1"/>
        <v>23.9520958083833</v>
      </c>
      <c r="V9" s="27" t="str">
        <f t="shared" si="2"/>
        <v>LOWMARGIN</v>
      </c>
    </row>
    <row r="10" spans="1:22">
      <c r="A10" s="33">
        <v>8</v>
      </c>
      <c r="B10" s="87" t="s">
        <v>24</v>
      </c>
      <c r="C10" s="33">
        <v>885</v>
      </c>
      <c r="D10" s="33">
        <v>656</v>
      </c>
      <c r="E10" s="88">
        <v>74.1242937853107</v>
      </c>
      <c r="F10" s="33">
        <v>366</v>
      </c>
      <c r="G10" s="88">
        <v>55.7926829268293</v>
      </c>
      <c r="H10" s="33">
        <v>259</v>
      </c>
      <c r="I10" s="88">
        <v>39.4817073170732</v>
      </c>
      <c r="J10" s="33">
        <v>1</v>
      </c>
      <c r="K10" s="88">
        <v>0.152439024390244</v>
      </c>
      <c r="L10" s="33">
        <v>0</v>
      </c>
      <c r="M10" s="88">
        <v>0</v>
      </c>
      <c r="N10" s="33">
        <v>20</v>
      </c>
      <c r="O10" s="88">
        <v>3.04878048780488</v>
      </c>
      <c r="P10" s="33">
        <v>7</v>
      </c>
      <c r="Q10" s="88">
        <v>1.06707317073171</v>
      </c>
      <c r="R10" s="33">
        <v>3</v>
      </c>
      <c r="S10" s="88">
        <v>0.457317073170732</v>
      </c>
      <c r="T10" s="34" t="str">
        <f t="shared" si="0"/>
        <v>BJP GAIN</v>
      </c>
      <c r="U10" s="91">
        <f t="shared" si="1"/>
        <v>16.3109756097561</v>
      </c>
      <c r="V10" s="27" t="str">
        <f t="shared" si="2"/>
        <v>LOWMARGIN</v>
      </c>
    </row>
    <row r="11" spans="1:22">
      <c r="A11" s="33">
        <v>9</v>
      </c>
      <c r="B11" s="87" t="s">
        <v>25</v>
      </c>
      <c r="C11" s="33">
        <v>890</v>
      </c>
      <c r="D11" s="33">
        <v>533</v>
      </c>
      <c r="E11" s="88">
        <v>59.8876404494382</v>
      </c>
      <c r="F11" s="33">
        <v>302</v>
      </c>
      <c r="G11" s="88">
        <v>56.6604127579737</v>
      </c>
      <c r="H11" s="33">
        <v>216</v>
      </c>
      <c r="I11" s="88">
        <v>40.5253283302064</v>
      </c>
      <c r="J11" s="33">
        <v>2</v>
      </c>
      <c r="K11" s="88">
        <v>0.375234521575985</v>
      </c>
      <c r="L11" s="33">
        <v>2</v>
      </c>
      <c r="M11" s="88">
        <v>0.375234521575985</v>
      </c>
      <c r="N11" s="33">
        <v>8</v>
      </c>
      <c r="O11" s="88">
        <v>1.50093808630394</v>
      </c>
      <c r="P11" s="33">
        <v>2</v>
      </c>
      <c r="Q11" s="88">
        <v>0.375234521575985</v>
      </c>
      <c r="R11" s="33">
        <v>1</v>
      </c>
      <c r="S11" s="88">
        <v>0.187617260787992</v>
      </c>
      <c r="T11" s="34" t="str">
        <f t="shared" si="0"/>
        <v>BJP GAIN</v>
      </c>
      <c r="U11" s="91">
        <f t="shared" si="1"/>
        <v>16.1350844277674</v>
      </c>
      <c r="V11" s="27" t="str">
        <f t="shared" si="2"/>
        <v>LOWMARGIN</v>
      </c>
    </row>
    <row r="12" spans="1:22">
      <c r="A12" s="33">
        <v>10</v>
      </c>
      <c r="B12" s="87" t="s">
        <v>26</v>
      </c>
      <c r="C12" s="33">
        <v>1202</v>
      </c>
      <c r="D12" s="33">
        <v>870</v>
      </c>
      <c r="E12" s="88">
        <v>72.3793677204659</v>
      </c>
      <c r="F12" s="33">
        <v>434</v>
      </c>
      <c r="G12" s="88">
        <v>49.8850574712644</v>
      </c>
      <c r="H12" s="33">
        <v>416</v>
      </c>
      <c r="I12" s="88">
        <v>47.816091954023</v>
      </c>
      <c r="J12" s="33">
        <v>0</v>
      </c>
      <c r="K12" s="88">
        <v>0</v>
      </c>
      <c r="L12" s="33">
        <v>4</v>
      </c>
      <c r="M12" s="88">
        <v>0.459770114942529</v>
      </c>
      <c r="N12" s="33">
        <v>10</v>
      </c>
      <c r="O12" s="88">
        <v>1.14942528735632</v>
      </c>
      <c r="P12" s="33">
        <v>1</v>
      </c>
      <c r="Q12" s="88">
        <v>0.114942528735632</v>
      </c>
      <c r="R12" s="33">
        <v>5</v>
      </c>
      <c r="S12" s="88">
        <v>0.574712643678161</v>
      </c>
      <c r="T12" s="34" t="str">
        <f t="shared" si="0"/>
        <v>BJP GAIN</v>
      </c>
      <c r="U12" s="91">
        <f t="shared" si="1"/>
        <v>2.06896551724138</v>
      </c>
      <c r="V12" s="26" t="str">
        <f t="shared" si="2"/>
        <v>NARROWMARGIN</v>
      </c>
    </row>
    <row r="13" spans="1:22">
      <c r="A13" s="33">
        <v>11</v>
      </c>
      <c r="B13" s="87" t="s">
        <v>27</v>
      </c>
      <c r="C13" s="33">
        <v>788</v>
      </c>
      <c r="D13" s="33">
        <v>524</v>
      </c>
      <c r="E13" s="88">
        <v>66.497461928934</v>
      </c>
      <c r="F13" s="33">
        <v>363</v>
      </c>
      <c r="G13" s="88">
        <v>69.2748091603053</v>
      </c>
      <c r="H13" s="33">
        <v>144</v>
      </c>
      <c r="I13" s="88">
        <v>27.4809160305344</v>
      </c>
      <c r="J13" s="33">
        <v>0</v>
      </c>
      <c r="K13" s="88">
        <v>0</v>
      </c>
      <c r="L13" s="33">
        <v>1</v>
      </c>
      <c r="M13" s="88">
        <v>0.190839694656489</v>
      </c>
      <c r="N13" s="33">
        <v>11</v>
      </c>
      <c r="O13" s="88">
        <v>2.09923664122137</v>
      </c>
      <c r="P13" s="33">
        <v>5</v>
      </c>
      <c r="Q13" s="88">
        <v>0.954198473282443</v>
      </c>
      <c r="R13" s="33">
        <v>0</v>
      </c>
      <c r="S13" s="88">
        <v>0</v>
      </c>
      <c r="T13" s="34" t="str">
        <f t="shared" si="0"/>
        <v>BJP GAIN</v>
      </c>
      <c r="U13" s="91">
        <f t="shared" si="1"/>
        <v>41.793893129771</v>
      </c>
      <c r="V13" s="92" t="str">
        <f t="shared" si="2"/>
        <v>HIGHMARGIN</v>
      </c>
    </row>
    <row r="14" spans="1:22">
      <c r="A14" s="33">
        <v>12</v>
      </c>
      <c r="B14" s="87" t="s">
        <v>28</v>
      </c>
      <c r="C14" s="33">
        <v>826</v>
      </c>
      <c r="D14" s="33">
        <v>572</v>
      </c>
      <c r="E14" s="88">
        <v>69.2493946731235</v>
      </c>
      <c r="F14" s="33">
        <v>341</v>
      </c>
      <c r="G14" s="88">
        <v>59.6153846153846</v>
      </c>
      <c r="H14" s="33">
        <v>219</v>
      </c>
      <c r="I14" s="88">
        <v>38.2867132867133</v>
      </c>
      <c r="J14" s="33">
        <v>0</v>
      </c>
      <c r="K14" s="88">
        <v>0</v>
      </c>
      <c r="L14" s="33">
        <v>0</v>
      </c>
      <c r="M14" s="88">
        <v>0</v>
      </c>
      <c r="N14" s="33">
        <v>11</v>
      </c>
      <c r="O14" s="88">
        <v>1.92307692307692</v>
      </c>
      <c r="P14" s="33">
        <v>1</v>
      </c>
      <c r="Q14" s="88">
        <v>0.174825174825175</v>
      </c>
      <c r="R14" s="33">
        <v>0</v>
      </c>
      <c r="S14" s="88">
        <v>0</v>
      </c>
      <c r="T14" s="34" t="str">
        <f t="shared" si="0"/>
        <v>BJP GAIN</v>
      </c>
      <c r="U14" s="91">
        <f t="shared" si="1"/>
        <v>21.3286713286713</v>
      </c>
      <c r="V14" s="27" t="str">
        <f t="shared" si="2"/>
        <v>LOWMARGIN</v>
      </c>
    </row>
    <row r="15" spans="1:22">
      <c r="A15" s="33">
        <v>13</v>
      </c>
      <c r="B15" s="87" t="s">
        <v>29</v>
      </c>
      <c r="C15" s="33">
        <v>784</v>
      </c>
      <c r="D15" s="33">
        <v>465</v>
      </c>
      <c r="E15" s="88">
        <v>59.3112244897959</v>
      </c>
      <c r="F15" s="33">
        <v>332</v>
      </c>
      <c r="G15" s="88">
        <v>71.3978494623656</v>
      </c>
      <c r="H15" s="33">
        <v>116</v>
      </c>
      <c r="I15" s="88">
        <v>24.9462365591398</v>
      </c>
      <c r="J15" s="33">
        <v>1</v>
      </c>
      <c r="K15" s="88">
        <v>0.21505376344086</v>
      </c>
      <c r="L15" s="33">
        <v>3</v>
      </c>
      <c r="M15" s="88">
        <v>0.645161290322581</v>
      </c>
      <c r="N15" s="33">
        <v>10</v>
      </c>
      <c r="O15" s="88">
        <v>2.1505376344086</v>
      </c>
      <c r="P15" s="33">
        <v>3</v>
      </c>
      <c r="Q15" s="88">
        <v>0.645161290322581</v>
      </c>
      <c r="R15" s="33">
        <v>0</v>
      </c>
      <c r="S15" s="88">
        <v>0</v>
      </c>
      <c r="T15" s="34" t="str">
        <f t="shared" si="0"/>
        <v>BJP GAIN</v>
      </c>
      <c r="U15" s="91">
        <f t="shared" si="1"/>
        <v>46.4516129032258</v>
      </c>
      <c r="V15" s="92" t="str">
        <f t="shared" si="2"/>
        <v>HIGHMARGIN</v>
      </c>
    </row>
    <row r="16" spans="1:22">
      <c r="A16" s="33">
        <v>14</v>
      </c>
      <c r="B16" s="87" t="s">
        <v>30</v>
      </c>
      <c r="C16" s="33">
        <v>1290</v>
      </c>
      <c r="D16" s="33">
        <v>872</v>
      </c>
      <c r="E16" s="88">
        <v>67.5968992248062</v>
      </c>
      <c r="F16" s="33">
        <v>531</v>
      </c>
      <c r="G16" s="88">
        <v>60.894495412844</v>
      </c>
      <c r="H16" s="33">
        <v>296</v>
      </c>
      <c r="I16" s="88">
        <v>33.9449541284404</v>
      </c>
      <c r="J16" s="33">
        <v>1</v>
      </c>
      <c r="K16" s="88">
        <v>0.114678899082569</v>
      </c>
      <c r="L16" s="33">
        <v>0</v>
      </c>
      <c r="M16" s="88">
        <v>0</v>
      </c>
      <c r="N16" s="33">
        <v>29</v>
      </c>
      <c r="O16" s="88">
        <v>3.3256880733945</v>
      </c>
      <c r="P16" s="33">
        <v>10</v>
      </c>
      <c r="Q16" s="88">
        <v>1.14678899082569</v>
      </c>
      <c r="R16" s="33">
        <v>5</v>
      </c>
      <c r="S16" s="88">
        <v>0.573394495412844</v>
      </c>
      <c r="T16" s="34" t="str">
        <f t="shared" si="0"/>
        <v>BJP GAIN</v>
      </c>
      <c r="U16" s="91">
        <f t="shared" si="1"/>
        <v>26.9495412844037</v>
      </c>
      <c r="V16" s="27" t="str">
        <f t="shared" si="2"/>
        <v>LOWMARGIN</v>
      </c>
    </row>
    <row r="17" spans="1:22">
      <c r="A17" s="33">
        <v>15</v>
      </c>
      <c r="B17" s="87" t="s">
        <v>31</v>
      </c>
      <c r="C17" s="33">
        <v>1227</v>
      </c>
      <c r="D17" s="33">
        <v>907</v>
      </c>
      <c r="E17" s="88">
        <v>73.920130399348</v>
      </c>
      <c r="F17" s="33">
        <v>486</v>
      </c>
      <c r="G17" s="88">
        <v>53.5832414553473</v>
      </c>
      <c r="H17" s="33">
        <v>392</v>
      </c>
      <c r="I17" s="88">
        <v>43.2194046306505</v>
      </c>
      <c r="J17" s="33">
        <v>1</v>
      </c>
      <c r="K17" s="88">
        <v>0.110253583241455</v>
      </c>
      <c r="L17" s="33">
        <v>0</v>
      </c>
      <c r="M17" s="88">
        <v>0</v>
      </c>
      <c r="N17" s="33">
        <v>16</v>
      </c>
      <c r="O17" s="88">
        <v>1.76405733186329</v>
      </c>
      <c r="P17" s="33">
        <v>8</v>
      </c>
      <c r="Q17" s="88">
        <v>0.882028665931643</v>
      </c>
      <c r="R17" s="33">
        <v>4</v>
      </c>
      <c r="S17" s="88">
        <v>0.441014332965821</v>
      </c>
      <c r="T17" s="34" t="str">
        <f t="shared" si="0"/>
        <v>BJP GAIN</v>
      </c>
      <c r="U17" s="91">
        <f t="shared" si="1"/>
        <v>10.3638368246968</v>
      </c>
      <c r="V17" s="27" t="str">
        <f t="shared" si="2"/>
        <v>LOWMARGIN</v>
      </c>
    </row>
    <row r="18" spans="1:22">
      <c r="A18" s="33">
        <v>16</v>
      </c>
      <c r="B18" s="87" t="s">
        <v>32</v>
      </c>
      <c r="C18" s="33">
        <v>860</v>
      </c>
      <c r="D18" s="33">
        <v>647</v>
      </c>
      <c r="E18" s="88">
        <v>75.2325581395349</v>
      </c>
      <c r="F18" s="33">
        <v>318</v>
      </c>
      <c r="G18" s="88">
        <v>49.1499227202473</v>
      </c>
      <c r="H18" s="33">
        <v>309</v>
      </c>
      <c r="I18" s="88">
        <v>47.758887171561</v>
      </c>
      <c r="J18" s="33">
        <v>0</v>
      </c>
      <c r="K18" s="88">
        <v>0</v>
      </c>
      <c r="L18" s="33">
        <v>2</v>
      </c>
      <c r="M18" s="88">
        <v>0.309119010819165</v>
      </c>
      <c r="N18" s="33">
        <v>15</v>
      </c>
      <c r="O18" s="88">
        <v>2.31839258114374</v>
      </c>
      <c r="P18" s="33">
        <v>2</v>
      </c>
      <c r="Q18" s="88">
        <v>0.309119010819165</v>
      </c>
      <c r="R18" s="33">
        <v>1</v>
      </c>
      <c r="S18" s="88">
        <v>0.154559505409583</v>
      </c>
      <c r="T18" s="34" t="str">
        <f t="shared" si="0"/>
        <v>BJP GAIN</v>
      </c>
      <c r="U18" s="91">
        <f t="shared" si="1"/>
        <v>1.39103554868625</v>
      </c>
      <c r="V18" s="26" t="str">
        <f t="shared" si="2"/>
        <v>NARROWMARGIN</v>
      </c>
    </row>
    <row r="19" spans="1:22">
      <c r="A19" s="33">
        <v>17</v>
      </c>
      <c r="B19" s="87" t="s">
        <v>33</v>
      </c>
      <c r="C19" s="33">
        <v>1037</v>
      </c>
      <c r="D19" s="33">
        <v>762</v>
      </c>
      <c r="E19" s="88">
        <v>73.4811957569913</v>
      </c>
      <c r="F19" s="33">
        <v>445</v>
      </c>
      <c r="G19" s="88">
        <v>58.3989501312336</v>
      </c>
      <c r="H19" s="33">
        <v>290</v>
      </c>
      <c r="I19" s="88">
        <v>38.0577427821522</v>
      </c>
      <c r="J19" s="33">
        <v>2</v>
      </c>
      <c r="K19" s="88">
        <v>0.26246719160105</v>
      </c>
      <c r="L19" s="33">
        <v>3</v>
      </c>
      <c r="M19" s="88">
        <v>0.393700787401575</v>
      </c>
      <c r="N19" s="33">
        <v>14</v>
      </c>
      <c r="O19" s="88">
        <v>1.83727034120735</v>
      </c>
      <c r="P19" s="33">
        <v>8</v>
      </c>
      <c r="Q19" s="88">
        <v>1.0498687664042</v>
      </c>
      <c r="R19" s="33">
        <v>0</v>
      </c>
      <c r="S19" s="88">
        <v>0</v>
      </c>
      <c r="T19" s="34" t="str">
        <f t="shared" si="0"/>
        <v>BJP GAIN</v>
      </c>
      <c r="U19" s="91">
        <f t="shared" si="1"/>
        <v>20.3412073490814</v>
      </c>
      <c r="V19" s="27" t="str">
        <f t="shared" si="2"/>
        <v>LOWMARGIN</v>
      </c>
    </row>
    <row r="20" spans="1:22">
      <c r="A20" s="33">
        <v>18</v>
      </c>
      <c r="B20" s="87" t="s">
        <v>34</v>
      </c>
      <c r="C20" s="33">
        <v>1242</v>
      </c>
      <c r="D20" s="33">
        <v>776</v>
      </c>
      <c r="E20" s="88">
        <v>62.4798711755233</v>
      </c>
      <c r="F20" s="33">
        <v>411</v>
      </c>
      <c r="G20" s="88">
        <v>52.9639175257732</v>
      </c>
      <c r="H20" s="33">
        <v>318</v>
      </c>
      <c r="I20" s="88">
        <v>40.979381443299</v>
      </c>
      <c r="J20" s="33">
        <v>1</v>
      </c>
      <c r="K20" s="88">
        <v>0.128865979381443</v>
      </c>
      <c r="L20" s="33">
        <v>4</v>
      </c>
      <c r="M20" s="88">
        <v>0.515463917525773</v>
      </c>
      <c r="N20" s="33">
        <v>32</v>
      </c>
      <c r="O20" s="88">
        <v>4.12371134020619</v>
      </c>
      <c r="P20" s="33">
        <v>6</v>
      </c>
      <c r="Q20" s="88">
        <v>0.77319587628866</v>
      </c>
      <c r="R20" s="33">
        <v>4</v>
      </c>
      <c r="S20" s="88">
        <v>0.515463917525773</v>
      </c>
      <c r="T20" s="34" t="str">
        <f t="shared" si="0"/>
        <v>BJP GAIN</v>
      </c>
      <c r="U20" s="91">
        <f t="shared" si="1"/>
        <v>11.9845360824742</v>
      </c>
      <c r="V20" s="27" t="str">
        <f t="shared" si="2"/>
        <v>LOWMARGIN</v>
      </c>
    </row>
    <row r="21" spans="1:22">
      <c r="A21" s="33">
        <v>19</v>
      </c>
      <c r="B21" s="87" t="s">
        <v>35</v>
      </c>
      <c r="C21" s="33">
        <v>716</v>
      </c>
      <c r="D21" s="33">
        <v>466</v>
      </c>
      <c r="E21" s="88">
        <v>65.0837988826816</v>
      </c>
      <c r="F21" s="33">
        <v>250</v>
      </c>
      <c r="G21" s="88">
        <v>53.6480686695279</v>
      </c>
      <c r="H21" s="33">
        <v>191</v>
      </c>
      <c r="I21" s="88">
        <v>40.9871244635193</v>
      </c>
      <c r="J21" s="33">
        <v>1</v>
      </c>
      <c r="K21" s="88">
        <v>0.214592274678112</v>
      </c>
      <c r="L21" s="33">
        <v>0</v>
      </c>
      <c r="M21" s="88">
        <v>0</v>
      </c>
      <c r="N21" s="33">
        <v>18</v>
      </c>
      <c r="O21" s="88">
        <v>3.86266094420601</v>
      </c>
      <c r="P21" s="33">
        <v>4</v>
      </c>
      <c r="Q21" s="88">
        <v>0.858369098712446</v>
      </c>
      <c r="R21" s="33">
        <v>2</v>
      </c>
      <c r="S21" s="88">
        <v>0.429184549356223</v>
      </c>
      <c r="T21" s="34" t="str">
        <f t="shared" si="0"/>
        <v>BJP GAIN</v>
      </c>
      <c r="U21" s="91">
        <f t="shared" si="1"/>
        <v>12.6609442060086</v>
      </c>
      <c r="V21" s="27" t="str">
        <f t="shared" si="2"/>
        <v>LOWMARGIN</v>
      </c>
    </row>
    <row r="22" spans="1:22">
      <c r="A22" s="33">
        <v>20</v>
      </c>
      <c r="B22" s="87" t="s">
        <v>36</v>
      </c>
      <c r="C22" s="33">
        <v>832</v>
      </c>
      <c r="D22" s="33">
        <v>615</v>
      </c>
      <c r="E22" s="88">
        <v>73.9182692307692</v>
      </c>
      <c r="F22" s="33">
        <v>362</v>
      </c>
      <c r="G22" s="88">
        <v>58.8617886178862</v>
      </c>
      <c r="H22" s="33">
        <v>232</v>
      </c>
      <c r="I22" s="88">
        <v>37.7235772357724</v>
      </c>
      <c r="J22" s="33">
        <v>1</v>
      </c>
      <c r="K22" s="88">
        <v>0.16260162601626</v>
      </c>
      <c r="L22" s="33">
        <v>2</v>
      </c>
      <c r="M22" s="88">
        <v>0.32520325203252</v>
      </c>
      <c r="N22" s="33">
        <v>17</v>
      </c>
      <c r="O22" s="88">
        <v>2.76422764227642</v>
      </c>
      <c r="P22" s="33">
        <v>1</v>
      </c>
      <c r="Q22" s="88">
        <v>0.16260162601626</v>
      </c>
      <c r="R22" s="33">
        <v>0</v>
      </c>
      <c r="S22" s="88">
        <v>0</v>
      </c>
      <c r="T22" s="34" t="str">
        <f t="shared" si="0"/>
        <v>BJP GAIN</v>
      </c>
      <c r="U22" s="91">
        <f t="shared" si="1"/>
        <v>21.1382113821138</v>
      </c>
      <c r="V22" s="27" t="str">
        <f t="shared" si="2"/>
        <v>LOWMARGIN</v>
      </c>
    </row>
    <row r="23" spans="1:22">
      <c r="A23" s="33">
        <v>21</v>
      </c>
      <c r="B23" s="87" t="s">
        <v>37</v>
      </c>
      <c r="C23" s="33">
        <v>1042</v>
      </c>
      <c r="D23" s="33">
        <v>735</v>
      </c>
      <c r="E23" s="88">
        <v>70.5374280230326</v>
      </c>
      <c r="F23" s="33">
        <v>406</v>
      </c>
      <c r="G23" s="88">
        <v>55.2380952380952</v>
      </c>
      <c r="H23" s="33">
        <v>305</v>
      </c>
      <c r="I23" s="88">
        <v>41.4965986394558</v>
      </c>
      <c r="J23" s="33">
        <v>1</v>
      </c>
      <c r="K23" s="88">
        <v>0.136054421768707</v>
      </c>
      <c r="L23" s="33">
        <v>1</v>
      </c>
      <c r="M23" s="88">
        <v>0.136054421768707</v>
      </c>
      <c r="N23" s="33">
        <v>17</v>
      </c>
      <c r="O23" s="88">
        <v>2.31292517006803</v>
      </c>
      <c r="P23" s="33">
        <v>1</v>
      </c>
      <c r="Q23" s="88">
        <v>0.136054421768707</v>
      </c>
      <c r="R23" s="33">
        <v>4</v>
      </c>
      <c r="S23" s="88">
        <v>0.54421768707483</v>
      </c>
      <c r="T23" s="34" t="str">
        <f t="shared" si="0"/>
        <v>BJP GAIN</v>
      </c>
      <c r="U23" s="91">
        <f t="shared" si="1"/>
        <v>13.7414965986395</v>
      </c>
      <c r="V23" s="27" t="str">
        <f t="shared" si="2"/>
        <v>LOWMARGIN</v>
      </c>
    </row>
    <row r="24" spans="1:22">
      <c r="A24" s="33">
        <v>22</v>
      </c>
      <c r="B24" s="87" t="s">
        <v>38</v>
      </c>
      <c r="C24" s="33">
        <v>783</v>
      </c>
      <c r="D24" s="33">
        <v>557</v>
      </c>
      <c r="E24" s="88">
        <v>71.1366538952746</v>
      </c>
      <c r="F24" s="33">
        <v>285</v>
      </c>
      <c r="G24" s="88">
        <v>51.1669658886894</v>
      </c>
      <c r="H24" s="33">
        <v>252</v>
      </c>
      <c r="I24" s="88">
        <v>45.2423698384201</v>
      </c>
      <c r="J24" s="33">
        <v>1</v>
      </c>
      <c r="K24" s="88">
        <v>0.179533213644524</v>
      </c>
      <c r="L24" s="33">
        <v>0</v>
      </c>
      <c r="M24" s="88">
        <v>0</v>
      </c>
      <c r="N24" s="33">
        <v>13</v>
      </c>
      <c r="O24" s="88">
        <v>2.33393177737881</v>
      </c>
      <c r="P24" s="33">
        <v>4</v>
      </c>
      <c r="Q24" s="88">
        <v>0.718132854578097</v>
      </c>
      <c r="R24" s="33">
        <v>2</v>
      </c>
      <c r="S24" s="88">
        <v>0.359066427289048</v>
      </c>
      <c r="T24" s="34" t="str">
        <f t="shared" si="0"/>
        <v>BJP GAIN</v>
      </c>
      <c r="U24" s="91">
        <f t="shared" si="1"/>
        <v>5.9245960502693</v>
      </c>
      <c r="V24" s="26" t="str">
        <f t="shared" si="2"/>
        <v>NARROWMARGIN</v>
      </c>
    </row>
    <row r="25" spans="1:22">
      <c r="A25" s="33">
        <v>23</v>
      </c>
      <c r="B25" s="87" t="s">
        <v>39</v>
      </c>
      <c r="C25" s="33">
        <v>1308</v>
      </c>
      <c r="D25" s="33">
        <v>838</v>
      </c>
      <c r="E25" s="88">
        <v>64.0672782874618</v>
      </c>
      <c r="F25" s="33">
        <v>582</v>
      </c>
      <c r="G25" s="88">
        <v>69.4510739856802</v>
      </c>
      <c r="H25" s="33">
        <v>230</v>
      </c>
      <c r="I25" s="88">
        <v>27.4463007159904</v>
      </c>
      <c r="J25" s="33">
        <v>1</v>
      </c>
      <c r="K25" s="88">
        <v>0.119331742243437</v>
      </c>
      <c r="L25" s="33">
        <v>0</v>
      </c>
      <c r="M25" s="88">
        <v>0</v>
      </c>
      <c r="N25" s="33">
        <v>17</v>
      </c>
      <c r="O25" s="88">
        <v>2.02863961813842</v>
      </c>
      <c r="P25" s="33">
        <v>5</v>
      </c>
      <c r="Q25" s="88">
        <v>0.596658711217184</v>
      </c>
      <c r="R25" s="33">
        <v>3</v>
      </c>
      <c r="S25" s="88">
        <v>0.35799522673031</v>
      </c>
      <c r="T25" s="34" t="str">
        <f t="shared" si="0"/>
        <v>BJP GAIN</v>
      </c>
      <c r="U25" s="91">
        <f t="shared" si="1"/>
        <v>42.0047732696897</v>
      </c>
      <c r="V25" s="92" t="str">
        <f t="shared" si="2"/>
        <v>HIGHMARGIN</v>
      </c>
    </row>
    <row r="26" spans="1:22">
      <c r="A26" s="33">
        <v>24</v>
      </c>
      <c r="B26" s="87" t="s">
        <v>40</v>
      </c>
      <c r="C26" s="33">
        <v>841</v>
      </c>
      <c r="D26" s="33">
        <v>582</v>
      </c>
      <c r="E26" s="88">
        <v>69.2033293697979</v>
      </c>
      <c r="F26" s="33">
        <v>336</v>
      </c>
      <c r="G26" s="88">
        <v>57.7319587628866</v>
      </c>
      <c r="H26" s="33">
        <v>227</v>
      </c>
      <c r="I26" s="88">
        <v>39.0034364261168</v>
      </c>
      <c r="J26" s="33">
        <v>1</v>
      </c>
      <c r="K26" s="88">
        <v>0.171821305841924</v>
      </c>
      <c r="L26" s="33">
        <v>2</v>
      </c>
      <c r="M26" s="88">
        <v>0.343642611683849</v>
      </c>
      <c r="N26" s="33">
        <v>14</v>
      </c>
      <c r="O26" s="88">
        <v>2.40549828178694</v>
      </c>
      <c r="P26" s="33">
        <v>2</v>
      </c>
      <c r="Q26" s="88">
        <v>0.343642611683849</v>
      </c>
      <c r="R26" s="33">
        <v>0</v>
      </c>
      <c r="S26" s="88">
        <v>0</v>
      </c>
      <c r="T26" s="34" t="str">
        <f t="shared" si="0"/>
        <v>BJP GAIN</v>
      </c>
      <c r="U26" s="91">
        <f t="shared" si="1"/>
        <v>18.7285223367697</v>
      </c>
      <c r="V26" s="27" t="str">
        <f t="shared" si="2"/>
        <v>LOWMARGIN</v>
      </c>
    </row>
    <row r="27" spans="1:22">
      <c r="A27" s="33">
        <v>25</v>
      </c>
      <c r="B27" s="87" t="s">
        <v>41</v>
      </c>
      <c r="C27" s="33">
        <v>797</v>
      </c>
      <c r="D27" s="33">
        <v>573</v>
      </c>
      <c r="E27" s="88">
        <v>71.8946047678795</v>
      </c>
      <c r="F27" s="33">
        <v>330</v>
      </c>
      <c r="G27" s="88">
        <v>57.5916230366492</v>
      </c>
      <c r="H27" s="33">
        <v>219</v>
      </c>
      <c r="I27" s="88">
        <v>38.2198952879581</v>
      </c>
      <c r="J27" s="33">
        <v>0</v>
      </c>
      <c r="K27" s="88">
        <v>0</v>
      </c>
      <c r="L27" s="33">
        <v>9</v>
      </c>
      <c r="M27" s="88">
        <v>1.57068062827225</v>
      </c>
      <c r="N27" s="33">
        <v>12</v>
      </c>
      <c r="O27" s="88">
        <v>2.09424083769633</v>
      </c>
      <c r="P27" s="33">
        <v>3</v>
      </c>
      <c r="Q27" s="88">
        <v>0.523560209424084</v>
      </c>
      <c r="R27" s="33">
        <v>0</v>
      </c>
      <c r="S27" s="88">
        <v>0</v>
      </c>
      <c r="T27" s="34" t="str">
        <f t="shared" si="0"/>
        <v>BJP GAIN</v>
      </c>
      <c r="U27" s="91">
        <f t="shared" si="1"/>
        <v>19.3717277486911</v>
      </c>
      <c r="V27" s="27" t="str">
        <f t="shared" si="2"/>
        <v>LOWMARGIN</v>
      </c>
    </row>
    <row r="28" spans="1:22">
      <c r="A28" s="33">
        <v>26</v>
      </c>
      <c r="B28" s="87" t="s">
        <v>42</v>
      </c>
      <c r="C28" s="33">
        <v>1258</v>
      </c>
      <c r="D28" s="33">
        <v>907</v>
      </c>
      <c r="E28" s="88">
        <v>72.0985691573927</v>
      </c>
      <c r="F28" s="33">
        <v>613</v>
      </c>
      <c r="G28" s="88">
        <v>67.5854465270121</v>
      </c>
      <c r="H28" s="33">
        <v>261</v>
      </c>
      <c r="I28" s="88">
        <v>28.7761852260198</v>
      </c>
      <c r="J28" s="33">
        <v>2</v>
      </c>
      <c r="K28" s="88">
        <v>0.220507166482911</v>
      </c>
      <c r="L28" s="33">
        <v>17</v>
      </c>
      <c r="M28" s="88">
        <v>1.87431091510474</v>
      </c>
      <c r="N28" s="33">
        <v>4</v>
      </c>
      <c r="O28" s="88">
        <v>0.441014332965821</v>
      </c>
      <c r="P28" s="33">
        <v>4</v>
      </c>
      <c r="Q28" s="88">
        <v>0.441014332965821</v>
      </c>
      <c r="R28" s="33">
        <v>6</v>
      </c>
      <c r="S28" s="88">
        <v>0.661521499448732</v>
      </c>
      <c r="T28" s="34" t="str">
        <f t="shared" si="0"/>
        <v>BJP GAIN</v>
      </c>
      <c r="U28" s="91">
        <f t="shared" si="1"/>
        <v>38.8092613009923</v>
      </c>
      <c r="V28" s="35" t="str">
        <f t="shared" si="2"/>
        <v>MEDIUMMARGIN</v>
      </c>
    </row>
    <row r="29" spans="1:22">
      <c r="A29" s="33">
        <v>27</v>
      </c>
      <c r="B29" s="87" t="s">
        <v>43</v>
      </c>
      <c r="C29" s="33">
        <v>1326</v>
      </c>
      <c r="D29" s="33">
        <v>998</v>
      </c>
      <c r="E29" s="88">
        <v>75.26395173454</v>
      </c>
      <c r="F29" s="33">
        <v>578</v>
      </c>
      <c r="G29" s="88">
        <v>57.9158316633267</v>
      </c>
      <c r="H29" s="33">
        <v>383</v>
      </c>
      <c r="I29" s="88">
        <v>38.376753507014</v>
      </c>
      <c r="J29" s="33">
        <v>0</v>
      </c>
      <c r="K29" s="88">
        <v>0</v>
      </c>
      <c r="L29" s="33">
        <v>16</v>
      </c>
      <c r="M29" s="88">
        <v>1.60320641282565</v>
      </c>
      <c r="N29" s="33">
        <v>8</v>
      </c>
      <c r="O29" s="88">
        <v>0.801603206412826</v>
      </c>
      <c r="P29" s="33">
        <v>7</v>
      </c>
      <c r="Q29" s="88">
        <v>0.701402805611222</v>
      </c>
      <c r="R29" s="33">
        <v>6</v>
      </c>
      <c r="S29" s="88">
        <v>0.601202404809619</v>
      </c>
      <c r="T29" s="34" t="str">
        <f t="shared" si="0"/>
        <v>BJP GAIN</v>
      </c>
      <c r="U29" s="91">
        <f t="shared" si="1"/>
        <v>19.5390781563126</v>
      </c>
      <c r="V29" s="27" t="str">
        <f t="shared" si="2"/>
        <v>LOWMARGIN</v>
      </c>
    </row>
    <row r="30" spans="1:22">
      <c r="A30" s="33">
        <v>28</v>
      </c>
      <c r="B30" s="87" t="s">
        <v>44</v>
      </c>
      <c r="C30" s="33">
        <v>1249</v>
      </c>
      <c r="D30" s="33">
        <v>986</v>
      </c>
      <c r="E30" s="88">
        <v>78.9431545236189</v>
      </c>
      <c r="F30" s="33">
        <v>711</v>
      </c>
      <c r="G30" s="88">
        <v>72.1095334685598</v>
      </c>
      <c r="H30" s="33">
        <v>247</v>
      </c>
      <c r="I30" s="88">
        <v>25.0507099391481</v>
      </c>
      <c r="J30" s="33">
        <v>4</v>
      </c>
      <c r="K30" s="88">
        <v>0.405679513184584</v>
      </c>
      <c r="L30" s="33">
        <v>7</v>
      </c>
      <c r="M30" s="88">
        <v>0.709939148073022</v>
      </c>
      <c r="N30" s="33">
        <v>7</v>
      </c>
      <c r="O30" s="88">
        <v>0.709939148073022</v>
      </c>
      <c r="P30" s="33">
        <v>3</v>
      </c>
      <c r="Q30" s="88">
        <v>0.304259634888438</v>
      </c>
      <c r="R30" s="33">
        <v>7</v>
      </c>
      <c r="S30" s="88">
        <v>0.709939148073022</v>
      </c>
      <c r="T30" s="34" t="str">
        <f t="shared" si="0"/>
        <v>BJP GAIN</v>
      </c>
      <c r="U30" s="91">
        <f t="shared" si="1"/>
        <v>47.0588235294118</v>
      </c>
      <c r="V30" s="92" t="str">
        <f t="shared" si="2"/>
        <v>HIGHMARGIN</v>
      </c>
    </row>
    <row r="31" spans="1:22">
      <c r="A31" s="33">
        <v>29</v>
      </c>
      <c r="B31" s="87" t="s">
        <v>45</v>
      </c>
      <c r="C31" s="33">
        <v>1313</v>
      </c>
      <c r="D31" s="33">
        <v>1022</v>
      </c>
      <c r="E31" s="88">
        <v>77.8370144706778</v>
      </c>
      <c r="F31" s="33">
        <v>646</v>
      </c>
      <c r="G31" s="88">
        <v>63.2093933463796</v>
      </c>
      <c r="H31" s="33">
        <v>334</v>
      </c>
      <c r="I31" s="88">
        <v>32.6810176125245</v>
      </c>
      <c r="J31" s="33">
        <v>2</v>
      </c>
      <c r="K31" s="88">
        <v>0.195694716242661</v>
      </c>
      <c r="L31" s="33">
        <v>30</v>
      </c>
      <c r="M31" s="88">
        <v>2.93542074363992</v>
      </c>
      <c r="N31" s="33">
        <v>4</v>
      </c>
      <c r="O31" s="88">
        <v>0.391389432485323</v>
      </c>
      <c r="P31" s="33">
        <v>4</v>
      </c>
      <c r="Q31" s="88">
        <v>0.391389432485323</v>
      </c>
      <c r="R31" s="33">
        <v>2</v>
      </c>
      <c r="S31" s="88">
        <v>0.195694716242661</v>
      </c>
      <c r="T31" s="34" t="str">
        <f t="shared" si="0"/>
        <v>BJP GAIN</v>
      </c>
      <c r="U31" s="91">
        <f t="shared" si="1"/>
        <v>30.5283757338552</v>
      </c>
      <c r="V31" s="35" t="str">
        <f t="shared" si="2"/>
        <v>MEDIUMMARGIN</v>
      </c>
    </row>
    <row r="32" spans="1:22">
      <c r="A32" s="33">
        <v>30</v>
      </c>
      <c r="B32" s="87" t="s">
        <v>46</v>
      </c>
      <c r="C32" s="33">
        <v>1069</v>
      </c>
      <c r="D32" s="33">
        <v>750</v>
      </c>
      <c r="E32" s="88">
        <v>70.1590271281572</v>
      </c>
      <c r="F32" s="33">
        <v>415</v>
      </c>
      <c r="G32" s="88">
        <v>55.3333333333333</v>
      </c>
      <c r="H32" s="33">
        <v>302</v>
      </c>
      <c r="I32" s="88">
        <v>40.2666666666667</v>
      </c>
      <c r="J32" s="33">
        <v>2</v>
      </c>
      <c r="K32" s="88">
        <v>0.266666666666667</v>
      </c>
      <c r="L32" s="33">
        <v>23</v>
      </c>
      <c r="M32" s="88">
        <v>3.06666666666667</v>
      </c>
      <c r="N32" s="33">
        <v>5</v>
      </c>
      <c r="O32" s="88">
        <v>0.666666666666667</v>
      </c>
      <c r="P32" s="33">
        <v>2</v>
      </c>
      <c r="Q32" s="88">
        <v>0.266666666666667</v>
      </c>
      <c r="R32" s="33">
        <v>1</v>
      </c>
      <c r="S32" s="88">
        <v>0.133333333333333</v>
      </c>
      <c r="T32" s="34" t="str">
        <f t="shared" si="0"/>
        <v>BJP GAIN</v>
      </c>
      <c r="U32" s="91">
        <f t="shared" si="1"/>
        <v>15.0666666666667</v>
      </c>
      <c r="V32" s="27" t="str">
        <f t="shared" si="2"/>
        <v>LOWMARGIN</v>
      </c>
    </row>
    <row r="33" spans="1:22">
      <c r="A33" s="33">
        <v>31</v>
      </c>
      <c r="B33" s="87" t="s">
        <v>47</v>
      </c>
      <c r="C33" s="33">
        <v>995</v>
      </c>
      <c r="D33" s="33">
        <v>745</v>
      </c>
      <c r="E33" s="88">
        <v>74.8743718592965</v>
      </c>
      <c r="F33" s="33">
        <v>489</v>
      </c>
      <c r="G33" s="88">
        <v>65.6375838926174</v>
      </c>
      <c r="H33" s="33">
        <v>212</v>
      </c>
      <c r="I33" s="88">
        <v>28.4563758389262</v>
      </c>
      <c r="J33" s="33">
        <v>2</v>
      </c>
      <c r="K33" s="88">
        <v>0.268456375838926</v>
      </c>
      <c r="L33" s="33">
        <v>16</v>
      </c>
      <c r="M33" s="88">
        <v>2.14765100671141</v>
      </c>
      <c r="N33" s="33">
        <v>10</v>
      </c>
      <c r="O33" s="88">
        <v>1.34228187919463</v>
      </c>
      <c r="P33" s="33">
        <v>6</v>
      </c>
      <c r="Q33" s="88">
        <v>0.805369127516779</v>
      </c>
      <c r="R33" s="33">
        <v>10</v>
      </c>
      <c r="S33" s="88">
        <v>1.34228187919463</v>
      </c>
      <c r="T33" s="34" t="str">
        <f t="shared" si="0"/>
        <v>BJP GAIN</v>
      </c>
      <c r="U33" s="91">
        <f t="shared" si="1"/>
        <v>37.1812080536913</v>
      </c>
      <c r="V33" s="35" t="str">
        <f t="shared" si="2"/>
        <v>MEDIUMMARGIN</v>
      </c>
    </row>
    <row r="34" spans="1:22">
      <c r="A34" s="33">
        <v>32</v>
      </c>
      <c r="B34" s="87" t="s">
        <v>48</v>
      </c>
      <c r="C34" s="33">
        <v>1299</v>
      </c>
      <c r="D34" s="33">
        <v>912</v>
      </c>
      <c r="E34" s="88">
        <v>70.2078521939954</v>
      </c>
      <c r="F34" s="33">
        <v>362</v>
      </c>
      <c r="G34" s="88">
        <v>39.6929824561403</v>
      </c>
      <c r="H34" s="33">
        <v>513</v>
      </c>
      <c r="I34" s="88">
        <v>56.25</v>
      </c>
      <c r="J34" s="33">
        <v>0</v>
      </c>
      <c r="K34" s="88">
        <v>0</v>
      </c>
      <c r="L34" s="33">
        <v>14</v>
      </c>
      <c r="M34" s="88">
        <v>1.53508771929825</v>
      </c>
      <c r="N34" s="33">
        <v>13</v>
      </c>
      <c r="O34" s="88">
        <v>1.42543859649123</v>
      </c>
      <c r="P34" s="33">
        <v>3</v>
      </c>
      <c r="Q34" s="88">
        <v>0.328947368421053</v>
      </c>
      <c r="R34" s="33">
        <v>7</v>
      </c>
      <c r="S34" s="88">
        <v>0.767543859649123</v>
      </c>
      <c r="T34" s="25" t="str">
        <f t="shared" si="0"/>
        <v>CONGRESS GAIN</v>
      </c>
      <c r="U34" s="91">
        <f>I34-G34</f>
        <v>16.5570175438597</v>
      </c>
      <c r="V34" s="27" t="str">
        <f t="shared" si="2"/>
        <v>LOWMARGIN</v>
      </c>
    </row>
    <row r="35" spans="1:22">
      <c r="A35" s="33">
        <v>33</v>
      </c>
      <c r="B35" s="87" t="s">
        <v>49</v>
      </c>
      <c r="C35" s="33">
        <v>978</v>
      </c>
      <c r="D35" s="33">
        <v>692</v>
      </c>
      <c r="E35" s="88">
        <v>70.7566462167689</v>
      </c>
      <c r="F35" s="33">
        <v>377</v>
      </c>
      <c r="G35" s="88">
        <v>54.4797687861272</v>
      </c>
      <c r="H35" s="33">
        <v>291</v>
      </c>
      <c r="I35" s="88">
        <v>42.0520231213873</v>
      </c>
      <c r="J35" s="33">
        <v>1</v>
      </c>
      <c r="K35" s="88">
        <v>0.144508670520231</v>
      </c>
      <c r="L35" s="33">
        <v>7</v>
      </c>
      <c r="M35" s="88">
        <v>1.01156069364162</v>
      </c>
      <c r="N35" s="33">
        <v>6</v>
      </c>
      <c r="O35" s="88">
        <v>0.867052023121387</v>
      </c>
      <c r="P35" s="33">
        <v>5</v>
      </c>
      <c r="Q35" s="88">
        <v>0.722543352601156</v>
      </c>
      <c r="R35" s="33">
        <v>5</v>
      </c>
      <c r="S35" s="88">
        <v>0.722543352601156</v>
      </c>
      <c r="T35" s="34" t="str">
        <f t="shared" si="0"/>
        <v>BJP GAIN</v>
      </c>
      <c r="U35" s="91">
        <f t="shared" si="1"/>
        <v>12.4277456647399</v>
      </c>
      <c r="V35" s="27" t="str">
        <f t="shared" si="2"/>
        <v>LOWMARGIN</v>
      </c>
    </row>
    <row r="36" spans="1:22">
      <c r="A36" s="33">
        <v>34</v>
      </c>
      <c r="B36" s="87" t="s">
        <v>50</v>
      </c>
      <c r="C36" s="33">
        <v>1178</v>
      </c>
      <c r="D36" s="33">
        <v>959</v>
      </c>
      <c r="E36" s="88">
        <v>81.4091680814941</v>
      </c>
      <c r="F36" s="33">
        <v>558</v>
      </c>
      <c r="G36" s="88">
        <v>58.1856100104275</v>
      </c>
      <c r="H36" s="33">
        <v>369</v>
      </c>
      <c r="I36" s="88">
        <v>38.4775808133472</v>
      </c>
      <c r="J36" s="33">
        <v>3</v>
      </c>
      <c r="K36" s="88">
        <v>0.312825860271116</v>
      </c>
      <c r="L36" s="33">
        <v>9</v>
      </c>
      <c r="M36" s="88">
        <v>0.938477580813347</v>
      </c>
      <c r="N36" s="33">
        <v>4</v>
      </c>
      <c r="O36" s="88">
        <v>0.417101147028154</v>
      </c>
      <c r="P36" s="33">
        <v>4</v>
      </c>
      <c r="Q36" s="88">
        <v>0.417101147028154</v>
      </c>
      <c r="R36" s="33">
        <v>12</v>
      </c>
      <c r="S36" s="88">
        <v>1.25130344108446</v>
      </c>
      <c r="T36" s="34" t="str">
        <f t="shared" si="0"/>
        <v>BJP GAIN</v>
      </c>
      <c r="U36" s="91">
        <f t="shared" si="1"/>
        <v>19.7080291970803</v>
      </c>
      <c r="V36" s="27" t="str">
        <f t="shared" si="2"/>
        <v>LOWMARGIN</v>
      </c>
    </row>
    <row r="37" spans="1:22">
      <c r="A37" s="33">
        <v>35</v>
      </c>
      <c r="B37" s="87" t="s">
        <v>51</v>
      </c>
      <c r="C37" s="33">
        <v>1138</v>
      </c>
      <c r="D37" s="33">
        <v>829</v>
      </c>
      <c r="E37" s="88">
        <v>72.8471001757469</v>
      </c>
      <c r="F37" s="33">
        <v>449</v>
      </c>
      <c r="G37" s="88">
        <v>54.1616405307599</v>
      </c>
      <c r="H37" s="33">
        <v>356</v>
      </c>
      <c r="I37" s="88">
        <v>42.9433051869723</v>
      </c>
      <c r="J37" s="33">
        <v>2</v>
      </c>
      <c r="K37" s="88">
        <v>0.241254523522316</v>
      </c>
      <c r="L37" s="33">
        <v>10</v>
      </c>
      <c r="M37" s="88">
        <v>1.20627261761158</v>
      </c>
      <c r="N37" s="33">
        <v>7</v>
      </c>
      <c r="O37" s="88">
        <v>0.844390832328106</v>
      </c>
      <c r="P37" s="33">
        <v>2</v>
      </c>
      <c r="Q37" s="88">
        <v>0.241254523522316</v>
      </c>
      <c r="R37" s="33">
        <v>3</v>
      </c>
      <c r="S37" s="88">
        <v>0.361881785283474</v>
      </c>
      <c r="T37" s="34" t="str">
        <f t="shared" si="0"/>
        <v>BJP GAIN</v>
      </c>
      <c r="U37" s="91">
        <f t="shared" si="1"/>
        <v>11.2183353437877</v>
      </c>
      <c r="V37" s="27" t="str">
        <f t="shared" si="2"/>
        <v>LOWMARGIN</v>
      </c>
    </row>
    <row r="38" spans="1:22">
      <c r="A38" s="33">
        <v>36</v>
      </c>
      <c r="B38" s="87" t="s">
        <v>52</v>
      </c>
      <c r="C38" s="33">
        <v>1183</v>
      </c>
      <c r="D38" s="33">
        <v>808</v>
      </c>
      <c r="E38" s="88">
        <v>68.3009298393914</v>
      </c>
      <c r="F38" s="33">
        <v>373</v>
      </c>
      <c r="G38" s="88">
        <v>46.1633663366337</v>
      </c>
      <c r="H38" s="33">
        <v>412</v>
      </c>
      <c r="I38" s="88">
        <v>50.990099009901</v>
      </c>
      <c r="J38" s="33">
        <v>1</v>
      </c>
      <c r="K38" s="88">
        <v>0.123762376237624</v>
      </c>
      <c r="L38" s="33">
        <v>2</v>
      </c>
      <c r="M38" s="88">
        <v>0.247524752475248</v>
      </c>
      <c r="N38" s="33">
        <v>10</v>
      </c>
      <c r="O38" s="88">
        <v>1.23762376237624</v>
      </c>
      <c r="P38" s="33">
        <v>4</v>
      </c>
      <c r="Q38" s="88">
        <v>0.495049504950495</v>
      </c>
      <c r="R38" s="33">
        <v>6</v>
      </c>
      <c r="S38" s="88">
        <v>0.742574257425743</v>
      </c>
      <c r="T38" s="25" t="str">
        <f t="shared" si="0"/>
        <v>CONGRESS GAIN</v>
      </c>
      <c r="U38" s="91">
        <f>I38-G38</f>
        <v>4.82673267326732</v>
      </c>
      <c r="V38" s="26" t="str">
        <f t="shared" si="2"/>
        <v>NARROWMARGIN</v>
      </c>
    </row>
    <row r="39" spans="1:22">
      <c r="A39" s="33">
        <v>37</v>
      </c>
      <c r="B39" s="87" t="s">
        <v>53</v>
      </c>
      <c r="C39" s="33">
        <v>1235</v>
      </c>
      <c r="D39" s="33">
        <v>864</v>
      </c>
      <c r="E39" s="88">
        <v>69.9595141700405</v>
      </c>
      <c r="F39" s="33">
        <v>290</v>
      </c>
      <c r="G39" s="88">
        <v>33.5648148148148</v>
      </c>
      <c r="H39" s="33">
        <v>545</v>
      </c>
      <c r="I39" s="88">
        <v>63.0787037037037</v>
      </c>
      <c r="J39" s="33">
        <v>2</v>
      </c>
      <c r="K39" s="88">
        <v>0.231481481481481</v>
      </c>
      <c r="L39" s="33">
        <v>4</v>
      </c>
      <c r="M39" s="88">
        <v>0.462962962962963</v>
      </c>
      <c r="N39" s="33">
        <v>15</v>
      </c>
      <c r="O39" s="88">
        <v>1.73611111111111</v>
      </c>
      <c r="P39" s="33">
        <v>4</v>
      </c>
      <c r="Q39" s="88">
        <v>0.462962962962963</v>
      </c>
      <c r="R39" s="33">
        <v>4</v>
      </c>
      <c r="S39" s="88">
        <v>0.462962962962963</v>
      </c>
      <c r="T39" s="25" t="str">
        <f t="shared" si="0"/>
        <v>CONGRESS GAIN</v>
      </c>
      <c r="U39" s="91">
        <f t="shared" ref="U39:U40" si="3">I39-G39</f>
        <v>29.5138888888889</v>
      </c>
      <c r="V39" s="27" t="str">
        <f t="shared" si="2"/>
        <v>LOWMARGIN</v>
      </c>
    </row>
    <row r="40" spans="1:22">
      <c r="A40" s="33">
        <v>38</v>
      </c>
      <c r="B40" s="87" t="s">
        <v>54</v>
      </c>
      <c r="C40" s="33">
        <v>1022</v>
      </c>
      <c r="D40" s="33">
        <v>685</v>
      </c>
      <c r="E40" s="88">
        <v>67.0254403131115</v>
      </c>
      <c r="F40" s="33">
        <v>305</v>
      </c>
      <c r="G40" s="88">
        <v>44.5255474452555</v>
      </c>
      <c r="H40" s="33">
        <v>357</v>
      </c>
      <c r="I40" s="88">
        <v>52.1167883211679</v>
      </c>
      <c r="J40" s="33">
        <v>1</v>
      </c>
      <c r="K40" s="88">
        <v>0.145985401459854</v>
      </c>
      <c r="L40" s="33">
        <v>2</v>
      </c>
      <c r="M40" s="88">
        <v>0.291970802919708</v>
      </c>
      <c r="N40" s="33">
        <v>13</v>
      </c>
      <c r="O40" s="88">
        <v>1.8978102189781</v>
      </c>
      <c r="P40" s="33">
        <v>6</v>
      </c>
      <c r="Q40" s="88">
        <v>0.875912408759124</v>
      </c>
      <c r="R40" s="33">
        <v>1</v>
      </c>
      <c r="S40" s="88">
        <v>0.145985401459854</v>
      </c>
      <c r="T40" s="25" t="str">
        <f t="shared" si="0"/>
        <v>CONGRESS GAIN</v>
      </c>
      <c r="U40" s="91">
        <f t="shared" si="3"/>
        <v>7.5912408759124</v>
      </c>
      <c r="V40" s="26" t="str">
        <f t="shared" si="2"/>
        <v>NARROWMARGIN</v>
      </c>
    </row>
    <row r="41" spans="1:22">
      <c r="A41" s="33">
        <v>39</v>
      </c>
      <c r="B41" s="87" t="s">
        <v>55</v>
      </c>
      <c r="C41" s="33">
        <v>1004</v>
      </c>
      <c r="D41" s="33">
        <v>665</v>
      </c>
      <c r="E41" s="88">
        <v>66.2350597609562</v>
      </c>
      <c r="F41" s="33">
        <v>405</v>
      </c>
      <c r="G41" s="88">
        <v>60.9022556390977</v>
      </c>
      <c r="H41" s="33">
        <v>233</v>
      </c>
      <c r="I41" s="88">
        <v>35.0375939849624</v>
      </c>
      <c r="J41" s="33">
        <v>0</v>
      </c>
      <c r="K41" s="88">
        <v>0</v>
      </c>
      <c r="L41" s="33">
        <v>6</v>
      </c>
      <c r="M41" s="88">
        <v>0.902255639097744</v>
      </c>
      <c r="N41" s="33">
        <v>12</v>
      </c>
      <c r="O41" s="88">
        <v>1.80451127819549</v>
      </c>
      <c r="P41" s="33">
        <v>3</v>
      </c>
      <c r="Q41" s="88">
        <v>0.451127819548872</v>
      </c>
      <c r="R41" s="33">
        <v>6</v>
      </c>
      <c r="S41" s="88">
        <v>0.902255639097744</v>
      </c>
      <c r="T41" s="34" t="str">
        <f t="shared" si="0"/>
        <v>BJP GAIN</v>
      </c>
      <c r="U41" s="91">
        <f t="shared" si="1"/>
        <v>25.8646616541353</v>
      </c>
      <c r="V41" s="27" t="str">
        <f t="shared" si="2"/>
        <v>LOWMARGIN</v>
      </c>
    </row>
    <row r="42" spans="1:22">
      <c r="A42" s="33">
        <v>40</v>
      </c>
      <c r="B42" s="87" t="s">
        <v>56</v>
      </c>
      <c r="C42" s="33">
        <v>1018</v>
      </c>
      <c r="D42" s="33">
        <v>766</v>
      </c>
      <c r="E42" s="88">
        <v>75.24557956778</v>
      </c>
      <c r="F42" s="33">
        <v>509</v>
      </c>
      <c r="G42" s="88">
        <v>66.4490861618799</v>
      </c>
      <c r="H42" s="33">
        <v>229</v>
      </c>
      <c r="I42" s="88">
        <v>29.8955613577023</v>
      </c>
      <c r="J42" s="33">
        <v>3</v>
      </c>
      <c r="K42" s="88">
        <v>0.391644908616188</v>
      </c>
      <c r="L42" s="33">
        <v>8</v>
      </c>
      <c r="M42" s="88">
        <v>1.0443864229765</v>
      </c>
      <c r="N42" s="33">
        <v>0</v>
      </c>
      <c r="O42" s="88">
        <v>0</v>
      </c>
      <c r="P42" s="33">
        <v>4</v>
      </c>
      <c r="Q42" s="88">
        <v>0.522193211488251</v>
      </c>
      <c r="R42" s="33">
        <v>13</v>
      </c>
      <c r="S42" s="88">
        <v>1.69712793733681</v>
      </c>
      <c r="T42" s="34" t="str">
        <f t="shared" si="0"/>
        <v>BJP GAIN</v>
      </c>
      <c r="U42" s="91">
        <f t="shared" si="1"/>
        <v>36.5535248041776</v>
      </c>
      <c r="V42" s="35" t="str">
        <f t="shared" si="2"/>
        <v>MEDIUMMARGIN</v>
      </c>
    </row>
    <row r="43" spans="1:22">
      <c r="A43" s="33">
        <v>41</v>
      </c>
      <c r="B43" s="87" t="s">
        <v>57</v>
      </c>
      <c r="C43" s="33">
        <v>680</v>
      </c>
      <c r="D43" s="33">
        <v>546</v>
      </c>
      <c r="E43" s="88">
        <v>80.2941176470588</v>
      </c>
      <c r="F43" s="33">
        <v>312</v>
      </c>
      <c r="G43" s="88">
        <v>57.1428571428571</v>
      </c>
      <c r="H43" s="33">
        <v>216</v>
      </c>
      <c r="I43" s="88">
        <v>39.5604395604396</v>
      </c>
      <c r="J43" s="33">
        <v>1</v>
      </c>
      <c r="K43" s="88">
        <v>0.183150183150183</v>
      </c>
      <c r="L43" s="33">
        <v>5</v>
      </c>
      <c r="M43" s="88">
        <v>0.915750915750916</v>
      </c>
      <c r="N43" s="33">
        <v>3</v>
      </c>
      <c r="O43" s="88">
        <v>0.549450549450549</v>
      </c>
      <c r="P43" s="33">
        <v>0</v>
      </c>
      <c r="Q43" s="88">
        <v>0</v>
      </c>
      <c r="R43" s="33">
        <v>9</v>
      </c>
      <c r="S43" s="88">
        <v>1.64835164835165</v>
      </c>
      <c r="T43" s="34" t="str">
        <f t="shared" si="0"/>
        <v>BJP GAIN</v>
      </c>
      <c r="U43" s="91">
        <f t="shared" si="1"/>
        <v>17.5824175824176</v>
      </c>
      <c r="V43" s="27" t="str">
        <f t="shared" si="2"/>
        <v>LOWMARGIN</v>
      </c>
    </row>
    <row r="44" spans="1:22">
      <c r="A44" s="33">
        <v>42</v>
      </c>
      <c r="B44" s="87" t="s">
        <v>58</v>
      </c>
      <c r="C44" s="33">
        <v>802</v>
      </c>
      <c r="D44" s="33">
        <v>536</v>
      </c>
      <c r="E44" s="88">
        <v>66.8329177057357</v>
      </c>
      <c r="F44" s="33">
        <v>242</v>
      </c>
      <c r="G44" s="88">
        <v>45.1492537313433</v>
      </c>
      <c r="H44" s="33">
        <v>281</v>
      </c>
      <c r="I44" s="88">
        <v>52.4253731343284</v>
      </c>
      <c r="J44" s="33">
        <v>2</v>
      </c>
      <c r="K44" s="88">
        <v>0.373134328358209</v>
      </c>
      <c r="L44" s="33">
        <v>3</v>
      </c>
      <c r="M44" s="88">
        <v>0.559701492537313</v>
      </c>
      <c r="N44" s="33">
        <v>3</v>
      </c>
      <c r="O44" s="88">
        <v>0.559701492537313</v>
      </c>
      <c r="P44" s="33">
        <v>2</v>
      </c>
      <c r="Q44" s="88">
        <v>0.373134328358209</v>
      </c>
      <c r="R44" s="33">
        <v>3</v>
      </c>
      <c r="S44" s="88">
        <v>0.559701492537313</v>
      </c>
      <c r="T44" s="25" t="str">
        <f t="shared" si="0"/>
        <v>CONGRESS GAIN</v>
      </c>
      <c r="U44" s="91">
        <f t="shared" ref="U44:U45" si="4">I44-G44</f>
        <v>7.27611940298507</v>
      </c>
      <c r="V44" s="26" t="str">
        <f t="shared" si="2"/>
        <v>NARROWMARGIN</v>
      </c>
    </row>
    <row r="45" spans="1:22">
      <c r="A45" s="33">
        <v>43</v>
      </c>
      <c r="B45" s="87" t="s">
        <v>59</v>
      </c>
      <c r="C45" s="33">
        <v>697</v>
      </c>
      <c r="D45" s="33">
        <v>457</v>
      </c>
      <c r="E45" s="88">
        <v>65.5667144906743</v>
      </c>
      <c r="F45" s="33">
        <v>106</v>
      </c>
      <c r="G45" s="88">
        <v>23.1947483588621</v>
      </c>
      <c r="H45" s="33">
        <v>338</v>
      </c>
      <c r="I45" s="88">
        <v>73.9606126914661</v>
      </c>
      <c r="J45" s="33">
        <v>0</v>
      </c>
      <c r="K45" s="88">
        <v>0</v>
      </c>
      <c r="L45" s="33">
        <v>1</v>
      </c>
      <c r="M45" s="88">
        <v>0.218818380743982</v>
      </c>
      <c r="N45" s="33">
        <v>6</v>
      </c>
      <c r="O45" s="88">
        <v>1.31291028446389</v>
      </c>
      <c r="P45" s="33">
        <v>3</v>
      </c>
      <c r="Q45" s="88">
        <v>0.656455142231947</v>
      </c>
      <c r="R45" s="33">
        <v>3</v>
      </c>
      <c r="S45" s="88">
        <v>0.656455142231947</v>
      </c>
      <c r="T45" s="25" t="str">
        <f t="shared" si="0"/>
        <v>CONGRESS GAIN</v>
      </c>
      <c r="U45" s="91">
        <f t="shared" si="4"/>
        <v>50.7658643326039</v>
      </c>
      <c r="V45" s="25" t="str">
        <f t="shared" si="2"/>
        <v>VERYHIGHMARGIN</v>
      </c>
    </row>
    <row r="46" spans="1:22">
      <c r="A46" s="33">
        <v>44</v>
      </c>
      <c r="B46" s="87" t="s">
        <v>60</v>
      </c>
      <c r="C46" s="33">
        <v>1212</v>
      </c>
      <c r="D46" s="33">
        <v>909</v>
      </c>
      <c r="E46" s="88">
        <v>75</v>
      </c>
      <c r="F46" s="33">
        <v>480</v>
      </c>
      <c r="G46" s="88">
        <v>52.8052805280528</v>
      </c>
      <c r="H46" s="33">
        <v>404</v>
      </c>
      <c r="I46" s="88">
        <v>44.4444444444444</v>
      </c>
      <c r="J46" s="33">
        <v>1</v>
      </c>
      <c r="K46" s="88">
        <v>0.11001100110011</v>
      </c>
      <c r="L46" s="33">
        <v>3</v>
      </c>
      <c r="M46" s="88">
        <v>0.33003300330033</v>
      </c>
      <c r="N46" s="33">
        <v>6</v>
      </c>
      <c r="O46" s="88">
        <v>0.66006600660066</v>
      </c>
      <c r="P46" s="33">
        <v>9</v>
      </c>
      <c r="Q46" s="88">
        <v>0.99009900990099</v>
      </c>
      <c r="R46" s="33">
        <v>6</v>
      </c>
      <c r="S46" s="88">
        <v>0.66006600660066</v>
      </c>
      <c r="T46" s="34" t="str">
        <f t="shared" si="0"/>
        <v>BJP GAIN</v>
      </c>
      <c r="U46" s="91">
        <f t="shared" si="1"/>
        <v>8.36083608360835</v>
      </c>
      <c r="V46" s="26" t="str">
        <f t="shared" si="2"/>
        <v>NARROWMARGIN</v>
      </c>
    </row>
    <row r="47" spans="1:22">
      <c r="A47" s="33">
        <v>45</v>
      </c>
      <c r="B47" s="87" t="s">
        <v>61</v>
      </c>
      <c r="C47" s="33">
        <v>1112</v>
      </c>
      <c r="D47" s="33">
        <v>826</v>
      </c>
      <c r="E47" s="88">
        <v>74.2805755395683</v>
      </c>
      <c r="F47" s="33">
        <v>447</v>
      </c>
      <c r="G47" s="88">
        <v>54.1162227602906</v>
      </c>
      <c r="H47" s="33">
        <v>355</v>
      </c>
      <c r="I47" s="88">
        <v>42.9782082324455</v>
      </c>
      <c r="J47" s="33">
        <v>0</v>
      </c>
      <c r="K47" s="88">
        <v>0</v>
      </c>
      <c r="L47" s="33">
        <v>3</v>
      </c>
      <c r="M47" s="88">
        <v>0.36319612590799</v>
      </c>
      <c r="N47" s="33">
        <v>11</v>
      </c>
      <c r="O47" s="88">
        <v>1.3317191283293</v>
      </c>
      <c r="P47" s="33">
        <v>7</v>
      </c>
      <c r="Q47" s="88">
        <v>0.847457627118644</v>
      </c>
      <c r="R47" s="33">
        <v>3</v>
      </c>
      <c r="S47" s="88">
        <v>0.36319612590799</v>
      </c>
      <c r="T47" s="34" t="str">
        <f t="shared" si="0"/>
        <v>BJP GAIN</v>
      </c>
      <c r="U47" s="91">
        <f t="shared" si="1"/>
        <v>11.138014527845</v>
      </c>
      <c r="V47" s="27" t="str">
        <f t="shared" si="2"/>
        <v>LOWMARGIN</v>
      </c>
    </row>
    <row r="48" spans="1:22">
      <c r="A48" s="33">
        <v>46</v>
      </c>
      <c r="B48" s="87" t="s">
        <v>62</v>
      </c>
      <c r="C48" s="33">
        <v>984</v>
      </c>
      <c r="D48" s="33">
        <v>761</v>
      </c>
      <c r="E48" s="88">
        <v>77.3373983739837</v>
      </c>
      <c r="F48" s="33">
        <v>391</v>
      </c>
      <c r="G48" s="88">
        <v>51.3797634691196</v>
      </c>
      <c r="H48" s="33">
        <v>341</v>
      </c>
      <c r="I48" s="88">
        <v>44.8094612352168</v>
      </c>
      <c r="J48" s="33">
        <v>3</v>
      </c>
      <c r="K48" s="88">
        <v>0.394218134034166</v>
      </c>
      <c r="L48" s="33">
        <v>9</v>
      </c>
      <c r="M48" s="88">
        <v>1.1826544021025</v>
      </c>
      <c r="N48" s="33">
        <v>2</v>
      </c>
      <c r="O48" s="88">
        <v>0.26281208935611</v>
      </c>
      <c r="P48" s="33">
        <v>5</v>
      </c>
      <c r="Q48" s="88">
        <v>0.657030223390276</v>
      </c>
      <c r="R48" s="33">
        <v>10</v>
      </c>
      <c r="S48" s="88">
        <v>1.31406044678055</v>
      </c>
      <c r="T48" s="34" t="str">
        <f t="shared" si="0"/>
        <v>BJP GAIN</v>
      </c>
      <c r="U48" s="91">
        <f t="shared" si="1"/>
        <v>6.57030223390276</v>
      </c>
      <c r="V48" s="26" t="str">
        <f t="shared" si="2"/>
        <v>NARROWMARGIN</v>
      </c>
    </row>
    <row r="49" spans="1:22">
      <c r="A49" s="33">
        <v>47</v>
      </c>
      <c r="B49" s="87" t="s">
        <v>63</v>
      </c>
      <c r="C49" s="33">
        <v>1261</v>
      </c>
      <c r="D49" s="33">
        <v>881</v>
      </c>
      <c r="E49" s="88">
        <v>69.8651863600317</v>
      </c>
      <c r="F49" s="33">
        <v>565</v>
      </c>
      <c r="G49" s="88">
        <v>64.1316685584563</v>
      </c>
      <c r="H49" s="33">
        <v>295</v>
      </c>
      <c r="I49" s="88">
        <v>33.4846765039728</v>
      </c>
      <c r="J49" s="33">
        <v>1</v>
      </c>
      <c r="K49" s="88">
        <v>0.113507377979569</v>
      </c>
      <c r="L49" s="33">
        <v>4</v>
      </c>
      <c r="M49" s="88">
        <v>0.454029511918275</v>
      </c>
      <c r="N49" s="33">
        <v>6</v>
      </c>
      <c r="O49" s="88">
        <v>0.681044267877412</v>
      </c>
      <c r="P49" s="33">
        <v>3</v>
      </c>
      <c r="Q49" s="88">
        <v>0.340522133938706</v>
      </c>
      <c r="R49" s="33">
        <v>7</v>
      </c>
      <c r="S49" s="88">
        <v>0.794551645856981</v>
      </c>
      <c r="T49" s="34" t="str">
        <f t="shared" si="0"/>
        <v>BJP GAIN</v>
      </c>
      <c r="U49" s="91">
        <f t="shared" si="1"/>
        <v>30.6469920544835</v>
      </c>
      <c r="V49" s="35" t="str">
        <f t="shared" si="2"/>
        <v>MEDIUMMARGIN</v>
      </c>
    </row>
    <row r="50" spans="1:22">
      <c r="A50" s="33">
        <v>48</v>
      </c>
      <c r="B50" s="87" t="s">
        <v>64</v>
      </c>
      <c r="C50" s="33">
        <v>1310</v>
      </c>
      <c r="D50" s="33">
        <v>761</v>
      </c>
      <c r="E50" s="88">
        <v>58.0916030534351</v>
      </c>
      <c r="F50" s="33">
        <v>429</v>
      </c>
      <c r="G50" s="88">
        <v>56.3731931668857</v>
      </c>
      <c r="H50" s="33">
        <v>301</v>
      </c>
      <c r="I50" s="88">
        <v>39.5532194480946</v>
      </c>
      <c r="J50" s="33">
        <v>0</v>
      </c>
      <c r="K50" s="88">
        <v>0</v>
      </c>
      <c r="L50" s="33">
        <v>22</v>
      </c>
      <c r="M50" s="88">
        <v>2.89093298291721</v>
      </c>
      <c r="N50" s="33">
        <v>1</v>
      </c>
      <c r="O50" s="88">
        <v>0.131406044678055</v>
      </c>
      <c r="P50" s="33">
        <v>3</v>
      </c>
      <c r="Q50" s="88">
        <v>0.394218134034166</v>
      </c>
      <c r="R50" s="33">
        <v>5</v>
      </c>
      <c r="S50" s="88">
        <v>0.657030223390276</v>
      </c>
      <c r="T50" s="34" t="str">
        <f t="shared" si="0"/>
        <v>BJP GAIN</v>
      </c>
      <c r="U50" s="91">
        <f t="shared" si="1"/>
        <v>16.8199737187911</v>
      </c>
      <c r="V50" s="27" t="str">
        <f t="shared" si="2"/>
        <v>LOWMARGIN</v>
      </c>
    </row>
    <row r="51" spans="1:22">
      <c r="A51" s="33">
        <v>49</v>
      </c>
      <c r="B51" s="87" t="s">
        <v>65</v>
      </c>
      <c r="C51" s="33">
        <v>1047</v>
      </c>
      <c r="D51" s="33">
        <v>770</v>
      </c>
      <c r="E51" s="88">
        <v>73.5434574976122</v>
      </c>
      <c r="F51" s="33">
        <v>434</v>
      </c>
      <c r="G51" s="88">
        <v>56.3636363636364</v>
      </c>
      <c r="H51" s="33">
        <v>294</v>
      </c>
      <c r="I51" s="88">
        <v>38.1818181818182</v>
      </c>
      <c r="J51" s="33">
        <v>1</v>
      </c>
      <c r="K51" s="88">
        <v>0.12987012987013</v>
      </c>
      <c r="L51" s="33">
        <v>31</v>
      </c>
      <c r="M51" s="88">
        <v>4.02597402597403</v>
      </c>
      <c r="N51" s="33">
        <v>5</v>
      </c>
      <c r="O51" s="88">
        <v>0.649350649350649</v>
      </c>
      <c r="P51" s="33">
        <v>3</v>
      </c>
      <c r="Q51" s="88">
        <v>0.38961038961039</v>
      </c>
      <c r="R51" s="33">
        <v>2</v>
      </c>
      <c r="S51" s="88">
        <v>0.25974025974026</v>
      </c>
      <c r="T51" s="34" t="str">
        <f t="shared" si="0"/>
        <v>BJP GAIN</v>
      </c>
      <c r="U51" s="91">
        <f t="shared" si="1"/>
        <v>18.1818181818182</v>
      </c>
      <c r="V51" s="27" t="str">
        <f t="shared" si="2"/>
        <v>LOWMARGIN</v>
      </c>
    </row>
    <row r="52" spans="1:22">
      <c r="A52" s="33">
        <v>50</v>
      </c>
      <c r="B52" s="87" t="s">
        <v>66</v>
      </c>
      <c r="C52" s="33">
        <v>811</v>
      </c>
      <c r="D52" s="33">
        <v>532</v>
      </c>
      <c r="E52" s="88">
        <v>65.5980271270037</v>
      </c>
      <c r="F52" s="33">
        <v>351</v>
      </c>
      <c r="G52" s="88">
        <v>65.9774436090226</v>
      </c>
      <c r="H52" s="33">
        <v>171</v>
      </c>
      <c r="I52" s="88">
        <v>32.1428571428571</v>
      </c>
      <c r="J52" s="33">
        <v>1</v>
      </c>
      <c r="K52" s="88">
        <v>0.18796992481203</v>
      </c>
      <c r="L52" s="33">
        <v>4</v>
      </c>
      <c r="M52" s="88">
        <v>0.75187969924812</v>
      </c>
      <c r="N52" s="33">
        <v>4</v>
      </c>
      <c r="O52" s="88">
        <v>0.75187969924812</v>
      </c>
      <c r="P52" s="33">
        <v>1</v>
      </c>
      <c r="Q52" s="88">
        <v>0.18796992481203</v>
      </c>
      <c r="R52" s="33">
        <v>0</v>
      </c>
      <c r="S52" s="88">
        <v>0</v>
      </c>
      <c r="T52" s="34" t="str">
        <f t="shared" si="0"/>
        <v>BJP GAIN</v>
      </c>
      <c r="U52" s="91">
        <f t="shared" si="1"/>
        <v>33.8345864661654</v>
      </c>
      <c r="V52" s="35" t="str">
        <f t="shared" si="2"/>
        <v>MEDIUMMARGIN</v>
      </c>
    </row>
    <row r="53" spans="1:22">
      <c r="A53" s="33">
        <v>51</v>
      </c>
      <c r="B53" s="87" t="s">
        <v>67</v>
      </c>
      <c r="C53" s="33">
        <v>841</v>
      </c>
      <c r="D53" s="33">
        <v>637</v>
      </c>
      <c r="E53" s="88">
        <v>75.743162901308</v>
      </c>
      <c r="F53" s="33">
        <v>376</v>
      </c>
      <c r="G53" s="88">
        <v>59.0266875981162</v>
      </c>
      <c r="H53" s="33">
        <v>241</v>
      </c>
      <c r="I53" s="88">
        <v>37.8335949764521</v>
      </c>
      <c r="J53" s="33">
        <v>2</v>
      </c>
      <c r="K53" s="88">
        <v>0.313971742543171</v>
      </c>
      <c r="L53" s="33">
        <v>9</v>
      </c>
      <c r="M53" s="88">
        <v>1.41287284144427</v>
      </c>
      <c r="N53" s="33">
        <v>1</v>
      </c>
      <c r="O53" s="88">
        <v>0.156985871271586</v>
      </c>
      <c r="P53" s="33">
        <v>5</v>
      </c>
      <c r="Q53" s="88">
        <v>0.784929356357928</v>
      </c>
      <c r="R53" s="33">
        <v>3</v>
      </c>
      <c r="S53" s="88">
        <v>0.470957613814757</v>
      </c>
      <c r="T53" s="34" t="str">
        <f t="shared" si="0"/>
        <v>BJP GAIN</v>
      </c>
      <c r="U53" s="91">
        <f t="shared" si="1"/>
        <v>21.1930926216641</v>
      </c>
      <c r="V53" s="27" t="str">
        <f t="shared" si="2"/>
        <v>LOWMARGIN</v>
      </c>
    </row>
    <row r="54" spans="1:22">
      <c r="A54" s="33">
        <v>52</v>
      </c>
      <c r="B54" s="87" t="s">
        <v>68</v>
      </c>
      <c r="C54" s="33">
        <v>1267</v>
      </c>
      <c r="D54" s="33">
        <v>803</v>
      </c>
      <c r="E54" s="88">
        <v>63.3780584056827</v>
      </c>
      <c r="F54" s="33">
        <v>258</v>
      </c>
      <c r="G54" s="88">
        <v>32.1295143212951</v>
      </c>
      <c r="H54" s="33">
        <v>503</v>
      </c>
      <c r="I54" s="88">
        <v>62.640099626401</v>
      </c>
      <c r="J54" s="33">
        <v>1</v>
      </c>
      <c r="K54" s="88">
        <v>0.12453300124533</v>
      </c>
      <c r="L54" s="33">
        <v>12</v>
      </c>
      <c r="M54" s="88">
        <v>1.49439601494396</v>
      </c>
      <c r="N54" s="33">
        <v>28</v>
      </c>
      <c r="O54" s="88">
        <v>3.48692403486924</v>
      </c>
      <c r="P54" s="33">
        <v>0</v>
      </c>
      <c r="Q54" s="88">
        <v>0</v>
      </c>
      <c r="R54" s="33">
        <v>1</v>
      </c>
      <c r="S54" s="88">
        <v>0.12453300124533</v>
      </c>
      <c r="T54" s="25" t="str">
        <f t="shared" si="0"/>
        <v>CONGRESS GAIN</v>
      </c>
      <c r="U54" s="91">
        <f t="shared" ref="U54" si="5">I54-G54</f>
        <v>30.5105853051058</v>
      </c>
      <c r="V54" s="35" t="str">
        <f t="shared" si="2"/>
        <v>MEDIUMMARGIN</v>
      </c>
    </row>
    <row r="55" spans="1:22">
      <c r="A55" s="33">
        <v>53</v>
      </c>
      <c r="B55" s="87" t="s">
        <v>69</v>
      </c>
      <c r="C55" s="33">
        <v>919</v>
      </c>
      <c r="D55" s="33">
        <v>662</v>
      </c>
      <c r="E55" s="88">
        <v>72.0348204570185</v>
      </c>
      <c r="F55" s="33">
        <v>364</v>
      </c>
      <c r="G55" s="88">
        <v>54.9848942598187</v>
      </c>
      <c r="H55" s="33">
        <v>272</v>
      </c>
      <c r="I55" s="88">
        <v>41.0876132930514</v>
      </c>
      <c r="J55" s="33">
        <v>1</v>
      </c>
      <c r="K55" s="88">
        <v>0.151057401812689</v>
      </c>
      <c r="L55" s="33">
        <v>7</v>
      </c>
      <c r="M55" s="88">
        <v>1.05740181268882</v>
      </c>
      <c r="N55" s="33">
        <v>9</v>
      </c>
      <c r="O55" s="88">
        <v>1.3595166163142</v>
      </c>
      <c r="P55" s="33">
        <v>6</v>
      </c>
      <c r="Q55" s="88">
        <v>0.906344410876133</v>
      </c>
      <c r="R55" s="33">
        <v>3</v>
      </c>
      <c r="S55" s="88">
        <v>0.453172205438067</v>
      </c>
      <c r="T55" s="34" t="str">
        <f t="shared" si="0"/>
        <v>BJP GAIN</v>
      </c>
      <c r="U55" s="91">
        <f t="shared" si="1"/>
        <v>13.8972809667674</v>
      </c>
      <c r="V55" s="27" t="str">
        <f t="shared" si="2"/>
        <v>LOWMARGIN</v>
      </c>
    </row>
    <row r="56" spans="1:22">
      <c r="A56" s="33">
        <v>54</v>
      </c>
      <c r="B56" s="87" t="s">
        <v>70</v>
      </c>
      <c r="C56" s="33">
        <v>1014</v>
      </c>
      <c r="D56" s="33">
        <v>719</v>
      </c>
      <c r="E56" s="88">
        <v>70.9072978303747</v>
      </c>
      <c r="F56" s="33">
        <v>525</v>
      </c>
      <c r="G56" s="88">
        <v>73.0180806675939</v>
      </c>
      <c r="H56" s="33">
        <v>173</v>
      </c>
      <c r="I56" s="88">
        <v>24.0611961057024</v>
      </c>
      <c r="J56" s="33">
        <v>0</v>
      </c>
      <c r="K56" s="88">
        <v>0</v>
      </c>
      <c r="L56" s="33">
        <v>2</v>
      </c>
      <c r="M56" s="88">
        <v>0.278164116828929</v>
      </c>
      <c r="N56" s="33">
        <v>9</v>
      </c>
      <c r="O56" s="88">
        <v>1.25173852573018</v>
      </c>
      <c r="P56" s="33">
        <v>7</v>
      </c>
      <c r="Q56" s="88">
        <v>0.973574408901252</v>
      </c>
      <c r="R56" s="33">
        <v>3</v>
      </c>
      <c r="S56" s="88">
        <v>0.417246175243394</v>
      </c>
      <c r="T56" s="34" t="str">
        <f t="shared" si="0"/>
        <v>BJP GAIN</v>
      </c>
      <c r="U56" s="91">
        <f t="shared" si="1"/>
        <v>48.9568845618915</v>
      </c>
      <c r="V56" s="92" t="str">
        <f t="shared" si="2"/>
        <v>HIGHMARGIN</v>
      </c>
    </row>
    <row r="57" spans="1:22">
      <c r="A57" s="33">
        <v>55</v>
      </c>
      <c r="B57" s="87" t="s">
        <v>71</v>
      </c>
      <c r="C57" s="33">
        <v>1071</v>
      </c>
      <c r="D57" s="33">
        <v>777</v>
      </c>
      <c r="E57" s="88">
        <v>72.5490196078431</v>
      </c>
      <c r="F57" s="33">
        <v>486</v>
      </c>
      <c r="G57" s="88">
        <v>62.5482625482625</v>
      </c>
      <c r="H57" s="33">
        <v>264</v>
      </c>
      <c r="I57" s="88">
        <v>33.976833976834</v>
      </c>
      <c r="J57" s="33">
        <v>0</v>
      </c>
      <c r="K57" s="88">
        <v>0</v>
      </c>
      <c r="L57" s="33">
        <v>2</v>
      </c>
      <c r="M57" s="88">
        <v>0.257400257400257</v>
      </c>
      <c r="N57" s="33">
        <v>19</v>
      </c>
      <c r="O57" s="88">
        <v>2.44530244530244</v>
      </c>
      <c r="P57" s="33">
        <v>3</v>
      </c>
      <c r="Q57" s="88">
        <v>0.386100386100386</v>
      </c>
      <c r="R57" s="33">
        <v>3</v>
      </c>
      <c r="S57" s="88">
        <v>0.386100386100386</v>
      </c>
      <c r="T57" s="34" t="str">
        <f t="shared" si="0"/>
        <v>BJP GAIN</v>
      </c>
      <c r="U57" s="91">
        <f t="shared" si="1"/>
        <v>28.5714285714286</v>
      </c>
      <c r="V57" s="27" t="str">
        <f t="shared" si="2"/>
        <v>LOWMARGIN</v>
      </c>
    </row>
    <row r="58" spans="1:22">
      <c r="A58" s="33">
        <v>56</v>
      </c>
      <c r="B58" s="87" t="s">
        <v>72</v>
      </c>
      <c r="C58" s="33">
        <v>1284</v>
      </c>
      <c r="D58" s="33">
        <v>828</v>
      </c>
      <c r="E58" s="88">
        <v>64.4859813084112</v>
      </c>
      <c r="F58" s="33">
        <v>374</v>
      </c>
      <c r="G58" s="88">
        <v>45.1690821256039</v>
      </c>
      <c r="H58" s="33">
        <v>416</v>
      </c>
      <c r="I58" s="88">
        <v>50.2415458937198</v>
      </c>
      <c r="J58" s="33">
        <v>2</v>
      </c>
      <c r="K58" s="88">
        <v>0.241545893719807</v>
      </c>
      <c r="L58" s="33">
        <v>0</v>
      </c>
      <c r="M58" s="88">
        <v>0</v>
      </c>
      <c r="N58" s="33">
        <v>33</v>
      </c>
      <c r="O58" s="88">
        <v>3.98550724637681</v>
      </c>
      <c r="P58" s="33">
        <v>2</v>
      </c>
      <c r="Q58" s="88">
        <v>0.241545893719807</v>
      </c>
      <c r="R58" s="33">
        <v>1</v>
      </c>
      <c r="S58" s="88">
        <v>0.120772946859903</v>
      </c>
      <c r="T58" s="25" t="str">
        <f t="shared" si="0"/>
        <v>CONGRESS GAIN</v>
      </c>
      <c r="U58" s="91">
        <f t="shared" ref="U58" si="6">I58-G58</f>
        <v>5.07246376811595</v>
      </c>
      <c r="V58" s="26" t="str">
        <f t="shared" si="2"/>
        <v>NARROWMARGIN</v>
      </c>
    </row>
    <row r="59" spans="1:22">
      <c r="A59" s="33">
        <v>57</v>
      </c>
      <c r="B59" s="87" t="s">
        <v>73</v>
      </c>
      <c r="C59" s="33">
        <v>619</v>
      </c>
      <c r="D59" s="33">
        <v>469</v>
      </c>
      <c r="E59" s="88">
        <v>75.767366720517</v>
      </c>
      <c r="F59" s="33">
        <v>357</v>
      </c>
      <c r="G59" s="88">
        <v>76.1194029850746</v>
      </c>
      <c r="H59" s="33">
        <v>102</v>
      </c>
      <c r="I59" s="88">
        <v>21.7484008528785</v>
      </c>
      <c r="J59" s="33">
        <v>0</v>
      </c>
      <c r="K59" s="88">
        <v>0</v>
      </c>
      <c r="L59" s="33">
        <v>0</v>
      </c>
      <c r="M59" s="88">
        <v>0</v>
      </c>
      <c r="N59" s="33">
        <v>4</v>
      </c>
      <c r="O59" s="88">
        <v>0.852878464818763</v>
      </c>
      <c r="P59" s="33">
        <v>5</v>
      </c>
      <c r="Q59" s="88">
        <v>1.06609808102345</v>
      </c>
      <c r="R59" s="33">
        <v>1</v>
      </c>
      <c r="S59" s="88">
        <v>0.213219616204691</v>
      </c>
      <c r="T59" s="34" t="str">
        <f t="shared" si="0"/>
        <v>BJP GAIN</v>
      </c>
      <c r="U59" s="91">
        <f t="shared" si="1"/>
        <v>54.3710021321962</v>
      </c>
      <c r="V59" s="25" t="str">
        <f t="shared" si="2"/>
        <v>VERYHIGHMARGIN</v>
      </c>
    </row>
    <row r="60" spans="1:22">
      <c r="A60" s="33">
        <v>58</v>
      </c>
      <c r="B60" s="87" t="s">
        <v>74</v>
      </c>
      <c r="C60" s="33">
        <v>936</v>
      </c>
      <c r="D60" s="33">
        <v>707</v>
      </c>
      <c r="E60" s="88">
        <v>75.534188034188</v>
      </c>
      <c r="F60" s="33">
        <v>520</v>
      </c>
      <c r="G60" s="88">
        <v>73.5502121640735</v>
      </c>
      <c r="H60" s="33">
        <v>160</v>
      </c>
      <c r="I60" s="88">
        <v>22.6308345120226</v>
      </c>
      <c r="J60" s="33">
        <v>1</v>
      </c>
      <c r="K60" s="88">
        <v>0.141442715700141</v>
      </c>
      <c r="L60" s="33">
        <v>1</v>
      </c>
      <c r="M60" s="88">
        <v>0.141442715700141</v>
      </c>
      <c r="N60" s="33">
        <v>18</v>
      </c>
      <c r="O60" s="88">
        <v>2.54596888260255</v>
      </c>
      <c r="P60" s="33">
        <v>6</v>
      </c>
      <c r="Q60" s="88">
        <v>0.848656294200849</v>
      </c>
      <c r="R60" s="33">
        <v>1</v>
      </c>
      <c r="S60" s="88">
        <v>0.141442715700141</v>
      </c>
      <c r="T60" s="34" t="str">
        <f t="shared" si="0"/>
        <v>BJP GAIN</v>
      </c>
      <c r="U60" s="91">
        <f t="shared" si="1"/>
        <v>50.9193776520509</v>
      </c>
      <c r="V60" s="25" t="str">
        <f t="shared" si="2"/>
        <v>VERYHIGHMARGIN</v>
      </c>
    </row>
    <row r="61" spans="1:22">
      <c r="A61" s="33">
        <v>59</v>
      </c>
      <c r="B61" s="87" t="s">
        <v>75</v>
      </c>
      <c r="C61" s="33">
        <v>1200</v>
      </c>
      <c r="D61" s="33">
        <v>772</v>
      </c>
      <c r="E61" s="88">
        <v>64.3333333333333</v>
      </c>
      <c r="F61" s="33">
        <v>461</v>
      </c>
      <c r="G61" s="88">
        <v>59.7150259067358</v>
      </c>
      <c r="H61" s="33">
        <v>294</v>
      </c>
      <c r="I61" s="88">
        <v>38.0829015544041</v>
      </c>
      <c r="J61" s="33">
        <v>3</v>
      </c>
      <c r="K61" s="88">
        <v>0.38860103626943</v>
      </c>
      <c r="L61" s="33">
        <v>2</v>
      </c>
      <c r="M61" s="88">
        <v>0.259067357512953</v>
      </c>
      <c r="N61" s="33">
        <v>11</v>
      </c>
      <c r="O61" s="88">
        <v>1.42487046632124</v>
      </c>
      <c r="P61" s="33">
        <v>0</v>
      </c>
      <c r="Q61" s="88">
        <v>0</v>
      </c>
      <c r="R61" s="33">
        <v>1</v>
      </c>
      <c r="S61" s="88">
        <v>0.129533678756477</v>
      </c>
      <c r="T61" s="34" t="str">
        <f t="shared" si="0"/>
        <v>BJP GAIN</v>
      </c>
      <c r="U61" s="91">
        <f t="shared" si="1"/>
        <v>21.6321243523316</v>
      </c>
      <c r="V61" s="27" t="str">
        <f t="shared" si="2"/>
        <v>LOWMARGIN</v>
      </c>
    </row>
    <row r="62" spans="1:22">
      <c r="A62" s="33">
        <v>60</v>
      </c>
      <c r="B62" s="87" t="s">
        <v>76</v>
      </c>
      <c r="C62" s="33">
        <v>1433</v>
      </c>
      <c r="D62" s="33">
        <v>770</v>
      </c>
      <c r="E62" s="88">
        <v>53.7334263782275</v>
      </c>
      <c r="F62" s="33">
        <v>513</v>
      </c>
      <c r="G62" s="88">
        <v>66.6233766233766</v>
      </c>
      <c r="H62" s="33">
        <v>232</v>
      </c>
      <c r="I62" s="88">
        <v>30.1298701298701</v>
      </c>
      <c r="J62" s="33">
        <v>1</v>
      </c>
      <c r="K62" s="88">
        <v>0.12987012987013</v>
      </c>
      <c r="L62" s="33">
        <v>0</v>
      </c>
      <c r="M62" s="88">
        <v>0</v>
      </c>
      <c r="N62" s="33">
        <v>20</v>
      </c>
      <c r="O62" s="88">
        <v>2.5974025974026</v>
      </c>
      <c r="P62" s="33">
        <v>3</v>
      </c>
      <c r="Q62" s="88">
        <v>0.38961038961039</v>
      </c>
      <c r="R62" s="33">
        <v>1</v>
      </c>
      <c r="S62" s="88">
        <v>0.12987012987013</v>
      </c>
      <c r="T62" s="34" t="str">
        <f t="shared" si="0"/>
        <v>BJP GAIN</v>
      </c>
      <c r="U62" s="91">
        <f t="shared" si="1"/>
        <v>36.4935064935065</v>
      </c>
      <c r="V62" s="35" t="str">
        <f t="shared" si="2"/>
        <v>MEDIUMMARGIN</v>
      </c>
    </row>
    <row r="63" spans="1:22">
      <c r="A63" s="33">
        <v>61</v>
      </c>
      <c r="B63" s="87" t="s">
        <v>77</v>
      </c>
      <c r="C63" s="33">
        <v>981</v>
      </c>
      <c r="D63" s="33">
        <v>675</v>
      </c>
      <c r="E63" s="88">
        <v>68.8073394495413</v>
      </c>
      <c r="F63" s="33">
        <v>546</v>
      </c>
      <c r="G63" s="88">
        <v>80.8888888888889</v>
      </c>
      <c r="H63" s="33">
        <v>103</v>
      </c>
      <c r="I63" s="88">
        <v>15.2592592592593</v>
      </c>
      <c r="J63" s="33">
        <v>0</v>
      </c>
      <c r="K63" s="88">
        <v>0</v>
      </c>
      <c r="L63" s="33">
        <v>0</v>
      </c>
      <c r="M63" s="88">
        <v>0</v>
      </c>
      <c r="N63" s="33">
        <v>19</v>
      </c>
      <c r="O63" s="88">
        <v>2.81481481481481</v>
      </c>
      <c r="P63" s="33">
        <v>5</v>
      </c>
      <c r="Q63" s="88">
        <v>0.740740740740741</v>
      </c>
      <c r="R63" s="33">
        <v>2</v>
      </c>
      <c r="S63" s="88">
        <v>0.296296296296296</v>
      </c>
      <c r="T63" s="34" t="str">
        <f t="shared" si="0"/>
        <v>BJP GAIN</v>
      </c>
      <c r="U63" s="91">
        <f t="shared" si="1"/>
        <v>65.6296296296296</v>
      </c>
      <c r="V63" s="25" t="str">
        <f t="shared" si="2"/>
        <v>VERYHIGHMARGIN</v>
      </c>
    </row>
    <row r="64" spans="1:22">
      <c r="A64" s="33">
        <v>62</v>
      </c>
      <c r="B64" s="87" t="s">
        <v>78</v>
      </c>
      <c r="C64" s="33">
        <v>816</v>
      </c>
      <c r="D64" s="33">
        <v>589</v>
      </c>
      <c r="E64" s="88">
        <v>72.1813725490196</v>
      </c>
      <c r="F64" s="33">
        <v>363</v>
      </c>
      <c r="G64" s="88">
        <v>61.6298811544992</v>
      </c>
      <c r="H64" s="33">
        <v>213</v>
      </c>
      <c r="I64" s="88">
        <v>36.1629881154499</v>
      </c>
      <c r="J64" s="33">
        <v>1</v>
      </c>
      <c r="K64" s="88">
        <v>0.169779286926995</v>
      </c>
      <c r="L64" s="33">
        <v>0</v>
      </c>
      <c r="M64" s="88">
        <v>0</v>
      </c>
      <c r="N64" s="33">
        <v>8</v>
      </c>
      <c r="O64" s="88">
        <v>1.35823429541596</v>
      </c>
      <c r="P64" s="33">
        <v>3</v>
      </c>
      <c r="Q64" s="88">
        <v>0.509337860780985</v>
      </c>
      <c r="R64" s="33">
        <v>1</v>
      </c>
      <c r="S64" s="88">
        <v>0.169779286926995</v>
      </c>
      <c r="T64" s="34" t="str">
        <f t="shared" si="0"/>
        <v>BJP GAIN</v>
      </c>
      <c r="U64" s="91">
        <f t="shared" si="1"/>
        <v>25.4668930390492</v>
      </c>
      <c r="V64" s="27" t="str">
        <f t="shared" si="2"/>
        <v>LOWMARGIN</v>
      </c>
    </row>
    <row r="65" spans="1:22">
      <c r="A65" s="33">
        <v>63</v>
      </c>
      <c r="B65" s="87" t="s">
        <v>79</v>
      </c>
      <c r="C65" s="33">
        <v>1398</v>
      </c>
      <c r="D65" s="33">
        <v>969</v>
      </c>
      <c r="E65" s="88">
        <v>69.3133047210301</v>
      </c>
      <c r="F65" s="33">
        <v>713</v>
      </c>
      <c r="G65" s="88">
        <v>73.5810113519092</v>
      </c>
      <c r="H65" s="33">
        <v>227</v>
      </c>
      <c r="I65" s="88">
        <v>23.4262125902993</v>
      </c>
      <c r="J65" s="33">
        <v>2</v>
      </c>
      <c r="K65" s="88">
        <v>0.206398348813209</v>
      </c>
      <c r="L65" s="33">
        <v>3</v>
      </c>
      <c r="M65" s="88">
        <v>0.309597523219814</v>
      </c>
      <c r="N65" s="33">
        <v>16</v>
      </c>
      <c r="O65" s="88">
        <v>1.65118679050568</v>
      </c>
      <c r="P65" s="33">
        <v>7</v>
      </c>
      <c r="Q65" s="88">
        <v>0.722394220846233</v>
      </c>
      <c r="R65" s="33">
        <v>1</v>
      </c>
      <c r="S65" s="88">
        <v>0.103199174406605</v>
      </c>
      <c r="T65" s="34" t="str">
        <f t="shared" si="0"/>
        <v>BJP GAIN</v>
      </c>
      <c r="U65" s="91">
        <f t="shared" si="1"/>
        <v>50.1547987616099</v>
      </c>
      <c r="V65" s="25" t="str">
        <f t="shared" si="2"/>
        <v>VERYHIGHMARGIN</v>
      </c>
    </row>
    <row r="66" spans="1:22">
      <c r="A66" s="33">
        <v>64</v>
      </c>
      <c r="B66" s="87" t="s">
        <v>80</v>
      </c>
      <c r="C66" s="33">
        <v>1210</v>
      </c>
      <c r="D66" s="33">
        <v>880</v>
      </c>
      <c r="E66" s="88">
        <v>72.7272727272727</v>
      </c>
      <c r="F66" s="33">
        <v>747</v>
      </c>
      <c r="G66" s="88">
        <v>84.8863636363636</v>
      </c>
      <c r="H66" s="33">
        <v>117</v>
      </c>
      <c r="I66" s="88">
        <v>13.2954545454545</v>
      </c>
      <c r="J66" s="33">
        <v>2</v>
      </c>
      <c r="K66" s="88">
        <v>0.227272727272727</v>
      </c>
      <c r="L66" s="33">
        <v>1</v>
      </c>
      <c r="M66" s="88">
        <v>0.113636363636364</v>
      </c>
      <c r="N66" s="33">
        <v>8</v>
      </c>
      <c r="O66" s="88">
        <v>0.909090909090909</v>
      </c>
      <c r="P66" s="33">
        <v>4</v>
      </c>
      <c r="Q66" s="88">
        <v>0.454545454545455</v>
      </c>
      <c r="R66" s="33">
        <v>1</v>
      </c>
      <c r="S66" s="88">
        <v>0.113636363636364</v>
      </c>
      <c r="T66" s="34" t="str">
        <f t="shared" si="0"/>
        <v>BJP GAIN</v>
      </c>
      <c r="U66" s="91">
        <f t="shared" si="1"/>
        <v>71.5909090909091</v>
      </c>
      <c r="V66" s="25" t="str">
        <f t="shared" si="2"/>
        <v>VERYHIGHMARGIN</v>
      </c>
    </row>
    <row r="67" spans="1:22">
      <c r="A67" s="33">
        <v>65</v>
      </c>
      <c r="B67" s="87" t="s">
        <v>81</v>
      </c>
      <c r="C67" s="33">
        <v>1262</v>
      </c>
      <c r="D67" s="33">
        <v>836</v>
      </c>
      <c r="E67" s="88">
        <v>66.2440570522979</v>
      </c>
      <c r="F67" s="33">
        <v>692</v>
      </c>
      <c r="G67" s="88">
        <v>82.7751196172249</v>
      </c>
      <c r="H67" s="33">
        <v>116</v>
      </c>
      <c r="I67" s="88">
        <v>13.8755980861244</v>
      </c>
      <c r="J67" s="33">
        <v>1</v>
      </c>
      <c r="K67" s="88">
        <v>0.119617224880383</v>
      </c>
      <c r="L67" s="33">
        <v>2</v>
      </c>
      <c r="M67" s="88">
        <v>0.239234449760766</v>
      </c>
      <c r="N67" s="33">
        <v>15</v>
      </c>
      <c r="O67" s="88">
        <v>1.79425837320574</v>
      </c>
      <c r="P67" s="33">
        <v>8</v>
      </c>
      <c r="Q67" s="88">
        <v>0.956937799043062</v>
      </c>
      <c r="R67" s="33">
        <v>2</v>
      </c>
      <c r="S67" s="88">
        <v>0.239234449760766</v>
      </c>
      <c r="T67" s="34" t="str">
        <f t="shared" si="0"/>
        <v>BJP GAIN</v>
      </c>
      <c r="U67" s="91">
        <f t="shared" si="1"/>
        <v>68.8995215311005</v>
      </c>
      <c r="V67" s="25" t="str">
        <f t="shared" si="2"/>
        <v>VERYHIGHMARGIN</v>
      </c>
    </row>
    <row r="68" spans="1:22">
      <c r="A68" s="33">
        <v>66</v>
      </c>
      <c r="B68" s="87" t="s">
        <v>82</v>
      </c>
      <c r="C68" s="33">
        <v>1324</v>
      </c>
      <c r="D68" s="33">
        <v>953</v>
      </c>
      <c r="E68" s="88">
        <v>71.9788519637462</v>
      </c>
      <c r="F68" s="33">
        <v>704</v>
      </c>
      <c r="G68" s="88">
        <v>73.8719832109129</v>
      </c>
      <c r="H68" s="33">
        <v>218</v>
      </c>
      <c r="I68" s="88">
        <v>22.8751311647429</v>
      </c>
      <c r="J68" s="33">
        <v>1</v>
      </c>
      <c r="K68" s="88">
        <v>0.104931794333683</v>
      </c>
      <c r="L68" s="33">
        <v>2</v>
      </c>
      <c r="M68" s="88">
        <v>0.209863588667366</v>
      </c>
      <c r="N68" s="33">
        <v>18</v>
      </c>
      <c r="O68" s="88">
        <v>1.8887722980063</v>
      </c>
      <c r="P68" s="33">
        <v>8</v>
      </c>
      <c r="Q68" s="88">
        <v>0.839454354669465</v>
      </c>
      <c r="R68" s="33">
        <v>2</v>
      </c>
      <c r="S68" s="88">
        <v>0.209863588667366</v>
      </c>
      <c r="T68" s="34" t="str">
        <f t="shared" ref="T68:T131" si="7">IF(G68&gt;I68,"BJP GAIN","CONGRESS GAIN")</f>
        <v>BJP GAIN</v>
      </c>
      <c r="U68" s="91">
        <f t="shared" ref="U68:U130" si="8">G68-I68</f>
        <v>50.99685204617</v>
      </c>
      <c r="V68" s="25" t="str">
        <f t="shared" si="2"/>
        <v>VERYHIGHMARGIN</v>
      </c>
    </row>
    <row r="69" spans="1:22">
      <c r="A69" s="33">
        <v>67</v>
      </c>
      <c r="B69" s="87" t="s">
        <v>83</v>
      </c>
      <c r="C69" s="33">
        <v>1101</v>
      </c>
      <c r="D69" s="33">
        <v>780</v>
      </c>
      <c r="E69" s="88">
        <v>70.8446866485014</v>
      </c>
      <c r="F69" s="33">
        <v>618</v>
      </c>
      <c r="G69" s="88">
        <v>79.2307692307692</v>
      </c>
      <c r="H69" s="33">
        <v>138</v>
      </c>
      <c r="I69" s="88">
        <v>17.6923076923077</v>
      </c>
      <c r="J69" s="33">
        <v>0</v>
      </c>
      <c r="K69" s="88">
        <v>0</v>
      </c>
      <c r="L69" s="33">
        <v>0</v>
      </c>
      <c r="M69" s="88">
        <v>0</v>
      </c>
      <c r="N69" s="33">
        <v>18</v>
      </c>
      <c r="O69" s="88">
        <v>2.30769230769231</v>
      </c>
      <c r="P69" s="33">
        <v>3</v>
      </c>
      <c r="Q69" s="88">
        <v>0.384615384615385</v>
      </c>
      <c r="R69" s="33">
        <v>3</v>
      </c>
      <c r="S69" s="88">
        <v>0.384615384615385</v>
      </c>
      <c r="T69" s="34" t="str">
        <f t="shared" si="7"/>
        <v>BJP GAIN</v>
      </c>
      <c r="U69" s="91">
        <f t="shared" si="8"/>
        <v>61.5384615384615</v>
      </c>
      <c r="V69" s="25" t="str">
        <f t="shared" ref="V69:V132" si="9">IF(U69&gt;=50,"VERYHIGHMARGIN",IF(U69&gt;=40,"HIGHMARGIN",IF(U69&gt;=30,"MEDIUMMARGIN",IF(U69&gt;10,"LOWMARGIN",IF(U69&gt;=1,"NARROWMARGIN")))))</f>
        <v>VERYHIGHMARGIN</v>
      </c>
    </row>
    <row r="70" spans="1:22">
      <c r="A70" s="33">
        <v>68</v>
      </c>
      <c r="B70" s="87" t="s">
        <v>84</v>
      </c>
      <c r="C70" s="33">
        <v>1188</v>
      </c>
      <c r="D70" s="33">
        <v>867</v>
      </c>
      <c r="E70" s="88">
        <v>72.979797979798</v>
      </c>
      <c r="F70" s="33">
        <v>673</v>
      </c>
      <c r="G70" s="88">
        <v>77.6239907727797</v>
      </c>
      <c r="H70" s="33">
        <v>176</v>
      </c>
      <c r="I70" s="88">
        <v>20.2998846597463</v>
      </c>
      <c r="J70" s="33">
        <v>1</v>
      </c>
      <c r="K70" s="88">
        <v>0.115340253748558</v>
      </c>
      <c r="L70" s="33">
        <v>1</v>
      </c>
      <c r="M70" s="88">
        <v>0.115340253748558</v>
      </c>
      <c r="N70" s="33">
        <v>6</v>
      </c>
      <c r="O70" s="88">
        <v>0.69204152249135</v>
      </c>
      <c r="P70" s="33">
        <v>8</v>
      </c>
      <c r="Q70" s="88">
        <v>0.922722029988466</v>
      </c>
      <c r="R70" s="33">
        <v>2</v>
      </c>
      <c r="S70" s="88">
        <v>0.230680507497116</v>
      </c>
      <c r="T70" s="34" t="str">
        <f t="shared" si="7"/>
        <v>BJP GAIN</v>
      </c>
      <c r="U70" s="91">
        <f t="shared" si="8"/>
        <v>57.3241061130335</v>
      </c>
      <c r="V70" s="25" t="str">
        <f t="shared" si="9"/>
        <v>VERYHIGHMARGIN</v>
      </c>
    </row>
    <row r="71" spans="1:22">
      <c r="A71" s="33">
        <v>69</v>
      </c>
      <c r="B71" s="87" t="s">
        <v>85</v>
      </c>
      <c r="C71" s="33">
        <v>883</v>
      </c>
      <c r="D71" s="33">
        <v>672</v>
      </c>
      <c r="E71" s="88">
        <v>76.1041902604756</v>
      </c>
      <c r="F71" s="33">
        <v>459</v>
      </c>
      <c r="G71" s="88">
        <v>68.3035714285714</v>
      </c>
      <c r="H71" s="33">
        <v>191</v>
      </c>
      <c r="I71" s="88">
        <v>28.422619047619</v>
      </c>
      <c r="J71" s="33">
        <v>1</v>
      </c>
      <c r="K71" s="88">
        <v>0.148809523809524</v>
      </c>
      <c r="L71" s="33">
        <v>11</v>
      </c>
      <c r="M71" s="88">
        <v>1.63690476190476</v>
      </c>
      <c r="N71" s="33">
        <v>6</v>
      </c>
      <c r="O71" s="88">
        <v>0.892857142857143</v>
      </c>
      <c r="P71" s="33">
        <v>2</v>
      </c>
      <c r="Q71" s="88">
        <v>0.297619047619048</v>
      </c>
      <c r="R71" s="33">
        <v>2</v>
      </c>
      <c r="S71" s="88">
        <v>0.297619047619048</v>
      </c>
      <c r="T71" s="34" t="str">
        <f t="shared" si="7"/>
        <v>BJP GAIN</v>
      </c>
      <c r="U71" s="91">
        <f t="shared" si="8"/>
        <v>39.8809523809524</v>
      </c>
      <c r="V71" s="35" t="str">
        <f t="shared" si="9"/>
        <v>MEDIUMMARGIN</v>
      </c>
    </row>
    <row r="72" spans="1:22">
      <c r="A72" s="33">
        <v>70</v>
      </c>
      <c r="B72" s="87" t="s">
        <v>86</v>
      </c>
      <c r="C72" s="33">
        <v>1138</v>
      </c>
      <c r="D72" s="33">
        <v>850</v>
      </c>
      <c r="E72" s="88">
        <v>74.6924428822496</v>
      </c>
      <c r="F72" s="33">
        <v>619</v>
      </c>
      <c r="G72" s="88">
        <v>72.8235294117647</v>
      </c>
      <c r="H72" s="33">
        <v>206</v>
      </c>
      <c r="I72" s="88">
        <v>24.2352941176471</v>
      </c>
      <c r="J72" s="33">
        <v>2</v>
      </c>
      <c r="K72" s="88">
        <v>0.235294117647059</v>
      </c>
      <c r="L72" s="33">
        <v>2</v>
      </c>
      <c r="M72" s="88">
        <v>0.235294117647059</v>
      </c>
      <c r="N72" s="33">
        <v>8</v>
      </c>
      <c r="O72" s="88">
        <v>0.941176470588235</v>
      </c>
      <c r="P72" s="33">
        <v>11</v>
      </c>
      <c r="Q72" s="88">
        <v>1.29411764705882</v>
      </c>
      <c r="R72" s="33">
        <v>2</v>
      </c>
      <c r="S72" s="88">
        <v>0.235294117647059</v>
      </c>
      <c r="T72" s="34" t="str">
        <f t="shared" si="7"/>
        <v>BJP GAIN</v>
      </c>
      <c r="U72" s="91">
        <f t="shared" si="8"/>
        <v>48.5882352941177</v>
      </c>
      <c r="V72" s="92" t="str">
        <f t="shared" si="9"/>
        <v>HIGHMARGIN</v>
      </c>
    </row>
    <row r="73" spans="1:22">
      <c r="A73" s="33">
        <v>71</v>
      </c>
      <c r="B73" s="87" t="s">
        <v>87</v>
      </c>
      <c r="C73" s="33">
        <v>1318</v>
      </c>
      <c r="D73" s="33">
        <v>1017</v>
      </c>
      <c r="E73" s="88">
        <v>77.1623672230653</v>
      </c>
      <c r="F73" s="33">
        <v>628</v>
      </c>
      <c r="G73" s="88">
        <v>61.7502458210423</v>
      </c>
      <c r="H73" s="33">
        <v>373</v>
      </c>
      <c r="I73" s="88">
        <v>36.6764995083579</v>
      </c>
      <c r="J73" s="33">
        <v>2</v>
      </c>
      <c r="K73" s="88">
        <v>0.196656833824975</v>
      </c>
      <c r="L73" s="33">
        <v>1</v>
      </c>
      <c r="M73" s="88">
        <v>0.0983284169124877</v>
      </c>
      <c r="N73" s="33">
        <v>6</v>
      </c>
      <c r="O73" s="88">
        <v>0.589970501474926</v>
      </c>
      <c r="P73" s="33">
        <v>1</v>
      </c>
      <c r="Q73" s="88">
        <v>0.0983284169124877</v>
      </c>
      <c r="R73" s="33">
        <v>6</v>
      </c>
      <c r="S73" s="88">
        <v>0.589970501474926</v>
      </c>
      <c r="T73" s="34" t="str">
        <f t="shared" si="7"/>
        <v>BJP GAIN</v>
      </c>
      <c r="U73" s="91">
        <f t="shared" si="8"/>
        <v>25.0737463126844</v>
      </c>
      <c r="V73" s="27" t="str">
        <f t="shared" si="9"/>
        <v>LOWMARGIN</v>
      </c>
    </row>
    <row r="74" spans="1:22">
      <c r="A74" s="33">
        <v>72</v>
      </c>
      <c r="B74" s="87" t="s">
        <v>88</v>
      </c>
      <c r="C74" s="33">
        <v>1334</v>
      </c>
      <c r="D74" s="33">
        <v>1024</v>
      </c>
      <c r="E74" s="88">
        <v>76.7616191904048</v>
      </c>
      <c r="F74" s="33">
        <v>752</v>
      </c>
      <c r="G74" s="88">
        <v>73.4375</v>
      </c>
      <c r="H74" s="33">
        <v>252</v>
      </c>
      <c r="I74" s="88">
        <v>24.609375</v>
      </c>
      <c r="J74" s="33">
        <v>2</v>
      </c>
      <c r="K74" s="88">
        <v>0.1953125</v>
      </c>
      <c r="L74" s="33">
        <v>2</v>
      </c>
      <c r="M74" s="88">
        <v>0.1953125</v>
      </c>
      <c r="N74" s="33">
        <v>10</v>
      </c>
      <c r="O74" s="88">
        <v>0.9765625</v>
      </c>
      <c r="P74" s="33">
        <v>2</v>
      </c>
      <c r="Q74" s="88">
        <v>0.1953125</v>
      </c>
      <c r="R74" s="33">
        <v>4</v>
      </c>
      <c r="S74" s="88">
        <v>0.390625</v>
      </c>
      <c r="T74" s="34" t="str">
        <f t="shared" si="7"/>
        <v>BJP GAIN</v>
      </c>
      <c r="U74" s="91">
        <f t="shared" si="8"/>
        <v>48.828125</v>
      </c>
      <c r="V74" s="92" t="str">
        <f t="shared" si="9"/>
        <v>HIGHMARGIN</v>
      </c>
    </row>
    <row r="75" spans="1:22">
      <c r="A75" s="33">
        <v>73</v>
      </c>
      <c r="B75" s="87" t="s">
        <v>89</v>
      </c>
      <c r="C75" s="33">
        <v>964</v>
      </c>
      <c r="D75" s="33">
        <v>694</v>
      </c>
      <c r="E75" s="88">
        <v>71.9917012448133</v>
      </c>
      <c r="F75" s="33">
        <v>510</v>
      </c>
      <c r="G75" s="88">
        <v>73.4870317002882</v>
      </c>
      <c r="H75" s="33">
        <v>156</v>
      </c>
      <c r="I75" s="88">
        <v>22.478386167147</v>
      </c>
      <c r="J75" s="33">
        <v>1</v>
      </c>
      <c r="K75" s="88">
        <v>0.144092219020173</v>
      </c>
      <c r="L75" s="33">
        <v>2</v>
      </c>
      <c r="M75" s="88">
        <v>0.288184438040346</v>
      </c>
      <c r="N75" s="33">
        <v>18</v>
      </c>
      <c r="O75" s="88">
        <v>2.59365994236311</v>
      </c>
      <c r="P75" s="33">
        <v>7</v>
      </c>
      <c r="Q75" s="88">
        <v>1.00864553314121</v>
      </c>
      <c r="R75" s="33">
        <v>0</v>
      </c>
      <c r="S75" s="88">
        <v>0</v>
      </c>
      <c r="T75" s="34" t="str">
        <f t="shared" si="7"/>
        <v>BJP GAIN</v>
      </c>
      <c r="U75" s="91">
        <f t="shared" si="8"/>
        <v>51.0086455331412</v>
      </c>
      <c r="V75" s="25" t="str">
        <f t="shared" si="9"/>
        <v>VERYHIGHMARGIN</v>
      </c>
    </row>
    <row r="76" spans="1:22">
      <c r="A76" s="33">
        <v>74</v>
      </c>
      <c r="B76" s="87" t="s">
        <v>90</v>
      </c>
      <c r="C76" s="33">
        <v>1251</v>
      </c>
      <c r="D76" s="33">
        <v>908</v>
      </c>
      <c r="E76" s="88">
        <v>72.581934452438</v>
      </c>
      <c r="F76" s="33">
        <v>610</v>
      </c>
      <c r="G76" s="88">
        <v>67.1806167400881</v>
      </c>
      <c r="H76" s="33">
        <v>277</v>
      </c>
      <c r="I76" s="88">
        <v>30.5066079295154</v>
      </c>
      <c r="J76" s="33">
        <v>4</v>
      </c>
      <c r="K76" s="88">
        <v>0.440528634361234</v>
      </c>
      <c r="L76" s="33">
        <v>4</v>
      </c>
      <c r="M76" s="88">
        <v>0.440528634361234</v>
      </c>
      <c r="N76" s="33">
        <v>9</v>
      </c>
      <c r="O76" s="88">
        <v>0.991189427312775</v>
      </c>
      <c r="P76" s="33">
        <v>3</v>
      </c>
      <c r="Q76" s="88">
        <v>0.330396475770925</v>
      </c>
      <c r="R76" s="33">
        <v>1</v>
      </c>
      <c r="S76" s="88">
        <v>0.110132158590308</v>
      </c>
      <c r="T76" s="34" t="str">
        <f t="shared" si="7"/>
        <v>BJP GAIN</v>
      </c>
      <c r="U76" s="91">
        <f t="shared" si="8"/>
        <v>36.6740088105727</v>
      </c>
      <c r="V76" s="35" t="str">
        <f t="shared" si="9"/>
        <v>MEDIUMMARGIN</v>
      </c>
    </row>
    <row r="77" spans="1:22">
      <c r="A77" s="33">
        <v>75</v>
      </c>
      <c r="B77" s="87" t="s">
        <v>91</v>
      </c>
      <c r="C77" s="33">
        <v>1243</v>
      </c>
      <c r="D77" s="33">
        <v>867</v>
      </c>
      <c r="E77" s="88">
        <v>69.750603378922</v>
      </c>
      <c r="F77" s="33">
        <v>554</v>
      </c>
      <c r="G77" s="88">
        <v>63.8985005767013</v>
      </c>
      <c r="H77" s="33">
        <v>292</v>
      </c>
      <c r="I77" s="88">
        <v>33.679354094579</v>
      </c>
      <c r="J77" s="33">
        <v>1</v>
      </c>
      <c r="K77" s="88">
        <v>0.115340253748558</v>
      </c>
      <c r="L77" s="33">
        <v>6</v>
      </c>
      <c r="M77" s="88">
        <v>0.69204152249135</v>
      </c>
      <c r="N77" s="33">
        <v>10</v>
      </c>
      <c r="O77" s="88">
        <v>1.15340253748558</v>
      </c>
      <c r="P77" s="33">
        <v>3</v>
      </c>
      <c r="Q77" s="88">
        <v>0.346020761245675</v>
      </c>
      <c r="R77" s="33">
        <v>1</v>
      </c>
      <c r="S77" s="88">
        <v>0.115340253748558</v>
      </c>
      <c r="T77" s="34" t="str">
        <f t="shared" si="7"/>
        <v>BJP GAIN</v>
      </c>
      <c r="U77" s="91">
        <f t="shared" si="8"/>
        <v>30.2191464821223</v>
      </c>
      <c r="V77" s="35" t="str">
        <f t="shared" si="9"/>
        <v>MEDIUMMARGIN</v>
      </c>
    </row>
    <row r="78" spans="1:22">
      <c r="A78" s="33">
        <v>76</v>
      </c>
      <c r="B78" s="87" t="s">
        <v>92</v>
      </c>
      <c r="C78" s="33">
        <v>454</v>
      </c>
      <c r="D78" s="33">
        <v>308</v>
      </c>
      <c r="E78" s="88">
        <v>67.84140969163</v>
      </c>
      <c r="F78" s="33">
        <v>167</v>
      </c>
      <c r="G78" s="88">
        <v>54.2207792207792</v>
      </c>
      <c r="H78" s="33">
        <v>131</v>
      </c>
      <c r="I78" s="88">
        <v>42.5324675324675</v>
      </c>
      <c r="J78" s="33">
        <v>1</v>
      </c>
      <c r="K78" s="88">
        <v>0.324675324675325</v>
      </c>
      <c r="L78" s="33">
        <v>0</v>
      </c>
      <c r="M78" s="88">
        <v>0</v>
      </c>
      <c r="N78" s="33">
        <v>8</v>
      </c>
      <c r="O78" s="88">
        <v>2.5974025974026</v>
      </c>
      <c r="P78" s="33">
        <v>1</v>
      </c>
      <c r="Q78" s="88">
        <v>0.324675324675325</v>
      </c>
      <c r="R78" s="33">
        <v>0</v>
      </c>
      <c r="S78" s="88">
        <v>0</v>
      </c>
      <c r="T78" s="34" t="str">
        <f t="shared" si="7"/>
        <v>BJP GAIN</v>
      </c>
      <c r="U78" s="91">
        <f t="shared" si="8"/>
        <v>11.6883116883117</v>
      </c>
      <c r="V78" s="27" t="str">
        <f t="shared" si="9"/>
        <v>LOWMARGIN</v>
      </c>
    </row>
    <row r="79" spans="1:22">
      <c r="A79" s="33">
        <v>77</v>
      </c>
      <c r="B79" s="87" t="s">
        <v>93</v>
      </c>
      <c r="C79" s="33">
        <v>869</v>
      </c>
      <c r="D79" s="33">
        <v>621</v>
      </c>
      <c r="E79" s="88">
        <v>71.4614499424626</v>
      </c>
      <c r="F79" s="33">
        <v>349</v>
      </c>
      <c r="G79" s="88">
        <v>56.1996779388084</v>
      </c>
      <c r="H79" s="33">
        <v>249</v>
      </c>
      <c r="I79" s="88">
        <v>40.0966183574879</v>
      </c>
      <c r="J79" s="33">
        <v>1</v>
      </c>
      <c r="K79" s="88">
        <v>0.161030595813205</v>
      </c>
      <c r="L79" s="33">
        <v>2</v>
      </c>
      <c r="M79" s="88">
        <v>0.322061191626409</v>
      </c>
      <c r="N79" s="33">
        <v>18</v>
      </c>
      <c r="O79" s="88">
        <v>2.89855072463768</v>
      </c>
      <c r="P79" s="33">
        <v>1</v>
      </c>
      <c r="Q79" s="88">
        <v>0.161030595813205</v>
      </c>
      <c r="R79" s="33">
        <v>1</v>
      </c>
      <c r="S79" s="88">
        <v>0.161030595813205</v>
      </c>
      <c r="T79" s="34" t="str">
        <f t="shared" si="7"/>
        <v>BJP GAIN</v>
      </c>
      <c r="U79" s="91">
        <f t="shared" si="8"/>
        <v>16.1030595813205</v>
      </c>
      <c r="V79" s="27" t="str">
        <f t="shared" si="9"/>
        <v>LOWMARGIN</v>
      </c>
    </row>
    <row r="80" spans="1:22">
      <c r="A80" s="33">
        <v>78</v>
      </c>
      <c r="B80" s="87" t="s">
        <v>94</v>
      </c>
      <c r="C80" s="33">
        <v>1227</v>
      </c>
      <c r="D80" s="33">
        <v>883</v>
      </c>
      <c r="E80" s="88">
        <v>71.9641401792991</v>
      </c>
      <c r="F80" s="33">
        <v>567</v>
      </c>
      <c r="G80" s="88">
        <v>64.2129105322763</v>
      </c>
      <c r="H80" s="33">
        <v>300</v>
      </c>
      <c r="I80" s="88">
        <v>33.9750849377123</v>
      </c>
      <c r="J80" s="33">
        <v>1</v>
      </c>
      <c r="K80" s="88">
        <v>0.113250283125708</v>
      </c>
      <c r="L80" s="33">
        <v>0</v>
      </c>
      <c r="M80" s="88">
        <v>0</v>
      </c>
      <c r="N80" s="33">
        <v>6</v>
      </c>
      <c r="O80" s="88">
        <v>0.679501698754247</v>
      </c>
      <c r="P80" s="33">
        <v>8</v>
      </c>
      <c r="Q80" s="88">
        <v>0.906002265005663</v>
      </c>
      <c r="R80" s="33">
        <v>1</v>
      </c>
      <c r="S80" s="88">
        <v>0.113250283125708</v>
      </c>
      <c r="T80" s="34" t="str">
        <f t="shared" si="7"/>
        <v>BJP GAIN</v>
      </c>
      <c r="U80" s="91">
        <f t="shared" si="8"/>
        <v>30.237825594564</v>
      </c>
      <c r="V80" s="35" t="str">
        <f t="shared" si="9"/>
        <v>MEDIUMMARGIN</v>
      </c>
    </row>
    <row r="81" spans="1:22">
      <c r="A81" s="33">
        <v>79</v>
      </c>
      <c r="B81" s="87" t="s">
        <v>95</v>
      </c>
      <c r="C81" s="33">
        <v>728</v>
      </c>
      <c r="D81" s="33">
        <v>512</v>
      </c>
      <c r="E81" s="88">
        <v>70.3296703296703</v>
      </c>
      <c r="F81" s="33">
        <v>340</v>
      </c>
      <c r="G81" s="88">
        <v>66.40625</v>
      </c>
      <c r="H81" s="33">
        <v>157</v>
      </c>
      <c r="I81" s="88">
        <v>30.6640625</v>
      </c>
      <c r="J81" s="33">
        <v>3</v>
      </c>
      <c r="K81" s="88">
        <v>0.5859375</v>
      </c>
      <c r="L81" s="33">
        <v>1</v>
      </c>
      <c r="M81" s="88">
        <v>0.1953125</v>
      </c>
      <c r="N81" s="33">
        <v>7</v>
      </c>
      <c r="O81" s="88">
        <v>1.3671875</v>
      </c>
      <c r="P81" s="33">
        <v>2</v>
      </c>
      <c r="Q81" s="88">
        <v>0.390625</v>
      </c>
      <c r="R81" s="33">
        <v>2</v>
      </c>
      <c r="S81" s="88">
        <v>0.390625</v>
      </c>
      <c r="T81" s="34" t="str">
        <f t="shared" si="7"/>
        <v>BJP GAIN</v>
      </c>
      <c r="U81" s="91">
        <f t="shared" si="8"/>
        <v>35.7421875</v>
      </c>
      <c r="V81" s="35" t="str">
        <f t="shared" si="9"/>
        <v>MEDIUMMARGIN</v>
      </c>
    </row>
    <row r="82" spans="1:22">
      <c r="A82" s="33">
        <v>80</v>
      </c>
      <c r="B82" s="87" t="s">
        <v>96</v>
      </c>
      <c r="C82" s="33">
        <v>1156</v>
      </c>
      <c r="D82" s="33">
        <v>817</v>
      </c>
      <c r="E82" s="88">
        <v>70.6747404844291</v>
      </c>
      <c r="F82" s="33">
        <v>491</v>
      </c>
      <c r="G82" s="88">
        <v>60.0979192166463</v>
      </c>
      <c r="H82" s="33">
        <v>301</v>
      </c>
      <c r="I82" s="88">
        <v>36.8421052631579</v>
      </c>
      <c r="J82" s="33">
        <v>1</v>
      </c>
      <c r="K82" s="88">
        <v>0.122399020807834</v>
      </c>
      <c r="L82" s="33">
        <v>6</v>
      </c>
      <c r="M82" s="88">
        <v>0.734394124847001</v>
      </c>
      <c r="N82" s="33">
        <v>16</v>
      </c>
      <c r="O82" s="88">
        <v>1.95838433292534</v>
      </c>
      <c r="P82" s="33">
        <v>2</v>
      </c>
      <c r="Q82" s="88">
        <v>0.244798041615667</v>
      </c>
      <c r="R82" s="33">
        <v>0</v>
      </c>
      <c r="S82" s="88">
        <v>0</v>
      </c>
      <c r="T82" s="34" t="str">
        <f t="shared" si="7"/>
        <v>BJP GAIN</v>
      </c>
      <c r="U82" s="91">
        <f t="shared" si="8"/>
        <v>23.2558139534884</v>
      </c>
      <c r="V82" s="27" t="str">
        <f t="shared" si="9"/>
        <v>LOWMARGIN</v>
      </c>
    </row>
    <row r="83" spans="1:22">
      <c r="A83" s="33">
        <v>81</v>
      </c>
      <c r="B83" s="87" t="s">
        <v>97</v>
      </c>
      <c r="C83" s="33">
        <v>958</v>
      </c>
      <c r="D83" s="33">
        <v>720</v>
      </c>
      <c r="E83" s="88">
        <v>75.1565762004175</v>
      </c>
      <c r="F83" s="33">
        <v>475</v>
      </c>
      <c r="G83" s="88">
        <v>65.9722222222222</v>
      </c>
      <c r="H83" s="33">
        <v>229</v>
      </c>
      <c r="I83" s="88">
        <v>31.8055555555556</v>
      </c>
      <c r="J83" s="33">
        <v>0</v>
      </c>
      <c r="K83" s="88">
        <v>0</v>
      </c>
      <c r="L83" s="33">
        <v>0</v>
      </c>
      <c r="M83" s="88">
        <v>0</v>
      </c>
      <c r="N83" s="33">
        <v>9</v>
      </c>
      <c r="O83" s="88">
        <v>1.25</v>
      </c>
      <c r="P83" s="33">
        <v>7</v>
      </c>
      <c r="Q83" s="88">
        <v>0.972222222222222</v>
      </c>
      <c r="R83" s="33">
        <v>0</v>
      </c>
      <c r="S83" s="88">
        <v>0</v>
      </c>
      <c r="T83" s="34" t="str">
        <f t="shared" si="7"/>
        <v>BJP GAIN</v>
      </c>
      <c r="U83" s="91">
        <f t="shared" si="8"/>
        <v>34.1666666666667</v>
      </c>
      <c r="V83" s="35" t="str">
        <f t="shared" si="9"/>
        <v>MEDIUMMARGIN</v>
      </c>
    </row>
    <row r="84" spans="1:22">
      <c r="A84" s="33">
        <v>82</v>
      </c>
      <c r="B84" s="87" t="s">
        <v>98</v>
      </c>
      <c r="C84" s="33">
        <v>522</v>
      </c>
      <c r="D84" s="33">
        <v>445</v>
      </c>
      <c r="E84" s="88">
        <v>85.2490421455939</v>
      </c>
      <c r="F84" s="33">
        <v>290</v>
      </c>
      <c r="G84" s="88">
        <v>65.1685393258427</v>
      </c>
      <c r="H84" s="33">
        <v>150</v>
      </c>
      <c r="I84" s="88">
        <v>33.7078651685393</v>
      </c>
      <c r="J84" s="33">
        <v>0</v>
      </c>
      <c r="K84" s="88">
        <v>0</v>
      </c>
      <c r="L84" s="33">
        <v>0</v>
      </c>
      <c r="M84" s="88">
        <v>0</v>
      </c>
      <c r="N84" s="33">
        <v>1</v>
      </c>
      <c r="O84" s="88">
        <v>0.224719101123596</v>
      </c>
      <c r="P84" s="33">
        <v>1</v>
      </c>
      <c r="Q84" s="88">
        <v>0.224719101123596</v>
      </c>
      <c r="R84" s="33">
        <v>3</v>
      </c>
      <c r="S84" s="88">
        <v>0.674157303370786</v>
      </c>
      <c r="T84" s="34" t="str">
        <f t="shared" si="7"/>
        <v>BJP GAIN</v>
      </c>
      <c r="U84" s="91">
        <f t="shared" si="8"/>
        <v>31.4606741573034</v>
      </c>
      <c r="V84" s="35" t="str">
        <f t="shared" si="9"/>
        <v>MEDIUMMARGIN</v>
      </c>
    </row>
    <row r="85" spans="1:22">
      <c r="A85" s="33">
        <v>83</v>
      </c>
      <c r="B85" s="87" t="s">
        <v>99</v>
      </c>
      <c r="C85" s="33">
        <v>902</v>
      </c>
      <c r="D85" s="33">
        <v>716</v>
      </c>
      <c r="E85" s="88">
        <v>79.3791574279379</v>
      </c>
      <c r="F85" s="33">
        <v>379</v>
      </c>
      <c r="G85" s="88">
        <v>52.9329608938548</v>
      </c>
      <c r="H85" s="33">
        <v>322</v>
      </c>
      <c r="I85" s="88">
        <v>44.9720670391061</v>
      </c>
      <c r="J85" s="33">
        <v>1</v>
      </c>
      <c r="K85" s="88">
        <v>0.139664804469274</v>
      </c>
      <c r="L85" s="33">
        <v>4</v>
      </c>
      <c r="M85" s="88">
        <v>0.558659217877095</v>
      </c>
      <c r="N85" s="33">
        <v>6</v>
      </c>
      <c r="O85" s="88">
        <v>0.837988826815642</v>
      </c>
      <c r="P85" s="33">
        <v>1</v>
      </c>
      <c r="Q85" s="88">
        <v>0.139664804469274</v>
      </c>
      <c r="R85" s="33">
        <v>3</v>
      </c>
      <c r="S85" s="88">
        <v>0.418994413407821</v>
      </c>
      <c r="T85" s="34" t="str">
        <f t="shared" si="7"/>
        <v>BJP GAIN</v>
      </c>
      <c r="U85" s="91">
        <f t="shared" si="8"/>
        <v>7.96089385474861</v>
      </c>
      <c r="V85" s="26" t="str">
        <f t="shared" si="9"/>
        <v>NARROWMARGIN</v>
      </c>
    </row>
    <row r="86" spans="1:22">
      <c r="A86" s="33">
        <v>84</v>
      </c>
      <c r="B86" s="87" t="s">
        <v>100</v>
      </c>
      <c r="C86" s="33">
        <v>727</v>
      </c>
      <c r="D86" s="33">
        <v>554</v>
      </c>
      <c r="E86" s="88">
        <v>76.2035763411279</v>
      </c>
      <c r="F86" s="33">
        <v>424</v>
      </c>
      <c r="G86" s="88">
        <v>76.5342960288809</v>
      </c>
      <c r="H86" s="33">
        <v>109</v>
      </c>
      <c r="I86" s="88">
        <v>19.6750902527076</v>
      </c>
      <c r="J86" s="33">
        <v>3</v>
      </c>
      <c r="K86" s="88">
        <v>0.541516245487365</v>
      </c>
      <c r="L86" s="33">
        <v>3</v>
      </c>
      <c r="M86" s="88">
        <v>0.541516245487365</v>
      </c>
      <c r="N86" s="33">
        <v>3</v>
      </c>
      <c r="O86" s="88">
        <v>0.541516245487365</v>
      </c>
      <c r="P86" s="33">
        <v>3</v>
      </c>
      <c r="Q86" s="88">
        <v>0.541516245487365</v>
      </c>
      <c r="R86" s="33">
        <v>9</v>
      </c>
      <c r="S86" s="88">
        <v>1.62454873646209</v>
      </c>
      <c r="T86" s="34" t="str">
        <f t="shared" si="7"/>
        <v>BJP GAIN</v>
      </c>
      <c r="U86" s="91">
        <f t="shared" si="8"/>
        <v>56.8592057761733</v>
      </c>
      <c r="V86" s="25" t="str">
        <f t="shared" si="9"/>
        <v>VERYHIGHMARGIN</v>
      </c>
    </row>
    <row r="87" spans="1:22">
      <c r="A87" s="33">
        <v>85</v>
      </c>
      <c r="B87" s="87" t="s">
        <v>101</v>
      </c>
      <c r="C87" s="33">
        <v>1079</v>
      </c>
      <c r="D87" s="33">
        <v>767</v>
      </c>
      <c r="E87" s="88">
        <v>71.0843373493976</v>
      </c>
      <c r="F87" s="33">
        <v>27</v>
      </c>
      <c r="G87" s="88">
        <v>3.52020860495437</v>
      </c>
      <c r="H87" s="33">
        <v>655</v>
      </c>
      <c r="I87" s="88">
        <v>85.3976531942634</v>
      </c>
      <c r="J87" s="33">
        <v>1</v>
      </c>
      <c r="K87" s="88">
        <v>0.130378096479791</v>
      </c>
      <c r="L87" s="33">
        <v>8</v>
      </c>
      <c r="M87" s="88">
        <v>1.04302477183833</v>
      </c>
      <c r="N87" s="33">
        <v>4</v>
      </c>
      <c r="O87" s="88">
        <v>0.521512385919166</v>
      </c>
      <c r="P87" s="33">
        <v>10</v>
      </c>
      <c r="Q87" s="88">
        <v>1.30378096479791</v>
      </c>
      <c r="R87" s="33">
        <v>62</v>
      </c>
      <c r="S87" s="88">
        <v>8.08344198174707</v>
      </c>
      <c r="T87" s="25" t="str">
        <f t="shared" si="7"/>
        <v>CONGRESS GAIN</v>
      </c>
      <c r="U87" s="91">
        <f t="shared" ref="U87:U92" si="10">I87-G87</f>
        <v>81.877444589309</v>
      </c>
      <c r="V87" s="25" t="str">
        <f t="shared" si="9"/>
        <v>VERYHIGHMARGIN</v>
      </c>
    </row>
    <row r="88" spans="1:22">
      <c r="A88" s="33">
        <v>86</v>
      </c>
      <c r="B88" s="87" t="s">
        <v>102</v>
      </c>
      <c r="C88" s="33">
        <v>861</v>
      </c>
      <c r="D88" s="33">
        <v>610</v>
      </c>
      <c r="E88" s="88">
        <v>70.8478513356562</v>
      </c>
      <c r="F88" s="33">
        <v>15</v>
      </c>
      <c r="G88" s="88">
        <v>2.45901639344262</v>
      </c>
      <c r="H88" s="33">
        <v>507</v>
      </c>
      <c r="I88" s="88">
        <v>83.1147540983606</v>
      </c>
      <c r="J88" s="33">
        <v>1</v>
      </c>
      <c r="K88" s="88">
        <v>0.163934426229508</v>
      </c>
      <c r="L88" s="33">
        <v>4</v>
      </c>
      <c r="M88" s="88">
        <v>0.655737704918033</v>
      </c>
      <c r="N88" s="33">
        <v>1</v>
      </c>
      <c r="O88" s="88">
        <v>0.163934426229508</v>
      </c>
      <c r="P88" s="33">
        <v>1</v>
      </c>
      <c r="Q88" s="88">
        <v>0.163934426229508</v>
      </c>
      <c r="R88" s="33">
        <v>81</v>
      </c>
      <c r="S88" s="88">
        <v>13.2786885245902</v>
      </c>
      <c r="T88" s="25" t="str">
        <f t="shared" si="7"/>
        <v>CONGRESS GAIN</v>
      </c>
      <c r="U88" s="91">
        <f t="shared" si="10"/>
        <v>80.655737704918</v>
      </c>
      <c r="V88" s="25" t="str">
        <f t="shared" si="9"/>
        <v>VERYHIGHMARGIN</v>
      </c>
    </row>
    <row r="89" spans="1:22">
      <c r="A89" s="33">
        <v>87</v>
      </c>
      <c r="B89" s="87" t="s">
        <v>103</v>
      </c>
      <c r="C89" s="33">
        <v>618</v>
      </c>
      <c r="D89" s="33">
        <v>457</v>
      </c>
      <c r="E89" s="88">
        <v>73.9482200647249</v>
      </c>
      <c r="F89" s="33">
        <v>7</v>
      </c>
      <c r="G89" s="88">
        <v>1.53172866520788</v>
      </c>
      <c r="H89" s="33">
        <v>393</v>
      </c>
      <c r="I89" s="88">
        <v>85.9956236323851</v>
      </c>
      <c r="J89" s="33">
        <v>0</v>
      </c>
      <c r="K89" s="88">
        <v>0</v>
      </c>
      <c r="L89" s="33">
        <v>7</v>
      </c>
      <c r="M89" s="88">
        <v>1.53172866520788</v>
      </c>
      <c r="N89" s="33">
        <v>1</v>
      </c>
      <c r="O89" s="88">
        <v>0.218818380743982</v>
      </c>
      <c r="P89" s="33">
        <v>5</v>
      </c>
      <c r="Q89" s="88">
        <v>1.09409190371991</v>
      </c>
      <c r="R89" s="33">
        <v>44</v>
      </c>
      <c r="S89" s="88">
        <v>9.62800875273523</v>
      </c>
      <c r="T89" s="25" t="str">
        <f t="shared" si="7"/>
        <v>CONGRESS GAIN</v>
      </c>
      <c r="U89" s="91">
        <f t="shared" si="10"/>
        <v>84.4638949671772</v>
      </c>
      <c r="V89" s="25" t="str">
        <f t="shared" si="9"/>
        <v>VERYHIGHMARGIN</v>
      </c>
    </row>
    <row r="90" spans="1:22">
      <c r="A90" s="33">
        <v>88</v>
      </c>
      <c r="B90" s="87" t="s">
        <v>104</v>
      </c>
      <c r="C90" s="33">
        <v>907</v>
      </c>
      <c r="D90" s="33">
        <v>625</v>
      </c>
      <c r="E90" s="88">
        <v>68.9084895259096</v>
      </c>
      <c r="F90" s="33">
        <v>13</v>
      </c>
      <c r="G90" s="88">
        <v>2.08</v>
      </c>
      <c r="H90" s="33">
        <v>517</v>
      </c>
      <c r="I90" s="88">
        <v>82.72</v>
      </c>
      <c r="J90" s="33">
        <v>1</v>
      </c>
      <c r="K90" s="88">
        <v>0.16</v>
      </c>
      <c r="L90" s="33">
        <v>3</v>
      </c>
      <c r="M90" s="88">
        <v>0.48</v>
      </c>
      <c r="N90" s="33">
        <v>2</v>
      </c>
      <c r="O90" s="88">
        <v>0.32</v>
      </c>
      <c r="P90" s="33">
        <v>1</v>
      </c>
      <c r="Q90" s="88">
        <v>0.16</v>
      </c>
      <c r="R90" s="33">
        <v>88</v>
      </c>
      <c r="S90" s="88">
        <v>14.08</v>
      </c>
      <c r="T90" s="25" t="str">
        <f t="shared" si="7"/>
        <v>CONGRESS GAIN</v>
      </c>
      <c r="U90" s="91">
        <f t="shared" si="10"/>
        <v>80.64</v>
      </c>
      <c r="V90" s="25" t="str">
        <f t="shared" si="9"/>
        <v>VERYHIGHMARGIN</v>
      </c>
    </row>
    <row r="91" spans="1:22">
      <c r="A91" s="33">
        <v>89</v>
      </c>
      <c r="B91" s="87" t="s">
        <v>105</v>
      </c>
      <c r="C91" s="33">
        <v>1025</v>
      </c>
      <c r="D91" s="33">
        <v>750</v>
      </c>
      <c r="E91" s="88">
        <v>73.1707317073171</v>
      </c>
      <c r="F91" s="33">
        <v>10</v>
      </c>
      <c r="G91" s="88">
        <v>1.33333333333333</v>
      </c>
      <c r="H91" s="33">
        <v>635</v>
      </c>
      <c r="I91" s="88">
        <v>84.6666666666667</v>
      </c>
      <c r="J91" s="33">
        <v>0</v>
      </c>
      <c r="K91" s="88">
        <v>0</v>
      </c>
      <c r="L91" s="33">
        <v>11</v>
      </c>
      <c r="M91" s="88">
        <v>1.46666666666667</v>
      </c>
      <c r="N91" s="33">
        <v>1</v>
      </c>
      <c r="O91" s="88">
        <v>0.133333333333333</v>
      </c>
      <c r="P91" s="33">
        <v>11</v>
      </c>
      <c r="Q91" s="88">
        <v>1.46666666666667</v>
      </c>
      <c r="R91" s="33">
        <v>82</v>
      </c>
      <c r="S91" s="88">
        <v>10.9333333333333</v>
      </c>
      <c r="T91" s="25" t="str">
        <f t="shared" si="7"/>
        <v>CONGRESS GAIN</v>
      </c>
      <c r="U91" s="91">
        <f t="shared" si="10"/>
        <v>83.3333333333333</v>
      </c>
      <c r="V91" s="25" t="str">
        <f t="shared" si="9"/>
        <v>VERYHIGHMARGIN</v>
      </c>
    </row>
    <row r="92" spans="1:22">
      <c r="A92" s="33">
        <v>90</v>
      </c>
      <c r="B92" s="87" t="s">
        <v>106</v>
      </c>
      <c r="C92" s="33">
        <v>1012</v>
      </c>
      <c r="D92" s="33">
        <v>711</v>
      </c>
      <c r="E92" s="88">
        <v>70.2569169960474</v>
      </c>
      <c r="F92" s="33">
        <v>18</v>
      </c>
      <c r="G92" s="88">
        <v>2.53164556962025</v>
      </c>
      <c r="H92" s="33">
        <v>616</v>
      </c>
      <c r="I92" s="88">
        <v>86.6385372714487</v>
      </c>
      <c r="J92" s="33">
        <v>0</v>
      </c>
      <c r="K92" s="88">
        <v>0</v>
      </c>
      <c r="L92" s="33">
        <v>4</v>
      </c>
      <c r="M92" s="88">
        <v>0.562587904360056</v>
      </c>
      <c r="N92" s="33">
        <v>1</v>
      </c>
      <c r="O92" s="88">
        <v>0.140646976090014</v>
      </c>
      <c r="P92" s="33">
        <v>6</v>
      </c>
      <c r="Q92" s="88">
        <v>0.843881856540084</v>
      </c>
      <c r="R92" s="33">
        <v>66</v>
      </c>
      <c r="S92" s="88">
        <v>9.28270042194093</v>
      </c>
      <c r="T92" s="25" t="str">
        <f t="shared" si="7"/>
        <v>CONGRESS GAIN</v>
      </c>
      <c r="U92" s="91">
        <f t="shared" si="10"/>
        <v>84.1068917018284</v>
      </c>
      <c r="V92" s="25" t="str">
        <f t="shared" si="9"/>
        <v>VERYHIGHMARGIN</v>
      </c>
    </row>
    <row r="93" spans="1:22">
      <c r="A93" s="33">
        <v>91</v>
      </c>
      <c r="B93" s="87" t="s">
        <v>107</v>
      </c>
      <c r="C93" s="33">
        <v>985</v>
      </c>
      <c r="D93" s="33">
        <v>791</v>
      </c>
      <c r="E93" s="88">
        <v>80.3045685279188</v>
      </c>
      <c r="F93" s="33">
        <v>630</v>
      </c>
      <c r="G93" s="88">
        <v>79.646017699115</v>
      </c>
      <c r="H93" s="33">
        <v>152</v>
      </c>
      <c r="I93" s="88">
        <v>19.2161820480405</v>
      </c>
      <c r="J93" s="33">
        <v>2</v>
      </c>
      <c r="K93" s="88">
        <v>0.252844500632111</v>
      </c>
      <c r="L93" s="33">
        <v>0</v>
      </c>
      <c r="M93" s="88">
        <v>0</v>
      </c>
      <c r="N93" s="33">
        <v>0</v>
      </c>
      <c r="O93" s="88">
        <v>0</v>
      </c>
      <c r="P93" s="33">
        <v>3</v>
      </c>
      <c r="Q93" s="88">
        <v>0.379266750948167</v>
      </c>
      <c r="R93" s="33">
        <v>4</v>
      </c>
      <c r="S93" s="88">
        <v>0.505689001264223</v>
      </c>
      <c r="T93" s="34" t="str">
        <f t="shared" si="7"/>
        <v>BJP GAIN</v>
      </c>
      <c r="U93" s="91">
        <f t="shared" si="8"/>
        <v>60.4298356510746</v>
      </c>
      <c r="V93" s="25" t="str">
        <f t="shared" si="9"/>
        <v>VERYHIGHMARGIN</v>
      </c>
    </row>
    <row r="94" spans="1:22">
      <c r="A94" s="33">
        <v>92</v>
      </c>
      <c r="B94" s="87" t="s">
        <v>108</v>
      </c>
      <c r="C94" s="33">
        <v>482</v>
      </c>
      <c r="D94" s="33">
        <v>387</v>
      </c>
      <c r="E94" s="88">
        <v>80.2904564315353</v>
      </c>
      <c r="F94" s="33">
        <v>215</v>
      </c>
      <c r="G94" s="88">
        <v>55.5555555555556</v>
      </c>
      <c r="H94" s="33">
        <v>158</v>
      </c>
      <c r="I94" s="88">
        <v>40.8268733850129</v>
      </c>
      <c r="J94" s="33">
        <v>2</v>
      </c>
      <c r="K94" s="88">
        <v>0.516795865633075</v>
      </c>
      <c r="L94" s="33">
        <v>0</v>
      </c>
      <c r="M94" s="88">
        <v>0</v>
      </c>
      <c r="N94" s="33">
        <v>2</v>
      </c>
      <c r="O94" s="88">
        <v>0.516795865633075</v>
      </c>
      <c r="P94" s="33">
        <v>3</v>
      </c>
      <c r="Q94" s="88">
        <v>0.775193798449612</v>
      </c>
      <c r="R94" s="33">
        <v>7</v>
      </c>
      <c r="S94" s="88">
        <v>1.80878552971576</v>
      </c>
      <c r="T94" s="34" t="str">
        <f t="shared" si="7"/>
        <v>BJP GAIN</v>
      </c>
      <c r="U94" s="91">
        <f t="shared" si="8"/>
        <v>14.7286821705426</v>
      </c>
      <c r="V94" s="27" t="str">
        <f t="shared" si="9"/>
        <v>LOWMARGIN</v>
      </c>
    </row>
    <row r="95" spans="1:22">
      <c r="A95" s="33">
        <v>93</v>
      </c>
      <c r="B95" s="87" t="s">
        <v>109</v>
      </c>
      <c r="C95" s="33">
        <v>1158</v>
      </c>
      <c r="D95" s="33">
        <v>951</v>
      </c>
      <c r="E95" s="88">
        <v>82.1243523316062</v>
      </c>
      <c r="F95" s="33">
        <v>792</v>
      </c>
      <c r="G95" s="88">
        <v>83.2807570977918</v>
      </c>
      <c r="H95" s="33">
        <v>139</v>
      </c>
      <c r="I95" s="88">
        <v>14.6161934805468</v>
      </c>
      <c r="J95" s="33">
        <v>6</v>
      </c>
      <c r="K95" s="88">
        <v>0.630914826498423</v>
      </c>
      <c r="L95" s="33">
        <v>1</v>
      </c>
      <c r="M95" s="88">
        <v>0.10515247108307</v>
      </c>
      <c r="N95" s="33">
        <v>0</v>
      </c>
      <c r="O95" s="88">
        <v>0</v>
      </c>
      <c r="P95" s="33">
        <v>3</v>
      </c>
      <c r="Q95" s="88">
        <v>0.315457413249211</v>
      </c>
      <c r="R95" s="33">
        <v>10</v>
      </c>
      <c r="S95" s="88">
        <v>1.0515247108307</v>
      </c>
      <c r="T95" s="34" t="str">
        <f t="shared" si="7"/>
        <v>BJP GAIN</v>
      </c>
      <c r="U95" s="91">
        <f t="shared" si="8"/>
        <v>68.664563617245</v>
      </c>
      <c r="V95" s="25" t="str">
        <f t="shared" si="9"/>
        <v>VERYHIGHMARGIN</v>
      </c>
    </row>
    <row r="96" spans="1:22">
      <c r="A96" s="33">
        <v>94</v>
      </c>
      <c r="B96" s="87" t="s">
        <v>110</v>
      </c>
      <c r="C96" s="33">
        <v>875</v>
      </c>
      <c r="D96" s="33">
        <v>616</v>
      </c>
      <c r="E96" s="88">
        <v>70.4</v>
      </c>
      <c r="F96" s="33">
        <v>237</v>
      </c>
      <c r="G96" s="88">
        <v>38.474025974026</v>
      </c>
      <c r="H96" s="33">
        <v>363</v>
      </c>
      <c r="I96" s="88">
        <v>58.9285714285714</v>
      </c>
      <c r="J96" s="33">
        <v>0</v>
      </c>
      <c r="K96" s="88">
        <v>0</v>
      </c>
      <c r="L96" s="33">
        <v>1</v>
      </c>
      <c r="M96" s="88">
        <v>0.162337662337662</v>
      </c>
      <c r="N96" s="33">
        <v>3</v>
      </c>
      <c r="O96" s="88">
        <v>0.487012987012987</v>
      </c>
      <c r="P96" s="33">
        <v>2</v>
      </c>
      <c r="Q96" s="88">
        <v>0.324675324675325</v>
      </c>
      <c r="R96" s="33">
        <v>10</v>
      </c>
      <c r="S96" s="88">
        <v>1.62337662337662</v>
      </c>
      <c r="T96" s="25" t="str">
        <f t="shared" si="7"/>
        <v>CONGRESS GAIN</v>
      </c>
      <c r="U96" s="91">
        <f t="shared" ref="U96:U102" si="11">I96-G96</f>
        <v>20.4545454545455</v>
      </c>
      <c r="V96" s="27" t="str">
        <f t="shared" si="9"/>
        <v>LOWMARGIN</v>
      </c>
    </row>
    <row r="97" spans="1:22">
      <c r="A97" s="33">
        <v>95</v>
      </c>
      <c r="B97" s="87" t="s">
        <v>111</v>
      </c>
      <c r="C97" s="33">
        <v>959</v>
      </c>
      <c r="D97" s="33">
        <v>704</v>
      </c>
      <c r="E97" s="88">
        <v>73.4098018769552</v>
      </c>
      <c r="F97" s="33">
        <v>138</v>
      </c>
      <c r="G97" s="88">
        <v>19.6022727272727</v>
      </c>
      <c r="H97" s="33">
        <v>510</v>
      </c>
      <c r="I97" s="88">
        <v>72.4431818181818</v>
      </c>
      <c r="J97" s="33">
        <v>1</v>
      </c>
      <c r="K97" s="88">
        <v>0.142045454545455</v>
      </c>
      <c r="L97" s="33">
        <v>0</v>
      </c>
      <c r="M97" s="88">
        <v>0</v>
      </c>
      <c r="N97" s="33">
        <v>2</v>
      </c>
      <c r="O97" s="88">
        <v>0.284090909090909</v>
      </c>
      <c r="P97" s="33">
        <v>2</v>
      </c>
      <c r="Q97" s="88">
        <v>0.284090909090909</v>
      </c>
      <c r="R97" s="33">
        <v>51</v>
      </c>
      <c r="S97" s="88">
        <v>7.24431818181818</v>
      </c>
      <c r="T97" s="25" t="str">
        <f t="shared" si="7"/>
        <v>CONGRESS GAIN</v>
      </c>
      <c r="U97" s="91">
        <f t="shared" si="11"/>
        <v>52.8409090909091</v>
      </c>
      <c r="V97" s="25" t="str">
        <f t="shared" si="9"/>
        <v>VERYHIGHMARGIN</v>
      </c>
    </row>
    <row r="98" spans="1:22">
      <c r="A98" s="33">
        <v>96</v>
      </c>
      <c r="B98" s="87" t="s">
        <v>112</v>
      </c>
      <c r="C98" s="33">
        <v>807</v>
      </c>
      <c r="D98" s="33">
        <v>531</v>
      </c>
      <c r="E98" s="88">
        <v>65.7992565055762</v>
      </c>
      <c r="F98" s="33">
        <v>81</v>
      </c>
      <c r="G98" s="88">
        <v>15.2542372881356</v>
      </c>
      <c r="H98" s="33">
        <v>417</v>
      </c>
      <c r="I98" s="88">
        <v>78.5310734463277</v>
      </c>
      <c r="J98" s="33">
        <v>0</v>
      </c>
      <c r="K98" s="88">
        <v>0</v>
      </c>
      <c r="L98" s="33">
        <v>0</v>
      </c>
      <c r="M98" s="88">
        <v>0</v>
      </c>
      <c r="N98" s="33">
        <v>0</v>
      </c>
      <c r="O98" s="88">
        <v>0</v>
      </c>
      <c r="P98" s="33">
        <v>0</v>
      </c>
      <c r="Q98" s="88">
        <v>0</v>
      </c>
      <c r="R98" s="33">
        <v>33</v>
      </c>
      <c r="S98" s="88">
        <v>6.21468926553672</v>
      </c>
      <c r="T98" s="25" t="str">
        <f t="shared" si="7"/>
        <v>CONGRESS GAIN</v>
      </c>
      <c r="U98" s="91">
        <f t="shared" si="11"/>
        <v>63.2768361581921</v>
      </c>
      <c r="V98" s="25" t="str">
        <f t="shared" si="9"/>
        <v>VERYHIGHMARGIN</v>
      </c>
    </row>
    <row r="99" spans="1:22">
      <c r="A99" s="33">
        <v>97</v>
      </c>
      <c r="B99" s="87" t="s">
        <v>113</v>
      </c>
      <c r="C99" s="33">
        <v>900</v>
      </c>
      <c r="D99" s="33">
        <v>651</v>
      </c>
      <c r="E99" s="88">
        <v>72.3333333333333</v>
      </c>
      <c r="F99" s="33">
        <v>224</v>
      </c>
      <c r="G99" s="88">
        <v>34.4086021505376</v>
      </c>
      <c r="H99" s="33">
        <v>381</v>
      </c>
      <c r="I99" s="88">
        <v>58.5253456221198</v>
      </c>
      <c r="J99" s="33">
        <v>1</v>
      </c>
      <c r="K99" s="88">
        <v>0.153609831029186</v>
      </c>
      <c r="L99" s="33">
        <v>1</v>
      </c>
      <c r="M99" s="88">
        <v>0.153609831029186</v>
      </c>
      <c r="N99" s="33">
        <v>5</v>
      </c>
      <c r="O99" s="88">
        <v>0.768049155145929</v>
      </c>
      <c r="P99" s="33">
        <v>3</v>
      </c>
      <c r="Q99" s="88">
        <v>0.460829493087558</v>
      </c>
      <c r="R99" s="33">
        <v>36</v>
      </c>
      <c r="S99" s="88">
        <v>5.52995391705069</v>
      </c>
      <c r="T99" s="25" t="str">
        <f t="shared" si="7"/>
        <v>CONGRESS GAIN</v>
      </c>
      <c r="U99" s="91">
        <f t="shared" si="11"/>
        <v>24.1167434715822</v>
      </c>
      <c r="V99" s="27" t="str">
        <f t="shared" si="9"/>
        <v>LOWMARGIN</v>
      </c>
    </row>
    <row r="100" spans="1:22">
      <c r="A100" s="33">
        <v>98</v>
      </c>
      <c r="B100" s="87" t="s">
        <v>114</v>
      </c>
      <c r="C100" s="33">
        <v>1154</v>
      </c>
      <c r="D100" s="33">
        <v>813</v>
      </c>
      <c r="E100" s="88">
        <v>70.4506065857886</v>
      </c>
      <c r="F100" s="33">
        <v>646</v>
      </c>
      <c r="G100" s="88">
        <v>79.4587945879459</v>
      </c>
      <c r="H100" s="33">
        <v>160</v>
      </c>
      <c r="I100" s="88">
        <v>19.680196801968</v>
      </c>
      <c r="J100" s="33">
        <v>0</v>
      </c>
      <c r="K100" s="88">
        <v>0</v>
      </c>
      <c r="L100" s="33">
        <v>1</v>
      </c>
      <c r="M100" s="88">
        <v>0.1230012300123</v>
      </c>
      <c r="N100" s="33">
        <v>3</v>
      </c>
      <c r="O100" s="88">
        <v>0.3690036900369</v>
      </c>
      <c r="P100" s="33">
        <v>3</v>
      </c>
      <c r="Q100" s="88">
        <v>0.3690036900369</v>
      </c>
      <c r="R100" s="33">
        <v>0</v>
      </c>
      <c r="S100" s="88">
        <v>0</v>
      </c>
      <c r="T100" s="34" t="str">
        <f t="shared" si="7"/>
        <v>BJP GAIN</v>
      </c>
      <c r="U100" s="91">
        <f t="shared" si="8"/>
        <v>59.7785977859779</v>
      </c>
      <c r="V100" s="25" t="str">
        <f t="shared" si="9"/>
        <v>VERYHIGHMARGIN</v>
      </c>
    </row>
    <row r="101" spans="1:22">
      <c r="A101" s="33">
        <v>99</v>
      </c>
      <c r="B101" s="87" t="s">
        <v>115</v>
      </c>
      <c r="C101" s="33">
        <v>1345</v>
      </c>
      <c r="D101" s="33">
        <v>897</v>
      </c>
      <c r="E101" s="88">
        <v>66.6914498141264</v>
      </c>
      <c r="F101" s="33">
        <v>205</v>
      </c>
      <c r="G101" s="88">
        <v>22.8539576365663</v>
      </c>
      <c r="H101" s="33">
        <v>643</v>
      </c>
      <c r="I101" s="88">
        <v>71.6833890746934</v>
      </c>
      <c r="J101" s="33">
        <v>0</v>
      </c>
      <c r="K101" s="88">
        <v>0</v>
      </c>
      <c r="L101" s="33">
        <v>1</v>
      </c>
      <c r="M101" s="88">
        <v>0.111482720178372</v>
      </c>
      <c r="N101" s="33">
        <v>6</v>
      </c>
      <c r="O101" s="88">
        <v>0.668896321070234</v>
      </c>
      <c r="P101" s="33">
        <v>1</v>
      </c>
      <c r="Q101" s="88">
        <v>0.111482720178372</v>
      </c>
      <c r="R101" s="33">
        <v>41</v>
      </c>
      <c r="S101" s="88">
        <v>4.57079152731327</v>
      </c>
      <c r="T101" s="25" t="str">
        <f t="shared" si="7"/>
        <v>CONGRESS GAIN</v>
      </c>
      <c r="U101" s="91">
        <f t="shared" si="11"/>
        <v>48.8294314381271</v>
      </c>
      <c r="V101" s="92" t="str">
        <f t="shared" si="9"/>
        <v>HIGHMARGIN</v>
      </c>
    </row>
    <row r="102" spans="1:22">
      <c r="A102" s="33">
        <v>100</v>
      </c>
      <c r="B102" s="87" t="s">
        <v>116</v>
      </c>
      <c r="C102" s="33">
        <v>665</v>
      </c>
      <c r="D102" s="33">
        <v>445</v>
      </c>
      <c r="E102" s="88">
        <v>66.9172932330827</v>
      </c>
      <c r="F102" s="33">
        <v>140</v>
      </c>
      <c r="G102" s="88">
        <v>31.4606741573034</v>
      </c>
      <c r="H102" s="33">
        <v>270</v>
      </c>
      <c r="I102" s="88">
        <v>60.6741573033708</v>
      </c>
      <c r="J102" s="33">
        <v>0</v>
      </c>
      <c r="K102" s="88">
        <v>0</v>
      </c>
      <c r="L102" s="33">
        <v>1</v>
      </c>
      <c r="M102" s="88">
        <v>0.224719101123596</v>
      </c>
      <c r="N102" s="33">
        <v>4</v>
      </c>
      <c r="O102" s="88">
        <v>0.898876404494382</v>
      </c>
      <c r="P102" s="33">
        <v>0</v>
      </c>
      <c r="Q102" s="88">
        <v>0</v>
      </c>
      <c r="R102" s="33">
        <v>30</v>
      </c>
      <c r="S102" s="88">
        <v>6.74157303370786</v>
      </c>
      <c r="T102" s="25" t="str">
        <f t="shared" si="7"/>
        <v>CONGRESS GAIN</v>
      </c>
      <c r="U102" s="91">
        <f t="shared" si="11"/>
        <v>29.2134831460674</v>
      </c>
      <c r="V102" s="27" t="str">
        <f t="shared" si="9"/>
        <v>LOWMARGIN</v>
      </c>
    </row>
    <row r="103" spans="1:22">
      <c r="A103" s="33">
        <v>101</v>
      </c>
      <c r="B103" s="87" t="s">
        <v>117</v>
      </c>
      <c r="C103" s="33">
        <v>507</v>
      </c>
      <c r="D103" s="33">
        <v>393</v>
      </c>
      <c r="E103" s="88">
        <v>77.5147928994083</v>
      </c>
      <c r="F103" s="33">
        <v>327</v>
      </c>
      <c r="G103" s="88">
        <v>83.206106870229</v>
      </c>
      <c r="H103" s="33">
        <v>64</v>
      </c>
      <c r="I103" s="88">
        <v>16.2849872773537</v>
      </c>
      <c r="J103" s="33">
        <v>0</v>
      </c>
      <c r="K103" s="88">
        <v>0</v>
      </c>
      <c r="L103" s="33">
        <v>0</v>
      </c>
      <c r="M103" s="88">
        <v>0</v>
      </c>
      <c r="N103" s="33">
        <v>0</v>
      </c>
      <c r="O103" s="88">
        <v>0</v>
      </c>
      <c r="P103" s="33">
        <v>1</v>
      </c>
      <c r="Q103" s="88">
        <v>0.254452926208651</v>
      </c>
      <c r="R103" s="33">
        <v>1</v>
      </c>
      <c r="S103" s="88">
        <v>0.254452926208651</v>
      </c>
      <c r="T103" s="34" t="str">
        <f t="shared" si="7"/>
        <v>BJP GAIN</v>
      </c>
      <c r="U103" s="91">
        <f t="shared" si="8"/>
        <v>66.9211195928753</v>
      </c>
      <c r="V103" s="25" t="str">
        <f t="shared" si="9"/>
        <v>VERYHIGHMARGIN</v>
      </c>
    </row>
    <row r="104" spans="1:22">
      <c r="A104" s="33">
        <v>102</v>
      </c>
      <c r="B104" s="87" t="s">
        <v>118</v>
      </c>
      <c r="C104" s="33">
        <v>1009</v>
      </c>
      <c r="D104" s="33">
        <v>745</v>
      </c>
      <c r="E104" s="88">
        <v>73.8354806739346</v>
      </c>
      <c r="F104" s="33">
        <v>649</v>
      </c>
      <c r="G104" s="88">
        <v>87.1140939597315</v>
      </c>
      <c r="H104" s="33">
        <v>83</v>
      </c>
      <c r="I104" s="88">
        <v>11.1409395973154</v>
      </c>
      <c r="J104" s="33">
        <v>0</v>
      </c>
      <c r="K104" s="88">
        <v>0</v>
      </c>
      <c r="L104" s="33">
        <v>0</v>
      </c>
      <c r="M104" s="88">
        <v>0</v>
      </c>
      <c r="N104" s="33">
        <v>11</v>
      </c>
      <c r="O104" s="88">
        <v>1.47651006711409</v>
      </c>
      <c r="P104" s="33">
        <v>2</v>
      </c>
      <c r="Q104" s="88">
        <v>0.268456375838926</v>
      </c>
      <c r="R104" s="33">
        <v>0</v>
      </c>
      <c r="S104" s="88">
        <v>0</v>
      </c>
      <c r="T104" s="34" t="str">
        <f t="shared" si="7"/>
        <v>BJP GAIN</v>
      </c>
      <c r="U104" s="91">
        <f t="shared" si="8"/>
        <v>75.9731543624161</v>
      </c>
      <c r="V104" s="25" t="str">
        <f t="shared" si="9"/>
        <v>VERYHIGHMARGIN</v>
      </c>
    </row>
    <row r="105" spans="1:22">
      <c r="A105" s="33">
        <v>103</v>
      </c>
      <c r="B105" s="87" t="s">
        <v>119</v>
      </c>
      <c r="C105" s="33">
        <v>793</v>
      </c>
      <c r="D105" s="33">
        <v>569</v>
      </c>
      <c r="E105" s="88">
        <v>71.7528373266078</v>
      </c>
      <c r="F105" s="33">
        <v>221</v>
      </c>
      <c r="G105" s="88">
        <v>38.8400702987698</v>
      </c>
      <c r="H105" s="33">
        <v>326</v>
      </c>
      <c r="I105" s="88">
        <v>57.2934973637961</v>
      </c>
      <c r="J105" s="33">
        <v>0</v>
      </c>
      <c r="K105" s="88">
        <v>0</v>
      </c>
      <c r="L105" s="33">
        <v>3</v>
      </c>
      <c r="M105" s="88">
        <v>0.527240773286467</v>
      </c>
      <c r="N105" s="33">
        <v>1</v>
      </c>
      <c r="O105" s="88">
        <v>0.175746924428822</v>
      </c>
      <c r="P105" s="33">
        <v>1</v>
      </c>
      <c r="Q105" s="88">
        <v>0.175746924428822</v>
      </c>
      <c r="R105" s="33">
        <v>17</v>
      </c>
      <c r="S105" s="88">
        <v>2.98769771528998</v>
      </c>
      <c r="T105" s="25" t="str">
        <f t="shared" si="7"/>
        <v>CONGRESS GAIN</v>
      </c>
      <c r="U105" s="91">
        <f t="shared" ref="U105" si="12">I105-G105</f>
        <v>18.4534270650264</v>
      </c>
      <c r="V105" s="27" t="str">
        <f t="shared" si="9"/>
        <v>LOWMARGIN</v>
      </c>
    </row>
    <row r="106" spans="1:22">
      <c r="A106" s="33">
        <v>104</v>
      </c>
      <c r="B106" s="87" t="s">
        <v>120</v>
      </c>
      <c r="C106" s="33">
        <v>715</v>
      </c>
      <c r="D106" s="33">
        <v>492</v>
      </c>
      <c r="E106" s="88">
        <v>68.8111888111888</v>
      </c>
      <c r="F106" s="33">
        <v>267</v>
      </c>
      <c r="G106" s="88">
        <v>54.2682926829268</v>
      </c>
      <c r="H106" s="33">
        <v>205</v>
      </c>
      <c r="I106" s="88">
        <v>41.6666666666667</v>
      </c>
      <c r="J106" s="33">
        <v>1</v>
      </c>
      <c r="K106" s="88">
        <v>0.203252032520325</v>
      </c>
      <c r="L106" s="33">
        <v>3</v>
      </c>
      <c r="M106" s="88">
        <v>0.609756097560976</v>
      </c>
      <c r="N106" s="33">
        <v>7</v>
      </c>
      <c r="O106" s="88">
        <v>1.42276422764228</v>
      </c>
      <c r="P106" s="33">
        <v>2</v>
      </c>
      <c r="Q106" s="88">
        <v>0.40650406504065</v>
      </c>
      <c r="R106" s="33">
        <v>7</v>
      </c>
      <c r="S106" s="88">
        <v>1.42276422764228</v>
      </c>
      <c r="T106" s="34" t="str">
        <f t="shared" si="7"/>
        <v>BJP GAIN</v>
      </c>
      <c r="U106" s="91">
        <f t="shared" si="8"/>
        <v>12.6016260162602</v>
      </c>
      <c r="V106" s="27" t="str">
        <f t="shared" si="9"/>
        <v>LOWMARGIN</v>
      </c>
    </row>
    <row r="107" spans="1:22">
      <c r="A107" s="33">
        <v>105</v>
      </c>
      <c r="B107" s="87" t="s">
        <v>121</v>
      </c>
      <c r="C107" s="33">
        <v>763</v>
      </c>
      <c r="D107" s="33">
        <v>508</v>
      </c>
      <c r="E107" s="88">
        <v>66.5792922673657</v>
      </c>
      <c r="F107" s="33">
        <v>33</v>
      </c>
      <c r="G107" s="88">
        <v>6.49606299212598</v>
      </c>
      <c r="H107" s="33">
        <v>414</v>
      </c>
      <c r="I107" s="88">
        <v>81.496062992126</v>
      </c>
      <c r="J107" s="33">
        <v>1</v>
      </c>
      <c r="K107" s="88">
        <v>0.196850393700787</v>
      </c>
      <c r="L107" s="33">
        <v>1</v>
      </c>
      <c r="M107" s="88">
        <v>0.196850393700787</v>
      </c>
      <c r="N107" s="33">
        <v>3</v>
      </c>
      <c r="O107" s="88">
        <v>0.590551181102362</v>
      </c>
      <c r="P107" s="33">
        <v>3</v>
      </c>
      <c r="Q107" s="88">
        <v>0.590551181102362</v>
      </c>
      <c r="R107" s="33">
        <v>53</v>
      </c>
      <c r="S107" s="88">
        <v>10.4330708661417</v>
      </c>
      <c r="T107" s="25" t="str">
        <f t="shared" si="7"/>
        <v>CONGRESS GAIN</v>
      </c>
      <c r="U107" s="91">
        <f t="shared" ref="U107" si="13">I107-G107</f>
        <v>75</v>
      </c>
      <c r="V107" s="25" t="str">
        <f t="shared" si="9"/>
        <v>VERYHIGHMARGIN</v>
      </c>
    </row>
    <row r="108" spans="1:22">
      <c r="A108" s="33">
        <v>106</v>
      </c>
      <c r="B108" s="87" t="s">
        <v>122</v>
      </c>
      <c r="C108" s="33">
        <v>1175</v>
      </c>
      <c r="D108" s="33">
        <v>815</v>
      </c>
      <c r="E108" s="88">
        <v>69.3617021276596</v>
      </c>
      <c r="F108" s="33">
        <v>391</v>
      </c>
      <c r="G108" s="88">
        <v>47.9754601226994</v>
      </c>
      <c r="H108" s="33">
        <v>381</v>
      </c>
      <c r="I108" s="88">
        <v>46.7484662576687</v>
      </c>
      <c r="J108" s="33">
        <v>2</v>
      </c>
      <c r="K108" s="88">
        <v>0.245398773006135</v>
      </c>
      <c r="L108" s="33">
        <v>0</v>
      </c>
      <c r="M108" s="88">
        <v>0</v>
      </c>
      <c r="N108" s="33">
        <v>2</v>
      </c>
      <c r="O108" s="88">
        <v>0.245398773006135</v>
      </c>
      <c r="P108" s="33">
        <v>6</v>
      </c>
      <c r="Q108" s="88">
        <v>0.736196319018405</v>
      </c>
      <c r="R108" s="33">
        <v>33</v>
      </c>
      <c r="S108" s="88">
        <v>4.04907975460123</v>
      </c>
      <c r="T108" s="34" t="str">
        <f t="shared" si="7"/>
        <v>BJP GAIN</v>
      </c>
      <c r="U108" s="91">
        <f t="shared" si="8"/>
        <v>1.22699386503067</v>
      </c>
      <c r="V108" s="26" t="str">
        <f t="shared" si="9"/>
        <v>NARROWMARGIN</v>
      </c>
    </row>
    <row r="109" spans="1:22">
      <c r="A109" s="33">
        <v>107</v>
      </c>
      <c r="B109" s="87" t="s">
        <v>123</v>
      </c>
      <c r="C109" s="33">
        <v>753</v>
      </c>
      <c r="D109" s="33">
        <v>576</v>
      </c>
      <c r="E109" s="88">
        <v>76.4940239043825</v>
      </c>
      <c r="F109" s="33">
        <v>124</v>
      </c>
      <c r="G109" s="88">
        <v>21.5277777777778</v>
      </c>
      <c r="H109" s="33">
        <v>395</v>
      </c>
      <c r="I109" s="88">
        <v>68.5763888888889</v>
      </c>
      <c r="J109" s="33">
        <v>1</v>
      </c>
      <c r="K109" s="88">
        <v>0.173611111111111</v>
      </c>
      <c r="L109" s="33">
        <v>2</v>
      </c>
      <c r="M109" s="88">
        <v>0.347222222222222</v>
      </c>
      <c r="N109" s="33">
        <v>2</v>
      </c>
      <c r="O109" s="88">
        <v>0.347222222222222</v>
      </c>
      <c r="P109" s="33">
        <v>4</v>
      </c>
      <c r="Q109" s="88">
        <v>0.694444444444444</v>
      </c>
      <c r="R109" s="33">
        <v>48</v>
      </c>
      <c r="S109" s="88">
        <v>8.33333333333333</v>
      </c>
      <c r="T109" s="25" t="str">
        <f t="shared" si="7"/>
        <v>CONGRESS GAIN</v>
      </c>
      <c r="U109" s="91">
        <f t="shared" ref="U109:U110" si="14">I109-G109</f>
        <v>47.0486111111111</v>
      </c>
      <c r="V109" s="92" t="str">
        <f t="shared" si="9"/>
        <v>HIGHMARGIN</v>
      </c>
    </row>
    <row r="110" spans="1:22">
      <c r="A110" s="33">
        <v>108</v>
      </c>
      <c r="B110" s="87" t="s">
        <v>124</v>
      </c>
      <c r="C110" s="33">
        <v>1012</v>
      </c>
      <c r="D110" s="33">
        <v>648</v>
      </c>
      <c r="E110" s="88">
        <v>64.0316205533597</v>
      </c>
      <c r="F110" s="33">
        <v>16</v>
      </c>
      <c r="G110" s="88">
        <v>2.46913580246914</v>
      </c>
      <c r="H110" s="33">
        <v>547</v>
      </c>
      <c r="I110" s="88">
        <v>84.4135802469136</v>
      </c>
      <c r="J110" s="33">
        <v>0</v>
      </c>
      <c r="K110" s="88">
        <v>0</v>
      </c>
      <c r="L110" s="33">
        <v>1</v>
      </c>
      <c r="M110" s="88">
        <v>0.154320987654321</v>
      </c>
      <c r="N110" s="33">
        <v>8</v>
      </c>
      <c r="O110" s="88">
        <v>1.23456790123457</v>
      </c>
      <c r="P110" s="33">
        <v>1</v>
      </c>
      <c r="Q110" s="88">
        <v>0.154320987654321</v>
      </c>
      <c r="R110" s="33">
        <v>75</v>
      </c>
      <c r="S110" s="88">
        <v>11.5740740740741</v>
      </c>
      <c r="T110" s="25" t="str">
        <f t="shared" si="7"/>
        <v>CONGRESS GAIN</v>
      </c>
      <c r="U110" s="91">
        <f t="shared" si="14"/>
        <v>81.9444444444444</v>
      </c>
      <c r="V110" s="25" t="str">
        <f t="shared" si="9"/>
        <v>VERYHIGHMARGIN</v>
      </c>
    </row>
    <row r="111" spans="1:22">
      <c r="A111" s="33">
        <v>109</v>
      </c>
      <c r="B111" s="87" t="s">
        <v>125</v>
      </c>
      <c r="C111" s="33">
        <v>660</v>
      </c>
      <c r="D111" s="33">
        <v>436</v>
      </c>
      <c r="E111" s="88">
        <v>66.0606060606061</v>
      </c>
      <c r="F111" s="33">
        <v>230</v>
      </c>
      <c r="G111" s="88">
        <v>52.7522935779816</v>
      </c>
      <c r="H111" s="33">
        <v>197</v>
      </c>
      <c r="I111" s="88">
        <v>45.1834862385321</v>
      </c>
      <c r="J111" s="33">
        <v>0</v>
      </c>
      <c r="K111" s="88">
        <v>0</v>
      </c>
      <c r="L111" s="33">
        <v>1</v>
      </c>
      <c r="M111" s="88">
        <v>0.229357798165138</v>
      </c>
      <c r="N111" s="33">
        <v>1</v>
      </c>
      <c r="O111" s="88">
        <v>0.229357798165138</v>
      </c>
      <c r="P111" s="33">
        <v>2</v>
      </c>
      <c r="Q111" s="88">
        <v>0.458715596330275</v>
      </c>
      <c r="R111" s="33">
        <v>5</v>
      </c>
      <c r="S111" s="88">
        <v>1.14678899082569</v>
      </c>
      <c r="T111" s="34" t="str">
        <f t="shared" si="7"/>
        <v>BJP GAIN</v>
      </c>
      <c r="U111" s="91">
        <f t="shared" si="8"/>
        <v>7.56880733944953</v>
      </c>
      <c r="V111" s="26" t="str">
        <f t="shared" si="9"/>
        <v>NARROWMARGIN</v>
      </c>
    </row>
    <row r="112" spans="1:22">
      <c r="A112" s="33">
        <v>110</v>
      </c>
      <c r="B112" s="87" t="s">
        <v>126</v>
      </c>
      <c r="C112" s="33">
        <v>966</v>
      </c>
      <c r="D112" s="33">
        <v>664</v>
      </c>
      <c r="E112" s="88">
        <v>68.7370600414079</v>
      </c>
      <c r="F112" s="33">
        <v>511</v>
      </c>
      <c r="G112" s="88">
        <v>76.9578313253012</v>
      </c>
      <c r="H112" s="33">
        <v>140</v>
      </c>
      <c r="I112" s="88">
        <v>21.0843373493976</v>
      </c>
      <c r="J112" s="33">
        <v>0</v>
      </c>
      <c r="K112" s="88">
        <v>0</v>
      </c>
      <c r="L112" s="33">
        <v>3</v>
      </c>
      <c r="M112" s="88">
        <v>0.451807228915663</v>
      </c>
      <c r="N112" s="33">
        <v>4</v>
      </c>
      <c r="O112" s="88">
        <v>0.602409638554217</v>
      </c>
      <c r="P112" s="33">
        <v>2</v>
      </c>
      <c r="Q112" s="88">
        <v>0.301204819277108</v>
      </c>
      <c r="R112" s="33">
        <v>4</v>
      </c>
      <c r="S112" s="88">
        <v>0.602409638554217</v>
      </c>
      <c r="T112" s="34" t="str">
        <f t="shared" si="7"/>
        <v>BJP GAIN</v>
      </c>
      <c r="U112" s="91">
        <f t="shared" si="8"/>
        <v>55.8734939759036</v>
      </c>
      <c r="V112" s="25" t="str">
        <f t="shared" si="9"/>
        <v>VERYHIGHMARGIN</v>
      </c>
    </row>
    <row r="113" spans="1:22">
      <c r="A113" s="33">
        <v>111</v>
      </c>
      <c r="B113" s="87" t="s">
        <v>127</v>
      </c>
      <c r="C113" s="33">
        <v>856</v>
      </c>
      <c r="D113" s="33">
        <v>627</v>
      </c>
      <c r="E113" s="88">
        <v>73.2476635514019</v>
      </c>
      <c r="F113" s="33">
        <v>487</v>
      </c>
      <c r="G113" s="88">
        <v>77.6714513556619</v>
      </c>
      <c r="H113" s="33">
        <v>128</v>
      </c>
      <c r="I113" s="88">
        <v>20.414673046252</v>
      </c>
      <c r="J113" s="33">
        <v>1</v>
      </c>
      <c r="K113" s="88">
        <v>0.159489633173844</v>
      </c>
      <c r="L113" s="33">
        <v>2</v>
      </c>
      <c r="M113" s="88">
        <v>0.318979266347687</v>
      </c>
      <c r="N113" s="33">
        <v>4</v>
      </c>
      <c r="O113" s="88">
        <v>0.637958532695375</v>
      </c>
      <c r="P113" s="33">
        <v>4</v>
      </c>
      <c r="Q113" s="88">
        <v>0.637958532695375</v>
      </c>
      <c r="R113" s="33">
        <v>1</v>
      </c>
      <c r="S113" s="88">
        <v>0.159489633173844</v>
      </c>
      <c r="T113" s="34" t="str">
        <f t="shared" si="7"/>
        <v>BJP GAIN</v>
      </c>
      <c r="U113" s="91">
        <f t="shared" si="8"/>
        <v>57.2567783094099</v>
      </c>
      <c r="V113" s="25" t="str">
        <f t="shared" si="9"/>
        <v>VERYHIGHMARGIN</v>
      </c>
    </row>
    <row r="114" spans="1:22">
      <c r="A114" s="33">
        <v>112</v>
      </c>
      <c r="B114" s="87" t="s">
        <v>128</v>
      </c>
      <c r="C114" s="33">
        <v>1219</v>
      </c>
      <c r="D114" s="33">
        <v>852</v>
      </c>
      <c r="E114" s="88">
        <v>69.8933552091879</v>
      </c>
      <c r="F114" s="33">
        <v>710</v>
      </c>
      <c r="G114" s="88">
        <v>83.3333333333333</v>
      </c>
      <c r="H114" s="33">
        <v>120</v>
      </c>
      <c r="I114" s="88">
        <v>14.0845070422535</v>
      </c>
      <c r="J114" s="33">
        <v>1</v>
      </c>
      <c r="K114" s="88">
        <v>0.117370892018779</v>
      </c>
      <c r="L114" s="33">
        <v>4</v>
      </c>
      <c r="M114" s="88">
        <v>0.469483568075117</v>
      </c>
      <c r="N114" s="33">
        <v>10</v>
      </c>
      <c r="O114" s="88">
        <v>1.17370892018779</v>
      </c>
      <c r="P114" s="33">
        <v>5</v>
      </c>
      <c r="Q114" s="88">
        <v>0.586854460093897</v>
      </c>
      <c r="R114" s="33">
        <v>2</v>
      </c>
      <c r="S114" s="88">
        <v>0.234741784037559</v>
      </c>
      <c r="T114" s="34" t="str">
        <f t="shared" si="7"/>
        <v>BJP GAIN</v>
      </c>
      <c r="U114" s="91">
        <f t="shared" si="8"/>
        <v>69.2488262910798</v>
      </c>
      <c r="V114" s="25" t="str">
        <f t="shared" si="9"/>
        <v>VERYHIGHMARGIN</v>
      </c>
    </row>
    <row r="115" spans="1:22">
      <c r="A115" s="33">
        <v>113</v>
      </c>
      <c r="B115" s="87" t="s">
        <v>129</v>
      </c>
      <c r="C115" s="33">
        <v>838</v>
      </c>
      <c r="D115" s="33">
        <v>656</v>
      </c>
      <c r="E115" s="88">
        <v>78.2816229116945</v>
      </c>
      <c r="F115" s="33">
        <v>555</v>
      </c>
      <c r="G115" s="88">
        <v>84.6036585365854</v>
      </c>
      <c r="H115" s="33">
        <v>90</v>
      </c>
      <c r="I115" s="88">
        <v>13.719512195122</v>
      </c>
      <c r="J115" s="33">
        <v>1</v>
      </c>
      <c r="K115" s="88">
        <v>0.152439024390244</v>
      </c>
      <c r="L115" s="33">
        <v>3</v>
      </c>
      <c r="M115" s="88">
        <v>0.457317073170732</v>
      </c>
      <c r="N115" s="33">
        <v>2</v>
      </c>
      <c r="O115" s="88">
        <v>0.304878048780488</v>
      </c>
      <c r="P115" s="33">
        <v>4</v>
      </c>
      <c r="Q115" s="88">
        <v>0.609756097560976</v>
      </c>
      <c r="R115" s="33">
        <v>1</v>
      </c>
      <c r="S115" s="88">
        <v>0.152439024390244</v>
      </c>
      <c r="T115" s="34" t="str">
        <f t="shared" si="7"/>
        <v>BJP GAIN</v>
      </c>
      <c r="U115" s="91">
        <f t="shared" si="8"/>
        <v>70.8841463414634</v>
      </c>
      <c r="V115" s="25" t="str">
        <f t="shared" si="9"/>
        <v>VERYHIGHMARGIN</v>
      </c>
    </row>
    <row r="116" spans="1:22">
      <c r="A116" s="33">
        <v>114</v>
      </c>
      <c r="B116" s="87" t="s">
        <v>130</v>
      </c>
      <c r="C116" s="33">
        <v>927</v>
      </c>
      <c r="D116" s="33">
        <v>578</v>
      </c>
      <c r="E116" s="88">
        <v>62.3516720604099</v>
      </c>
      <c r="F116" s="33">
        <v>370</v>
      </c>
      <c r="G116" s="88">
        <v>64.0138408304498</v>
      </c>
      <c r="H116" s="33">
        <v>189</v>
      </c>
      <c r="I116" s="88">
        <v>32.6989619377163</v>
      </c>
      <c r="J116" s="33">
        <v>0</v>
      </c>
      <c r="K116" s="88">
        <v>0</v>
      </c>
      <c r="L116" s="33">
        <v>2</v>
      </c>
      <c r="M116" s="88">
        <v>0.346020761245675</v>
      </c>
      <c r="N116" s="33">
        <v>16</v>
      </c>
      <c r="O116" s="88">
        <v>2.7681660899654</v>
      </c>
      <c r="P116" s="33">
        <v>1</v>
      </c>
      <c r="Q116" s="88">
        <v>0.173010380622837</v>
      </c>
      <c r="R116" s="33">
        <v>0</v>
      </c>
      <c r="S116" s="88">
        <v>0</v>
      </c>
      <c r="T116" s="34" t="str">
        <f t="shared" si="7"/>
        <v>BJP GAIN</v>
      </c>
      <c r="U116" s="91">
        <f t="shared" si="8"/>
        <v>31.3148788927336</v>
      </c>
      <c r="V116" s="35" t="str">
        <f t="shared" si="9"/>
        <v>MEDIUMMARGIN</v>
      </c>
    </row>
    <row r="117" spans="1:22">
      <c r="A117" s="33">
        <v>115</v>
      </c>
      <c r="B117" s="87" t="s">
        <v>131</v>
      </c>
      <c r="C117" s="33">
        <v>1046</v>
      </c>
      <c r="D117" s="33">
        <v>617</v>
      </c>
      <c r="E117" s="88">
        <v>58.9866156787763</v>
      </c>
      <c r="F117" s="33">
        <v>232</v>
      </c>
      <c r="G117" s="88">
        <v>37.6012965964344</v>
      </c>
      <c r="H117" s="33">
        <v>338</v>
      </c>
      <c r="I117" s="88">
        <v>54.7811993517018</v>
      </c>
      <c r="J117" s="33">
        <v>2</v>
      </c>
      <c r="K117" s="88">
        <v>0.324149108589951</v>
      </c>
      <c r="L117" s="33">
        <v>3</v>
      </c>
      <c r="M117" s="88">
        <v>0.486223662884927</v>
      </c>
      <c r="N117" s="33">
        <v>34</v>
      </c>
      <c r="O117" s="88">
        <v>5.51053484602917</v>
      </c>
      <c r="P117" s="33">
        <v>2</v>
      </c>
      <c r="Q117" s="88">
        <v>0.324149108589951</v>
      </c>
      <c r="R117" s="33">
        <v>6</v>
      </c>
      <c r="S117" s="88">
        <v>0.972447325769854</v>
      </c>
      <c r="T117" s="25" t="str">
        <f t="shared" si="7"/>
        <v>CONGRESS GAIN</v>
      </c>
      <c r="U117" s="91">
        <f t="shared" ref="U117" si="15">I117-G117</f>
        <v>17.1799027552674</v>
      </c>
      <c r="V117" s="27" t="str">
        <f t="shared" si="9"/>
        <v>LOWMARGIN</v>
      </c>
    </row>
    <row r="118" spans="1:22">
      <c r="A118" s="33">
        <v>116</v>
      </c>
      <c r="B118" s="87" t="s">
        <v>132</v>
      </c>
      <c r="C118" s="33">
        <v>888</v>
      </c>
      <c r="D118" s="33">
        <v>536</v>
      </c>
      <c r="E118" s="88">
        <v>60.3603603603604</v>
      </c>
      <c r="F118" s="33">
        <v>291</v>
      </c>
      <c r="G118" s="88">
        <v>54.2910447761194</v>
      </c>
      <c r="H118" s="33">
        <v>207</v>
      </c>
      <c r="I118" s="88">
        <v>38.6194029850746</v>
      </c>
      <c r="J118" s="33">
        <v>0</v>
      </c>
      <c r="K118" s="88">
        <v>0</v>
      </c>
      <c r="L118" s="33">
        <v>1</v>
      </c>
      <c r="M118" s="88">
        <v>0.186567164179104</v>
      </c>
      <c r="N118" s="33">
        <v>32</v>
      </c>
      <c r="O118" s="88">
        <v>5.97014925373134</v>
      </c>
      <c r="P118" s="33">
        <v>3</v>
      </c>
      <c r="Q118" s="88">
        <v>0.559701492537313</v>
      </c>
      <c r="R118" s="33">
        <v>2</v>
      </c>
      <c r="S118" s="88">
        <v>0.373134328358209</v>
      </c>
      <c r="T118" s="34" t="str">
        <f t="shared" si="7"/>
        <v>BJP GAIN</v>
      </c>
      <c r="U118" s="91">
        <f t="shared" si="8"/>
        <v>15.6716417910448</v>
      </c>
      <c r="V118" s="27" t="str">
        <f t="shared" si="9"/>
        <v>LOWMARGIN</v>
      </c>
    </row>
    <row r="119" spans="1:22">
      <c r="A119" s="33">
        <v>117</v>
      </c>
      <c r="B119" s="87" t="s">
        <v>133</v>
      </c>
      <c r="C119" s="33">
        <v>941</v>
      </c>
      <c r="D119" s="33">
        <v>629</v>
      </c>
      <c r="E119" s="88">
        <v>66.8437832093517</v>
      </c>
      <c r="F119" s="33">
        <v>318</v>
      </c>
      <c r="G119" s="88">
        <v>50.5564387917329</v>
      </c>
      <c r="H119" s="33">
        <v>266</v>
      </c>
      <c r="I119" s="88">
        <v>42.2893481717011</v>
      </c>
      <c r="J119" s="33">
        <v>0</v>
      </c>
      <c r="K119" s="88">
        <v>0</v>
      </c>
      <c r="L119" s="33">
        <v>4</v>
      </c>
      <c r="M119" s="88">
        <v>0.635930047694754</v>
      </c>
      <c r="N119" s="33">
        <v>29</v>
      </c>
      <c r="O119" s="88">
        <v>4.61049284578696</v>
      </c>
      <c r="P119" s="33">
        <v>8</v>
      </c>
      <c r="Q119" s="88">
        <v>1.27186009538951</v>
      </c>
      <c r="R119" s="33">
        <v>4</v>
      </c>
      <c r="S119" s="88">
        <v>0.635930047694754</v>
      </c>
      <c r="T119" s="34" t="str">
        <f t="shared" si="7"/>
        <v>BJP GAIN</v>
      </c>
      <c r="U119" s="91">
        <f t="shared" si="8"/>
        <v>8.26709062003179</v>
      </c>
      <c r="V119" s="26" t="str">
        <f t="shared" si="9"/>
        <v>NARROWMARGIN</v>
      </c>
    </row>
    <row r="120" spans="1:22">
      <c r="A120" s="33">
        <v>118</v>
      </c>
      <c r="B120" s="87" t="s">
        <v>134</v>
      </c>
      <c r="C120" s="33">
        <v>1003</v>
      </c>
      <c r="D120" s="33">
        <v>671</v>
      </c>
      <c r="E120" s="88">
        <v>66.8993020937188</v>
      </c>
      <c r="F120" s="33">
        <v>244</v>
      </c>
      <c r="G120" s="88">
        <v>36.3636363636364</v>
      </c>
      <c r="H120" s="33">
        <v>390</v>
      </c>
      <c r="I120" s="88">
        <v>58.1222056631893</v>
      </c>
      <c r="J120" s="33">
        <v>1</v>
      </c>
      <c r="K120" s="88">
        <v>0.14903129657228</v>
      </c>
      <c r="L120" s="33">
        <v>0</v>
      </c>
      <c r="M120" s="88">
        <v>0</v>
      </c>
      <c r="N120" s="33">
        <v>30</v>
      </c>
      <c r="O120" s="88">
        <v>4.47093889716841</v>
      </c>
      <c r="P120" s="33">
        <v>4</v>
      </c>
      <c r="Q120" s="88">
        <v>0.596125186289121</v>
      </c>
      <c r="R120" s="33">
        <v>2</v>
      </c>
      <c r="S120" s="88">
        <v>0.29806259314456</v>
      </c>
      <c r="T120" s="25" t="str">
        <f t="shared" si="7"/>
        <v>CONGRESS GAIN</v>
      </c>
      <c r="U120" s="91">
        <f t="shared" ref="U120:U126" si="16">I120-G120</f>
        <v>21.7585692995529</v>
      </c>
      <c r="V120" s="27" t="str">
        <f t="shared" si="9"/>
        <v>LOWMARGIN</v>
      </c>
    </row>
    <row r="121" spans="1:22">
      <c r="A121" s="33">
        <v>119</v>
      </c>
      <c r="B121" s="87" t="s">
        <v>135</v>
      </c>
      <c r="C121" s="33">
        <v>1302</v>
      </c>
      <c r="D121" s="33">
        <v>850</v>
      </c>
      <c r="E121" s="88">
        <v>65.284178187404</v>
      </c>
      <c r="F121" s="33">
        <v>304</v>
      </c>
      <c r="G121" s="88">
        <v>35.7647058823529</v>
      </c>
      <c r="H121" s="33">
        <v>504</v>
      </c>
      <c r="I121" s="88">
        <v>59.2941176470588</v>
      </c>
      <c r="J121" s="33">
        <v>0</v>
      </c>
      <c r="K121" s="88">
        <v>0</v>
      </c>
      <c r="L121" s="33">
        <v>2</v>
      </c>
      <c r="M121" s="88">
        <v>0.235294117647059</v>
      </c>
      <c r="N121" s="33">
        <v>34</v>
      </c>
      <c r="O121" s="88">
        <v>4</v>
      </c>
      <c r="P121" s="33">
        <v>5</v>
      </c>
      <c r="Q121" s="88">
        <v>0.588235294117647</v>
      </c>
      <c r="R121" s="33">
        <v>1</v>
      </c>
      <c r="S121" s="88">
        <v>0.117647058823529</v>
      </c>
      <c r="T121" s="25" t="str">
        <f t="shared" si="7"/>
        <v>CONGRESS GAIN</v>
      </c>
      <c r="U121" s="91">
        <f t="shared" si="16"/>
        <v>23.5294117647059</v>
      </c>
      <c r="V121" s="27" t="str">
        <f t="shared" si="9"/>
        <v>LOWMARGIN</v>
      </c>
    </row>
    <row r="122" spans="1:22">
      <c r="A122" s="33">
        <v>120</v>
      </c>
      <c r="B122" s="87" t="s">
        <v>136</v>
      </c>
      <c r="C122" s="33">
        <v>878</v>
      </c>
      <c r="D122" s="33">
        <v>613</v>
      </c>
      <c r="E122" s="88">
        <v>69.8177676537586</v>
      </c>
      <c r="F122" s="33">
        <v>277</v>
      </c>
      <c r="G122" s="88">
        <v>45.1876019575856</v>
      </c>
      <c r="H122" s="33">
        <v>308</v>
      </c>
      <c r="I122" s="88">
        <v>50.2446982055465</v>
      </c>
      <c r="J122" s="33">
        <v>1</v>
      </c>
      <c r="K122" s="88">
        <v>0.163132137030995</v>
      </c>
      <c r="L122" s="33">
        <v>4</v>
      </c>
      <c r="M122" s="88">
        <v>0.65252854812398</v>
      </c>
      <c r="N122" s="33">
        <v>11</v>
      </c>
      <c r="O122" s="88">
        <v>1.79445350734095</v>
      </c>
      <c r="P122" s="33">
        <v>6</v>
      </c>
      <c r="Q122" s="88">
        <v>0.978792822185971</v>
      </c>
      <c r="R122" s="33">
        <v>6</v>
      </c>
      <c r="S122" s="88">
        <v>0.978792822185971</v>
      </c>
      <c r="T122" s="25" t="str">
        <f t="shared" si="7"/>
        <v>CONGRESS GAIN</v>
      </c>
      <c r="U122" s="91">
        <f t="shared" si="16"/>
        <v>5.05709624796085</v>
      </c>
      <c r="V122" s="26" t="str">
        <f t="shared" si="9"/>
        <v>NARROWMARGIN</v>
      </c>
    </row>
    <row r="123" spans="1:22">
      <c r="A123" s="33">
        <v>121</v>
      </c>
      <c r="B123" s="87" t="s">
        <v>137</v>
      </c>
      <c r="C123" s="33">
        <v>939</v>
      </c>
      <c r="D123" s="33">
        <v>487</v>
      </c>
      <c r="E123" s="88">
        <v>51.863684771033</v>
      </c>
      <c r="F123" s="33">
        <v>130</v>
      </c>
      <c r="G123" s="88">
        <v>26.694045174538</v>
      </c>
      <c r="H123" s="33">
        <v>317</v>
      </c>
      <c r="I123" s="88">
        <v>65.0924024640657</v>
      </c>
      <c r="J123" s="33">
        <v>0</v>
      </c>
      <c r="K123" s="88">
        <v>0</v>
      </c>
      <c r="L123" s="33">
        <v>1</v>
      </c>
      <c r="M123" s="88">
        <v>0.205338809034908</v>
      </c>
      <c r="N123" s="33">
        <v>36</v>
      </c>
      <c r="O123" s="88">
        <v>7.39219712525667</v>
      </c>
      <c r="P123" s="33">
        <v>2</v>
      </c>
      <c r="Q123" s="88">
        <v>0.410677618069815</v>
      </c>
      <c r="R123" s="33">
        <v>1</v>
      </c>
      <c r="S123" s="88">
        <v>0.205338809034908</v>
      </c>
      <c r="T123" s="25" t="str">
        <f t="shared" si="7"/>
        <v>CONGRESS GAIN</v>
      </c>
      <c r="U123" s="91">
        <f t="shared" si="16"/>
        <v>38.3983572895277</v>
      </c>
      <c r="V123" s="35" t="str">
        <f t="shared" si="9"/>
        <v>MEDIUMMARGIN</v>
      </c>
    </row>
    <row r="124" spans="1:22">
      <c r="A124" s="33">
        <v>122</v>
      </c>
      <c r="B124" s="87" t="s">
        <v>138</v>
      </c>
      <c r="C124" s="33">
        <v>824</v>
      </c>
      <c r="D124" s="33">
        <v>540</v>
      </c>
      <c r="E124" s="88">
        <v>65.5339805825243</v>
      </c>
      <c r="F124" s="33">
        <v>209</v>
      </c>
      <c r="G124" s="88">
        <v>38.7037037037037</v>
      </c>
      <c r="H124" s="33">
        <v>300</v>
      </c>
      <c r="I124" s="88">
        <v>55.5555555555556</v>
      </c>
      <c r="J124" s="33">
        <v>1</v>
      </c>
      <c r="K124" s="88">
        <v>0.185185185185185</v>
      </c>
      <c r="L124" s="33">
        <v>1</v>
      </c>
      <c r="M124" s="88">
        <v>0.185185185185185</v>
      </c>
      <c r="N124" s="33">
        <v>23</v>
      </c>
      <c r="O124" s="88">
        <v>4.25925925925926</v>
      </c>
      <c r="P124" s="33">
        <v>6</v>
      </c>
      <c r="Q124" s="88">
        <v>1.11111111111111</v>
      </c>
      <c r="R124" s="33">
        <v>0</v>
      </c>
      <c r="S124" s="88">
        <v>0</v>
      </c>
      <c r="T124" s="25" t="str">
        <f t="shared" si="7"/>
        <v>CONGRESS GAIN</v>
      </c>
      <c r="U124" s="91">
        <f t="shared" si="16"/>
        <v>16.8518518518519</v>
      </c>
      <c r="V124" s="27" t="str">
        <f t="shared" si="9"/>
        <v>LOWMARGIN</v>
      </c>
    </row>
    <row r="125" spans="1:22">
      <c r="A125" s="33">
        <v>123</v>
      </c>
      <c r="B125" s="87" t="s">
        <v>139</v>
      </c>
      <c r="C125" s="33">
        <v>1192</v>
      </c>
      <c r="D125" s="33">
        <v>668</v>
      </c>
      <c r="E125" s="88">
        <v>56.0402684563758</v>
      </c>
      <c r="F125" s="33">
        <v>283</v>
      </c>
      <c r="G125" s="88">
        <v>42.3652694610778</v>
      </c>
      <c r="H125" s="33">
        <v>347</v>
      </c>
      <c r="I125" s="88">
        <v>51.9461077844311</v>
      </c>
      <c r="J125" s="33">
        <v>1</v>
      </c>
      <c r="K125" s="88">
        <v>0.149700598802395</v>
      </c>
      <c r="L125" s="33">
        <v>2</v>
      </c>
      <c r="M125" s="88">
        <v>0.29940119760479</v>
      </c>
      <c r="N125" s="33">
        <v>31</v>
      </c>
      <c r="O125" s="88">
        <v>4.64071856287425</v>
      </c>
      <c r="P125" s="33">
        <v>2</v>
      </c>
      <c r="Q125" s="88">
        <v>0.29940119760479</v>
      </c>
      <c r="R125" s="33">
        <v>2</v>
      </c>
      <c r="S125" s="88">
        <v>0.29940119760479</v>
      </c>
      <c r="T125" s="25" t="str">
        <f t="shared" si="7"/>
        <v>CONGRESS GAIN</v>
      </c>
      <c r="U125" s="91">
        <f t="shared" si="16"/>
        <v>9.5808383233533</v>
      </c>
      <c r="V125" s="26" t="str">
        <f t="shared" si="9"/>
        <v>NARROWMARGIN</v>
      </c>
    </row>
    <row r="126" spans="1:22">
      <c r="A126" s="33">
        <v>124</v>
      </c>
      <c r="B126" s="87" t="s">
        <v>140</v>
      </c>
      <c r="C126" s="33">
        <v>1075</v>
      </c>
      <c r="D126" s="33">
        <v>708</v>
      </c>
      <c r="E126" s="88">
        <v>65.8604651162791</v>
      </c>
      <c r="F126" s="33">
        <v>278</v>
      </c>
      <c r="G126" s="88">
        <v>39.2655367231638</v>
      </c>
      <c r="H126" s="33">
        <v>387</v>
      </c>
      <c r="I126" s="88">
        <v>54.6610169491525</v>
      </c>
      <c r="J126" s="33">
        <v>0</v>
      </c>
      <c r="K126" s="88">
        <v>0</v>
      </c>
      <c r="L126" s="33">
        <v>1</v>
      </c>
      <c r="M126" s="88">
        <v>0.141242937853107</v>
      </c>
      <c r="N126" s="33">
        <v>32</v>
      </c>
      <c r="O126" s="88">
        <v>4.51977401129944</v>
      </c>
      <c r="P126" s="33">
        <v>8</v>
      </c>
      <c r="Q126" s="88">
        <v>1.12994350282486</v>
      </c>
      <c r="R126" s="33">
        <v>2</v>
      </c>
      <c r="S126" s="88">
        <v>0.282485875706215</v>
      </c>
      <c r="T126" s="25" t="str">
        <f t="shared" si="7"/>
        <v>CONGRESS GAIN</v>
      </c>
      <c r="U126" s="91">
        <f t="shared" si="16"/>
        <v>15.3954802259887</v>
      </c>
      <c r="V126" s="27" t="str">
        <f t="shared" si="9"/>
        <v>LOWMARGIN</v>
      </c>
    </row>
    <row r="127" spans="1:22">
      <c r="A127" s="33">
        <v>125</v>
      </c>
      <c r="B127" s="87" t="s">
        <v>141</v>
      </c>
      <c r="C127" s="33">
        <v>995</v>
      </c>
      <c r="D127" s="33">
        <v>760</v>
      </c>
      <c r="E127" s="88">
        <v>76.3819095477387</v>
      </c>
      <c r="F127" s="33">
        <v>527</v>
      </c>
      <c r="G127" s="88">
        <v>69.3421052631579</v>
      </c>
      <c r="H127" s="33">
        <v>205</v>
      </c>
      <c r="I127" s="88">
        <v>26.9736842105263</v>
      </c>
      <c r="J127" s="33">
        <v>1</v>
      </c>
      <c r="K127" s="88">
        <v>0.131578947368421</v>
      </c>
      <c r="L127" s="33">
        <v>6</v>
      </c>
      <c r="M127" s="88">
        <v>0.789473684210526</v>
      </c>
      <c r="N127" s="33">
        <v>12</v>
      </c>
      <c r="O127" s="88">
        <v>1.57894736842105</v>
      </c>
      <c r="P127" s="33">
        <v>7</v>
      </c>
      <c r="Q127" s="88">
        <v>0.921052631578947</v>
      </c>
      <c r="R127" s="33">
        <v>2</v>
      </c>
      <c r="S127" s="88">
        <v>0.263157894736842</v>
      </c>
      <c r="T127" s="34" t="str">
        <f t="shared" si="7"/>
        <v>BJP GAIN</v>
      </c>
      <c r="U127" s="91">
        <f t="shared" si="8"/>
        <v>42.3684210526316</v>
      </c>
      <c r="V127" s="92" t="str">
        <f t="shared" si="9"/>
        <v>HIGHMARGIN</v>
      </c>
    </row>
    <row r="128" spans="1:22">
      <c r="A128" s="33">
        <v>126</v>
      </c>
      <c r="B128" s="87" t="s">
        <v>142</v>
      </c>
      <c r="C128" s="33">
        <v>1363</v>
      </c>
      <c r="D128" s="33">
        <v>917</v>
      </c>
      <c r="E128" s="88">
        <v>67.2780630961115</v>
      </c>
      <c r="F128" s="33">
        <v>503</v>
      </c>
      <c r="G128" s="88">
        <v>54.8527808069793</v>
      </c>
      <c r="H128" s="33">
        <v>373</v>
      </c>
      <c r="I128" s="88">
        <v>40.6761177753544</v>
      </c>
      <c r="J128" s="33">
        <v>2</v>
      </c>
      <c r="K128" s="88">
        <v>0.218102508178844</v>
      </c>
      <c r="L128" s="33">
        <v>1</v>
      </c>
      <c r="M128" s="88">
        <v>0.109051254089422</v>
      </c>
      <c r="N128" s="33">
        <v>27</v>
      </c>
      <c r="O128" s="88">
        <v>2.94438386041439</v>
      </c>
      <c r="P128" s="33">
        <v>9</v>
      </c>
      <c r="Q128" s="88">
        <v>0.981461286804798</v>
      </c>
      <c r="R128" s="33">
        <v>2</v>
      </c>
      <c r="S128" s="88">
        <v>0.218102508178844</v>
      </c>
      <c r="T128" s="34" t="str">
        <f t="shared" si="7"/>
        <v>BJP GAIN</v>
      </c>
      <c r="U128" s="91">
        <f t="shared" si="8"/>
        <v>14.1766630316249</v>
      </c>
      <c r="V128" s="27" t="str">
        <f t="shared" si="9"/>
        <v>LOWMARGIN</v>
      </c>
    </row>
    <row r="129" spans="1:22">
      <c r="A129" s="33">
        <v>127</v>
      </c>
      <c r="B129" s="87" t="s">
        <v>143</v>
      </c>
      <c r="C129" s="33">
        <v>953</v>
      </c>
      <c r="D129" s="33">
        <v>677</v>
      </c>
      <c r="E129" s="88">
        <v>71.0388247639035</v>
      </c>
      <c r="F129" s="33">
        <v>309</v>
      </c>
      <c r="G129" s="88">
        <v>45.642540620384</v>
      </c>
      <c r="H129" s="33">
        <v>347</v>
      </c>
      <c r="I129" s="88">
        <v>51.2555391432792</v>
      </c>
      <c r="J129" s="33">
        <v>2</v>
      </c>
      <c r="K129" s="88">
        <v>0.295420974889217</v>
      </c>
      <c r="L129" s="33">
        <v>0</v>
      </c>
      <c r="M129" s="88">
        <v>0</v>
      </c>
      <c r="N129" s="33">
        <v>14</v>
      </c>
      <c r="O129" s="88">
        <v>2.06794682422452</v>
      </c>
      <c r="P129" s="33">
        <v>3</v>
      </c>
      <c r="Q129" s="88">
        <v>0.443131462333826</v>
      </c>
      <c r="R129" s="33">
        <v>2</v>
      </c>
      <c r="S129" s="88">
        <v>0.295420974889217</v>
      </c>
      <c r="T129" s="25" t="str">
        <f t="shared" si="7"/>
        <v>CONGRESS GAIN</v>
      </c>
      <c r="U129" s="91">
        <f t="shared" ref="U129" si="17">I129-G129</f>
        <v>5.61299852289513</v>
      </c>
      <c r="V129" s="26" t="str">
        <f t="shared" si="9"/>
        <v>NARROWMARGIN</v>
      </c>
    </row>
    <row r="130" spans="1:22">
      <c r="A130" s="33">
        <v>128</v>
      </c>
      <c r="B130" s="87" t="s">
        <v>144</v>
      </c>
      <c r="C130" s="33">
        <v>1049</v>
      </c>
      <c r="D130" s="33">
        <v>597</v>
      </c>
      <c r="E130" s="88">
        <v>56.9113441372736</v>
      </c>
      <c r="F130" s="33">
        <v>463</v>
      </c>
      <c r="G130" s="88">
        <v>77.5544388609715</v>
      </c>
      <c r="H130" s="33">
        <v>132</v>
      </c>
      <c r="I130" s="88">
        <v>22.1105527638191</v>
      </c>
      <c r="J130" s="33">
        <v>0</v>
      </c>
      <c r="K130" s="88">
        <v>0</v>
      </c>
      <c r="L130" s="33">
        <v>0</v>
      </c>
      <c r="M130" s="88">
        <v>0</v>
      </c>
      <c r="N130" s="33">
        <v>0</v>
      </c>
      <c r="O130" s="88">
        <v>0</v>
      </c>
      <c r="P130" s="33">
        <v>1</v>
      </c>
      <c r="Q130" s="88">
        <v>0.16750418760469</v>
      </c>
      <c r="R130" s="33">
        <v>1</v>
      </c>
      <c r="S130" s="88">
        <v>0.16750418760469</v>
      </c>
      <c r="T130" s="34" t="str">
        <f t="shared" si="7"/>
        <v>BJP GAIN</v>
      </c>
      <c r="U130" s="91">
        <f t="shared" si="8"/>
        <v>55.4438860971524</v>
      </c>
      <c r="V130" s="25" t="str">
        <f t="shared" si="9"/>
        <v>VERYHIGHMARGIN</v>
      </c>
    </row>
    <row r="131" spans="1:22">
      <c r="A131" s="33">
        <v>129</v>
      </c>
      <c r="B131" s="87" t="s">
        <v>145</v>
      </c>
      <c r="C131" s="33">
        <v>860</v>
      </c>
      <c r="D131" s="33">
        <v>545</v>
      </c>
      <c r="E131" s="88">
        <v>63.3720930232558</v>
      </c>
      <c r="F131" s="33">
        <v>203</v>
      </c>
      <c r="G131" s="88">
        <v>37.2477064220184</v>
      </c>
      <c r="H131" s="33">
        <v>313</v>
      </c>
      <c r="I131" s="88">
        <v>57.4311926605505</v>
      </c>
      <c r="J131" s="33">
        <v>0</v>
      </c>
      <c r="K131" s="88">
        <v>0</v>
      </c>
      <c r="L131" s="33">
        <v>1</v>
      </c>
      <c r="M131" s="88">
        <v>0.18348623853211</v>
      </c>
      <c r="N131" s="33">
        <v>19</v>
      </c>
      <c r="O131" s="88">
        <v>3.48623853211009</v>
      </c>
      <c r="P131" s="33">
        <v>4</v>
      </c>
      <c r="Q131" s="88">
        <v>0.73394495412844</v>
      </c>
      <c r="R131" s="33">
        <v>5</v>
      </c>
      <c r="S131" s="88">
        <v>0.917431192660551</v>
      </c>
      <c r="T131" s="25" t="str">
        <f t="shared" si="7"/>
        <v>CONGRESS GAIN</v>
      </c>
      <c r="U131" s="91">
        <f t="shared" ref="U131" si="18">I131-G131</f>
        <v>20.1834862385321</v>
      </c>
      <c r="V131" s="27" t="str">
        <f t="shared" si="9"/>
        <v>LOWMARGIN</v>
      </c>
    </row>
    <row r="132" spans="1:22">
      <c r="A132" s="33">
        <v>130</v>
      </c>
      <c r="B132" s="87" t="s">
        <v>146</v>
      </c>
      <c r="C132" s="33">
        <v>592</v>
      </c>
      <c r="D132" s="33">
        <v>336</v>
      </c>
      <c r="E132" s="88">
        <v>56.7567567567568</v>
      </c>
      <c r="F132" s="33">
        <v>218</v>
      </c>
      <c r="G132" s="88">
        <v>64.8809523809524</v>
      </c>
      <c r="H132" s="33">
        <v>98</v>
      </c>
      <c r="I132" s="88">
        <v>29.1666666666667</v>
      </c>
      <c r="J132" s="33">
        <v>0</v>
      </c>
      <c r="K132" s="88">
        <v>0</v>
      </c>
      <c r="L132" s="33">
        <v>10</v>
      </c>
      <c r="M132" s="88">
        <v>2.97619047619048</v>
      </c>
      <c r="N132" s="33">
        <v>6</v>
      </c>
      <c r="O132" s="88">
        <v>1.78571428571429</v>
      </c>
      <c r="P132" s="33">
        <v>3</v>
      </c>
      <c r="Q132" s="88">
        <v>0.892857142857143</v>
      </c>
      <c r="R132" s="33">
        <v>1</v>
      </c>
      <c r="S132" s="88">
        <v>0.297619047619048</v>
      </c>
      <c r="T132" s="34" t="str">
        <f t="shared" ref="T132:T195" si="19">IF(G132&gt;I132,"BJP GAIN","CONGRESS GAIN")</f>
        <v>BJP GAIN</v>
      </c>
      <c r="U132" s="91">
        <f t="shared" ref="U132:U195" si="20">G132-I132</f>
        <v>35.7142857142857</v>
      </c>
      <c r="V132" s="35" t="str">
        <f t="shared" si="9"/>
        <v>MEDIUMMARGIN</v>
      </c>
    </row>
    <row r="133" spans="1:22">
      <c r="A133" s="33">
        <v>131</v>
      </c>
      <c r="B133" s="87" t="s">
        <v>147</v>
      </c>
      <c r="C133" s="33">
        <v>1346</v>
      </c>
      <c r="D133" s="33">
        <v>902</v>
      </c>
      <c r="E133" s="88">
        <v>67.0133729569094</v>
      </c>
      <c r="F133" s="33">
        <v>471</v>
      </c>
      <c r="G133" s="88">
        <v>52.2172949002217</v>
      </c>
      <c r="H133" s="33">
        <v>407</v>
      </c>
      <c r="I133" s="88">
        <v>45.1219512195122</v>
      </c>
      <c r="J133" s="33">
        <v>1</v>
      </c>
      <c r="K133" s="88">
        <v>0.110864745011086</v>
      </c>
      <c r="L133" s="33">
        <v>3</v>
      </c>
      <c r="M133" s="88">
        <v>0.332594235033259</v>
      </c>
      <c r="N133" s="33">
        <v>9</v>
      </c>
      <c r="O133" s="88">
        <v>0.997782705099778</v>
      </c>
      <c r="P133" s="33">
        <v>3</v>
      </c>
      <c r="Q133" s="88">
        <v>0.332594235033259</v>
      </c>
      <c r="R133" s="33">
        <v>8</v>
      </c>
      <c r="S133" s="88">
        <v>0.886917960088692</v>
      </c>
      <c r="T133" s="34" t="str">
        <f t="shared" si="19"/>
        <v>BJP GAIN</v>
      </c>
      <c r="U133" s="91">
        <f t="shared" si="20"/>
        <v>7.09534368070953</v>
      </c>
      <c r="V133" s="26" t="str">
        <f t="shared" ref="V133:V196" si="21">IF(U133&gt;=50,"VERYHIGHMARGIN",IF(U133&gt;=40,"HIGHMARGIN",IF(U133&gt;=30,"MEDIUMMARGIN",IF(U133&gt;10,"LOWMARGIN",IF(U133&gt;=1,"NARROWMARGIN")))))</f>
        <v>NARROWMARGIN</v>
      </c>
    </row>
    <row r="134" spans="1:22">
      <c r="A134" s="33">
        <v>132</v>
      </c>
      <c r="B134" s="87" t="s">
        <v>148</v>
      </c>
      <c r="C134" s="33">
        <v>945</v>
      </c>
      <c r="D134" s="33">
        <v>603</v>
      </c>
      <c r="E134" s="88">
        <v>63.8095238095238</v>
      </c>
      <c r="F134" s="33">
        <v>282</v>
      </c>
      <c r="G134" s="88">
        <v>46.7661691542289</v>
      </c>
      <c r="H134" s="33">
        <v>287</v>
      </c>
      <c r="I134" s="88">
        <v>47.5953565505804</v>
      </c>
      <c r="J134" s="33">
        <v>1</v>
      </c>
      <c r="K134" s="88">
        <v>0.165837479270315</v>
      </c>
      <c r="L134" s="33">
        <v>2</v>
      </c>
      <c r="M134" s="88">
        <v>0.33167495854063</v>
      </c>
      <c r="N134" s="33">
        <v>14</v>
      </c>
      <c r="O134" s="88">
        <v>2.32172470978441</v>
      </c>
      <c r="P134" s="33">
        <v>2</v>
      </c>
      <c r="Q134" s="88">
        <v>0.33167495854063</v>
      </c>
      <c r="R134" s="33">
        <v>15</v>
      </c>
      <c r="S134" s="88">
        <v>2.48756218905473</v>
      </c>
      <c r="T134" s="25" t="str">
        <f t="shared" si="19"/>
        <v>CONGRESS GAIN</v>
      </c>
      <c r="U134" s="91">
        <f t="shared" ref="U134" si="22">I134-G134</f>
        <v>0.829187396351578</v>
      </c>
      <c r="V134" s="26" t="str">
        <f>IF(U134&gt;=50,"VERYHIGHMARGIN",IF(U134&gt;=40,"HIGHMARGIN",IF(U134&gt;=30,"MEDIUMMARGIN",IF(U134&gt;10,"LOWMARGIN",IF(U134&lt;1,"NARROWMARGIN")))))</f>
        <v>NARROWMARGIN</v>
      </c>
    </row>
    <row r="135" spans="1:22">
      <c r="A135" s="33">
        <v>133</v>
      </c>
      <c r="B135" s="87" t="s">
        <v>149</v>
      </c>
      <c r="C135" s="33">
        <v>1158</v>
      </c>
      <c r="D135" s="33">
        <v>739</v>
      </c>
      <c r="E135" s="88">
        <v>63.8169257340242</v>
      </c>
      <c r="F135" s="33">
        <v>369</v>
      </c>
      <c r="G135" s="88">
        <v>49.9323410013532</v>
      </c>
      <c r="H135" s="33">
        <v>355</v>
      </c>
      <c r="I135" s="88">
        <v>48.0378890392422</v>
      </c>
      <c r="J135" s="33">
        <v>0</v>
      </c>
      <c r="K135" s="88">
        <v>0</v>
      </c>
      <c r="L135" s="33">
        <v>1</v>
      </c>
      <c r="M135" s="88">
        <v>0.13531799729364</v>
      </c>
      <c r="N135" s="33">
        <v>8</v>
      </c>
      <c r="O135" s="88">
        <v>1.08254397834912</v>
      </c>
      <c r="P135" s="33">
        <v>3</v>
      </c>
      <c r="Q135" s="88">
        <v>0.40595399188092</v>
      </c>
      <c r="R135" s="33">
        <v>3</v>
      </c>
      <c r="S135" s="88">
        <v>0.40595399188092</v>
      </c>
      <c r="T135" s="34" t="str">
        <f t="shared" si="19"/>
        <v>BJP GAIN</v>
      </c>
      <c r="U135" s="91">
        <f t="shared" si="20"/>
        <v>1.89445196211096</v>
      </c>
      <c r="V135" s="26" t="str">
        <f t="shared" si="21"/>
        <v>NARROWMARGIN</v>
      </c>
    </row>
    <row r="136" spans="1:22">
      <c r="A136" s="33">
        <v>134</v>
      </c>
      <c r="B136" s="87" t="s">
        <v>150</v>
      </c>
      <c r="C136" s="33">
        <v>951</v>
      </c>
      <c r="D136" s="33">
        <v>630</v>
      </c>
      <c r="E136" s="88">
        <v>66.2460567823344</v>
      </c>
      <c r="F136" s="33">
        <v>205</v>
      </c>
      <c r="G136" s="88">
        <v>32.5396825396825</v>
      </c>
      <c r="H136" s="33">
        <v>406</v>
      </c>
      <c r="I136" s="88">
        <v>64.4444444444444</v>
      </c>
      <c r="J136" s="33">
        <v>0</v>
      </c>
      <c r="K136" s="88">
        <v>0</v>
      </c>
      <c r="L136" s="33">
        <v>1</v>
      </c>
      <c r="M136" s="88">
        <v>0.158730158730159</v>
      </c>
      <c r="N136" s="33">
        <v>9</v>
      </c>
      <c r="O136" s="88">
        <v>1.42857142857143</v>
      </c>
      <c r="P136" s="33">
        <v>3</v>
      </c>
      <c r="Q136" s="88">
        <v>0.476190476190476</v>
      </c>
      <c r="R136" s="33">
        <v>6</v>
      </c>
      <c r="S136" s="88">
        <v>0.952380952380952</v>
      </c>
      <c r="T136" s="25" t="str">
        <f t="shared" si="19"/>
        <v>CONGRESS GAIN</v>
      </c>
      <c r="U136" s="91">
        <f t="shared" ref="U136:U138" si="23">I136-G136</f>
        <v>31.9047619047619</v>
      </c>
      <c r="V136" s="35" t="str">
        <f t="shared" si="21"/>
        <v>MEDIUMMARGIN</v>
      </c>
    </row>
    <row r="137" spans="1:22">
      <c r="A137" s="33">
        <v>135</v>
      </c>
      <c r="B137" s="87" t="s">
        <v>151</v>
      </c>
      <c r="C137" s="33">
        <v>1241</v>
      </c>
      <c r="D137" s="33">
        <v>791</v>
      </c>
      <c r="E137" s="88">
        <v>63.7389202256245</v>
      </c>
      <c r="F137" s="33">
        <v>163</v>
      </c>
      <c r="G137" s="88">
        <v>20.6068268015171</v>
      </c>
      <c r="H137" s="33">
        <v>600</v>
      </c>
      <c r="I137" s="88">
        <v>75.8533501896334</v>
      </c>
      <c r="J137" s="33">
        <v>0</v>
      </c>
      <c r="K137" s="88">
        <v>0</v>
      </c>
      <c r="L137" s="33">
        <v>1</v>
      </c>
      <c r="M137" s="88">
        <v>0.126422250316056</v>
      </c>
      <c r="N137" s="33">
        <v>6</v>
      </c>
      <c r="O137" s="88">
        <v>0.758533501896334</v>
      </c>
      <c r="P137" s="33">
        <v>1</v>
      </c>
      <c r="Q137" s="88">
        <v>0.126422250316056</v>
      </c>
      <c r="R137" s="33">
        <v>20</v>
      </c>
      <c r="S137" s="88">
        <v>2.52844500632111</v>
      </c>
      <c r="T137" s="25" t="str">
        <f t="shared" si="19"/>
        <v>CONGRESS GAIN</v>
      </c>
      <c r="U137" s="91">
        <f t="shared" si="23"/>
        <v>55.2465233881163</v>
      </c>
      <c r="V137" s="25" t="str">
        <f t="shared" si="21"/>
        <v>VERYHIGHMARGIN</v>
      </c>
    </row>
    <row r="138" spans="1:22">
      <c r="A138" s="33">
        <v>136</v>
      </c>
      <c r="B138" s="87" t="s">
        <v>152</v>
      </c>
      <c r="C138" s="33">
        <v>1026</v>
      </c>
      <c r="D138" s="33">
        <v>655</v>
      </c>
      <c r="E138" s="88">
        <v>63.8401559454191</v>
      </c>
      <c r="F138" s="33">
        <v>290</v>
      </c>
      <c r="G138" s="88">
        <v>44.2748091603053</v>
      </c>
      <c r="H138" s="33">
        <v>341</v>
      </c>
      <c r="I138" s="88">
        <v>52.0610687022901</v>
      </c>
      <c r="J138" s="33">
        <v>1</v>
      </c>
      <c r="K138" s="88">
        <v>0.152671755725191</v>
      </c>
      <c r="L138" s="33">
        <v>11</v>
      </c>
      <c r="M138" s="88">
        <v>1.6793893129771</v>
      </c>
      <c r="N138" s="33">
        <v>10</v>
      </c>
      <c r="O138" s="88">
        <v>1.52671755725191</v>
      </c>
      <c r="P138" s="33">
        <v>1</v>
      </c>
      <c r="Q138" s="88">
        <v>0.152671755725191</v>
      </c>
      <c r="R138" s="33">
        <v>1</v>
      </c>
      <c r="S138" s="88">
        <v>0.152671755725191</v>
      </c>
      <c r="T138" s="25" t="str">
        <f t="shared" si="19"/>
        <v>CONGRESS GAIN</v>
      </c>
      <c r="U138" s="91">
        <f t="shared" si="23"/>
        <v>7.78625954198473</v>
      </c>
      <c r="V138" s="26" t="str">
        <f t="shared" si="21"/>
        <v>NARROWMARGIN</v>
      </c>
    </row>
    <row r="139" spans="1:22">
      <c r="A139" s="33">
        <v>137</v>
      </c>
      <c r="B139" s="87" t="s">
        <v>153</v>
      </c>
      <c r="C139" s="33">
        <v>901</v>
      </c>
      <c r="D139" s="33">
        <v>646</v>
      </c>
      <c r="E139" s="88">
        <v>71.6981132075472</v>
      </c>
      <c r="F139" s="33">
        <v>453</v>
      </c>
      <c r="G139" s="88">
        <v>70.1238390092879</v>
      </c>
      <c r="H139" s="33">
        <v>184</v>
      </c>
      <c r="I139" s="88">
        <v>28.4829721362229</v>
      </c>
      <c r="J139" s="33">
        <v>0</v>
      </c>
      <c r="K139" s="88">
        <v>0</v>
      </c>
      <c r="L139" s="33">
        <v>1</v>
      </c>
      <c r="M139" s="88">
        <v>0.154798761609907</v>
      </c>
      <c r="N139" s="33">
        <v>5</v>
      </c>
      <c r="O139" s="88">
        <v>0.773993808049536</v>
      </c>
      <c r="P139" s="33">
        <v>2</v>
      </c>
      <c r="Q139" s="88">
        <v>0.309597523219814</v>
      </c>
      <c r="R139" s="33">
        <v>1</v>
      </c>
      <c r="S139" s="88">
        <v>0.154798761609907</v>
      </c>
      <c r="T139" s="34" t="str">
        <f t="shared" si="19"/>
        <v>BJP GAIN</v>
      </c>
      <c r="U139" s="91">
        <f t="shared" si="20"/>
        <v>41.640866873065</v>
      </c>
      <c r="V139" s="92" t="str">
        <f t="shared" si="21"/>
        <v>HIGHMARGIN</v>
      </c>
    </row>
    <row r="140" spans="1:22">
      <c r="A140" s="33">
        <v>138</v>
      </c>
      <c r="B140" s="87" t="s">
        <v>154</v>
      </c>
      <c r="C140" s="33">
        <v>846</v>
      </c>
      <c r="D140" s="33">
        <v>606</v>
      </c>
      <c r="E140" s="88">
        <v>71.6312056737589</v>
      </c>
      <c r="F140" s="33">
        <v>395</v>
      </c>
      <c r="G140" s="88">
        <v>65.1815181518152</v>
      </c>
      <c r="H140" s="33">
        <v>192</v>
      </c>
      <c r="I140" s="88">
        <v>31.6831683168317</v>
      </c>
      <c r="J140" s="33">
        <v>1</v>
      </c>
      <c r="K140" s="88">
        <v>0.165016501650165</v>
      </c>
      <c r="L140" s="33">
        <v>5</v>
      </c>
      <c r="M140" s="88">
        <v>0.825082508250825</v>
      </c>
      <c r="N140" s="33">
        <v>5</v>
      </c>
      <c r="O140" s="88">
        <v>0.825082508250825</v>
      </c>
      <c r="P140" s="33">
        <v>4</v>
      </c>
      <c r="Q140" s="88">
        <v>0.66006600660066</v>
      </c>
      <c r="R140" s="33">
        <v>4</v>
      </c>
      <c r="S140" s="88">
        <v>0.66006600660066</v>
      </c>
      <c r="T140" s="34" t="str">
        <f t="shared" si="19"/>
        <v>BJP GAIN</v>
      </c>
      <c r="U140" s="91">
        <f t="shared" si="20"/>
        <v>33.4983498349835</v>
      </c>
      <c r="V140" s="35" t="str">
        <f t="shared" si="21"/>
        <v>MEDIUMMARGIN</v>
      </c>
    </row>
    <row r="141" spans="1:22">
      <c r="A141" s="33">
        <v>139</v>
      </c>
      <c r="B141" s="87" t="s">
        <v>155</v>
      </c>
      <c r="C141" s="33">
        <v>713</v>
      </c>
      <c r="D141" s="33">
        <v>533</v>
      </c>
      <c r="E141" s="88">
        <v>74.7545582047686</v>
      </c>
      <c r="F141" s="33">
        <v>286</v>
      </c>
      <c r="G141" s="88">
        <v>53.6585365853659</v>
      </c>
      <c r="H141" s="33">
        <v>233</v>
      </c>
      <c r="I141" s="88">
        <v>43.7148217636023</v>
      </c>
      <c r="J141" s="33">
        <v>1</v>
      </c>
      <c r="K141" s="88">
        <v>0.187617260787992</v>
      </c>
      <c r="L141" s="33">
        <v>3</v>
      </c>
      <c r="M141" s="88">
        <v>0.562851782363977</v>
      </c>
      <c r="N141" s="33">
        <v>6</v>
      </c>
      <c r="O141" s="88">
        <v>1.12570356472795</v>
      </c>
      <c r="P141" s="33">
        <v>2</v>
      </c>
      <c r="Q141" s="88">
        <v>0.375234521575985</v>
      </c>
      <c r="R141" s="33">
        <v>2</v>
      </c>
      <c r="S141" s="88">
        <v>0.375234521575985</v>
      </c>
      <c r="T141" s="34" t="str">
        <f t="shared" si="19"/>
        <v>BJP GAIN</v>
      </c>
      <c r="U141" s="91">
        <f t="shared" si="20"/>
        <v>9.94371482176361</v>
      </c>
      <c r="V141" s="26" t="str">
        <f t="shared" si="21"/>
        <v>NARROWMARGIN</v>
      </c>
    </row>
    <row r="142" spans="1:22">
      <c r="A142" s="33">
        <v>140</v>
      </c>
      <c r="B142" s="87" t="s">
        <v>156</v>
      </c>
      <c r="C142" s="33">
        <v>802</v>
      </c>
      <c r="D142" s="33">
        <v>571</v>
      </c>
      <c r="E142" s="88">
        <v>71.1970074812968</v>
      </c>
      <c r="F142" s="33">
        <v>345</v>
      </c>
      <c r="G142" s="88">
        <v>60.4203152364273</v>
      </c>
      <c r="H142" s="33">
        <v>205</v>
      </c>
      <c r="I142" s="88">
        <v>35.9019264448336</v>
      </c>
      <c r="J142" s="33">
        <v>1</v>
      </c>
      <c r="K142" s="88">
        <v>0.175131348511384</v>
      </c>
      <c r="L142" s="33">
        <v>8</v>
      </c>
      <c r="M142" s="88">
        <v>1.40105078809107</v>
      </c>
      <c r="N142" s="33">
        <v>7</v>
      </c>
      <c r="O142" s="88">
        <v>1.22591943957968</v>
      </c>
      <c r="P142" s="33">
        <v>1</v>
      </c>
      <c r="Q142" s="88">
        <v>0.175131348511384</v>
      </c>
      <c r="R142" s="33">
        <v>4</v>
      </c>
      <c r="S142" s="88">
        <v>0.700525394045534</v>
      </c>
      <c r="T142" s="34" t="str">
        <f t="shared" si="19"/>
        <v>BJP GAIN</v>
      </c>
      <c r="U142" s="91">
        <f t="shared" si="20"/>
        <v>24.5183887915937</v>
      </c>
      <c r="V142" s="27" t="str">
        <f t="shared" si="21"/>
        <v>LOWMARGIN</v>
      </c>
    </row>
    <row r="143" spans="1:22">
      <c r="A143" s="33">
        <v>141</v>
      </c>
      <c r="B143" s="87" t="s">
        <v>157</v>
      </c>
      <c r="C143" s="33">
        <v>715</v>
      </c>
      <c r="D143" s="33">
        <v>472</v>
      </c>
      <c r="E143" s="88">
        <v>66.013986013986</v>
      </c>
      <c r="F143" s="33">
        <v>183</v>
      </c>
      <c r="G143" s="88">
        <v>38.771186440678</v>
      </c>
      <c r="H143" s="33">
        <v>268</v>
      </c>
      <c r="I143" s="88">
        <v>56.7796610169492</v>
      </c>
      <c r="J143" s="33">
        <v>0</v>
      </c>
      <c r="K143" s="88">
        <v>0</v>
      </c>
      <c r="L143" s="33">
        <v>4</v>
      </c>
      <c r="M143" s="88">
        <v>0.847457627118644</v>
      </c>
      <c r="N143" s="33">
        <v>12</v>
      </c>
      <c r="O143" s="88">
        <v>2.54237288135593</v>
      </c>
      <c r="P143" s="33">
        <v>3</v>
      </c>
      <c r="Q143" s="88">
        <v>0.635593220338983</v>
      </c>
      <c r="R143" s="33">
        <v>2</v>
      </c>
      <c r="S143" s="88">
        <v>0.423728813559322</v>
      </c>
      <c r="T143" s="25" t="str">
        <f t="shared" si="19"/>
        <v>CONGRESS GAIN</v>
      </c>
      <c r="U143" s="91">
        <f t="shared" ref="U143:U144" si="24">I143-G143</f>
        <v>18.0084745762712</v>
      </c>
      <c r="V143" s="27" t="str">
        <f t="shared" si="21"/>
        <v>LOWMARGIN</v>
      </c>
    </row>
    <row r="144" spans="1:22">
      <c r="A144" s="33">
        <v>142</v>
      </c>
      <c r="B144" s="87" t="s">
        <v>158</v>
      </c>
      <c r="C144" s="33">
        <v>1355</v>
      </c>
      <c r="D144" s="33">
        <v>887</v>
      </c>
      <c r="E144" s="88">
        <v>65.4612546125461</v>
      </c>
      <c r="F144" s="33">
        <v>326</v>
      </c>
      <c r="G144" s="88">
        <v>36.7531003382187</v>
      </c>
      <c r="H144" s="33">
        <v>517</v>
      </c>
      <c r="I144" s="88">
        <v>58.2863585118377</v>
      </c>
      <c r="J144" s="33">
        <v>1</v>
      </c>
      <c r="K144" s="88">
        <v>0.112739571589628</v>
      </c>
      <c r="L144" s="33">
        <v>9</v>
      </c>
      <c r="M144" s="88">
        <v>1.01465614430665</v>
      </c>
      <c r="N144" s="33">
        <v>8</v>
      </c>
      <c r="O144" s="88">
        <v>0.901916572717024</v>
      </c>
      <c r="P144" s="33">
        <v>16</v>
      </c>
      <c r="Q144" s="88">
        <v>1.80383314543405</v>
      </c>
      <c r="R144" s="33">
        <v>10</v>
      </c>
      <c r="S144" s="88">
        <v>1.12739571589628</v>
      </c>
      <c r="T144" s="25" t="str">
        <f t="shared" si="19"/>
        <v>CONGRESS GAIN</v>
      </c>
      <c r="U144" s="91">
        <f t="shared" si="24"/>
        <v>21.5332581736189</v>
      </c>
      <c r="V144" s="27" t="str">
        <f t="shared" si="21"/>
        <v>LOWMARGIN</v>
      </c>
    </row>
    <row r="145" spans="1:22">
      <c r="A145" s="33">
        <v>143</v>
      </c>
      <c r="B145" s="87" t="s">
        <v>159</v>
      </c>
      <c r="C145" s="33">
        <v>1007</v>
      </c>
      <c r="D145" s="33">
        <v>732</v>
      </c>
      <c r="E145" s="88">
        <v>72.6911618669315</v>
      </c>
      <c r="F145" s="33">
        <v>399</v>
      </c>
      <c r="G145" s="88">
        <v>54.5081967213115</v>
      </c>
      <c r="H145" s="33">
        <v>304</v>
      </c>
      <c r="I145" s="88">
        <v>41.5300546448087</v>
      </c>
      <c r="J145" s="33">
        <v>0</v>
      </c>
      <c r="K145" s="88">
        <v>0</v>
      </c>
      <c r="L145" s="33">
        <v>15</v>
      </c>
      <c r="M145" s="88">
        <v>2.04918032786885</v>
      </c>
      <c r="N145" s="33">
        <v>7</v>
      </c>
      <c r="O145" s="88">
        <v>0.956284153005465</v>
      </c>
      <c r="P145" s="33">
        <v>3</v>
      </c>
      <c r="Q145" s="88">
        <v>0.409836065573771</v>
      </c>
      <c r="R145" s="33">
        <v>4</v>
      </c>
      <c r="S145" s="88">
        <v>0.546448087431694</v>
      </c>
      <c r="T145" s="34" t="str">
        <f t="shared" si="19"/>
        <v>BJP GAIN</v>
      </c>
      <c r="U145" s="91">
        <f t="shared" si="20"/>
        <v>12.9781420765027</v>
      </c>
      <c r="V145" s="27" t="str">
        <f t="shared" si="21"/>
        <v>LOWMARGIN</v>
      </c>
    </row>
    <row r="146" spans="1:22">
      <c r="A146" s="33">
        <v>144</v>
      </c>
      <c r="B146" s="87" t="s">
        <v>160</v>
      </c>
      <c r="C146" s="33">
        <v>607</v>
      </c>
      <c r="D146" s="33">
        <v>409</v>
      </c>
      <c r="E146" s="88">
        <v>67.3805601317957</v>
      </c>
      <c r="F146" s="33">
        <v>38</v>
      </c>
      <c r="G146" s="88">
        <v>9.29095354523227</v>
      </c>
      <c r="H146" s="33">
        <v>358</v>
      </c>
      <c r="I146" s="88">
        <v>87.5305623471883</v>
      </c>
      <c r="J146" s="33">
        <v>1</v>
      </c>
      <c r="K146" s="88">
        <v>0.244498777506112</v>
      </c>
      <c r="L146" s="33">
        <v>0</v>
      </c>
      <c r="M146" s="88">
        <v>0</v>
      </c>
      <c r="N146" s="33">
        <v>7</v>
      </c>
      <c r="O146" s="88">
        <v>1.71149144254279</v>
      </c>
      <c r="P146" s="33">
        <v>4</v>
      </c>
      <c r="Q146" s="88">
        <v>0.97799511002445</v>
      </c>
      <c r="R146" s="33">
        <v>1</v>
      </c>
      <c r="S146" s="88">
        <v>0.244498777506112</v>
      </c>
      <c r="T146" s="25" t="str">
        <f t="shared" si="19"/>
        <v>CONGRESS GAIN</v>
      </c>
      <c r="U146" s="91">
        <f t="shared" ref="U146:U159" si="25">I146-G146</f>
        <v>78.239608801956</v>
      </c>
      <c r="V146" s="25" t="str">
        <f t="shared" si="21"/>
        <v>VERYHIGHMARGIN</v>
      </c>
    </row>
    <row r="147" spans="1:22">
      <c r="A147" s="33">
        <v>145</v>
      </c>
      <c r="B147" s="87" t="s">
        <v>161</v>
      </c>
      <c r="C147" s="33">
        <v>914</v>
      </c>
      <c r="D147" s="33">
        <v>581</v>
      </c>
      <c r="E147" s="88">
        <v>63.5667396061269</v>
      </c>
      <c r="F147" s="33">
        <v>42</v>
      </c>
      <c r="G147" s="88">
        <v>7.2289156626506</v>
      </c>
      <c r="H147" s="33">
        <v>506</v>
      </c>
      <c r="I147" s="88">
        <v>87.0912220309811</v>
      </c>
      <c r="J147" s="33">
        <v>1</v>
      </c>
      <c r="K147" s="88">
        <v>0.172117039586919</v>
      </c>
      <c r="L147" s="33">
        <v>2</v>
      </c>
      <c r="M147" s="88">
        <v>0.344234079173838</v>
      </c>
      <c r="N147" s="33">
        <v>13</v>
      </c>
      <c r="O147" s="88">
        <v>2.23752151462995</v>
      </c>
      <c r="P147" s="33">
        <v>13</v>
      </c>
      <c r="Q147" s="88">
        <v>2.23752151462995</v>
      </c>
      <c r="R147" s="33">
        <v>4</v>
      </c>
      <c r="S147" s="88">
        <v>0.688468158347676</v>
      </c>
      <c r="T147" s="25" t="str">
        <f t="shared" si="19"/>
        <v>CONGRESS GAIN</v>
      </c>
      <c r="U147" s="91">
        <f t="shared" si="25"/>
        <v>79.8623063683305</v>
      </c>
      <c r="V147" s="25" t="str">
        <f t="shared" si="21"/>
        <v>VERYHIGHMARGIN</v>
      </c>
    </row>
    <row r="148" spans="1:22">
      <c r="A148" s="33">
        <v>146</v>
      </c>
      <c r="B148" s="87" t="s">
        <v>162</v>
      </c>
      <c r="C148" s="33">
        <v>910</v>
      </c>
      <c r="D148" s="33">
        <v>476</v>
      </c>
      <c r="E148" s="88">
        <v>52.3076923076923</v>
      </c>
      <c r="F148" s="33">
        <v>46</v>
      </c>
      <c r="G148" s="88">
        <v>9.66386554621849</v>
      </c>
      <c r="H148" s="33">
        <v>405</v>
      </c>
      <c r="I148" s="88">
        <v>85.0840336134454</v>
      </c>
      <c r="J148" s="33">
        <v>0</v>
      </c>
      <c r="K148" s="88">
        <v>0</v>
      </c>
      <c r="L148" s="33">
        <v>1</v>
      </c>
      <c r="M148" s="88">
        <v>0.210084033613445</v>
      </c>
      <c r="N148" s="33">
        <v>20</v>
      </c>
      <c r="O148" s="88">
        <v>4.20168067226891</v>
      </c>
      <c r="P148" s="33">
        <v>0</v>
      </c>
      <c r="Q148" s="88">
        <v>0</v>
      </c>
      <c r="R148" s="33">
        <v>4</v>
      </c>
      <c r="S148" s="88">
        <v>0.840336134453782</v>
      </c>
      <c r="T148" s="25" t="str">
        <f t="shared" si="19"/>
        <v>CONGRESS GAIN</v>
      </c>
      <c r="U148" s="91">
        <f t="shared" si="25"/>
        <v>75.4201680672269</v>
      </c>
      <c r="V148" s="25" t="str">
        <f t="shared" si="21"/>
        <v>VERYHIGHMARGIN</v>
      </c>
    </row>
    <row r="149" spans="1:22">
      <c r="A149" s="33">
        <v>147</v>
      </c>
      <c r="B149" s="87" t="s">
        <v>163</v>
      </c>
      <c r="C149" s="33">
        <v>887</v>
      </c>
      <c r="D149" s="33">
        <v>519</v>
      </c>
      <c r="E149" s="88">
        <v>58.5118376550169</v>
      </c>
      <c r="F149" s="33">
        <v>55</v>
      </c>
      <c r="G149" s="88">
        <v>10.597302504817</v>
      </c>
      <c r="H149" s="33">
        <v>431</v>
      </c>
      <c r="I149" s="88">
        <v>83.0443159922929</v>
      </c>
      <c r="J149" s="33">
        <v>3</v>
      </c>
      <c r="K149" s="88">
        <v>0.578034682080925</v>
      </c>
      <c r="L149" s="33">
        <v>0</v>
      </c>
      <c r="M149" s="88">
        <v>0</v>
      </c>
      <c r="N149" s="33">
        <v>16</v>
      </c>
      <c r="O149" s="88">
        <v>3.08285163776493</v>
      </c>
      <c r="P149" s="33">
        <v>7</v>
      </c>
      <c r="Q149" s="88">
        <v>1.34874759152216</v>
      </c>
      <c r="R149" s="33">
        <v>7</v>
      </c>
      <c r="S149" s="88">
        <v>1.34874759152216</v>
      </c>
      <c r="T149" s="25" t="str">
        <f t="shared" si="19"/>
        <v>CONGRESS GAIN</v>
      </c>
      <c r="U149" s="91">
        <f t="shared" si="25"/>
        <v>72.4470134874759</v>
      </c>
      <c r="V149" s="25" t="str">
        <f t="shared" si="21"/>
        <v>VERYHIGHMARGIN</v>
      </c>
    </row>
    <row r="150" spans="1:22">
      <c r="A150" s="33">
        <v>148</v>
      </c>
      <c r="B150" s="87" t="s">
        <v>164</v>
      </c>
      <c r="C150" s="33">
        <v>921</v>
      </c>
      <c r="D150" s="33">
        <v>498</v>
      </c>
      <c r="E150" s="88">
        <v>54.071661237785</v>
      </c>
      <c r="F150" s="33">
        <v>101</v>
      </c>
      <c r="G150" s="88">
        <v>20.281124497992</v>
      </c>
      <c r="H150" s="33">
        <v>359</v>
      </c>
      <c r="I150" s="88">
        <v>72.0883534136546</v>
      </c>
      <c r="J150" s="33">
        <v>1</v>
      </c>
      <c r="K150" s="88">
        <v>0.200803212851406</v>
      </c>
      <c r="L150" s="33">
        <v>2</v>
      </c>
      <c r="M150" s="88">
        <v>0.401606425702811</v>
      </c>
      <c r="N150" s="33">
        <v>27</v>
      </c>
      <c r="O150" s="88">
        <v>5.42168674698795</v>
      </c>
      <c r="P150" s="33">
        <v>4</v>
      </c>
      <c r="Q150" s="88">
        <v>0.803212851405622</v>
      </c>
      <c r="R150" s="33">
        <v>4</v>
      </c>
      <c r="S150" s="88">
        <v>0.803212851405622</v>
      </c>
      <c r="T150" s="25" t="str">
        <f t="shared" si="19"/>
        <v>CONGRESS GAIN</v>
      </c>
      <c r="U150" s="91">
        <f t="shared" si="25"/>
        <v>51.8072289156626</v>
      </c>
      <c r="V150" s="25" t="str">
        <f t="shared" si="21"/>
        <v>VERYHIGHMARGIN</v>
      </c>
    </row>
    <row r="151" spans="1:22">
      <c r="A151" s="33">
        <v>149</v>
      </c>
      <c r="B151" s="87" t="s">
        <v>164</v>
      </c>
      <c r="C151" s="33">
        <v>856</v>
      </c>
      <c r="D151" s="33">
        <v>554</v>
      </c>
      <c r="E151" s="88">
        <v>64.7196261682243</v>
      </c>
      <c r="F151" s="33">
        <v>118</v>
      </c>
      <c r="G151" s="88">
        <v>21.2996389891697</v>
      </c>
      <c r="H151" s="33">
        <v>409</v>
      </c>
      <c r="I151" s="88">
        <v>73.8267148014441</v>
      </c>
      <c r="J151" s="33">
        <v>0</v>
      </c>
      <c r="K151" s="88">
        <v>0</v>
      </c>
      <c r="L151" s="33">
        <v>0</v>
      </c>
      <c r="M151" s="88">
        <v>0</v>
      </c>
      <c r="N151" s="33">
        <v>19</v>
      </c>
      <c r="O151" s="88">
        <v>3.42960288808664</v>
      </c>
      <c r="P151" s="33">
        <v>3</v>
      </c>
      <c r="Q151" s="88">
        <v>0.541516245487365</v>
      </c>
      <c r="R151" s="33">
        <v>5</v>
      </c>
      <c r="S151" s="88">
        <v>0.902527075812274</v>
      </c>
      <c r="T151" s="25" t="str">
        <f t="shared" si="19"/>
        <v>CONGRESS GAIN</v>
      </c>
      <c r="U151" s="91">
        <f t="shared" si="25"/>
        <v>52.5270758122744</v>
      </c>
      <c r="V151" s="25" t="str">
        <f t="shared" si="21"/>
        <v>VERYHIGHMARGIN</v>
      </c>
    </row>
    <row r="152" spans="1:22">
      <c r="A152" s="33">
        <v>150</v>
      </c>
      <c r="B152" s="87" t="s">
        <v>165</v>
      </c>
      <c r="C152" s="33">
        <v>1077</v>
      </c>
      <c r="D152" s="33">
        <v>670</v>
      </c>
      <c r="E152" s="88">
        <v>62.2098421541318</v>
      </c>
      <c r="F152" s="33">
        <v>265</v>
      </c>
      <c r="G152" s="88">
        <v>39.5522388059701</v>
      </c>
      <c r="H152" s="33">
        <v>378</v>
      </c>
      <c r="I152" s="88">
        <v>56.4179104477612</v>
      </c>
      <c r="J152" s="33">
        <v>0</v>
      </c>
      <c r="K152" s="88">
        <v>0</v>
      </c>
      <c r="L152" s="33">
        <v>4</v>
      </c>
      <c r="M152" s="88">
        <v>0.597014925373134</v>
      </c>
      <c r="N152" s="33">
        <v>15</v>
      </c>
      <c r="O152" s="88">
        <v>2.23880597014925</v>
      </c>
      <c r="P152" s="33">
        <v>5</v>
      </c>
      <c r="Q152" s="88">
        <v>0.746268656716418</v>
      </c>
      <c r="R152" s="33">
        <v>3</v>
      </c>
      <c r="S152" s="88">
        <v>0.447761194029851</v>
      </c>
      <c r="T152" s="25" t="str">
        <f t="shared" si="19"/>
        <v>CONGRESS GAIN</v>
      </c>
      <c r="U152" s="91">
        <f t="shared" si="25"/>
        <v>16.8656716417911</v>
      </c>
      <c r="V152" s="27" t="str">
        <f t="shared" si="21"/>
        <v>LOWMARGIN</v>
      </c>
    </row>
    <row r="153" spans="1:22">
      <c r="A153" s="33">
        <v>151</v>
      </c>
      <c r="B153" s="87" t="s">
        <v>166</v>
      </c>
      <c r="C153" s="33">
        <v>1233</v>
      </c>
      <c r="D153" s="33">
        <v>722</v>
      </c>
      <c r="E153" s="88">
        <v>58.5563665855637</v>
      </c>
      <c r="F153" s="33">
        <v>248</v>
      </c>
      <c r="G153" s="88">
        <v>34.3490304709141</v>
      </c>
      <c r="H153" s="33">
        <v>421</v>
      </c>
      <c r="I153" s="88">
        <v>58.3102493074792</v>
      </c>
      <c r="J153" s="33">
        <v>0</v>
      </c>
      <c r="K153" s="88">
        <v>0</v>
      </c>
      <c r="L153" s="33">
        <v>2</v>
      </c>
      <c r="M153" s="88">
        <v>0.277008310249307</v>
      </c>
      <c r="N153" s="33">
        <v>43</v>
      </c>
      <c r="O153" s="88">
        <v>5.95567867036011</v>
      </c>
      <c r="P153" s="33">
        <v>3</v>
      </c>
      <c r="Q153" s="88">
        <v>0.415512465373961</v>
      </c>
      <c r="R153" s="33">
        <v>5</v>
      </c>
      <c r="S153" s="88">
        <v>0.692520775623269</v>
      </c>
      <c r="T153" s="25" t="str">
        <f t="shared" si="19"/>
        <v>CONGRESS GAIN</v>
      </c>
      <c r="U153" s="91">
        <f t="shared" si="25"/>
        <v>23.9612188365651</v>
      </c>
      <c r="V153" s="27" t="str">
        <f t="shared" si="21"/>
        <v>LOWMARGIN</v>
      </c>
    </row>
    <row r="154" spans="1:22">
      <c r="A154" s="33">
        <v>152</v>
      </c>
      <c r="B154" s="87" t="s">
        <v>167</v>
      </c>
      <c r="C154" s="33">
        <v>1015</v>
      </c>
      <c r="D154" s="33">
        <v>618</v>
      </c>
      <c r="E154" s="88">
        <v>60.8866995073892</v>
      </c>
      <c r="F154" s="33">
        <v>197</v>
      </c>
      <c r="G154" s="88">
        <v>31.8770226537217</v>
      </c>
      <c r="H154" s="33">
        <v>378</v>
      </c>
      <c r="I154" s="88">
        <v>61.1650485436893</v>
      </c>
      <c r="J154" s="33">
        <v>0</v>
      </c>
      <c r="K154" s="88">
        <v>0</v>
      </c>
      <c r="L154" s="33">
        <v>0</v>
      </c>
      <c r="M154" s="88">
        <v>0</v>
      </c>
      <c r="N154" s="33">
        <v>37</v>
      </c>
      <c r="O154" s="88">
        <v>5.98705501618123</v>
      </c>
      <c r="P154" s="33">
        <v>3</v>
      </c>
      <c r="Q154" s="88">
        <v>0.485436893203883</v>
      </c>
      <c r="R154" s="33">
        <v>3</v>
      </c>
      <c r="S154" s="88">
        <v>0.485436893203883</v>
      </c>
      <c r="T154" s="25" t="str">
        <f t="shared" si="19"/>
        <v>CONGRESS GAIN</v>
      </c>
      <c r="U154" s="91">
        <f t="shared" si="25"/>
        <v>29.2880258899676</v>
      </c>
      <c r="V154" s="27" t="str">
        <f t="shared" si="21"/>
        <v>LOWMARGIN</v>
      </c>
    </row>
    <row r="155" spans="1:22">
      <c r="A155" s="33">
        <v>153</v>
      </c>
      <c r="B155" s="87" t="s">
        <v>168</v>
      </c>
      <c r="C155" s="33">
        <v>864</v>
      </c>
      <c r="D155" s="33">
        <v>419</v>
      </c>
      <c r="E155" s="88">
        <v>48.4953703703704</v>
      </c>
      <c r="F155" s="33">
        <v>96</v>
      </c>
      <c r="G155" s="88">
        <v>22.9116945107399</v>
      </c>
      <c r="H155" s="33">
        <v>307</v>
      </c>
      <c r="I155" s="88">
        <v>73.2696897374702</v>
      </c>
      <c r="J155" s="33">
        <v>0</v>
      </c>
      <c r="K155" s="88">
        <v>0</v>
      </c>
      <c r="L155" s="33">
        <v>1</v>
      </c>
      <c r="M155" s="88">
        <v>0.238663484486874</v>
      </c>
      <c r="N155" s="33">
        <v>10</v>
      </c>
      <c r="O155" s="88">
        <v>2.38663484486873</v>
      </c>
      <c r="P155" s="33">
        <v>1</v>
      </c>
      <c r="Q155" s="88">
        <v>0.238663484486874</v>
      </c>
      <c r="R155" s="33">
        <v>4</v>
      </c>
      <c r="S155" s="88">
        <v>0.954653937947494</v>
      </c>
      <c r="T155" s="25" t="str">
        <f t="shared" si="19"/>
        <v>CONGRESS GAIN</v>
      </c>
      <c r="U155" s="91">
        <f t="shared" si="25"/>
        <v>50.3579952267303</v>
      </c>
      <c r="V155" s="25" t="str">
        <f t="shared" si="21"/>
        <v>VERYHIGHMARGIN</v>
      </c>
    </row>
    <row r="156" spans="1:22">
      <c r="A156" s="33">
        <v>154</v>
      </c>
      <c r="B156" s="87" t="s">
        <v>169</v>
      </c>
      <c r="C156" s="33">
        <v>1314</v>
      </c>
      <c r="D156" s="33">
        <v>877</v>
      </c>
      <c r="E156" s="88">
        <v>66.7427701674277</v>
      </c>
      <c r="F156" s="33">
        <v>313</v>
      </c>
      <c r="G156" s="88">
        <v>35.6898517673888</v>
      </c>
      <c r="H156" s="33">
        <v>523</v>
      </c>
      <c r="I156" s="88">
        <v>59.6351197263398</v>
      </c>
      <c r="J156" s="33">
        <v>1</v>
      </c>
      <c r="K156" s="88">
        <v>0.114025085518814</v>
      </c>
      <c r="L156" s="33">
        <v>1</v>
      </c>
      <c r="M156" s="88">
        <v>0.114025085518814</v>
      </c>
      <c r="N156" s="33">
        <v>26</v>
      </c>
      <c r="O156" s="88">
        <v>2.96465222348917</v>
      </c>
      <c r="P156" s="33">
        <v>10</v>
      </c>
      <c r="Q156" s="88">
        <v>1.14025085518814</v>
      </c>
      <c r="R156" s="33">
        <v>3</v>
      </c>
      <c r="S156" s="88">
        <v>0.342075256556442</v>
      </c>
      <c r="T156" s="25" t="str">
        <f t="shared" si="19"/>
        <v>CONGRESS GAIN</v>
      </c>
      <c r="U156" s="91">
        <f t="shared" si="25"/>
        <v>23.945267958951</v>
      </c>
      <c r="V156" s="27" t="str">
        <f t="shared" si="21"/>
        <v>LOWMARGIN</v>
      </c>
    </row>
    <row r="157" spans="1:22">
      <c r="A157" s="33">
        <v>155</v>
      </c>
      <c r="B157" s="87" t="s">
        <v>170</v>
      </c>
      <c r="C157" s="33">
        <v>1375</v>
      </c>
      <c r="D157" s="33">
        <v>902</v>
      </c>
      <c r="E157" s="88">
        <v>65.6</v>
      </c>
      <c r="F157" s="33">
        <v>497</v>
      </c>
      <c r="G157" s="88">
        <v>55.09977827051</v>
      </c>
      <c r="H157" s="33">
        <v>367</v>
      </c>
      <c r="I157" s="88">
        <v>40.6873614190687</v>
      </c>
      <c r="J157" s="33">
        <v>4</v>
      </c>
      <c r="K157" s="88">
        <v>0.443458980044346</v>
      </c>
      <c r="L157" s="33">
        <v>9</v>
      </c>
      <c r="M157" s="88">
        <v>0.997782705099778</v>
      </c>
      <c r="N157" s="33">
        <v>12</v>
      </c>
      <c r="O157" s="88">
        <v>1.33037694013304</v>
      </c>
      <c r="P157" s="33">
        <v>9</v>
      </c>
      <c r="Q157" s="88">
        <v>0.997782705099778</v>
      </c>
      <c r="R157" s="33">
        <v>4</v>
      </c>
      <c r="S157" s="88">
        <v>0.443458980044346</v>
      </c>
      <c r="T157" s="34" t="str">
        <f t="shared" si="19"/>
        <v>BJP GAIN</v>
      </c>
      <c r="U157" s="91">
        <f t="shared" si="20"/>
        <v>14.4124168514412</v>
      </c>
      <c r="V157" s="27" t="str">
        <f t="shared" si="21"/>
        <v>LOWMARGIN</v>
      </c>
    </row>
    <row r="158" spans="1:22">
      <c r="A158" s="33">
        <v>156</v>
      </c>
      <c r="B158" s="87" t="s">
        <v>171</v>
      </c>
      <c r="C158" s="33">
        <v>734</v>
      </c>
      <c r="D158" s="33">
        <v>523</v>
      </c>
      <c r="E158" s="88">
        <v>71.2534059945504</v>
      </c>
      <c r="F158" s="33">
        <v>228</v>
      </c>
      <c r="G158" s="88">
        <v>43.5946462715105</v>
      </c>
      <c r="H158" s="33">
        <v>275</v>
      </c>
      <c r="I158" s="88">
        <v>52.5812619502868</v>
      </c>
      <c r="J158" s="33">
        <v>1</v>
      </c>
      <c r="K158" s="88">
        <v>0.191204588910134</v>
      </c>
      <c r="L158" s="33">
        <v>1</v>
      </c>
      <c r="M158" s="88">
        <v>0.191204588910134</v>
      </c>
      <c r="N158" s="33">
        <v>12</v>
      </c>
      <c r="O158" s="88">
        <v>2.29445506692161</v>
      </c>
      <c r="P158" s="33">
        <v>4</v>
      </c>
      <c r="Q158" s="88">
        <v>0.764818355640535</v>
      </c>
      <c r="R158" s="33">
        <v>2</v>
      </c>
      <c r="S158" s="88">
        <v>0.382409177820268</v>
      </c>
      <c r="T158" s="25" t="str">
        <f t="shared" si="19"/>
        <v>CONGRESS GAIN</v>
      </c>
      <c r="U158" s="91">
        <f t="shared" si="25"/>
        <v>8.98661567877629</v>
      </c>
      <c r="V158" s="26" t="str">
        <f t="shared" si="21"/>
        <v>NARROWMARGIN</v>
      </c>
    </row>
    <row r="159" spans="1:22">
      <c r="A159" s="33">
        <v>157</v>
      </c>
      <c r="B159" s="87" t="s">
        <v>172</v>
      </c>
      <c r="C159" s="33">
        <v>651</v>
      </c>
      <c r="D159" s="33">
        <v>437</v>
      </c>
      <c r="E159" s="88">
        <v>67.1274961597542</v>
      </c>
      <c r="F159" s="33">
        <v>155</v>
      </c>
      <c r="G159" s="88">
        <v>35.4691075514874</v>
      </c>
      <c r="H159" s="33">
        <v>271</v>
      </c>
      <c r="I159" s="88">
        <v>62.0137299771167</v>
      </c>
      <c r="J159" s="33">
        <v>0</v>
      </c>
      <c r="K159" s="88">
        <v>0</v>
      </c>
      <c r="L159" s="33">
        <v>0</v>
      </c>
      <c r="M159" s="88">
        <v>0</v>
      </c>
      <c r="N159" s="33">
        <v>8</v>
      </c>
      <c r="O159" s="88">
        <v>1.83066361556064</v>
      </c>
      <c r="P159" s="33">
        <v>3</v>
      </c>
      <c r="Q159" s="88">
        <v>0.68649885583524</v>
      </c>
      <c r="R159" s="33">
        <v>0</v>
      </c>
      <c r="S159" s="88">
        <v>0</v>
      </c>
      <c r="T159" s="25" t="str">
        <f t="shared" si="19"/>
        <v>CONGRESS GAIN</v>
      </c>
      <c r="U159" s="91">
        <f t="shared" si="25"/>
        <v>26.5446224256293</v>
      </c>
      <c r="V159" s="27" t="str">
        <f t="shared" si="21"/>
        <v>LOWMARGIN</v>
      </c>
    </row>
    <row r="160" spans="1:22">
      <c r="A160" s="33">
        <v>158</v>
      </c>
      <c r="B160" s="87" t="s">
        <v>173</v>
      </c>
      <c r="C160" s="33">
        <v>1279</v>
      </c>
      <c r="D160" s="33">
        <v>882</v>
      </c>
      <c r="E160" s="88">
        <v>68.9601250977326</v>
      </c>
      <c r="F160" s="33">
        <v>441</v>
      </c>
      <c r="G160" s="88">
        <v>50</v>
      </c>
      <c r="H160" s="33">
        <v>427</v>
      </c>
      <c r="I160" s="88">
        <v>48.4126984126984</v>
      </c>
      <c r="J160" s="33">
        <v>1</v>
      </c>
      <c r="K160" s="88">
        <v>0.113378684807256</v>
      </c>
      <c r="L160" s="33">
        <v>8</v>
      </c>
      <c r="M160" s="88">
        <v>0.90702947845805</v>
      </c>
      <c r="N160" s="33">
        <v>2</v>
      </c>
      <c r="O160" s="88">
        <v>0.226757369614512</v>
      </c>
      <c r="P160" s="33">
        <v>2</v>
      </c>
      <c r="Q160" s="88">
        <v>0.226757369614512</v>
      </c>
      <c r="R160" s="33">
        <v>1</v>
      </c>
      <c r="S160" s="88">
        <v>0.113378684807256</v>
      </c>
      <c r="T160" s="34" t="str">
        <f t="shared" si="19"/>
        <v>BJP GAIN</v>
      </c>
      <c r="U160" s="91">
        <f t="shared" si="20"/>
        <v>1.58730158730159</v>
      </c>
      <c r="V160" s="26" t="str">
        <f t="shared" si="21"/>
        <v>NARROWMARGIN</v>
      </c>
    </row>
    <row r="161" spans="1:22">
      <c r="A161" s="33">
        <v>159</v>
      </c>
      <c r="B161" s="87" t="s">
        <v>174</v>
      </c>
      <c r="C161" s="33">
        <v>958</v>
      </c>
      <c r="D161" s="33">
        <v>666</v>
      </c>
      <c r="E161" s="88">
        <v>69.5198329853862</v>
      </c>
      <c r="F161" s="33">
        <v>365</v>
      </c>
      <c r="G161" s="88">
        <v>54.8048048048048</v>
      </c>
      <c r="H161" s="33">
        <v>278</v>
      </c>
      <c r="I161" s="88">
        <v>41.7417417417417</v>
      </c>
      <c r="J161" s="33">
        <v>1</v>
      </c>
      <c r="K161" s="88">
        <v>0.15015015015015</v>
      </c>
      <c r="L161" s="33">
        <v>3</v>
      </c>
      <c r="M161" s="88">
        <v>0.45045045045045</v>
      </c>
      <c r="N161" s="33">
        <v>9</v>
      </c>
      <c r="O161" s="88">
        <v>1.35135135135135</v>
      </c>
      <c r="P161" s="33">
        <v>7</v>
      </c>
      <c r="Q161" s="88">
        <v>1.05105105105105</v>
      </c>
      <c r="R161" s="33">
        <v>3</v>
      </c>
      <c r="S161" s="88">
        <v>0.45045045045045</v>
      </c>
      <c r="T161" s="34" t="str">
        <f t="shared" si="19"/>
        <v>BJP GAIN</v>
      </c>
      <c r="U161" s="91">
        <f t="shared" si="20"/>
        <v>13.0630630630631</v>
      </c>
      <c r="V161" s="27" t="str">
        <f t="shared" si="21"/>
        <v>LOWMARGIN</v>
      </c>
    </row>
    <row r="162" spans="1:22">
      <c r="A162" s="33">
        <v>160</v>
      </c>
      <c r="B162" s="87" t="s">
        <v>175</v>
      </c>
      <c r="C162" s="33">
        <v>1379</v>
      </c>
      <c r="D162" s="33">
        <v>982</v>
      </c>
      <c r="E162" s="88">
        <v>71.211022480058</v>
      </c>
      <c r="F162" s="33">
        <v>556</v>
      </c>
      <c r="G162" s="88">
        <v>56.6191446028513</v>
      </c>
      <c r="H162" s="33">
        <v>407</v>
      </c>
      <c r="I162" s="88">
        <v>41.4460285132383</v>
      </c>
      <c r="J162" s="33">
        <v>0</v>
      </c>
      <c r="K162" s="88">
        <v>0</v>
      </c>
      <c r="L162" s="33">
        <v>2</v>
      </c>
      <c r="M162" s="88">
        <v>0.203665987780041</v>
      </c>
      <c r="N162" s="33">
        <v>9</v>
      </c>
      <c r="O162" s="88">
        <v>0.916496945010183</v>
      </c>
      <c r="P162" s="33">
        <v>2</v>
      </c>
      <c r="Q162" s="88">
        <v>0.203665987780041</v>
      </c>
      <c r="R162" s="33">
        <v>6</v>
      </c>
      <c r="S162" s="88">
        <v>0.610997963340122</v>
      </c>
      <c r="T162" s="34" t="str">
        <f t="shared" si="19"/>
        <v>BJP GAIN</v>
      </c>
      <c r="U162" s="91">
        <f t="shared" si="20"/>
        <v>15.173116089613</v>
      </c>
      <c r="V162" s="27" t="str">
        <f t="shared" si="21"/>
        <v>LOWMARGIN</v>
      </c>
    </row>
    <row r="163" spans="1:22">
      <c r="A163" s="33">
        <v>161</v>
      </c>
      <c r="B163" s="87" t="s">
        <v>176</v>
      </c>
      <c r="C163" s="33">
        <v>1288</v>
      </c>
      <c r="D163" s="33">
        <v>914</v>
      </c>
      <c r="E163" s="88">
        <v>70.9627329192547</v>
      </c>
      <c r="F163" s="33">
        <v>467</v>
      </c>
      <c r="G163" s="88">
        <v>51.0940919037199</v>
      </c>
      <c r="H163" s="33">
        <v>403</v>
      </c>
      <c r="I163" s="88">
        <v>44.0919037199125</v>
      </c>
      <c r="J163" s="33">
        <v>3</v>
      </c>
      <c r="K163" s="88">
        <v>0.328227571115974</v>
      </c>
      <c r="L163" s="33">
        <v>11</v>
      </c>
      <c r="M163" s="88">
        <v>1.2035010940919</v>
      </c>
      <c r="N163" s="33">
        <v>3</v>
      </c>
      <c r="O163" s="88">
        <v>0.328227571115974</v>
      </c>
      <c r="P163" s="33">
        <v>7</v>
      </c>
      <c r="Q163" s="88">
        <v>0.765864332603939</v>
      </c>
      <c r="R163" s="33">
        <v>20</v>
      </c>
      <c r="S163" s="88">
        <v>2.18818380743982</v>
      </c>
      <c r="T163" s="34" t="str">
        <f t="shared" si="19"/>
        <v>BJP GAIN</v>
      </c>
      <c r="U163" s="91">
        <f t="shared" si="20"/>
        <v>7.00218818380743</v>
      </c>
      <c r="V163" s="26" t="str">
        <f t="shared" si="21"/>
        <v>NARROWMARGIN</v>
      </c>
    </row>
    <row r="164" spans="1:22">
      <c r="A164" s="33">
        <v>162</v>
      </c>
      <c r="B164" s="87" t="s">
        <v>177</v>
      </c>
      <c r="C164" s="33">
        <v>873</v>
      </c>
      <c r="D164" s="33">
        <v>676</v>
      </c>
      <c r="E164" s="88">
        <v>77.4341351660939</v>
      </c>
      <c r="F164" s="33">
        <v>265</v>
      </c>
      <c r="G164" s="88">
        <v>39.2011834319527</v>
      </c>
      <c r="H164" s="33">
        <v>336</v>
      </c>
      <c r="I164" s="88">
        <v>49.7041420118343</v>
      </c>
      <c r="J164" s="33">
        <v>0</v>
      </c>
      <c r="K164" s="88">
        <v>0</v>
      </c>
      <c r="L164" s="33">
        <v>47</v>
      </c>
      <c r="M164" s="88">
        <v>6.95266272189349</v>
      </c>
      <c r="N164" s="33">
        <v>4</v>
      </c>
      <c r="O164" s="88">
        <v>0.591715976331361</v>
      </c>
      <c r="P164" s="33">
        <v>1</v>
      </c>
      <c r="Q164" s="88">
        <v>0.14792899408284</v>
      </c>
      <c r="R164" s="33">
        <v>23</v>
      </c>
      <c r="S164" s="88">
        <v>3.40236686390533</v>
      </c>
      <c r="T164" s="25" t="str">
        <f t="shared" si="19"/>
        <v>CONGRESS GAIN</v>
      </c>
      <c r="U164" s="91">
        <f t="shared" ref="U164" si="26">I164-G164</f>
        <v>10.5029585798817</v>
      </c>
      <c r="V164" s="27" t="str">
        <f t="shared" si="21"/>
        <v>LOWMARGIN</v>
      </c>
    </row>
    <row r="165" spans="1:22">
      <c r="A165" s="33">
        <v>163</v>
      </c>
      <c r="B165" s="87" t="s">
        <v>178</v>
      </c>
      <c r="C165" s="33">
        <v>614</v>
      </c>
      <c r="D165" s="33">
        <v>473</v>
      </c>
      <c r="E165" s="88">
        <v>77.0358306188925</v>
      </c>
      <c r="F165" s="33">
        <v>275</v>
      </c>
      <c r="G165" s="88">
        <v>58.1395348837209</v>
      </c>
      <c r="H165" s="33">
        <v>163</v>
      </c>
      <c r="I165" s="88">
        <v>34.46088794926</v>
      </c>
      <c r="J165" s="33">
        <v>4</v>
      </c>
      <c r="K165" s="88">
        <v>0.845665961945032</v>
      </c>
      <c r="L165" s="33">
        <v>23</v>
      </c>
      <c r="M165" s="88">
        <v>4.86257928118393</v>
      </c>
      <c r="N165" s="33">
        <v>3</v>
      </c>
      <c r="O165" s="88">
        <v>0.634249471458774</v>
      </c>
      <c r="P165" s="33">
        <v>1</v>
      </c>
      <c r="Q165" s="88">
        <v>0.211416490486258</v>
      </c>
      <c r="R165" s="33">
        <v>4</v>
      </c>
      <c r="S165" s="88">
        <v>0.845665961945032</v>
      </c>
      <c r="T165" s="34" t="str">
        <f t="shared" si="19"/>
        <v>BJP GAIN</v>
      </c>
      <c r="U165" s="91">
        <f t="shared" si="20"/>
        <v>23.6786469344609</v>
      </c>
      <c r="V165" s="27" t="str">
        <f t="shared" si="21"/>
        <v>LOWMARGIN</v>
      </c>
    </row>
    <row r="166" spans="1:22">
      <c r="A166" s="33">
        <v>164</v>
      </c>
      <c r="B166" s="87" t="s">
        <v>179</v>
      </c>
      <c r="C166" s="33">
        <v>1268</v>
      </c>
      <c r="D166" s="33">
        <v>965</v>
      </c>
      <c r="E166" s="88">
        <v>76.1041009463722</v>
      </c>
      <c r="F166" s="33">
        <v>654</v>
      </c>
      <c r="G166" s="88">
        <v>67.7720207253886</v>
      </c>
      <c r="H166" s="33">
        <v>284</v>
      </c>
      <c r="I166" s="88">
        <v>29.4300518134715</v>
      </c>
      <c r="J166" s="33">
        <v>1</v>
      </c>
      <c r="K166" s="88">
        <v>0.103626943005181</v>
      </c>
      <c r="L166" s="33">
        <v>7</v>
      </c>
      <c r="M166" s="88">
        <v>0.725388601036269</v>
      </c>
      <c r="N166" s="33">
        <v>9</v>
      </c>
      <c r="O166" s="88">
        <v>0.932642487046632</v>
      </c>
      <c r="P166" s="33">
        <v>4</v>
      </c>
      <c r="Q166" s="88">
        <v>0.414507772020725</v>
      </c>
      <c r="R166" s="33">
        <v>6</v>
      </c>
      <c r="S166" s="88">
        <v>0.621761658031088</v>
      </c>
      <c r="T166" s="34" t="str">
        <f t="shared" si="19"/>
        <v>BJP GAIN</v>
      </c>
      <c r="U166" s="91">
        <f t="shared" si="20"/>
        <v>38.3419689119171</v>
      </c>
      <c r="V166" s="35" t="str">
        <f t="shared" si="21"/>
        <v>MEDIUMMARGIN</v>
      </c>
    </row>
    <row r="167" spans="1:22">
      <c r="A167" s="33">
        <v>165</v>
      </c>
      <c r="B167" s="87" t="s">
        <v>180</v>
      </c>
      <c r="C167" s="33">
        <v>1220</v>
      </c>
      <c r="D167" s="33">
        <v>851</v>
      </c>
      <c r="E167" s="88">
        <v>69.7540983606557</v>
      </c>
      <c r="F167" s="33">
        <v>484</v>
      </c>
      <c r="G167" s="88">
        <v>56.8742655699177</v>
      </c>
      <c r="H167" s="33">
        <v>342</v>
      </c>
      <c r="I167" s="88">
        <v>40.1880141010576</v>
      </c>
      <c r="J167" s="33">
        <v>1</v>
      </c>
      <c r="K167" s="88">
        <v>0.117508813160987</v>
      </c>
      <c r="L167" s="33">
        <v>5</v>
      </c>
      <c r="M167" s="88">
        <v>0.587544065804935</v>
      </c>
      <c r="N167" s="33">
        <v>12</v>
      </c>
      <c r="O167" s="88">
        <v>1.41010575793185</v>
      </c>
      <c r="P167" s="33">
        <v>5</v>
      </c>
      <c r="Q167" s="88">
        <v>0.587544065804935</v>
      </c>
      <c r="R167" s="33">
        <v>2</v>
      </c>
      <c r="S167" s="88">
        <v>0.235017626321974</v>
      </c>
      <c r="T167" s="34" t="str">
        <f t="shared" si="19"/>
        <v>BJP GAIN</v>
      </c>
      <c r="U167" s="91">
        <f t="shared" si="20"/>
        <v>16.6862514688602</v>
      </c>
      <c r="V167" s="27" t="str">
        <f t="shared" si="21"/>
        <v>LOWMARGIN</v>
      </c>
    </row>
    <row r="168" spans="1:22">
      <c r="A168" s="33">
        <v>166</v>
      </c>
      <c r="B168" s="87" t="s">
        <v>181</v>
      </c>
      <c r="C168" s="33">
        <v>911</v>
      </c>
      <c r="D168" s="33">
        <v>628</v>
      </c>
      <c r="E168" s="88">
        <v>68.9352360043908</v>
      </c>
      <c r="F168" s="33">
        <v>420</v>
      </c>
      <c r="G168" s="88">
        <v>66.8789808917197</v>
      </c>
      <c r="H168" s="33">
        <v>183</v>
      </c>
      <c r="I168" s="88">
        <v>29.140127388535</v>
      </c>
      <c r="J168" s="33">
        <v>2</v>
      </c>
      <c r="K168" s="88">
        <v>0.318471337579618</v>
      </c>
      <c r="L168" s="33">
        <v>7</v>
      </c>
      <c r="M168" s="88">
        <v>1.11464968152866</v>
      </c>
      <c r="N168" s="33">
        <v>13</v>
      </c>
      <c r="O168" s="88">
        <v>2.07006369426752</v>
      </c>
      <c r="P168" s="33">
        <v>1</v>
      </c>
      <c r="Q168" s="88">
        <v>0.159235668789809</v>
      </c>
      <c r="R168" s="33">
        <v>2</v>
      </c>
      <c r="S168" s="88">
        <v>0.318471337579618</v>
      </c>
      <c r="T168" s="34" t="str">
        <f t="shared" si="19"/>
        <v>BJP GAIN</v>
      </c>
      <c r="U168" s="91">
        <f t="shared" si="20"/>
        <v>37.7388535031847</v>
      </c>
      <c r="V168" s="35" t="str">
        <f t="shared" si="21"/>
        <v>MEDIUMMARGIN</v>
      </c>
    </row>
    <row r="169" spans="1:22">
      <c r="A169" s="33">
        <v>167</v>
      </c>
      <c r="B169" s="87" t="s">
        <v>182</v>
      </c>
      <c r="C169" s="33">
        <v>529</v>
      </c>
      <c r="D169" s="33">
        <v>360</v>
      </c>
      <c r="E169" s="88">
        <v>68.0529300567108</v>
      </c>
      <c r="F169" s="33">
        <v>160</v>
      </c>
      <c r="G169" s="88">
        <v>44.4444444444444</v>
      </c>
      <c r="H169" s="33">
        <v>181</v>
      </c>
      <c r="I169" s="88">
        <v>50.2777777777778</v>
      </c>
      <c r="J169" s="33">
        <v>0</v>
      </c>
      <c r="K169" s="88">
        <v>0</v>
      </c>
      <c r="L169" s="33">
        <v>6</v>
      </c>
      <c r="M169" s="88">
        <v>1.66666666666667</v>
      </c>
      <c r="N169" s="33">
        <v>1</v>
      </c>
      <c r="O169" s="88">
        <v>0.277777777777778</v>
      </c>
      <c r="P169" s="33">
        <v>0</v>
      </c>
      <c r="Q169" s="88">
        <v>0</v>
      </c>
      <c r="R169" s="33">
        <v>12</v>
      </c>
      <c r="S169" s="88">
        <v>3.33333333333333</v>
      </c>
      <c r="T169" s="25" t="str">
        <f t="shared" si="19"/>
        <v>CONGRESS GAIN</v>
      </c>
      <c r="U169" s="91">
        <f t="shared" ref="U169" si="27">I169-G169</f>
        <v>5.83333333333334</v>
      </c>
      <c r="V169" s="26" t="str">
        <f t="shared" si="21"/>
        <v>NARROWMARGIN</v>
      </c>
    </row>
    <row r="170" spans="1:22">
      <c r="A170" s="33">
        <v>168</v>
      </c>
      <c r="B170" s="87" t="s">
        <v>183</v>
      </c>
      <c r="C170" s="33">
        <v>719</v>
      </c>
      <c r="D170" s="33">
        <v>546</v>
      </c>
      <c r="E170" s="88">
        <v>75.9388038942976</v>
      </c>
      <c r="F170" s="33">
        <v>344</v>
      </c>
      <c r="G170" s="88">
        <v>63.003663003663</v>
      </c>
      <c r="H170" s="33">
        <v>173</v>
      </c>
      <c r="I170" s="88">
        <v>31.6849816849817</v>
      </c>
      <c r="J170" s="33">
        <v>1</v>
      </c>
      <c r="K170" s="88">
        <v>0.183150183150183</v>
      </c>
      <c r="L170" s="33">
        <v>11</v>
      </c>
      <c r="M170" s="88">
        <v>2.01465201465201</v>
      </c>
      <c r="N170" s="33">
        <v>7</v>
      </c>
      <c r="O170" s="88">
        <v>1.28205128205128</v>
      </c>
      <c r="P170" s="33">
        <v>5</v>
      </c>
      <c r="Q170" s="88">
        <v>0.915750915750916</v>
      </c>
      <c r="R170" s="33">
        <v>5</v>
      </c>
      <c r="S170" s="88">
        <v>0.915750915750916</v>
      </c>
      <c r="T170" s="34" t="str">
        <f t="shared" si="19"/>
        <v>BJP GAIN</v>
      </c>
      <c r="U170" s="91">
        <f t="shared" si="20"/>
        <v>31.3186813186813</v>
      </c>
      <c r="V170" s="35" t="str">
        <f t="shared" si="21"/>
        <v>MEDIUMMARGIN</v>
      </c>
    </row>
    <row r="171" spans="1:22">
      <c r="A171" s="33">
        <v>169</v>
      </c>
      <c r="B171" s="87" t="s">
        <v>184</v>
      </c>
      <c r="C171" s="33">
        <v>910</v>
      </c>
      <c r="D171" s="33">
        <v>695</v>
      </c>
      <c r="E171" s="88">
        <v>76.3736263736264</v>
      </c>
      <c r="F171" s="33">
        <v>504</v>
      </c>
      <c r="G171" s="88">
        <v>72.5179856115108</v>
      </c>
      <c r="H171" s="33">
        <v>168</v>
      </c>
      <c r="I171" s="88">
        <v>24.1726618705036</v>
      </c>
      <c r="J171" s="33">
        <v>2</v>
      </c>
      <c r="K171" s="88">
        <v>0.287769784172662</v>
      </c>
      <c r="L171" s="33">
        <v>4</v>
      </c>
      <c r="M171" s="88">
        <v>0.575539568345324</v>
      </c>
      <c r="N171" s="33">
        <v>9</v>
      </c>
      <c r="O171" s="88">
        <v>1.29496402877698</v>
      </c>
      <c r="P171" s="33">
        <v>3</v>
      </c>
      <c r="Q171" s="88">
        <v>0.431654676258993</v>
      </c>
      <c r="R171" s="33">
        <v>5</v>
      </c>
      <c r="S171" s="88">
        <v>0.719424460431655</v>
      </c>
      <c r="T171" s="34" t="str">
        <f t="shared" si="19"/>
        <v>BJP GAIN</v>
      </c>
      <c r="U171" s="91">
        <f t="shared" si="20"/>
        <v>48.3453237410072</v>
      </c>
      <c r="V171" s="92" t="str">
        <f t="shared" si="21"/>
        <v>HIGHMARGIN</v>
      </c>
    </row>
    <row r="172" spans="1:22">
      <c r="A172" s="33">
        <v>170</v>
      </c>
      <c r="B172" s="87" t="s">
        <v>185</v>
      </c>
      <c r="C172" s="33">
        <v>862</v>
      </c>
      <c r="D172" s="33">
        <v>661</v>
      </c>
      <c r="E172" s="88">
        <v>76.6821345707657</v>
      </c>
      <c r="F172" s="33">
        <v>391</v>
      </c>
      <c r="G172" s="88">
        <v>59.1527987897126</v>
      </c>
      <c r="H172" s="33">
        <v>256</v>
      </c>
      <c r="I172" s="88">
        <v>38.7291981845688</v>
      </c>
      <c r="J172" s="33">
        <v>0</v>
      </c>
      <c r="K172" s="88">
        <v>0</v>
      </c>
      <c r="L172" s="33">
        <v>1</v>
      </c>
      <c r="M172" s="88">
        <v>0.151285930408472</v>
      </c>
      <c r="N172" s="33">
        <v>7</v>
      </c>
      <c r="O172" s="88">
        <v>1.0590015128593</v>
      </c>
      <c r="P172" s="33">
        <v>0</v>
      </c>
      <c r="Q172" s="88">
        <v>0</v>
      </c>
      <c r="R172" s="33">
        <v>6</v>
      </c>
      <c r="S172" s="88">
        <v>0.907715582450832</v>
      </c>
      <c r="T172" s="34" t="str">
        <f t="shared" si="19"/>
        <v>BJP GAIN</v>
      </c>
      <c r="U172" s="91">
        <f t="shared" si="20"/>
        <v>20.4236006051437</v>
      </c>
      <c r="V172" s="27" t="str">
        <f t="shared" si="21"/>
        <v>LOWMARGIN</v>
      </c>
    </row>
    <row r="173" spans="1:22">
      <c r="A173" s="33">
        <v>171</v>
      </c>
      <c r="B173" s="87" t="s">
        <v>186</v>
      </c>
      <c r="C173" s="33">
        <v>838</v>
      </c>
      <c r="D173" s="33">
        <v>579</v>
      </c>
      <c r="E173" s="88">
        <v>69.0930787589499</v>
      </c>
      <c r="F173" s="33">
        <v>290</v>
      </c>
      <c r="G173" s="88">
        <v>50.0863557858377</v>
      </c>
      <c r="H173" s="33">
        <v>278</v>
      </c>
      <c r="I173" s="88">
        <v>48.013816925734</v>
      </c>
      <c r="J173" s="33">
        <v>1</v>
      </c>
      <c r="K173" s="88">
        <v>0.172711571675302</v>
      </c>
      <c r="L173" s="33">
        <v>1</v>
      </c>
      <c r="M173" s="88">
        <v>0.172711571675302</v>
      </c>
      <c r="N173" s="33">
        <v>8</v>
      </c>
      <c r="O173" s="88">
        <v>1.38169257340242</v>
      </c>
      <c r="P173" s="33">
        <v>1</v>
      </c>
      <c r="Q173" s="88">
        <v>0.172711571675302</v>
      </c>
      <c r="R173" s="33">
        <v>0</v>
      </c>
      <c r="S173" s="88">
        <v>0</v>
      </c>
      <c r="T173" s="34" t="str">
        <f t="shared" si="19"/>
        <v>BJP GAIN</v>
      </c>
      <c r="U173" s="91">
        <f t="shared" si="20"/>
        <v>2.07253886010363</v>
      </c>
      <c r="V173" s="26" t="str">
        <f t="shared" si="21"/>
        <v>NARROWMARGIN</v>
      </c>
    </row>
    <row r="174" spans="1:22">
      <c r="A174" s="33">
        <v>172</v>
      </c>
      <c r="B174" s="87" t="s">
        <v>187</v>
      </c>
      <c r="C174" s="33">
        <v>697</v>
      </c>
      <c r="D174" s="33">
        <v>466</v>
      </c>
      <c r="E174" s="88">
        <v>66.857962697274</v>
      </c>
      <c r="F174" s="33">
        <v>225</v>
      </c>
      <c r="G174" s="88">
        <v>48.2832618025751</v>
      </c>
      <c r="H174" s="33">
        <v>229</v>
      </c>
      <c r="I174" s="88">
        <v>49.1416309012876</v>
      </c>
      <c r="J174" s="33">
        <v>2</v>
      </c>
      <c r="K174" s="88">
        <v>0.429184549356223</v>
      </c>
      <c r="L174" s="33">
        <v>1</v>
      </c>
      <c r="M174" s="88">
        <v>0.214592274678112</v>
      </c>
      <c r="N174" s="33">
        <v>5</v>
      </c>
      <c r="O174" s="88">
        <v>1.07296137339056</v>
      </c>
      <c r="P174" s="33">
        <v>3</v>
      </c>
      <c r="Q174" s="88">
        <v>0.643776824034335</v>
      </c>
      <c r="R174" s="33">
        <v>1</v>
      </c>
      <c r="S174" s="88">
        <v>0.214592274678112</v>
      </c>
      <c r="T174" s="25" t="str">
        <f t="shared" si="19"/>
        <v>CONGRESS GAIN</v>
      </c>
      <c r="U174" s="91">
        <f t="shared" ref="U174:U176" si="28">I174-G174</f>
        <v>0.858369098712451</v>
      </c>
      <c r="V174" s="26" t="str">
        <f>IF(U174&gt;=50,"VERYHIGHMARGIN",IF(U174&gt;=40,"HIGHMARGIN",IF(U174&gt;=30,"MEDIUMMARGIN",IF(U174&gt;10,"LOWMARGIN",IF(U174&lt;1,"NARROWMARGIN")))))</f>
        <v>NARROWMARGIN</v>
      </c>
    </row>
    <row r="175" spans="1:22">
      <c r="A175" s="33">
        <v>173</v>
      </c>
      <c r="B175" s="87" t="s">
        <v>188</v>
      </c>
      <c r="C175" s="33">
        <v>979</v>
      </c>
      <c r="D175" s="33">
        <v>661</v>
      </c>
      <c r="E175" s="88">
        <v>67.5178753830439</v>
      </c>
      <c r="F175" s="33">
        <v>321</v>
      </c>
      <c r="G175" s="88">
        <v>48.5627836611195</v>
      </c>
      <c r="H175" s="33">
        <v>325</v>
      </c>
      <c r="I175" s="88">
        <v>49.1679273827534</v>
      </c>
      <c r="J175" s="33">
        <v>2</v>
      </c>
      <c r="K175" s="88">
        <v>0.302571860816944</v>
      </c>
      <c r="L175" s="33">
        <v>0</v>
      </c>
      <c r="M175" s="88">
        <v>0</v>
      </c>
      <c r="N175" s="33">
        <v>6</v>
      </c>
      <c r="O175" s="88">
        <v>0.907715582450832</v>
      </c>
      <c r="P175" s="33">
        <v>2</v>
      </c>
      <c r="Q175" s="88">
        <v>0.302571860816944</v>
      </c>
      <c r="R175" s="33">
        <v>5</v>
      </c>
      <c r="S175" s="88">
        <v>0.75642965204236</v>
      </c>
      <c r="T175" s="25" t="str">
        <f t="shared" si="19"/>
        <v>CONGRESS GAIN</v>
      </c>
      <c r="U175" s="91">
        <f t="shared" si="28"/>
        <v>0.605143721633887</v>
      </c>
      <c r="V175" s="26" t="str">
        <f>IF(U175&gt;=50,"VERYHIGHMARGIN",IF(U175&gt;=40,"HIGHMARGIN",IF(U175&gt;=30,"MEDIUMMARGIN",IF(U175&gt;10,"LOWMARGIN",IF(U175&lt;1,"NARROWMARGIN")))))</f>
        <v>NARROWMARGIN</v>
      </c>
    </row>
    <row r="176" spans="1:22">
      <c r="A176" s="33">
        <v>174</v>
      </c>
      <c r="B176" s="87" t="s">
        <v>189</v>
      </c>
      <c r="C176" s="33">
        <v>813</v>
      </c>
      <c r="D176" s="33">
        <v>564</v>
      </c>
      <c r="E176" s="88">
        <v>69.3726937269373</v>
      </c>
      <c r="F176" s="33">
        <v>243</v>
      </c>
      <c r="G176" s="88">
        <v>43.0851063829787</v>
      </c>
      <c r="H176" s="33">
        <v>308</v>
      </c>
      <c r="I176" s="88">
        <v>54.6099290780142</v>
      </c>
      <c r="J176" s="33">
        <v>2</v>
      </c>
      <c r="K176" s="88">
        <v>0.354609929078014</v>
      </c>
      <c r="L176" s="33">
        <v>2</v>
      </c>
      <c r="M176" s="88">
        <v>0.354609929078014</v>
      </c>
      <c r="N176" s="33">
        <v>3</v>
      </c>
      <c r="O176" s="88">
        <v>0.531914893617021</v>
      </c>
      <c r="P176" s="33">
        <v>5</v>
      </c>
      <c r="Q176" s="88">
        <v>0.886524822695036</v>
      </c>
      <c r="R176" s="33">
        <v>1</v>
      </c>
      <c r="S176" s="88">
        <v>0.177304964539007</v>
      </c>
      <c r="T176" s="25" t="str">
        <f t="shared" si="19"/>
        <v>CONGRESS GAIN</v>
      </c>
      <c r="U176" s="91">
        <f t="shared" si="28"/>
        <v>11.5248226950355</v>
      </c>
      <c r="V176" s="27" t="str">
        <f t="shared" si="21"/>
        <v>LOWMARGIN</v>
      </c>
    </row>
    <row r="177" spans="1:22">
      <c r="A177" s="33">
        <v>175</v>
      </c>
      <c r="B177" s="87" t="s">
        <v>190</v>
      </c>
      <c r="C177" s="33">
        <v>821</v>
      </c>
      <c r="D177" s="33">
        <v>665</v>
      </c>
      <c r="E177" s="88">
        <v>80.9987819732034</v>
      </c>
      <c r="F177" s="33">
        <v>495</v>
      </c>
      <c r="G177" s="88">
        <v>74.4360902255639</v>
      </c>
      <c r="H177" s="33">
        <v>155</v>
      </c>
      <c r="I177" s="88">
        <v>23.3082706766917</v>
      </c>
      <c r="J177" s="33">
        <v>2</v>
      </c>
      <c r="K177" s="88">
        <v>0.300751879699248</v>
      </c>
      <c r="L177" s="33">
        <v>5</v>
      </c>
      <c r="M177" s="88">
        <v>0.75187969924812</v>
      </c>
      <c r="N177" s="33">
        <v>1</v>
      </c>
      <c r="O177" s="88">
        <v>0.150375939849624</v>
      </c>
      <c r="P177" s="33">
        <v>3</v>
      </c>
      <c r="Q177" s="88">
        <v>0.451127819548872</v>
      </c>
      <c r="R177" s="33">
        <v>4</v>
      </c>
      <c r="S177" s="88">
        <v>0.601503759398496</v>
      </c>
      <c r="T177" s="34" t="str">
        <f t="shared" si="19"/>
        <v>BJP GAIN</v>
      </c>
      <c r="U177" s="91">
        <f t="shared" si="20"/>
        <v>51.1278195488722</v>
      </c>
      <c r="V177" s="25" t="str">
        <f t="shared" si="21"/>
        <v>VERYHIGHMARGIN</v>
      </c>
    </row>
    <row r="178" spans="1:22">
      <c r="A178" s="33">
        <v>176</v>
      </c>
      <c r="B178" s="87" t="s">
        <v>191</v>
      </c>
      <c r="C178" s="33">
        <v>624</v>
      </c>
      <c r="D178" s="33">
        <v>489</v>
      </c>
      <c r="E178" s="88">
        <v>78.3653846153846</v>
      </c>
      <c r="F178" s="33">
        <v>368</v>
      </c>
      <c r="G178" s="88">
        <v>75.2556237218814</v>
      </c>
      <c r="H178" s="33">
        <v>103</v>
      </c>
      <c r="I178" s="88">
        <v>21.0633946830266</v>
      </c>
      <c r="J178" s="33">
        <v>1</v>
      </c>
      <c r="K178" s="88">
        <v>0.204498977505113</v>
      </c>
      <c r="L178" s="33">
        <v>9</v>
      </c>
      <c r="M178" s="88">
        <v>1.84049079754601</v>
      </c>
      <c r="N178" s="33">
        <v>1</v>
      </c>
      <c r="O178" s="88">
        <v>0.204498977505113</v>
      </c>
      <c r="P178" s="33">
        <v>0</v>
      </c>
      <c r="Q178" s="88">
        <v>0</v>
      </c>
      <c r="R178" s="33">
        <v>7</v>
      </c>
      <c r="S178" s="88">
        <v>1.43149284253579</v>
      </c>
      <c r="T178" s="34" t="str">
        <f t="shared" si="19"/>
        <v>BJP GAIN</v>
      </c>
      <c r="U178" s="91">
        <f t="shared" si="20"/>
        <v>54.1922290388548</v>
      </c>
      <c r="V178" s="25" t="str">
        <f t="shared" si="21"/>
        <v>VERYHIGHMARGIN</v>
      </c>
    </row>
    <row r="179" spans="1:22">
      <c r="A179" s="33">
        <v>177</v>
      </c>
      <c r="B179" s="87" t="s">
        <v>192</v>
      </c>
      <c r="C179" s="33">
        <v>1030</v>
      </c>
      <c r="D179" s="33">
        <v>760</v>
      </c>
      <c r="E179" s="88">
        <v>73.7864077669903</v>
      </c>
      <c r="F179" s="33">
        <v>412</v>
      </c>
      <c r="G179" s="88">
        <v>54.2105263157895</v>
      </c>
      <c r="H179" s="33">
        <v>306</v>
      </c>
      <c r="I179" s="88">
        <v>40.2631578947368</v>
      </c>
      <c r="J179" s="33">
        <v>2</v>
      </c>
      <c r="K179" s="88">
        <v>0.263157894736842</v>
      </c>
      <c r="L179" s="33">
        <v>11</v>
      </c>
      <c r="M179" s="88">
        <v>1.44736842105263</v>
      </c>
      <c r="N179" s="33">
        <v>3</v>
      </c>
      <c r="O179" s="88">
        <v>0.394736842105263</v>
      </c>
      <c r="P179" s="33">
        <v>5</v>
      </c>
      <c r="Q179" s="88">
        <v>0.657894736842105</v>
      </c>
      <c r="R179" s="33">
        <v>21</v>
      </c>
      <c r="S179" s="88">
        <v>2.76315789473684</v>
      </c>
      <c r="T179" s="34" t="str">
        <f t="shared" si="19"/>
        <v>BJP GAIN</v>
      </c>
      <c r="U179" s="91">
        <f t="shared" si="20"/>
        <v>13.9473684210526</v>
      </c>
      <c r="V179" s="27" t="str">
        <f t="shared" si="21"/>
        <v>LOWMARGIN</v>
      </c>
    </row>
    <row r="180" spans="1:22">
      <c r="A180" s="33">
        <v>178</v>
      </c>
      <c r="B180" s="87" t="s">
        <v>193</v>
      </c>
      <c r="C180" s="33">
        <v>1149</v>
      </c>
      <c r="D180" s="33">
        <v>667</v>
      </c>
      <c r="E180" s="88">
        <v>58.0504786771105</v>
      </c>
      <c r="F180" s="33">
        <v>10</v>
      </c>
      <c r="G180" s="88">
        <v>1.49925037481259</v>
      </c>
      <c r="H180" s="33">
        <v>517</v>
      </c>
      <c r="I180" s="88">
        <v>77.5112443778111</v>
      </c>
      <c r="J180" s="33">
        <v>0</v>
      </c>
      <c r="K180" s="88">
        <v>0</v>
      </c>
      <c r="L180" s="33">
        <v>60</v>
      </c>
      <c r="M180" s="88">
        <v>8.99550224887556</v>
      </c>
      <c r="N180" s="33">
        <v>0</v>
      </c>
      <c r="O180" s="88">
        <v>0</v>
      </c>
      <c r="P180" s="33">
        <v>2</v>
      </c>
      <c r="Q180" s="88">
        <v>0.299850074962519</v>
      </c>
      <c r="R180" s="33">
        <v>78</v>
      </c>
      <c r="S180" s="88">
        <v>11.6941529235382</v>
      </c>
      <c r="T180" s="25" t="str">
        <f t="shared" si="19"/>
        <v>CONGRESS GAIN</v>
      </c>
      <c r="U180" s="91">
        <f t="shared" ref="U180" si="29">I180-G180</f>
        <v>76.0119940029985</v>
      </c>
      <c r="V180" s="25" t="str">
        <f t="shared" si="21"/>
        <v>VERYHIGHMARGIN</v>
      </c>
    </row>
    <row r="181" spans="1:22">
      <c r="A181" s="33">
        <v>179</v>
      </c>
      <c r="B181" s="87" t="s">
        <v>194</v>
      </c>
      <c r="C181" s="33">
        <v>1130</v>
      </c>
      <c r="D181" s="33">
        <v>795</v>
      </c>
      <c r="E181" s="88">
        <v>70.353982300885</v>
      </c>
      <c r="F181" s="33">
        <v>389</v>
      </c>
      <c r="G181" s="88">
        <v>48.9308176100629</v>
      </c>
      <c r="H181" s="33">
        <v>388</v>
      </c>
      <c r="I181" s="88">
        <v>48.8050314465409</v>
      </c>
      <c r="J181" s="33">
        <v>2</v>
      </c>
      <c r="K181" s="88">
        <v>0.251572327044025</v>
      </c>
      <c r="L181" s="33">
        <v>6</v>
      </c>
      <c r="M181" s="88">
        <v>0.754716981132076</v>
      </c>
      <c r="N181" s="33">
        <v>4</v>
      </c>
      <c r="O181" s="88">
        <v>0.50314465408805</v>
      </c>
      <c r="P181" s="33">
        <v>4</v>
      </c>
      <c r="Q181" s="88">
        <v>0.50314465408805</v>
      </c>
      <c r="R181" s="33">
        <v>2</v>
      </c>
      <c r="S181" s="88">
        <v>0.251572327044025</v>
      </c>
      <c r="T181" s="34" t="str">
        <f t="shared" si="19"/>
        <v>BJP GAIN</v>
      </c>
      <c r="U181" s="91">
        <f t="shared" si="20"/>
        <v>0.125786163522015</v>
      </c>
      <c r="V181" s="26" t="str">
        <f>IF(U181&gt;=50,"VERYHIGHMARGIN",IF(U181&gt;=40,"HIGHMARGIN",IF(U181&gt;=30,"MEDIUMMARGIN",IF(U181&gt;10,"LOWMARGIN",IF(U181&lt;1,"NARROWMARGIN")))))</f>
        <v>NARROWMARGIN</v>
      </c>
    </row>
    <row r="182" spans="1:22">
      <c r="A182" s="33">
        <v>180</v>
      </c>
      <c r="B182" s="87" t="s">
        <v>195</v>
      </c>
      <c r="C182" s="33">
        <v>1308</v>
      </c>
      <c r="D182" s="33">
        <v>893</v>
      </c>
      <c r="E182" s="88">
        <v>68.2721712538226</v>
      </c>
      <c r="F182" s="33">
        <v>46</v>
      </c>
      <c r="G182" s="88">
        <v>5.1511758118701</v>
      </c>
      <c r="H182" s="33">
        <v>673</v>
      </c>
      <c r="I182" s="88">
        <v>75.3639417693169</v>
      </c>
      <c r="J182" s="33">
        <v>2</v>
      </c>
      <c r="K182" s="88">
        <v>0.223964165733483</v>
      </c>
      <c r="L182" s="33">
        <v>34</v>
      </c>
      <c r="M182" s="88">
        <v>3.8073908174692</v>
      </c>
      <c r="N182" s="33">
        <v>0</v>
      </c>
      <c r="O182" s="88">
        <v>0</v>
      </c>
      <c r="P182" s="33">
        <v>4</v>
      </c>
      <c r="Q182" s="88">
        <v>0.447928331466965</v>
      </c>
      <c r="R182" s="33">
        <v>134</v>
      </c>
      <c r="S182" s="88">
        <v>15.0055991041433</v>
      </c>
      <c r="T182" s="25" t="str">
        <f t="shared" si="19"/>
        <v>CONGRESS GAIN</v>
      </c>
      <c r="U182" s="91">
        <f t="shared" ref="U182" si="30">I182-G182</f>
        <v>70.2127659574468</v>
      </c>
      <c r="V182" s="25" t="str">
        <f t="shared" si="21"/>
        <v>VERYHIGHMARGIN</v>
      </c>
    </row>
    <row r="183" spans="1:22">
      <c r="A183" s="33">
        <v>181</v>
      </c>
      <c r="B183" s="87" t="s">
        <v>196</v>
      </c>
      <c r="C183" s="33">
        <v>825</v>
      </c>
      <c r="D183" s="33">
        <v>585</v>
      </c>
      <c r="E183" s="88">
        <v>70.9090909090909</v>
      </c>
      <c r="F183" s="33">
        <v>343</v>
      </c>
      <c r="G183" s="88">
        <v>58.6324786324786</v>
      </c>
      <c r="H183" s="33">
        <v>177</v>
      </c>
      <c r="I183" s="88">
        <v>30.2564102564103</v>
      </c>
      <c r="J183" s="33">
        <v>3</v>
      </c>
      <c r="K183" s="88">
        <v>0.512820512820513</v>
      </c>
      <c r="L183" s="33">
        <v>39</v>
      </c>
      <c r="M183" s="88">
        <v>6.66666666666667</v>
      </c>
      <c r="N183" s="33">
        <v>2</v>
      </c>
      <c r="O183" s="88">
        <v>0.341880341880342</v>
      </c>
      <c r="P183" s="33">
        <v>4</v>
      </c>
      <c r="Q183" s="88">
        <v>0.683760683760684</v>
      </c>
      <c r="R183" s="33">
        <v>17</v>
      </c>
      <c r="S183" s="88">
        <v>2.90598290598291</v>
      </c>
      <c r="T183" s="34" t="str">
        <f t="shared" si="19"/>
        <v>BJP GAIN</v>
      </c>
      <c r="U183" s="91">
        <f t="shared" si="20"/>
        <v>28.3760683760684</v>
      </c>
      <c r="V183" s="27" t="str">
        <f t="shared" si="21"/>
        <v>LOWMARGIN</v>
      </c>
    </row>
    <row r="184" spans="1:22">
      <c r="A184" s="33">
        <v>182</v>
      </c>
      <c r="B184" s="87" t="s">
        <v>197</v>
      </c>
      <c r="C184" s="33">
        <v>993</v>
      </c>
      <c r="D184" s="33">
        <v>687</v>
      </c>
      <c r="E184" s="88">
        <v>69.1842900302115</v>
      </c>
      <c r="F184" s="33">
        <v>59</v>
      </c>
      <c r="G184" s="88">
        <v>8.58806404657933</v>
      </c>
      <c r="H184" s="33">
        <v>547</v>
      </c>
      <c r="I184" s="88">
        <v>79.6215429403202</v>
      </c>
      <c r="J184" s="33">
        <v>1</v>
      </c>
      <c r="K184" s="88">
        <v>0.145560407569141</v>
      </c>
      <c r="L184" s="33">
        <v>11</v>
      </c>
      <c r="M184" s="88">
        <v>1.60116448326055</v>
      </c>
      <c r="N184" s="33">
        <v>2</v>
      </c>
      <c r="O184" s="88">
        <v>0.291120815138282</v>
      </c>
      <c r="P184" s="33">
        <v>8</v>
      </c>
      <c r="Q184" s="88">
        <v>1.16448326055313</v>
      </c>
      <c r="R184" s="33">
        <v>59</v>
      </c>
      <c r="S184" s="88">
        <v>8.58806404657933</v>
      </c>
      <c r="T184" s="25" t="str">
        <f t="shared" si="19"/>
        <v>CONGRESS GAIN</v>
      </c>
      <c r="U184" s="91">
        <f t="shared" ref="U184:U186" si="31">I184-G184</f>
        <v>71.0334788937409</v>
      </c>
      <c r="V184" s="25" t="str">
        <f t="shared" si="21"/>
        <v>VERYHIGHMARGIN</v>
      </c>
    </row>
    <row r="185" spans="1:22">
      <c r="A185" s="33">
        <v>183</v>
      </c>
      <c r="B185" s="87" t="s">
        <v>198</v>
      </c>
      <c r="C185" s="33">
        <v>1014</v>
      </c>
      <c r="D185" s="33">
        <v>803</v>
      </c>
      <c r="E185" s="88">
        <v>79.1913214990138</v>
      </c>
      <c r="F185" s="33">
        <v>225</v>
      </c>
      <c r="G185" s="88">
        <v>28.0199252801993</v>
      </c>
      <c r="H185" s="33">
        <v>478</v>
      </c>
      <c r="I185" s="88">
        <v>59.5267745952678</v>
      </c>
      <c r="J185" s="33">
        <v>1</v>
      </c>
      <c r="K185" s="88">
        <v>0.12453300124533</v>
      </c>
      <c r="L185" s="33">
        <v>6</v>
      </c>
      <c r="M185" s="88">
        <v>0.74719800747198</v>
      </c>
      <c r="N185" s="33">
        <v>2</v>
      </c>
      <c r="O185" s="88">
        <v>0.24906600249066</v>
      </c>
      <c r="P185" s="33">
        <v>6</v>
      </c>
      <c r="Q185" s="88">
        <v>0.74719800747198</v>
      </c>
      <c r="R185" s="33">
        <v>85</v>
      </c>
      <c r="S185" s="88">
        <v>10.5853051058531</v>
      </c>
      <c r="T185" s="25" t="str">
        <f t="shared" si="19"/>
        <v>CONGRESS GAIN</v>
      </c>
      <c r="U185" s="91">
        <f t="shared" si="31"/>
        <v>31.5068493150685</v>
      </c>
      <c r="V185" s="35" t="str">
        <f t="shared" si="21"/>
        <v>MEDIUMMARGIN</v>
      </c>
    </row>
    <row r="186" spans="1:22">
      <c r="A186" s="33">
        <v>184</v>
      </c>
      <c r="B186" s="87" t="s">
        <v>199</v>
      </c>
      <c r="C186" s="33">
        <v>1133</v>
      </c>
      <c r="D186" s="33">
        <v>850</v>
      </c>
      <c r="E186" s="88">
        <v>75.0220653133274</v>
      </c>
      <c r="F186" s="33">
        <v>179</v>
      </c>
      <c r="G186" s="88">
        <v>21.0588235294118</v>
      </c>
      <c r="H186" s="33">
        <v>550</v>
      </c>
      <c r="I186" s="88">
        <v>64.7058823529412</v>
      </c>
      <c r="J186" s="33">
        <v>1</v>
      </c>
      <c r="K186" s="88">
        <v>0.117647058823529</v>
      </c>
      <c r="L186" s="33">
        <v>23</v>
      </c>
      <c r="M186" s="88">
        <v>2.70588235294118</v>
      </c>
      <c r="N186" s="33">
        <v>0</v>
      </c>
      <c r="O186" s="88">
        <v>0</v>
      </c>
      <c r="P186" s="33">
        <v>9</v>
      </c>
      <c r="Q186" s="88">
        <v>1.05882352941176</v>
      </c>
      <c r="R186" s="33">
        <v>88</v>
      </c>
      <c r="S186" s="88">
        <v>10.3529411764706</v>
      </c>
      <c r="T186" s="25" t="str">
        <f t="shared" si="19"/>
        <v>CONGRESS GAIN</v>
      </c>
      <c r="U186" s="91">
        <f t="shared" si="31"/>
        <v>43.6470588235294</v>
      </c>
      <c r="V186" s="92" t="str">
        <f t="shared" si="21"/>
        <v>HIGHMARGIN</v>
      </c>
    </row>
    <row r="187" spans="1:22">
      <c r="A187" s="33">
        <v>185</v>
      </c>
      <c r="B187" s="87" t="s">
        <v>200</v>
      </c>
      <c r="C187" s="33">
        <v>826</v>
      </c>
      <c r="D187" s="33">
        <v>685</v>
      </c>
      <c r="E187" s="88">
        <v>82.9297820823245</v>
      </c>
      <c r="F187" s="33">
        <v>463</v>
      </c>
      <c r="G187" s="88">
        <v>67.5912408759124</v>
      </c>
      <c r="H187" s="33">
        <v>189</v>
      </c>
      <c r="I187" s="88">
        <v>27.5912408759124</v>
      </c>
      <c r="J187" s="33">
        <v>2</v>
      </c>
      <c r="K187" s="88">
        <v>0.291970802919708</v>
      </c>
      <c r="L187" s="33">
        <v>11</v>
      </c>
      <c r="M187" s="88">
        <v>1.60583941605839</v>
      </c>
      <c r="N187" s="33">
        <v>7</v>
      </c>
      <c r="O187" s="88">
        <v>1.02189781021898</v>
      </c>
      <c r="P187" s="33">
        <v>2</v>
      </c>
      <c r="Q187" s="88">
        <v>0.291970802919708</v>
      </c>
      <c r="R187" s="33">
        <v>11</v>
      </c>
      <c r="S187" s="88">
        <v>1.60583941605839</v>
      </c>
      <c r="T187" s="34" t="str">
        <f t="shared" si="19"/>
        <v>BJP GAIN</v>
      </c>
      <c r="U187" s="91">
        <f t="shared" si="20"/>
        <v>40</v>
      </c>
      <c r="V187" s="92" t="str">
        <f t="shared" si="21"/>
        <v>HIGHMARGIN</v>
      </c>
    </row>
    <row r="188" spans="1:22">
      <c r="A188" s="33">
        <v>186</v>
      </c>
      <c r="B188" s="87" t="s">
        <v>201</v>
      </c>
      <c r="C188" s="33">
        <v>845</v>
      </c>
      <c r="D188" s="33">
        <v>589</v>
      </c>
      <c r="E188" s="88">
        <v>69.7041420118343</v>
      </c>
      <c r="F188" s="33">
        <v>270</v>
      </c>
      <c r="G188" s="88">
        <v>45.8404074702886</v>
      </c>
      <c r="H188" s="33">
        <v>224</v>
      </c>
      <c r="I188" s="88">
        <v>38.0305602716469</v>
      </c>
      <c r="J188" s="33">
        <v>1</v>
      </c>
      <c r="K188" s="88">
        <v>0.169779286926995</v>
      </c>
      <c r="L188" s="33">
        <v>38</v>
      </c>
      <c r="M188" s="88">
        <v>6.45161290322581</v>
      </c>
      <c r="N188" s="33">
        <v>0</v>
      </c>
      <c r="O188" s="88">
        <v>0</v>
      </c>
      <c r="P188" s="33">
        <v>4</v>
      </c>
      <c r="Q188" s="88">
        <v>0.67911714770798</v>
      </c>
      <c r="R188" s="33">
        <v>52</v>
      </c>
      <c r="S188" s="88">
        <v>8.82852292020373</v>
      </c>
      <c r="T188" s="34" t="str">
        <f t="shared" si="19"/>
        <v>BJP GAIN</v>
      </c>
      <c r="U188" s="91">
        <f t="shared" si="20"/>
        <v>7.80984719864177</v>
      </c>
      <c r="V188" s="26" t="str">
        <f t="shared" si="21"/>
        <v>NARROWMARGIN</v>
      </c>
    </row>
    <row r="189" spans="1:22">
      <c r="A189" s="33">
        <v>187</v>
      </c>
      <c r="B189" s="87" t="s">
        <v>202</v>
      </c>
      <c r="C189" s="33">
        <v>593</v>
      </c>
      <c r="D189" s="33">
        <v>429</v>
      </c>
      <c r="E189" s="88">
        <v>72.3440134907251</v>
      </c>
      <c r="F189" s="33">
        <v>198</v>
      </c>
      <c r="G189" s="88">
        <v>46.1538461538462</v>
      </c>
      <c r="H189" s="33">
        <v>189</v>
      </c>
      <c r="I189" s="88">
        <v>44.0559440559441</v>
      </c>
      <c r="J189" s="33">
        <v>1</v>
      </c>
      <c r="K189" s="88">
        <v>0.233100233100233</v>
      </c>
      <c r="L189" s="33">
        <v>17</v>
      </c>
      <c r="M189" s="88">
        <v>3.96270396270396</v>
      </c>
      <c r="N189" s="33">
        <v>2</v>
      </c>
      <c r="O189" s="88">
        <v>0.466200466200466</v>
      </c>
      <c r="P189" s="33">
        <v>1</v>
      </c>
      <c r="Q189" s="88">
        <v>0.233100233100233</v>
      </c>
      <c r="R189" s="33">
        <v>21</v>
      </c>
      <c r="S189" s="88">
        <v>4.89510489510489</v>
      </c>
      <c r="T189" s="34" t="str">
        <f t="shared" si="19"/>
        <v>BJP GAIN</v>
      </c>
      <c r="U189" s="91">
        <f t="shared" si="20"/>
        <v>2.09790209790209</v>
      </c>
      <c r="V189" s="26" t="str">
        <f t="shared" si="21"/>
        <v>NARROWMARGIN</v>
      </c>
    </row>
    <row r="190" spans="1:22">
      <c r="A190" s="33">
        <v>188</v>
      </c>
      <c r="B190" s="87" t="s">
        <v>203</v>
      </c>
      <c r="C190" s="33">
        <v>1055</v>
      </c>
      <c r="D190" s="33">
        <v>809</v>
      </c>
      <c r="E190" s="88">
        <v>76.6824644549763</v>
      </c>
      <c r="F190" s="33">
        <v>466</v>
      </c>
      <c r="G190" s="88">
        <v>57.601977750309</v>
      </c>
      <c r="H190" s="33">
        <v>270</v>
      </c>
      <c r="I190" s="88">
        <v>33.3745364647713</v>
      </c>
      <c r="J190" s="33">
        <v>2</v>
      </c>
      <c r="K190" s="88">
        <v>0.247218788627936</v>
      </c>
      <c r="L190" s="33">
        <v>55</v>
      </c>
      <c r="M190" s="88">
        <v>6.79851668726823</v>
      </c>
      <c r="N190" s="33">
        <v>2</v>
      </c>
      <c r="O190" s="88">
        <v>0.247218788627936</v>
      </c>
      <c r="P190" s="33">
        <v>3</v>
      </c>
      <c r="Q190" s="88">
        <v>0.370828182941904</v>
      </c>
      <c r="R190" s="33">
        <v>11</v>
      </c>
      <c r="S190" s="88">
        <v>1.35970333745365</v>
      </c>
      <c r="T190" s="34" t="str">
        <f t="shared" si="19"/>
        <v>BJP GAIN</v>
      </c>
      <c r="U190" s="91">
        <f t="shared" si="20"/>
        <v>24.2274412855377</v>
      </c>
      <c r="V190" s="27" t="str">
        <f t="shared" si="21"/>
        <v>LOWMARGIN</v>
      </c>
    </row>
    <row r="191" spans="1:22">
      <c r="A191" s="33">
        <v>189</v>
      </c>
      <c r="B191" s="87" t="s">
        <v>204</v>
      </c>
      <c r="C191" s="33">
        <v>436</v>
      </c>
      <c r="D191" s="33">
        <v>328</v>
      </c>
      <c r="E191" s="88">
        <v>75.2293577981651</v>
      </c>
      <c r="F191" s="33">
        <v>150</v>
      </c>
      <c r="G191" s="88">
        <v>45.7317073170732</v>
      </c>
      <c r="H191" s="33">
        <v>166</v>
      </c>
      <c r="I191" s="88">
        <v>50.609756097561</v>
      </c>
      <c r="J191" s="33">
        <v>0</v>
      </c>
      <c r="K191" s="88">
        <v>0</v>
      </c>
      <c r="L191" s="33">
        <v>10</v>
      </c>
      <c r="M191" s="88">
        <v>3.04878048780488</v>
      </c>
      <c r="N191" s="33">
        <v>1</v>
      </c>
      <c r="O191" s="88">
        <v>0.304878048780488</v>
      </c>
      <c r="P191" s="33">
        <v>0</v>
      </c>
      <c r="Q191" s="88">
        <v>0</v>
      </c>
      <c r="R191" s="33">
        <v>1</v>
      </c>
      <c r="S191" s="88">
        <v>0.304878048780488</v>
      </c>
      <c r="T191" s="25" t="str">
        <f t="shared" si="19"/>
        <v>CONGRESS GAIN</v>
      </c>
      <c r="U191" s="91">
        <f t="shared" ref="U191" si="32">I191-G191</f>
        <v>4.8780487804878</v>
      </c>
      <c r="V191" s="26" t="str">
        <f t="shared" si="21"/>
        <v>NARROWMARGIN</v>
      </c>
    </row>
    <row r="192" spans="1:22">
      <c r="A192" s="33">
        <v>190</v>
      </c>
      <c r="B192" s="87" t="s">
        <v>205</v>
      </c>
      <c r="C192" s="33">
        <v>799</v>
      </c>
      <c r="D192" s="33">
        <v>604</v>
      </c>
      <c r="E192" s="88">
        <v>75.5944931163955</v>
      </c>
      <c r="F192" s="33">
        <v>321</v>
      </c>
      <c r="G192" s="88">
        <v>53.1456953642384</v>
      </c>
      <c r="H192" s="33">
        <v>239</v>
      </c>
      <c r="I192" s="88">
        <v>39.5695364238411</v>
      </c>
      <c r="J192" s="33">
        <v>2</v>
      </c>
      <c r="K192" s="88">
        <v>0.33112582781457</v>
      </c>
      <c r="L192" s="33">
        <v>33</v>
      </c>
      <c r="M192" s="88">
        <v>5.4635761589404</v>
      </c>
      <c r="N192" s="33">
        <v>3</v>
      </c>
      <c r="O192" s="88">
        <v>0.496688741721854</v>
      </c>
      <c r="P192" s="33">
        <v>2</v>
      </c>
      <c r="Q192" s="88">
        <v>0.33112582781457</v>
      </c>
      <c r="R192" s="33">
        <v>4</v>
      </c>
      <c r="S192" s="88">
        <v>0.662251655629139</v>
      </c>
      <c r="T192" s="34" t="str">
        <f t="shared" si="19"/>
        <v>BJP GAIN</v>
      </c>
      <c r="U192" s="91">
        <f t="shared" si="20"/>
        <v>13.5761589403973</v>
      </c>
      <c r="V192" s="27" t="str">
        <f t="shared" si="21"/>
        <v>LOWMARGIN</v>
      </c>
    </row>
    <row r="193" spans="1:22">
      <c r="A193" s="33">
        <v>191</v>
      </c>
      <c r="B193" s="87" t="s">
        <v>206</v>
      </c>
      <c r="C193" s="33">
        <v>651</v>
      </c>
      <c r="D193" s="33">
        <v>451</v>
      </c>
      <c r="E193" s="88">
        <v>69.2780337941628</v>
      </c>
      <c r="F193" s="33">
        <v>251</v>
      </c>
      <c r="G193" s="88">
        <v>55.6541019955654</v>
      </c>
      <c r="H193" s="33">
        <v>153</v>
      </c>
      <c r="I193" s="88">
        <v>33.9246119733925</v>
      </c>
      <c r="J193" s="33">
        <v>2</v>
      </c>
      <c r="K193" s="88">
        <v>0.443458980044346</v>
      </c>
      <c r="L193" s="33">
        <v>34</v>
      </c>
      <c r="M193" s="88">
        <v>7.53880266075388</v>
      </c>
      <c r="N193" s="33">
        <v>2</v>
      </c>
      <c r="O193" s="88">
        <v>0.443458980044346</v>
      </c>
      <c r="P193" s="33">
        <v>1</v>
      </c>
      <c r="Q193" s="88">
        <v>0.221729490022173</v>
      </c>
      <c r="R193" s="33">
        <v>8</v>
      </c>
      <c r="S193" s="88">
        <v>1.77383592017738</v>
      </c>
      <c r="T193" s="34" t="str">
        <f t="shared" si="19"/>
        <v>BJP GAIN</v>
      </c>
      <c r="U193" s="91">
        <f t="shared" si="20"/>
        <v>21.7294900221729</v>
      </c>
      <c r="V193" s="27" t="str">
        <f t="shared" si="21"/>
        <v>LOWMARGIN</v>
      </c>
    </row>
    <row r="194" spans="1:22">
      <c r="A194" s="33">
        <v>192</v>
      </c>
      <c r="B194" s="87" t="s">
        <v>207</v>
      </c>
      <c r="C194" s="33">
        <v>1300</v>
      </c>
      <c r="D194" s="33">
        <v>983</v>
      </c>
      <c r="E194" s="88">
        <v>75.6153846153846</v>
      </c>
      <c r="F194" s="33">
        <v>517</v>
      </c>
      <c r="G194" s="88">
        <v>52.5940996948118</v>
      </c>
      <c r="H194" s="33">
        <v>383</v>
      </c>
      <c r="I194" s="88">
        <v>38.9623601220753</v>
      </c>
      <c r="J194" s="33">
        <v>7</v>
      </c>
      <c r="K194" s="88">
        <v>0.712105798575788</v>
      </c>
      <c r="L194" s="33">
        <v>48</v>
      </c>
      <c r="M194" s="88">
        <v>4.88301119023398</v>
      </c>
      <c r="N194" s="33">
        <v>1</v>
      </c>
      <c r="O194" s="88">
        <v>0.101729399796541</v>
      </c>
      <c r="P194" s="33">
        <v>5</v>
      </c>
      <c r="Q194" s="88">
        <v>0.508646998982706</v>
      </c>
      <c r="R194" s="33">
        <v>22</v>
      </c>
      <c r="S194" s="88">
        <v>2.23804679552391</v>
      </c>
      <c r="T194" s="34" t="str">
        <f t="shared" si="19"/>
        <v>BJP GAIN</v>
      </c>
      <c r="U194" s="91">
        <f t="shared" si="20"/>
        <v>13.6317395727365</v>
      </c>
      <c r="V194" s="27" t="str">
        <f t="shared" si="21"/>
        <v>LOWMARGIN</v>
      </c>
    </row>
    <row r="195" spans="1:22">
      <c r="A195" s="33">
        <v>193</v>
      </c>
      <c r="B195" s="87" t="s">
        <v>208</v>
      </c>
      <c r="C195" s="33">
        <v>1259</v>
      </c>
      <c r="D195" s="33">
        <v>946</v>
      </c>
      <c r="E195" s="88">
        <v>75.1389992057188</v>
      </c>
      <c r="F195" s="33">
        <v>551</v>
      </c>
      <c r="G195" s="88">
        <v>58.2452431289641</v>
      </c>
      <c r="H195" s="33">
        <v>330</v>
      </c>
      <c r="I195" s="88">
        <v>34.8837209302326</v>
      </c>
      <c r="J195" s="33">
        <v>1</v>
      </c>
      <c r="K195" s="88">
        <v>0.105708245243129</v>
      </c>
      <c r="L195" s="33">
        <v>40</v>
      </c>
      <c r="M195" s="88">
        <v>4.22832980972516</v>
      </c>
      <c r="N195" s="33">
        <v>9</v>
      </c>
      <c r="O195" s="88">
        <v>0.951374207188161</v>
      </c>
      <c r="P195" s="33">
        <v>8</v>
      </c>
      <c r="Q195" s="88">
        <v>0.845665961945032</v>
      </c>
      <c r="R195" s="33">
        <v>7</v>
      </c>
      <c r="S195" s="88">
        <v>0.739957716701903</v>
      </c>
      <c r="T195" s="34" t="str">
        <f t="shared" si="19"/>
        <v>BJP GAIN</v>
      </c>
      <c r="U195" s="91">
        <f t="shared" si="20"/>
        <v>23.3615221987315</v>
      </c>
      <c r="V195" s="27" t="str">
        <f t="shared" si="21"/>
        <v>LOWMARGIN</v>
      </c>
    </row>
    <row r="196" spans="1:22">
      <c r="A196" s="33">
        <v>194</v>
      </c>
      <c r="B196" s="87" t="s">
        <v>209</v>
      </c>
      <c r="C196" s="33">
        <v>1379</v>
      </c>
      <c r="D196" s="33">
        <v>1060</v>
      </c>
      <c r="E196" s="88">
        <v>76.8672951414068</v>
      </c>
      <c r="F196" s="33">
        <v>662</v>
      </c>
      <c r="G196" s="88">
        <v>62.4528301886792</v>
      </c>
      <c r="H196" s="33">
        <v>301</v>
      </c>
      <c r="I196" s="88">
        <v>28.3962264150943</v>
      </c>
      <c r="J196" s="33">
        <v>1</v>
      </c>
      <c r="K196" s="88">
        <v>0.0943396226415094</v>
      </c>
      <c r="L196" s="33">
        <v>80</v>
      </c>
      <c r="M196" s="88">
        <v>7.54716981132075</v>
      </c>
      <c r="N196" s="33">
        <v>4</v>
      </c>
      <c r="O196" s="88">
        <v>0.377358490566038</v>
      </c>
      <c r="P196" s="33">
        <v>5</v>
      </c>
      <c r="Q196" s="88">
        <v>0.471698113207547</v>
      </c>
      <c r="R196" s="33">
        <v>7</v>
      </c>
      <c r="S196" s="88">
        <v>0.660377358490566</v>
      </c>
      <c r="T196" s="34" t="str">
        <f t="shared" ref="T196:T221" si="33">IF(G196&gt;I196,"BJP GAIN","CONGRESS GAIN")</f>
        <v>BJP GAIN</v>
      </c>
      <c r="U196" s="91">
        <f t="shared" ref="U196:U220" si="34">G196-I196</f>
        <v>34.0566037735849</v>
      </c>
      <c r="V196" s="35" t="str">
        <f t="shared" si="21"/>
        <v>MEDIUMMARGIN</v>
      </c>
    </row>
    <row r="197" spans="1:22">
      <c r="A197" s="33">
        <v>195</v>
      </c>
      <c r="B197" s="87" t="s">
        <v>210</v>
      </c>
      <c r="C197" s="33">
        <v>1289</v>
      </c>
      <c r="D197" s="33">
        <v>967</v>
      </c>
      <c r="E197" s="88">
        <v>75.0193948797517</v>
      </c>
      <c r="F197" s="33">
        <v>546</v>
      </c>
      <c r="G197" s="88">
        <v>56.4632885211996</v>
      </c>
      <c r="H197" s="33">
        <v>366</v>
      </c>
      <c r="I197" s="88">
        <v>37.8490175801448</v>
      </c>
      <c r="J197" s="33">
        <v>2</v>
      </c>
      <c r="K197" s="88">
        <v>0.206825232678387</v>
      </c>
      <c r="L197" s="33">
        <v>22</v>
      </c>
      <c r="M197" s="88">
        <v>2.27507755946225</v>
      </c>
      <c r="N197" s="33">
        <v>5</v>
      </c>
      <c r="O197" s="88">
        <v>0.517063081695967</v>
      </c>
      <c r="P197" s="33">
        <v>10</v>
      </c>
      <c r="Q197" s="88">
        <v>1.03412616339193</v>
      </c>
      <c r="R197" s="33">
        <v>16</v>
      </c>
      <c r="S197" s="88">
        <v>1.65460186142709</v>
      </c>
      <c r="T197" s="34" t="str">
        <f t="shared" si="33"/>
        <v>BJP GAIN</v>
      </c>
      <c r="U197" s="91">
        <f t="shared" si="34"/>
        <v>18.6142709410548</v>
      </c>
      <c r="V197" s="27" t="str">
        <f t="shared" ref="V197:V221" si="35">IF(U197&gt;=50,"VERYHIGHMARGIN",IF(U197&gt;=40,"HIGHMARGIN",IF(U197&gt;=30,"MEDIUMMARGIN",IF(U197&gt;10,"LOWMARGIN",IF(U197&gt;=1,"NARROWMARGIN")))))</f>
        <v>LOWMARGIN</v>
      </c>
    </row>
    <row r="198" spans="1:22">
      <c r="A198" s="33">
        <v>196</v>
      </c>
      <c r="B198" s="87" t="s">
        <v>211</v>
      </c>
      <c r="C198" s="33">
        <v>1321</v>
      </c>
      <c r="D198" s="33">
        <v>922</v>
      </c>
      <c r="E198" s="88">
        <v>69.7956093868282</v>
      </c>
      <c r="F198" s="33">
        <v>346</v>
      </c>
      <c r="G198" s="88">
        <v>37.527114967462</v>
      </c>
      <c r="H198" s="33">
        <v>519</v>
      </c>
      <c r="I198" s="88">
        <v>56.2906724511931</v>
      </c>
      <c r="J198" s="33">
        <v>4</v>
      </c>
      <c r="K198" s="88">
        <v>0.433839479392625</v>
      </c>
      <c r="L198" s="33">
        <v>9</v>
      </c>
      <c r="M198" s="88">
        <v>0.976138828633406</v>
      </c>
      <c r="N198" s="33">
        <v>32</v>
      </c>
      <c r="O198" s="88">
        <v>3.470715835141</v>
      </c>
      <c r="P198" s="33">
        <v>9</v>
      </c>
      <c r="Q198" s="88">
        <v>0.976138828633406</v>
      </c>
      <c r="R198" s="33">
        <v>3</v>
      </c>
      <c r="S198" s="88">
        <v>0.325379609544469</v>
      </c>
      <c r="T198" s="25" t="str">
        <f t="shared" si="33"/>
        <v>CONGRESS GAIN</v>
      </c>
      <c r="U198" s="91">
        <f t="shared" ref="U198:U203" si="36">I198-G198</f>
        <v>18.763557483731</v>
      </c>
      <c r="V198" s="27" t="str">
        <f t="shared" si="35"/>
        <v>LOWMARGIN</v>
      </c>
    </row>
    <row r="199" spans="1:22">
      <c r="A199" s="33">
        <v>197</v>
      </c>
      <c r="B199" s="87" t="s">
        <v>212</v>
      </c>
      <c r="C199" s="33">
        <v>716</v>
      </c>
      <c r="D199" s="33">
        <v>507</v>
      </c>
      <c r="E199" s="88">
        <v>70.8100558659218</v>
      </c>
      <c r="F199" s="33">
        <v>223</v>
      </c>
      <c r="G199" s="88">
        <v>43.9842209072978</v>
      </c>
      <c r="H199" s="33">
        <v>262</v>
      </c>
      <c r="I199" s="88">
        <v>51.6765285996055</v>
      </c>
      <c r="J199" s="33">
        <v>1</v>
      </c>
      <c r="K199" s="88">
        <v>0.19723865877712</v>
      </c>
      <c r="L199" s="33">
        <v>0</v>
      </c>
      <c r="M199" s="88">
        <v>0</v>
      </c>
      <c r="N199" s="33">
        <v>7</v>
      </c>
      <c r="O199" s="88">
        <v>1.38067061143984</v>
      </c>
      <c r="P199" s="33">
        <v>2</v>
      </c>
      <c r="Q199" s="88">
        <v>0.394477317554241</v>
      </c>
      <c r="R199" s="33">
        <v>12</v>
      </c>
      <c r="S199" s="88">
        <v>2.36686390532544</v>
      </c>
      <c r="T199" s="25" t="str">
        <f t="shared" si="33"/>
        <v>CONGRESS GAIN</v>
      </c>
      <c r="U199" s="91">
        <f t="shared" si="36"/>
        <v>7.69230769230769</v>
      </c>
      <c r="V199" s="26" t="str">
        <f t="shared" si="35"/>
        <v>NARROWMARGIN</v>
      </c>
    </row>
    <row r="200" spans="1:22">
      <c r="A200" s="33">
        <v>198</v>
      </c>
      <c r="B200" s="87" t="s">
        <v>213</v>
      </c>
      <c r="C200" s="33">
        <v>861</v>
      </c>
      <c r="D200" s="33">
        <v>635</v>
      </c>
      <c r="E200" s="88">
        <v>73.7514518002323</v>
      </c>
      <c r="F200" s="33">
        <v>281</v>
      </c>
      <c r="G200" s="88">
        <v>44.251968503937</v>
      </c>
      <c r="H200" s="33">
        <v>327</v>
      </c>
      <c r="I200" s="88">
        <v>51.496062992126</v>
      </c>
      <c r="J200" s="33">
        <v>1</v>
      </c>
      <c r="K200" s="88">
        <v>0.15748031496063</v>
      </c>
      <c r="L200" s="33">
        <v>1</v>
      </c>
      <c r="M200" s="88">
        <v>0.15748031496063</v>
      </c>
      <c r="N200" s="33">
        <v>9</v>
      </c>
      <c r="O200" s="88">
        <v>1.41732283464567</v>
      </c>
      <c r="P200" s="33">
        <v>6</v>
      </c>
      <c r="Q200" s="88">
        <v>0.94488188976378</v>
      </c>
      <c r="R200" s="33">
        <v>10</v>
      </c>
      <c r="S200" s="88">
        <v>1.5748031496063</v>
      </c>
      <c r="T200" s="25" t="str">
        <f t="shared" si="33"/>
        <v>CONGRESS GAIN</v>
      </c>
      <c r="U200" s="91">
        <f t="shared" si="36"/>
        <v>7.24409448818897</v>
      </c>
      <c r="V200" s="26" t="str">
        <f t="shared" si="35"/>
        <v>NARROWMARGIN</v>
      </c>
    </row>
    <row r="201" spans="1:22">
      <c r="A201" s="33">
        <v>199</v>
      </c>
      <c r="B201" s="87" t="s">
        <v>214</v>
      </c>
      <c r="C201" s="33">
        <v>806</v>
      </c>
      <c r="D201" s="33">
        <v>550</v>
      </c>
      <c r="E201" s="88">
        <v>68.2382133995037</v>
      </c>
      <c r="F201" s="33">
        <v>250</v>
      </c>
      <c r="G201" s="88">
        <v>45.4545454545455</v>
      </c>
      <c r="H201" s="33">
        <v>285</v>
      </c>
      <c r="I201" s="88">
        <v>51.8181818181818</v>
      </c>
      <c r="J201" s="33">
        <v>0</v>
      </c>
      <c r="K201" s="88">
        <v>0</v>
      </c>
      <c r="L201" s="33">
        <v>0</v>
      </c>
      <c r="M201" s="88">
        <v>0</v>
      </c>
      <c r="N201" s="33">
        <v>9</v>
      </c>
      <c r="O201" s="88">
        <v>1.63636363636364</v>
      </c>
      <c r="P201" s="33">
        <v>3</v>
      </c>
      <c r="Q201" s="88">
        <v>0.545454545454546</v>
      </c>
      <c r="R201" s="33">
        <v>3</v>
      </c>
      <c r="S201" s="88">
        <v>0.545454545454546</v>
      </c>
      <c r="T201" s="25" t="str">
        <f t="shared" si="33"/>
        <v>CONGRESS GAIN</v>
      </c>
      <c r="U201" s="91">
        <f t="shared" si="36"/>
        <v>6.36363636363637</v>
      </c>
      <c r="V201" s="26" t="str">
        <f t="shared" si="35"/>
        <v>NARROWMARGIN</v>
      </c>
    </row>
    <row r="202" spans="1:22">
      <c r="A202" s="33">
        <v>200</v>
      </c>
      <c r="B202" s="87" t="s">
        <v>215</v>
      </c>
      <c r="C202" s="33">
        <v>883</v>
      </c>
      <c r="D202" s="33">
        <v>612</v>
      </c>
      <c r="E202" s="88">
        <v>69.3091732729332</v>
      </c>
      <c r="F202" s="33">
        <v>340</v>
      </c>
      <c r="G202" s="88">
        <v>55.5555555555556</v>
      </c>
      <c r="H202" s="33">
        <v>256</v>
      </c>
      <c r="I202" s="88">
        <v>41.8300653594771</v>
      </c>
      <c r="J202" s="33">
        <v>0</v>
      </c>
      <c r="K202" s="88">
        <v>0</v>
      </c>
      <c r="L202" s="33">
        <v>0</v>
      </c>
      <c r="M202" s="88">
        <v>0</v>
      </c>
      <c r="N202" s="33">
        <v>10</v>
      </c>
      <c r="O202" s="88">
        <v>1.63398692810458</v>
      </c>
      <c r="P202" s="33">
        <v>2</v>
      </c>
      <c r="Q202" s="88">
        <v>0.326797385620915</v>
      </c>
      <c r="R202" s="33">
        <v>4</v>
      </c>
      <c r="S202" s="88">
        <v>0.65359477124183</v>
      </c>
      <c r="T202" s="34" t="str">
        <f t="shared" si="33"/>
        <v>BJP GAIN</v>
      </c>
      <c r="U202" s="91">
        <f t="shared" si="34"/>
        <v>13.7254901960784</v>
      </c>
      <c r="V202" s="27" t="str">
        <f t="shared" si="35"/>
        <v>LOWMARGIN</v>
      </c>
    </row>
    <row r="203" spans="1:22">
      <c r="A203" s="33">
        <v>201</v>
      </c>
      <c r="B203" s="87" t="s">
        <v>216</v>
      </c>
      <c r="C203" s="33">
        <v>1118</v>
      </c>
      <c r="D203" s="33">
        <v>811</v>
      </c>
      <c r="E203" s="88">
        <v>72.5402504472272</v>
      </c>
      <c r="F203" s="33">
        <v>356</v>
      </c>
      <c r="G203" s="88">
        <v>43.8964241676942</v>
      </c>
      <c r="H203" s="33">
        <v>425</v>
      </c>
      <c r="I203" s="88">
        <v>52.4044389642417</v>
      </c>
      <c r="J203" s="33">
        <v>1</v>
      </c>
      <c r="K203" s="88">
        <v>0.123304562268804</v>
      </c>
      <c r="L203" s="33">
        <v>3</v>
      </c>
      <c r="M203" s="88">
        <v>0.369913686806412</v>
      </c>
      <c r="N203" s="33">
        <v>19</v>
      </c>
      <c r="O203" s="88">
        <v>2.34278668310727</v>
      </c>
      <c r="P203" s="33">
        <v>5</v>
      </c>
      <c r="Q203" s="88">
        <v>0.61652281134402</v>
      </c>
      <c r="R203" s="33">
        <v>2</v>
      </c>
      <c r="S203" s="88">
        <v>0.246609124537608</v>
      </c>
      <c r="T203" s="25" t="str">
        <f t="shared" si="33"/>
        <v>CONGRESS GAIN</v>
      </c>
      <c r="U203" s="91">
        <f t="shared" si="36"/>
        <v>8.50801479654746</v>
      </c>
      <c r="V203" s="26" t="str">
        <f t="shared" si="35"/>
        <v>NARROWMARGIN</v>
      </c>
    </row>
    <row r="204" spans="1:22">
      <c r="A204" s="33">
        <v>202</v>
      </c>
      <c r="B204" s="87" t="s">
        <v>217</v>
      </c>
      <c r="C204" s="33">
        <v>1162</v>
      </c>
      <c r="D204" s="33">
        <v>791</v>
      </c>
      <c r="E204" s="88">
        <v>68.0722891566265</v>
      </c>
      <c r="F204" s="33">
        <v>538</v>
      </c>
      <c r="G204" s="88">
        <v>68.0151706700379</v>
      </c>
      <c r="H204" s="33">
        <v>227</v>
      </c>
      <c r="I204" s="88">
        <v>28.6978508217446</v>
      </c>
      <c r="J204" s="33">
        <v>0</v>
      </c>
      <c r="K204" s="88">
        <v>0</v>
      </c>
      <c r="L204" s="33">
        <v>4</v>
      </c>
      <c r="M204" s="88">
        <v>0.505689001264223</v>
      </c>
      <c r="N204" s="33">
        <v>13</v>
      </c>
      <c r="O204" s="88">
        <v>1.64348925410872</v>
      </c>
      <c r="P204" s="33">
        <v>5</v>
      </c>
      <c r="Q204" s="88">
        <v>0.632111251580278</v>
      </c>
      <c r="R204" s="33">
        <v>4</v>
      </c>
      <c r="S204" s="88">
        <v>0.505689001264223</v>
      </c>
      <c r="T204" s="34" t="str">
        <f t="shared" si="33"/>
        <v>BJP GAIN</v>
      </c>
      <c r="U204" s="91">
        <f t="shared" si="34"/>
        <v>39.3173198482933</v>
      </c>
      <c r="V204" s="35" t="str">
        <f t="shared" si="35"/>
        <v>MEDIUMMARGIN</v>
      </c>
    </row>
    <row r="205" spans="1:22">
      <c r="A205" s="33">
        <v>203</v>
      </c>
      <c r="B205" s="87" t="s">
        <v>218</v>
      </c>
      <c r="C205" s="33">
        <v>857</v>
      </c>
      <c r="D205" s="33">
        <v>580</v>
      </c>
      <c r="E205" s="88">
        <v>67.6779463243874</v>
      </c>
      <c r="F205" s="33">
        <v>302</v>
      </c>
      <c r="G205" s="88">
        <v>52.0689655172414</v>
      </c>
      <c r="H205" s="33">
        <v>258</v>
      </c>
      <c r="I205" s="88">
        <v>44.4827586206897</v>
      </c>
      <c r="J205" s="33">
        <v>2</v>
      </c>
      <c r="K205" s="88">
        <v>0.344827586206897</v>
      </c>
      <c r="L205" s="33">
        <v>6</v>
      </c>
      <c r="M205" s="88">
        <v>1.03448275862069</v>
      </c>
      <c r="N205" s="33">
        <v>7</v>
      </c>
      <c r="O205" s="88">
        <v>1.20689655172414</v>
      </c>
      <c r="P205" s="33">
        <v>5</v>
      </c>
      <c r="Q205" s="88">
        <v>0.862068965517241</v>
      </c>
      <c r="R205" s="33">
        <v>0</v>
      </c>
      <c r="S205" s="88">
        <v>0</v>
      </c>
      <c r="T205" s="34" t="str">
        <f t="shared" si="33"/>
        <v>BJP GAIN</v>
      </c>
      <c r="U205" s="91">
        <f t="shared" si="34"/>
        <v>7.58620689655172</v>
      </c>
      <c r="V205" s="26" t="str">
        <f t="shared" si="35"/>
        <v>NARROWMARGIN</v>
      </c>
    </row>
    <row r="206" spans="1:22">
      <c r="A206" s="33">
        <v>204</v>
      </c>
      <c r="B206" s="87" t="s">
        <v>219</v>
      </c>
      <c r="C206" s="33">
        <v>1116</v>
      </c>
      <c r="D206" s="33">
        <v>808</v>
      </c>
      <c r="E206" s="88">
        <v>72.4014336917563</v>
      </c>
      <c r="F206" s="33">
        <v>431</v>
      </c>
      <c r="G206" s="88">
        <v>53.3415841584158</v>
      </c>
      <c r="H206" s="33">
        <v>358</v>
      </c>
      <c r="I206" s="88">
        <v>44.3069306930693</v>
      </c>
      <c r="J206" s="33">
        <v>3</v>
      </c>
      <c r="K206" s="88">
        <v>0.371287128712871</v>
      </c>
      <c r="L206" s="33">
        <v>5</v>
      </c>
      <c r="M206" s="88">
        <v>0.618811881188119</v>
      </c>
      <c r="N206" s="33">
        <v>5</v>
      </c>
      <c r="O206" s="88">
        <v>0.618811881188119</v>
      </c>
      <c r="P206" s="33">
        <v>3</v>
      </c>
      <c r="Q206" s="88">
        <v>0.371287128712871</v>
      </c>
      <c r="R206" s="33">
        <v>3</v>
      </c>
      <c r="S206" s="88">
        <v>0.371287128712871</v>
      </c>
      <c r="T206" s="34" t="str">
        <f t="shared" si="33"/>
        <v>BJP GAIN</v>
      </c>
      <c r="U206" s="91">
        <f t="shared" si="34"/>
        <v>9.03465346534654</v>
      </c>
      <c r="V206" s="26" t="str">
        <f t="shared" si="35"/>
        <v>NARROWMARGIN</v>
      </c>
    </row>
    <row r="207" spans="1:22">
      <c r="A207" s="33">
        <v>205</v>
      </c>
      <c r="B207" s="87" t="s">
        <v>220</v>
      </c>
      <c r="C207" s="33">
        <v>1121</v>
      </c>
      <c r="D207" s="33">
        <v>767</v>
      </c>
      <c r="E207" s="88">
        <v>68.4210526315789</v>
      </c>
      <c r="F207" s="33">
        <v>304</v>
      </c>
      <c r="G207" s="88">
        <v>39.6349413298566</v>
      </c>
      <c r="H207" s="33">
        <v>428</v>
      </c>
      <c r="I207" s="88">
        <v>55.8018252933507</v>
      </c>
      <c r="J207" s="33">
        <v>0</v>
      </c>
      <c r="K207" s="88">
        <v>0</v>
      </c>
      <c r="L207" s="33">
        <v>4</v>
      </c>
      <c r="M207" s="88">
        <v>0.521512385919166</v>
      </c>
      <c r="N207" s="33">
        <v>8</v>
      </c>
      <c r="O207" s="88">
        <v>1.04302477183833</v>
      </c>
      <c r="P207" s="33">
        <v>5</v>
      </c>
      <c r="Q207" s="88">
        <v>0.651890482398957</v>
      </c>
      <c r="R207" s="33">
        <v>18</v>
      </c>
      <c r="S207" s="88">
        <v>2.34680573663625</v>
      </c>
      <c r="T207" s="25" t="str">
        <f t="shared" si="33"/>
        <v>CONGRESS GAIN</v>
      </c>
      <c r="U207" s="91">
        <f t="shared" ref="U207" si="37">I207-G207</f>
        <v>16.1668839634941</v>
      </c>
      <c r="V207" s="27" t="str">
        <f t="shared" si="35"/>
        <v>LOWMARGIN</v>
      </c>
    </row>
    <row r="208" spans="1:22">
      <c r="A208" s="33">
        <v>206</v>
      </c>
      <c r="B208" s="87" t="s">
        <v>221</v>
      </c>
      <c r="C208" s="33">
        <v>1298</v>
      </c>
      <c r="D208" s="33">
        <v>924</v>
      </c>
      <c r="E208" s="88">
        <v>71.1864406779661</v>
      </c>
      <c r="F208" s="33">
        <v>561</v>
      </c>
      <c r="G208" s="88">
        <v>60.7142857142857</v>
      </c>
      <c r="H208" s="33">
        <v>327</v>
      </c>
      <c r="I208" s="88">
        <v>35.3896103896104</v>
      </c>
      <c r="J208" s="33">
        <v>5</v>
      </c>
      <c r="K208" s="88">
        <v>0.541125541125541</v>
      </c>
      <c r="L208" s="33">
        <v>9</v>
      </c>
      <c r="M208" s="88">
        <v>0.974025974025974</v>
      </c>
      <c r="N208" s="33">
        <v>11</v>
      </c>
      <c r="O208" s="88">
        <v>1.19047619047619</v>
      </c>
      <c r="P208" s="33">
        <v>3</v>
      </c>
      <c r="Q208" s="88">
        <v>0.324675324675325</v>
      </c>
      <c r="R208" s="33">
        <v>8</v>
      </c>
      <c r="S208" s="88">
        <v>0.865800865800866</v>
      </c>
      <c r="T208" s="34" t="str">
        <f t="shared" si="33"/>
        <v>BJP GAIN</v>
      </c>
      <c r="U208" s="91">
        <f t="shared" si="34"/>
        <v>25.3246753246753</v>
      </c>
      <c r="V208" s="27" t="str">
        <f t="shared" si="35"/>
        <v>LOWMARGIN</v>
      </c>
    </row>
    <row r="209" spans="1:22">
      <c r="A209" s="33">
        <v>207</v>
      </c>
      <c r="B209" s="87" t="s">
        <v>222</v>
      </c>
      <c r="C209" s="33">
        <v>1128</v>
      </c>
      <c r="D209" s="33">
        <v>849</v>
      </c>
      <c r="E209" s="88">
        <v>75.2659574468085</v>
      </c>
      <c r="F209" s="33">
        <v>463</v>
      </c>
      <c r="G209" s="88">
        <v>54.5347467608952</v>
      </c>
      <c r="H209" s="33">
        <v>363</v>
      </c>
      <c r="I209" s="88">
        <v>42.756183745583</v>
      </c>
      <c r="J209" s="33">
        <v>0</v>
      </c>
      <c r="K209" s="88">
        <v>0</v>
      </c>
      <c r="L209" s="33">
        <v>4</v>
      </c>
      <c r="M209" s="88">
        <v>0.471142520612485</v>
      </c>
      <c r="N209" s="33">
        <v>8</v>
      </c>
      <c r="O209" s="88">
        <v>0.94228504122497</v>
      </c>
      <c r="P209" s="33">
        <v>6</v>
      </c>
      <c r="Q209" s="88">
        <v>0.706713780918728</v>
      </c>
      <c r="R209" s="33">
        <v>5</v>
      </c>
      <c r="S209" s="88">
        <v>0.588928150765607</v>
      </c>
      <c r="T209" s="34" t="str">
        <f t="shared" si="33"/>
        <v>BJP GAIN</v>
      </c>
      <c r="U209" s="91">
        <f t="shared" si="34"/>
        <v>11.7785630153121</v>
      </c>
      <c r="V209" s="27" t="str">
        <f t="shared" si="35"/>
        <v>LOWMARGIN</v>
      </c>
    </row>
    <row r="210" spans="1:22">
      <c r="A210" s="33">
        <v>208</v>
      </c>
      <c r="B210" s="87" t="s">
        <v>223</v>
      </c>
      <c r="C210" s="33">
        <v>1169</v>
      </c>
      <c r="D210" s="33">
        <v>793</v>
      </c>
      <c r="E210" s="88">
        <v>67.8357570573139</v>
      </c>
      <c r="F210" s="33">
        <v>440</v>
      </c>
      <c r="G210" s="88">
        <v>55.4854981084489</v>
      </c>
      <c r="H210" s="33">
        <v>332</v>
      </c>
      <c r="I210" s="88">
        <v>41.8663303909206</v>
      </c>
      <c r="J210" s="33">
        <v>1</v>
      </c>
      <c r="K210" s="88">
        <v>0.126103404791929</v>
      </c>
      <c r="L210" s="33">
        <v>5</v>
      </c>
      <c r="M210" s="88">
        <v>0.630517023959647</v>
      </c>
      <c r="N210" s="33">
        <v>7</v>
      </c>
      <c r="O210" s="88">
        <v>0.882723833543506</v>
      </c>
      <c r="P210" s="33">
        <v>2</v>
      </c>
      <c r="Q210" s="88">
        <v>0.252206809583859</v>
      </c>
      <c r="R210" s="33">
        <v>6</v>
      </c>
      <c r="S210" s="88">
        <v>0.756620428751576</v>
      </c>
      <c r="T210" s="34" t="str">
        <f t="shared" si="33"/>
        <v>BJP GAIN</v>
      </c>
      <c r="U210" s="91">
        <f t="shared" si="34"/>
        <v>13.6191677175284</v>
      </c>
      <c r="V210" s="27" t="str">
        <f t="shared" si="35"/>
        <v>LOWMARGIN</v>
      </c>
    </row>
    <row r="211" spans="1:22">
      <c r="A211" s="33">
        <v>209</v>
      </c>
      <c r="B211" s="87" t="s">
        <v>224</v>
      </c>
      <c r="C211" s="33">
        <v>847</v>
      </c>
      <c r="D211" s="33">
        <v>582</v>
      </c>
      <c r="E211" s="88">
        <v>68.7131050767414</v>
      </c>
      <c r="F211" s="33">
        <v>303</v>
      </c>
      <c r="G211" s="88">
        <v>52.0618556701031</v>
      </c>
      <c r="H211" s="33">
        <v>251</v>
      </c>
      <c r="I211" s="88">
        <v>43.127147766323</v>
      </c>
      <c r="J211" s="33">
        <v>0</v>
      </c>
      <c r="K211" s="88">
        <v>0</v>
      </c>
      <c r="L211" s="33">
        <v>1</v>
      </c>
      <c r="M211" s="88">
        <v>0.171821305841924</v>
      </c>
      <c r="N211" s="33">
        <v>9</v>
      </c>
      <c r="O211" s="88">
        <v>1.54639175257732</v>
      </c>
      <c r="P211" s="33">
        <v>2</v>
      </c>
      <c r="Q211" s="88">
        <v>0.343642611683849</v>
      </c>
      <c r="R211" s="33">
        <v>16</v>
      </c>
      <c r="S211" s="88">
        <v>2.74914089347079</v>
      </c>
      <c r="T211" s="34" t="str">
        <f t="shared" si="33"/>
        <v>BJP GAIN</v>
      </c>
      <c r="U211" s="91">
        <f t="shared" si="34"/>
        <v>8.93470790378007</v>
      </c>
      <c r="V211" s="26" t="str">
        <f t="shared" si="35"/>
        <v>NARROWMARGIN</v>
      </c>
    </row>
    <row r="212" spans="1:22">
      <c r="A212" s="33">
        <v>210</v>
      </c>
      <c r="B212" s="87" t="s">
        <v>225</v>
      </c>
      <c r="C212" s="33">
        <v>989</v>
      </c>
      <c r="D212" s="33">
        <v>756</v>
      </c>
      <c r="E212" s="88">
        <v>76.4408493427705</v>
      </c>
      <c r="F212" s="33">
        <v>508</v>
      </c>
      <c r="G212" s="88">
        <v>67.1957671957672</v>
      </c>
      <c r="H212" s="33">
        <v>218</v>
      </c>
      <c r="I212" s="88">
        <v>28.8359788359788</v>
      </c>
      <c r="J212" s="33">
        <v>4</v>
      </c>
      <c r="K212" s="88">
        <v>0.529100529100529</v>
      </c>
      <c r="L212" s="33">
        <v>12</v>
      </c>
      <c r="M212" s="88">
        <v>1.58730158730159</v>
      </c>
      <c r="N212" s="33">
        <v>5</v>
      </c>
      <c r="O212" s="88">
        <v>0.661375661375661</v>
      </c>
      <c r="P212" s="33">
        <v>2</v>
      </c>
      <c r="Q212" s="88">
        <v>0.264550264550265</v>
      </c>
      <c r="R212" s="33">
        <v>7</v>
      </c>
      <c r="S212" s="88">
        <v>0.925925925925926</v>
      </c>
      <c r="T212" s="34" t="str">
        <f t="shared" si="33"/>
        <v>BJP GAIN</v>
      </c>
      <c r="U212" s="91">
        <f t="shared" si="34"/>
        <v>38.3597883597884</v>
      </c>
      <c r="V212" s="35" t="str">
        <f t="shared" si="35"/>
        <v>MEDIUMMARGIN</v>
      </c>
    </row>
    <row r="213" spans="1:22">
      <c r="A213" s="33">
        <v>211</v>
      </c>
      <c r="B213" s="87" t="s">
        <v>226</v>
      </c>
      <c r="C213" s="33">
        <v>882</v>
      </c>
      <c r="D213" s="33">
        <v>639</v>
      </c>
      <c r="E213" s="88">
        <v>72.4489795918367</v>
      </c>
      <c r="F213" s="33">
        <v>402</v>
      </c>
      <c r="G213" s="88">
        <v>62.9107981220657</v>
      </c>
      <c r="H213" s="33">
        <v>225</v>
      </c>
      <c r="I213" s="88">
        <v>35.2112676056338</v>
      </c>
      <c r="J213" s="33">
        <v>1</v>
      </c>
      <c r="K213" s="88">
        <v>0.156494522691706</v>
      </c>
      <c r="L213" s="33">
        <v>4</v>
      </c>
      <c r="M213" s="88">
        <v>0.625978090766823</v>
      </c>
      <c r="N213" s="33">
        <v>0</v>
      </c>
      <c r="O213" s="88">
        <v>0</v>
      </c>
      <c r="P213" s="33">
        <v>0</v>
      </c>
      <c r="Q213" s="88">
        <v>0</v>
      </c>
      <c r="R213" s="33">
        <v>7</v>
      </c>
      <c r="S213" s="88">
        <v>1.09546165884194</v>
      </c>
      <c r="T213" s="34" t="str">
        <f t="shared" si="33"/>
        <v>BJP GAIN</v>
      </c>
      <c r="U213" s="91">
        <f t="shared" si="34"/>
        <v>27.6995305164319</v>
      </c>
      <c r="V213" s="27" t="str">
        <f t="shared" si="35"/>
        <v>LOWMARGIN</v>
      </c>
    </row>
    <row r="214" spans="1:22">
      <c r="A214" s="33">
        <v>212</v>
      </c>
      <c r="B214" s="87" t="s">
        <v>227</v>
      </c>
      <c r="C214" s="33">
        <v>1232</v>
      </c>
      <c r="D214" s="33">
        <v>878</v>
      </c>
      <c r="E214" s="88">
        <v>71.2662337662338</v>
      </c>
      <c r="F214" s="33">
        <v>593</v>
      </c>
      <c r="G214" s="88">
        <v>67.5398633257403</v>
      </c>
      <c r="H214" s="33">
        <v>263</v>
      </c>
      <c r="I214" s="88">
        <v>29.9544419134396</v>
      </c>
      <c r="J214" s="33">
        <v>1</v>
      </c>
      <c r="K214" s="88">
        <v>0.113895216400911</v>
      </c>
      <c r="L214" s="33">
        <v>7</v>
      </c>
      <c r="M214" s="88">
        <v>0.797266514806378</v>
      </c>
      <c r="N214" s="33">
        <v>4</v>
      </c>
      <c r="O214" s="88">
        <v>0.455580865603645</v>
      </c>
      <c r="P214" s="33">
        <v>7</v>
      </c>
      <c r="Q214" s="88">
        <v>0.797266514806378</v>
      </c>
      <c r="R214" s="33">
        <v>3</v>
      </c>
      <c r="S214" s="88">
        <v>0.341685649202733</v>
      </c>
      <c r="T214" s="34" t="str">
        <f t="shared" si="33"/>
        <v>BJP GAIN</v>
      </c>
      <c r="U214" s="91">
        <f t="shared" si="34"/>
        <v>37.5854214123007</v>
      </c>
      <c r="V214" s="35" t="str">
        <f t="shared" si="35"/>
        <v>MEDIUMMARGIN</v>
      </c>
    </row>
    <row r="215" spans="1:22">
      <c r="A215" s="33">
        <v>213</v>
      </c>
      <c r="B215" s="87" t="s">
        <v>228</v>
      </c>
      <c r="C215" s="33">
        <v>1176</v>
      </c>
      <c r="D215" s="33">
        <v>764</v>
      </c>
      <c r="E215" s="88">
        <v>64.9659863945578</v>
      </c>
      <c r="F215" s="33">
        <v>411</v>
      </c>
      <c r="G215" s="88">
        <v>53.7958115183246</v>
      </c>
      <c r="H215" s="33">
        <v>315</v>
      </c>
      <c r="I215" s="88">
        <v>41.2303664921466</v>
      </c>
      <c r="J215" s="33">
        <v>4</v>
      </c>
      <c r="K215" s="88">
        <v>0.523560209424084</v>
      </c>
      <c r="L215" s="33">
        <v>18</v>
      </c>
      <c r="M215" s="88">
        <v>2.35602094240838</v>
      </c>
      <c r="N215" s="33">
        <v>10</v>
      </c>
      <c r="O215" s="88">
        <v>1.30890052356021</v>
      </c>
      <c r="P215" s="33">
        <v>1</v>
      </c>
      <c r="Q215" s="88">
        <v>0.130890052356021</v>
      </c>
      <c r="R215" s="33">
        <v>5</v>
      </c>
      <c r="S215" s="88">
        <v>0.654450261780105</v>
      </c>
      <c r="T215" s="34" t="str">
        <f t="shared" si="33"/>
        <v>BJP GAIN</v>
      </c>
      <c r="U215" s="91">
        <f t="shared" si="34"/>
        <v>12.565445026178</v>
      </c>
      <c r="V215" s="27" t="str">
        <f t="shared" si="35"/>
        <v>LOWMARGIN</v>
      </c>
    </row>
    <row r="216" spans="1:22">
      <c r="A216" s="33">
        <v>214</v>
      </c>
      <c r="B216" s="87" t="s">
        <v>229</v>
      </c>
      <c r="C216" s="33">
        <v>1074</v>
      </c>
      <c r="D216" s="33">
        <v>734</v>
      </c>
      <c r="E216" s="88">
        <v>68.3426443202979</v>
      </c>
      <c r="F216" s="33">
        <v>458</v>
      </c>
      <c r="G216" s="88">
        <v>62.3978201634877</v>
      </c>
      <c r="H216" s="33">
        <v>245</v>
      </c>
      <c r="I216" s="88">
        <v>33.3787465940054</v>
      </c>
      <c r="J216" s="33">
        <v>0</v>
      </c>
      <c r="K216" s="88">
        <v>0</v>
      </c>
      <c r="L216" s="33">
        <v>8</v>
      </c>
      <c r="M216" s="88">
        <v>1.08991825613079</v>
      </c>
      <c r="N216" s="33">
        <v>10</v>
      </c>
      <c r="O216" s="88">
        <v>1.36239782016349</v>
      </c>
      <c r="P216" s="33">
        <v>3</v>
      </c>
      <c r="Q216" s="88">
        <v>0.408719346049046</v>
      </c>
      <c r="R216" s="33">
        <v>10</v>
      </c>
      <c r="S216" s="88">
        <v>1.36239782016349</v>
      </c>
      <c r="T216" s="34" t="str">
        <f t="shared" si="33"/>
        <v>BJP GAIN</v>
      </c>
      <c r="U216" s="91">
        <f t="shared" si="34"/>
        <v>29.0190735694823</v>
      </c>
      <c r="V216" s="27" t="str">
        <f t="shared" si="35"/>
        <v>LOWMARGIN</v>
      </c>
    </row>
    <row r="217" spans="1:22">
      <c r="A217" s="33">
        <v>215</v>
      </c>
      <c r="B217" s="87" t="s">
        <v>230</v>
      </c>
      <c r="C217" s="33">
        <v>1084</v>
      </c>
      <c r="D217" s="33">
        <v>758</v>
      </c>
      <c r="E217" s="88">
        <v>69.9261992619926</v>
      </c>
      <c r="F217" s="33">
        <v>367</v>
      </c>
      <c r="G217" s="88">
        <v>48.4168865435356</v>
      </c>
      <c r="H217" s="33">
        <v>359</v>
      </c>
      <c r="I217" s="88">
        <v>47.3614775725594</v>
      </c>
      <c r="J217" s="33">
        <v>3</v>
      </c>
      <c r="K217" s="88">
        <v>0.395778364116095</v>
      </c>
      <c r="L217" s="33">
        <v>8</v>
      </c>
      <c r="M217" s="88">
        <v>1.05540897097625</v>
      </c>
      <c r="N217" s="33">
        <v>7</v>
      </c>
      <c r="O217" s="88">
        <v>0.923482849604222</v>
      </c>
      <c r="P217" s="33">
        <v>5</v>
      </c>
      <c r="Q217" s="88">
        <v>0.659630606860158</v>
      </c>
      <c r="R217" s="33">
        <v>9</v>
      </c>
      <c r="S217" s="88">
        <v>1.18733509234828</v>
      </c>
      <c r="T217" s="34" t="str">
        <f t="shared" si="33"/>
        <v>BJP GAIN</v>
      </c>
      <c r="U217" s="91">
        <f t="shared" si="34"/>
        <v>1.05540897097625</v>
      </c>
      <c r="V217" s="26" t="str">
        <f t="shared" si="35"/>
        <v>NARROWMARGIN</v>
      </c>
    </row>
    <row r="218" spans="1:22">
      <c r="A218" s="33">
        <v>216</v>
      </c>
      <c r="B218" s="87" t="s">
        <v>231</v>
      </c>
      <c r="C218" s="33">
        <v>927</v>
      </c>
      <c r="D218" s="33">
        <v>619</v>
      </c>
      <c r="E218" s="88">
        <v>66.7745415318231</v>
      </c>
      <c r="F218" s="33">
        <v>184</v>
      </c>
      <c r="G218" s="88">
        <v>29.7253634894992</v>
      </c>
      <c r="H218" s="33">
        <v>410</v>
      </c>
      <c r="I218" s="88">
        <v>66.2358642972536</v>
      </c>
      <c r="J218" s="33">
        <v>0</v>
      </c>
      <c r="K218" s="88">
        <v>0</v>
      </c>
      <c r="L218" s="33">
        <v>4</v>
      </c>
      <c r="M218" s="88">
        <v>0.646203554119548</v>
      </c>
      <c r="N218" s="33">
        <v>7</v>
      </c>
      <c r="O218" s="88">
        <v>1.13085621970921</v>
      </c>
      <c r="P218" s="33">
        <v>2</v>
      </c>
      <c r="Q218" s="88">
        <v>0.323101777059774</v>
      </c>
      <c r="R218" s="33">
        <v>12</v>
      </c>
      <c r="S218" s="88">
        <v>1.93861066235864</v>
      </c>
      <c r="T218" s="25" t="str">
        <f t="shared" si="33"/>
        <v>CONGRESS GAIN</v>
      </c>
      <c r="U218" s="91">
        <f t="shared" ref="U218:U219" si="38">I218-G218</f>
        <v>36.5105008077544</v>
      </c>
      <c r="V218" s="35" t="str">
        <f t="shared" si="35"/>
        <v>MEDIUMMARGIN</v>
      </c>
    </row>
    <row r="219" spans="1:22">
      <c r="A219" s="33">
        <v>217</v>
      </c>
      <c r="B219" s="87" t="s">
        <v>232</v>
      </c>
      <c r="C219" s="33">
        <v>864</v>
      </c>
      <c r="D219" s="33">
        <v>617</v>
      </c>
      <c r="E219" s="88">
        <v>71.412037037037</v>
      </c>
      <c r="F219" s="33">
        <v>149</v>
      </c>
      <c r="G219" s="88">
        <v>24.1491085899514</v>
      </c>
      <c r="H219" s="33">
        <v>443</v>
      </c>
      <c r="I219" s="88">
        <v>71.7990275526742</v>
      </c>
      <c r="J219" s="33">
        <v>0</v>
      </c>
      <c r="K219" s="88">
        <v>0</v>
      </c>
      <c r="L219" s="33">
        <v>1</v>
      </c>
      <c r="M219" s="88">
        <v>0.162074554294976</v>
      </c>
      <c r="N219" s="33">
        <v>2</v>
      </c>
      <c r="O219" s="88">
        <v>0.324149108589951</v>
      </c>
      <c r="P219" s="33">
        <v>2</v>
      </c>
      <c r="Q219" s="88">
        <v>0.324149108589951</v>
      </c>
      <c r="R219" s="33">
        <v>20</v>
      </c>
      <c r="S219" s="88">
        <v>3.24149108589951</v>
      </c>
      <c r="T219" s="25" t="str">
        <f t="shared" si="33"/>
        <v>CONGRESS GAIN</v>
      </c>
      <c r="U219" s="91">
        <f t="shared" si="38"/>
        <v>47.6499189627229</v>
      </c>
      <c r="V219" s="92" t="str">
        <f t="shared" si="35"/>
        <v>HIGHMARGIN</v>
      </c>
    </row>
    <row r="220" spans="1:22">
      <c r="A220" s="33">
        <v>218</v>
      </c>
      <c r="B220" s="87" t="s">
        <v>233</v>
      </c>
      <c r="C220" s="33">
        <v>907</v>
      </c>
      <c r="D220" s="33">
        <v>681</v>
      </c>
      <c r="E220" s="88">
        <v>75.0826901874311</v>
      </c>
      <c r="F220" s="33">
        <v>378</v>
      </c>
      <c r="G220" s="88">
        <v>55.5066079295154</v>
      </c>
      <c r="H220" s="33">
        <v>276</v>
      </c>
      <c r="I220" s="88">
        <v>40.5286343612335</v>
      </c>
      <c r="J220" s="33">
        <v>0</v>
      </c>
      <c r="K220" s="88">
        <v>0</v>
      </c>
      <c r="L220" s="33">
        <v>8</v>
      </c>
      <c r="M220" s="88">
        <v>1.17474302496329</v>
      </c>
      <c r="N220" s="33">
        <v>2</v>
      </c>
      <c r="O220" s="88">
        <v>0.293685756240822</v>
      </c>
      <c r="P220" s="33">
        <v>8</v>
      </c>
      <c r="Q220" s="88">
        <v>1.17474302496329</v>
      </c>
      <c r="R220" s="33">
        <v>9</v>
      </c>
      <c r="S220" s="88">
        <v>1.3215859030837</v>
      </c>
      <c r="T220" s="34" t="str">
        <f t="shared" si="33"/>
        <v>BJP GAIN</v>
      </c>
      <c r="U220" s="91">
        <f t="shared" si="34"/>
        <v>14.9779735682819</v>
      </c>
      <c r="V220" s="27" t="str">
        <f t="shared" si="35"/>
        <v>LOWMARGIN</v>
      </c>
    </row>
    <row r="221" spans="1:22">
      <c r="A221" s="33">
        <v>219</v>
      </c>
      <c r="B221" s="87" t="s">
        <v>234</v>
      </c>
      <c r="C221" s="33">
        <v>703</v>
      </c>
      <c r="D221" s="33">
        <v>473</v>
      </c>
      <c r="E221" s="88">
        <v>67.2830725462304</v>
      </c>
      <c r="F221" s="33">
        <v>39</v>
      </c>
      <c r="G221" s="88">
        <v>8.24524312896406</v>
      </c>
      <c r="H221" s="33">
        <v>424</v>
      </c>
      <c r="I221" s="88">
        <v>89.6405919661734</v>
      </c>
      <c r="J221" s="33">
        <v>1</v>
      </c>
      <c r="K221" s="88">
        <v>0.211416490486258</v>
      </c>
      <c r="L221" s="33">
        <v>2</v>
      </c>
      <c r="M221" s="88">
        <v>0.422832980972516</v>
      </c>
      <c r="N221" s="33">
        <v>2</v>
      </c>
      <c r="O221" s="88">
        <v>0.422832980972516</v>
      </c>
      <c r="P221" s="33">
        <v>3</v>
      </c>
      <c r="Q221" s="88">
        <v>0.634249471458774</v>
      </c>
      <c r="R221" s="33">
        <v>2</v>
      </c>
      <c r="S221" s="88">
        <v>0.422832980972516</v>
      </c>
      <c r="T221" s="93" t="str">
        <f t="shared" si="33"/>
        <v>CONGRESS GAIN</v>
      </c>
      <c r="U221" s="91">
        <f t="shared" ref="U221" si="39">I221-G221</f>
        <v>81.3953488372093</v>
      </c>
      <c r="V221" s="25" t="str">
        <f t="shared" si="35"/>
        <v>VERYHIGHMARGIN</v>
      </c>
    </row>
    <row r="222" s="5" customFormat="1" ht="15.75" spans="1:19">
      <c r="A222" s="14" t="s">
        <v>235</v>
      </c>
      <c r="B222" s="14"/>
      <c r="C222" s="14">
        <f>SUM(C3:C221)</f>
        <v>217429</v>
      </c>
      <c r="D222" s="14">
        <f t="shared" ref="D222:S222" si="40">SUM(D3:D221)</f>
        <v>152231</v>
      </c>
      <c r="E222" s="14">
        <f t="shared" si="40"/>
        <v>15357.1177026101</v>
      </c>
      <c r="F222" s="14">
        <f t="shared" si="40"/>
        <v>79156</v>
      </c>
      <c r="G222" s="14">
        <f t="shared" si="40"/>
        <v>11165.6706996479</v>
      </c>
      <c r="H222" s="14">
        <f t="shared" si="40"/>
        <v>66070</v>
      </c>
      <c r="I222" s="14">
        <f t="shared" si="40"/>
        <v>9714.87201108803</v>
      </c>
      <c r="J222" s="14">
        <f t="shared" si="40"/>
        <v>244</v>
      </c>
      <c r="K222" s="14">
        <f t="shared" si="40"/>
        <v>34.4080099285621</v>
      </c>
      <c r="L222" s="14">
        <f t="shared" si="40"/>
        <v>1532</v>
      </c>
      <c r="M222" s="14">
        <f t="shared" si="40"/>
        <v>214.74646842359</v>
      </c>
      <c r="N222" s="14">
        <f t="shared" si="40"/>
        <v>2111</v>
      </c>
      <c r="O222" s="14">
        <f t="shared" si="40"/>
        <v>313.636511207282</v>
      </c>
      <c r="P222" s="14">
        <f t="shared" si="40"/>
        <v>845</v>
      </c>
      <c r="Q222" s="14">
        <f t="shared" si="40"/>
        <v>120.06344493615</v>
      </c>
      <c r="R222" s="14">
        <f t="shared" si="40"/>
        <v>2273</v>
      </c>
      <c r="S222" s="14">
        <f t="shared" si="40"/>
        <v>336.602854768491</v>
      </c>
    </row>
    <row r="223" spans="20:23">
      <c r="T223" s="34" t="s">
        <v>6</v>
      </c>
      <c r="U223" s="34">
        <f>COUNTIF(T3:T221,"BJP GAIN")</f>
        <v>146</v>
      </c>
      <c r="V223" s="94" t="s">
        <v>236</v>
      </c>
      <c r="W223" s="95">
        <f>COUNTIF(V3:V221,"NARROWMARGIN")</f>
        <v>43</v>
      </c>
    </row>
    <row r="224" spans="20:23">
      <c r="T224" s="36" t="s">
        <v>237</v>
      </c>
      <c r="U224" s="36">
        <f>COUNTIF(T3:T221,"CONGRESS GAIN")</f>
        <v>73</v>
      </c>
      <c r="V224" s="96" t="s">
        <v>238</v>
      </c>
      <c r="W224" s="97">
        <f>COUNTIF(V3:V221,"LOWMARGIN")</f>
        <v>85</v>
      </c>
    </row>
    <row r="225" spans="22:23">
      <c r="V225" s="98" t="s">
        <v>239</v>
      </c>
      <c r="W225" s="99">
        <f>COUNTIF(V3:V221,"MEDIUMMARGIN")</f>
        <v>30</v>
      </c>
    </row>
    <row r="226" spans="22:23">
      <c r="V226" s="100" t="s">
        <v>240</v>
      </c>
      <c r="W226" s="101">
        <f>COUNTIF(V3:V221,"HIGHMARGIN")</f>
        <v>15</v>
      </c>
    </row>
    <row r="227" spans="22:23">
      <c r="V227" s="102" t="s">
        <v>241</v>
      </c>
      <c r="W227" s="103">
        <f>COUNTIF(V3:V221,"VERYHIGHMARGIN")</f>
        <v>46</v>
      </c>
    </row>
  </sheetData>
  <sheetProtection password="CFF8" sheet="1" objects="1" scenarios="1"/>
  <mergeCells count="2">
    <mergeCell ref="A1:V1"/>
    <mergeCell ref="A222:B2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zoomScale="85" zoomScaleNormal="85" topLeftCell="A31" workbookViewId="0">
      <selection activeCell="C2" sqref="C2:E41"/>
    </sheetView>
  </sheetViews>
  <sheetFormatPr defaultColWidth="9" defaultRowHeight="15"/>
  <cols>
    <col min="1" max="1" width="9.14285714285714" style="6"/>
    <col min="2" max="2" width="12.5714285714286" style="6" customWidth="1"/>
    <col min="3" max="3" width="22.2857142857143" style="6" customWidth="1"/>
    <col min="4" max="4" width="13.2857142857143" style="6" customWidth="1"/>
    <col min="5" max="5" width="32.1428571428571" style="6" customWidth="1"/>
    <col min="6" max="6" width="19" style="6" customWidth="1"/>
    <col min="7" max="7" width="16.5714285714286" style="6" customWidth="1"/>
    <col min="8" max="8" width="18" style="6" customWidth="1"/>
    <col min="9" max="9" width="16.8571428571429" style="6" customWidth="1"/>
    <col min="10" max="11" width="15.5714285714286" style="6" customWidth="1"/>
    <col min="12" max="13" width="18" style="6" customWidth="1"/>
    <col min="14" max="14" width="16.8571428571429" style="6" customWidth="1"/>
    <col min="15" max="16" width="15.5714285714286" style="6" customWidth="1"/>
    <col min="17" max="17" width="18" style="6" customWidth="1"/>
    <col min="18" max="18" width="12" style="6" customWidth="1"/>
    <col min="19" max="19" width="21.2857142857143" style="6" customWidth="1"/>
    <col min="20" max="20" width="15.5714285714286" style="6" customWidth="1"/>
    <col min="21" max="21" width="24.1428571428571" style="6" customWidth="1"/>
    <col min="22" max="22" width="19.1428571428571" style="6" customWidth="1"/>
    <col min="23" max="23" width="25" style="6" customWidth="1"/>
    <col min="24" max="16384" width="9.14285714285714" style="6"/>
  </cols>
  <sheetData>
    <row r="1" ht="28.5" spans="1:23">
      <c r="A1" s="7" t="s">
        <v>242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1" t="s">
        <v>243</v>
      </c>
      <c r="B2" s="1" t="s">
        <v>244</v>
      </c>
      <c r="C2" s="1" t="s">
        <v>245</v>
      </c>
      <c r="D2" s="58" t="s">
        <v>246</v>
      </c>
      <c r="E2" s="1" t="s">
        <v>247</v>
      </c>
      <c r="F2" s="11" t="s">
        <v>248</v>
      </c>
      <c r="G2" s="1" t="s">
        <v>249</v>
      </c>
      <c r="H2" s="1" t="s">
        <v>249</v>
      </c>
      <c r="I2" s="1"/>
      <c r="J2" s="1"/>
      <c r="K2" s="17" t="s">
        <v>6</v>
      </c>
      <c r="L2" s="18"/>
      <c r="M2" s="18"/>
      <c r="N2" s="18"/>
      <c r="O2" s="19"/>
      <c r="P2" s="20" t="s">
        <v>237</v>
      </c>
      <c r="Q2" s="21"/>
      <c r="R2" s="21"/>
      <c r="S2" s="21"/>
      <c r="T2" s="24"/>
      <c r="U2" s="10" t="s">
        <v>250</v>
      </c>
      <c r="V2" s="10" t="s">
        <v>15</v>
      </c>
      <c r="W2" s="10" t="s">
        <v>251</v>
      </c>
    </row>
    <row r="3" ht="30" spans="1:23">
      <c r="A3" s="1"/>
      <c r="B3" s="1"/>
      <c r="C3" s="1"/>
      <c r="D3" s="59"/>
      <c r="E3" s="1"/>
      <c r="F3" s="12"/>
      <c r="G3" s="1"/>
      <c r="H3" s="10" t="s">
        <v>252</v>
      </c>
      <c r="I3" s="10" t="s">
        <v>253</v>
      </c>
      <c r="J3" s="10" t="s">
        <v>254</v>
      </c>
      <c r="K3" s="10" t="s">
        <v>255</v>
      </c>
      <c r="L3" s="10" t="s">
        <v>252</v>
      </c>
      <c r="M3" s="10" t="s">
        <v>7</v>
      </c>
      <c r="N3" s="10" t="s">
        <v>253</v>
      </c>
      <c r="O3" s="10" t="s">
        <v>254</v>
      </c>
      <c r="P3" s="10" t="s">
        <v>256</v>
      </c>
      <c r="Q3" s="10" t="s">
        <v>252</v>
      </c>
      <c r="R3" s="10" t="s">
        <v>7</v>
      </c>
      <c r="S3" s="10" t="s">
        <v>253</v>
      </c>
      <c r="T3" s="10" t="s">
        <v>254</v>
      </c>
      <c r="U3" s="10"/>
      <c r="V3" s="10"/>
      <c r="W3" s="10"/>
    </row>
    <row r="4" spans="1:23">
      <c r="A4" s="3">
        <v>1</v>
      </c>
      <c r="B4" s="3">
        <v>21</v>
      </c>
      <c r="C4" s="2" t="s">
        <v>257</v>
      </c>
      <c r="D4" s="3">
        <v>6</v>
      </c>
      <c r="E4" s="3" t="s">
        <v>258</v>
      </c>
      <c r="F4" s="3">
        <v>6571</v>
      </c>
      <c r="G4" s="31">
        <v>4708</v>
      </c>
      <c r="H4" s="13">
        <v>784.666666666667</v>
      </c>
      <c r="I4" s="13">
        <v>174.777636504852</v>
      </c>
      <c r="J4" s="13">
        <v>30547.2222222222</v>
      </c>
      <c r="K4" s="31">
        <v>2947</v>
      </c>
      <c r="L4" s="13">
        <v>491.166666666667</v>
      </c>
      <c r="M4" s="13">
        <f>(L4/H4)*100</f>
        <v>62.5955819881054</v>
      </c>
      <c r="N4" s="13">
        <v>136.834957359425</v>
      </c>
      <c r="O4" s="13">
        <v>18723.8055555556</v>
      </c>
      <c r="P4" s="22">
        <v>1588</v>
      </c>
      <c r="Q4" s="13">
        <v>264.666666666667</v>
      </c>
      <c r="R4" s="13">
        <f>(Q4/H4)*100</f>
        <v>33.7298215802889</v>
      </c>
      <c r="S4" s="13">
        <v>52.6518966631044</v>
      </c>
      <c r="T4" s="13">
        <v>2772.22222222222</v>
      </c>
      <c r="U4" s="34" t="str">
        <f>IF(L4&gt;Q4,"BJP GAIN","CONGRESS GAIN")</f>
        <v>BJP GAIN</v>
      </c>
      <c r="V4" s="13">
        <f>((L4-Q4)/H4)*100</f>
        <v>28.8657604078165</v>
      </c>
      <c r="W4" s="27" t="str">
        <f>IF(V4&gt;=50,"VERYHIGHMARGIN",IF(V4&gt;=40,"HIGHMARGIN",IF(V4&gt;=30,"MEDIUMMARGIN",IF(V4&gt;10,"LOWMARGIN",IF(V4&gt;=1,"NARROWMARGIN")))))</f>
        <v>LOWMARGIN</v>
      </c>
    </row>
    <row r="5" spans="1:23">
      <c r="A5" s="3">
        <v>2</v>
      </c>
      <c r="B5" s="3">
        <v>24</v>
      </c>
      <c r="C5" s="2" t="s">
        <v>259</v>
      </c>
      <c r="D5" s="3">
        <v>6</v>
      </c>
      <c r="E5" s="3" t="s">
        <v>260</v>
      </c>
      <c r="F5" s="3">
        <v>5712</v>
      </c>
      <c r="G5" s="3">
        <v>3994</v>
      </c>
      <c r="H5" s="13">
        <v>665.666666666667</v>
      </c>
      <c r="I5" s="13">
        <v>167.927232918177</v>
      </c>
      <c r="J5" s="13">
        <v>28199.5555555556</v>
      </c>
      <c r="K5" s="22">
        <v>2322</v>
      </c>
      <c r="L5" s="13">
        <v>387</v>
      </c>
      <c r="M5" s="13">
        <f t="shared" ref="M5:M41" si="0">(L5/H5)*100</f>
        <v>58.1372058087131</v>
      </c>
      <c r="N5" s="13">
        <v>55.0272659687904</v>
      </c>
      <c r="O5" s="13">
        <v>3028</v>
      </c>
      <c r="P5" s="22">
        <v>1546</v>
      </c>
      <c r="Q5" s="13">
        <v>257.666666666667</v>
      </c>
      <c r="R5" s="13">
        <f t="shared" ref="R5:R41" si="1">(Q5/H5)*100</f>
        <v>38.7080620931397</v>
      </c>
      <c r="S5" s="13">
        <v>113.725791074653</v>
      </c>
      <c r="T5" s="13">
        <v>12933.5555555556</v>
      </c>
      <c r="U5" s="34" t="str">
        <f t="shared" ref="U5:U41" si="2">IF(L5&gt;Q5,"BJP GAIN","CONGRESS GAIN")</f>
        <v>BJP GAIN</v>
      </c>
      <c r="V5" s="13">
        <f t="shared" ref="V5:V27" si="3">((L5-Q5)/H5)*100</f>
        <v>19.4291437155734</v>
      </c>
      <c r="W5" s="27" t="str">
        <f t="shared" ref="W5:W41" si="4">IF(V5&gt;=50,"VERYHIGHMARGIN",IF(V5&gt;=40,"HIGHMARGIN",IF(V5&gt;=30,"MEDIUMMARGIN",IF(V5&gt;10,"LOWMARGIN",IF(V5&gt;=1,"NARROWMARGIN")))))</f>
        <v>LOWMARGIN</v>
      </c>
    </row>
    <row r="6" spans="1:23">
      <c r="A6" s="3">
        <v>3</v>
      </c>
      <c r="B6" s="3">
        <v>25</v>
      </c>
      <c r="C6" s="2" t="s">
        <v>261</v>
      </c>
      <c r="D6" s="3">
        <v>6</v>
      </c>
      <c r="E6" s="3" t="s">
        <v>262</v>
      </c>
      <c r="F6" s="3">
        <v>6069</v>
      </c>
      <c r="G6" s="3">
        <v>4445</v>
      </c>
      <c r="H6" s="30">
        <v>740.833333333333</v>
      </c>
      <c r="I6" s="30">
        <v>182.555394941432</v>
      </c>
      <c r="J6" s="30">
        <v>33326.4722222222</v>
      </c>
      <c r="K6" s="32">
        <v>2397</v>
      </c>
      <c r="L6" s="30">
        <v>399.5</v>
      </c>
      <c r="M6" s="13">
        <f t="shared" si="0"/>
        <v>53.92575928009</v>
      </c>
      <c r="N6" s="30">
        <v>70.7548584904245</v>
      </c>
      <c r="O6" s="30">
        <v>5006.25</v>
      </c>
      <c r="P6" s="32">
        <v>1828</v>
      </c>
      <c r="Q6" s="30">
        <v>304.666666666667</v>
      </c>
      <c r="R6" s="13">
        <f t="shared" si="1"/>
        <v>41.1248593925759</v>
      </c>
      <c r="S6" s="30">
        <v>109.721870604219</v>
      </c>
      <c r="T6" s="30">
        <v>12038.8888888889</v>
      </c>
      <c r="U6" s="34" t="str">
        <f t="shared" si="2"/>
        <v>BJP GAIN</v>
      </c>
      <c r="V6" s="13">
        <f t="shared" si="3"/>
        <v>12.8008998875141</v>
      </c>
      <c r="W6" s="27" t="str">
        <f t="shared" si="4"/>
        <v>LOWMARGIN</v>
      </c>
    </row>
    <row r="7" spans="1:23">
      <c r="A7" s="3">
        <v>4</v>
      </c>
      <c r="B7" s="3">
        <v>26</v>
      </c>
      <c r="C7" s="2" t="s">
        <v>263</v>
      </c>
      <c r="D7" s="3">
        <v>7</v>
      </c>
      <c r="E7" s="4" t="s">
        <v>264</v>
      </c>
      <c r="F7" s="4">
        <v>7907</v>
      </c>
      <c r="G7" s="4">
        <v>5728</v>
      </c>
      <c r="H7" s="13">
        <v>716</v>
      </c>
      <c r="I7" s="13">
        <v>201.78577749683</v>
      </c>
      <c r="J7" s="13">
        <v>40717.5</v>
      </c>
      <c r="K7" s="22">
        <v>3487</v>
      </c>
      <c r="L7" s="13">
        <v>435.875</v>
      </c>
      <c r="M7" s="13">
        <f t="shared" si="0"/>
        <v>60.8763966480447</v>
      </c>
      <c r="N7" s="13">
        <v>130.40555730106</v>
      </c>
      <c r="O7" s="13">
        <v>17005.609375</v>
      </c>
      <c r="P7" s="33">
        <v>2089</v>
      </c>
      <c r="Q7" s="13">
        <v>261.125</v>
      </c>
      <c r="R7" s="13">
        <f t="shared" si="1"/>
        <v>36.4699720670391</v>
      </c>
      <c r="S7" s="13">
        <v>73.0846042268821</v>
      </c>
      <c r="T7" s="13">
        <v>5341.359375</v>
      </c>
      <c r="U7" s="34" t="str">
        <f t="shared" si="2"/>
        <v>BJP GAIN</v>
      </c>
      <c r="V7" s="13">
        <f t="shared" si="3"/>
        <v>24.4064245810056</v>
      </c>
      <c r="W7" s="27" t="str">
        <f t="shared" si="4"/>
        <v>LOWMARGIN</v>
      </c>
    </row>
    <row r="8" spans="1:23">
      <c r="A8" s="3">
        <v>5</v>
      </c>
      <c r="B8" s="3">
        <v>27</v>
      </c>
      <c r="C8" s="2" t="s">
        <v>265</v>
      </c>
      <c r="D8" s="3">
        <v>6</v>
      </c>
      <c r="E8" s="4" t="s">
        <v>266</v>
      </c>
      <c r="F8" s="4">
        <v>5915</v>
      </c>
      <c r="G8" s="4">
        <v>4500</v>
      </c>
      <c r="H8" s="13">
        <v>750</v>
      </c>
      <c r="I8" s="13">
        <v>180.032404490599</v>
      </c>
      <c r="J8" s="13">
        <v>32411.6666666667</v>
      </c>
      <c r="K8" s="22">
        <v>2892</v>
      </c>
      <c r="L8" s="13">
        <v>482</v>
      </c>
      <c r="M8" s="13">
        <f t="shared" si="0"/>
        <v>64.2666666666667</v>
      </c>
      <c r="N8" s="13">
        <v>119.726076246294</v>
      </c>
      <c r="O8" s="13">
        <v>14334.3333333333</v>
      </c>
      <c r="P8" s="22">
        <v>1507</v>
      </c>
      <c r="Q8" s="13">
        <v>251.166666666667</v>
      </c>
      <c r="R8" s="13">
        <f t="shared" si="1"/>
        <v>33.4888888888889</v>
      </c>
      <c r="S8" s="13">
        <v>81.9662871077019</v>
      </c>
      <c r="T8" s="13">
        <v>6718.47222222222</v>
      </c>
      <c r="U8" s="34" t="str">
        <f t="shared" si="2"/>
        <v>BJP GAIN</v>
      </c>
      <c r="V8" s="13">
        <f t="shared" si="3"/>
        <v>30.7777777777778</v>
      </c>
      <c r="W8" s="35" t="str">
        <f t="shared" si="4"/>
        <v>MEDIUMMARGIN</v>
      </c>
    </row>
    <row r="9" spans="1:23">
      <c r="A9" s="3">
        <v>6</v>
      </c>
      <c r="B9" s="3">
        <v>28</v>
      </c>
      <c r="C9" s="2" t="s">
        <v>267</v>
      </c>
      <c r="D9" s="3">
        <v>4</v>
      </c>
      <c r="E9" s="4" t="s">
        <v>268</v>
      </c>
      <c r="F9" s="4">
        <v>4543</v>
      </c>
      <c r="G9" s="4">
        <v>3413</v>
      </c>
      <c r="H9" s="13">
        <v>853.25</v>
      </c>
      <c r="I9" s="13">
        <v>124.706405208393</v>
      </c>
      <c r="J9" s="13">
        <v>15551.6875</v>
      </c>
      <c r="K9" s="22">
        <v>2503</v>
      </c>
      <c r="L9" s="13">
        <v>625.75</v>
      </c>
      <c r="M9" s="13">
        <f t="shared" si="0"/>
        <v>73.3372399648403</v>
      </c>
      <c r="N9" s="13">
        <v>107.264567775198</v>
      </c>
      <c r="O9" s="13">
        <v>11505.6875</v>
      </c>
      <c r="P9" s="22">
        <v>825</v>
      </c>
      <c r="Q9" s="13">
        <v>206.25</v>
      </c>
      <c r="R9" s="13">
        <f t="shared" si="1"/>
        <v>24.172282449458</v>
      </c>
      <c r="S9" s="13">
        <v>28.4637927901395</v>
      </c>
      <c r="T9" s="13">
        <v>810.1875</v>
      </c>
      <c r="U9" s="34" t="str">
        <f t="shared" si="2"/>
        <v>BJP GAIN</v>
      </c>
      <c r="V9" s="13">
        <f t="shared" si="3"/>
        <v>49.1649575153824</v>
      </c>
      <c r="W9" s="28" t="str">
        <f t="shared" si="4"/>
        <v>HIGHMARGIN</v>
      </c>
    </row>
    <row r="10" spans="1:23">
      <c r="A10" s="3">
        <v>7</v>
      </c>
      <c r="B10" s="3">
        <v>29</v>
      </c>
      <c r="C10" s="2" t="s">
        <v>269</v>
      </c>
      <c r="D10" s="3">
        <v>4</v>
      </c>
      <c r="E10" s="4" t="s">
        <v>270</v>
      </c>
      <c r="F10" s="4">
        <v>4405</v>
      </c>
      <c r="G10" s="4">
        <v>3113</v>
      </c>
      <c r="H10" s="13">
        <v>778.25</v>
      </c>
      <c r="I10" s="13">
        <v>152.655453554729</v>
      </c>
      <c r="J10" s="13">
        <v>23303.6875</v>
      </c>
      <c r="K10" s="33">
        <v>2369</v>
      </c>
      <c r="L10" s="13">
        <v>592.25</v>
      </c>
      <c r="M10" s="13">
        <f t="shared" si="0"/>
        <v>76.1002248634757</v>
      </c>
      <c r="N10" s="13">
        <v>152.662004113663</v>
      </c>
      <c r="O10" s="13">
        <v>23305.6875</v>
      </c>
      <c r="P10" s="22">
        <v>660</v>
      </c>
      <c r="Q10" s="13">
        <v>165</v>
      </c>
      <c r="R10" s="13">
        <f t="shared" si="1"/>
        <v>21.2014134275618</v>
      </c>
      <c r="S10" s="13">
        <v>55.4436651025164</v>
      </c>
      <c r="T10" s="13">
        <v>3074</v>
      </c>
      <c r="U10" s="34" t="str">
        <f t="shared" si="2"/>
        <v>BJP GAIN</v>
      </c>
      <c r="V10" s="13">
        <f t="shared" si="3"/>
        <v>54.8988114359139</v>
      </c>
      <c r="W10" s="36" t="str">
        <f t="shared" si="4"/>
        <v>VERYHIGHMARGIN</v>
      </c>
    </row>
    <row r="11" spans="1:23">
      <c r="A11" s="3">
        <v>8</v>
      </c>
      <c r="B11" s="3">
        <v>30</v>
      </c>
      <c r="C11" s="2" t="s">
        <v>271</v>
      </c>
      <c r="D11" s="3">
        <v>5</v>
      </c>
      <c r="E11" s="4" t="s">
        <v>272</v>
      </c>
      <c r="F11" s="4">
        <v>5556</v>
      </c>
      <c r="G11" s="4">
        <v>3552</v>
      </c>
      <c r="H11" s="13">
        <v>710.4</v>
      </c>
      <c r="I11" s="13">
        <v>106.076576113674</v>
      </c>
      <c r="J11" s="13">
        <v>11252.24</v>
      </c>
      <c r="K11" s="22">
        <v>2203</v>
      </c>
      <c r="L11" s="13">
        <v>440.6</v>
      </c>
      <c r="M11" s="13">
        <f t="shared" si="0"/>
        <v>62.0213963963964</v>
      </c>
      <c r="N11" s="13">
        <v>105.868975625534</v>
      </c>
      <c r="O11" s="13">
        <v>11208.24</v>
      </c>
      <c r="P11" s="22">
        <v>1240</v>
      </c>
      <c r="Q11" s="13">
        <v>248</v>
      </c>
      <c r="R11" s="13">
        <f t="shared" si="1"/>
        <v>34.9099099099099</v>
      </c>
      <c r="S11" s="13">
        <v>24.3639077325457</v>
      </c>
      <c r="T11" s="13">
        <v>593.6</v>
      </c>
      <c r="U11" s="34" t="str">
        <f t="shared" si="2"/>
        <v>BJP GAIN</v>
      </c>
      <c r="V11" s="13">
        <f t="shared" si="3"/>
        <v>27.1114864864865</v>
      </c>
      <c r="W11" s="27" t="str">
        <f t="shared" si="4"/>
        <v>LOWMARGIN</v>
      </c>
    </row>
    <row r="12" spans="1:23">
      <c r="A12" s="3">
        <v>9</v>
      </c>
      <c r="B12" s="3">
        <v>31</v>
      </c>
      <c r="C12" s="2" t="s">
        <v>273</v>
      </c>
      <c r="D12" s="3">
        <v>6</v>
      </c>
      <c r="E12" s="4" t="s">
        <v>274</v>
      </c>
      <c r="F12" s="4">
        <v>6187</v>
      </c>
      <c r="G12" s="4">
        <v>4258</v>
      </c>
      <c r="H12" s="13">
        <v>709.666666666667</v>
      </c>
      <c r="I12" s="13">
        <v>127.431899024102</v>
      </c>
      <c r="J12" s="13">
        <v>16238.8888888889</v>
      </c>
      <c r="K12" s="22">
        <v>2361</v>
      </c>
      <c r="L12" s="13">
        <v>393.5</v>
      </c>
      <c r="M12" s="13">
        <f t="shared" si="0"/>
        <v>55.4485674025364</v>
      </c>
      <c r="N12" s="13">
        <v>89.7343301083816</v>
      </c>
      <c r="O12" s="13">
        <v>8052.25</v>
      </c>
      <c r="P12" s="22">
        <v>1709</v>
      </c>
      <c r="Q12" s="13">
        <v>284.833333333333</v>
      </c>
      <c r="R12" s="13">
        <f t="shared" si="1"/>
        <v>40.1362141850634</v>
      </c>
      <c r="S12" s="13">
        <v>42.9084943675362</v>
      </c>
      <c r="T12" s="13">
        <v>1841.13888888889</v>
      </c>
      <c r="U12" s="34" t="str">
        <f t="shared" si="2"/>
        <v>BJP GAIN</v>
      </c>
      <c r="V12" s="13">
        <f t="shared" si="3"/>
        <v>15.312353217473</v>
      </c>
      <c r="W12" s="27" t="str">
        <f t="shared" si="4"/>
        <v>LOWMARGIN</v>
      </c>
    </row>
    <row r="13" spans="1:23">
      <c r="A13" s="3">
        <v>10</v>
      </c>
      <c r="B13" s="3">
        <v>32</v>
      </c>
      <c r="C13" s="2" t="s">
        <v>275</v>
      </c>
      <c r="D13" s="3">
        <v>5</v>
      </c>
      <c r="E13" s="4" t="s">
        <v>276</v>
      </c>
      <c r="F13" s="4">
        <v>4841</v>
      </c>
      <c r="G13" s="4">
        <v>3529</v>
      </c>
      <c r="H13" s="13">
        <v>705.8</v>
      </c>
      <c r="I13" s="13">
        <v>207.31560481546</v>
      </c>
      <c r="J13" s="13">
        <v>42979.76</v>
      </c>
      <c r="K13" s="22">
        <v>2214</v>
      </c>
      <c r="L13" s="13">
        <v>442.8</v>
      </c>
      <c r="M13" s="13">
        <f t="shared" si="0"/>
        <v>62.7373193539246</v>
      </c>
      <c r="N13" s="13">
        <v>125.490079289161</v>
      </c>
      <c r="O13" s="13">
        <v>15747.76</v>
      </c>
      <c r="P13" s="22">
        <v>1192</v>
      </c>
      <c r="Q13" s="13">
        <v>238.4</v>
      </c>
      <c r="R13" s="13">
        <f t="shared" si="1"/>
        <v>33.7772740153018</v>
      </c>
      <c r="S13" s="13">
        <v>90.0346599926939</v>
      </c>
      <c r="T13" s="13">
        <v>8106.24</v>
      </c>
      <c r="U13" s="34" t="str">
        <f t="shared" si="2"/>
        <v>BJP GAIN</v>
      </c>
      <c r="V13" s="13">
        <f t="shared" si="3"/>
        <v>28.9600453386228</v>
      </c>
      <c r="W13" s="27" t="str">
        <f t="shared" si="4"/>
        <v>LOWMARGIN</v>
      </c>
    </row>
    <row r="14" spans="1:23">
      <c r="A14" s="3">
        <v>11</v>
      </c>
      <c r="B14" s="3">
        <v>33</v>
      </c>
      <c r="C14" s="2" t="s">
        <v>277</v>
      </c>
      <c r="D14" s="3">
        <v>4</v>
      </c>
      <c r="E14" s="4" t="s">
        <v>278</v>
      </c>
      <c r="F14" s="4">
        <v>4305</v>
      </c>
      <c r="G14" s="4">
        <v>3031</v>
      </c>
      <c r="H14" s="13">
        <v>757.75</v>
      </c>
      <c r="I14" s="13">
        <v>48.432298107771</v>
      </c>
      <c r="J14" s="13">
        <v>2345.6875</v>
      </c>
      <c r="K14" s="22">
        <v>1905</v>
      </c>
      <c r="L14" s="13">
        <v>476.25</v>
      </c>
      <c r="M14" s="13">
        <f t="shared" si="0"/>
        <v>62.8505443747938</v>
      </c>
      <c r="N14" s="13">
        <v>60.9113084738786</v>
      </c>
      <c r="O14" s="13">
        <v>3710.1875</v>
      </c>
      <c r="P14" s="33">
        <v>1013</v>
      </c>
      <c r="Q14" s="13">
        <v>253.25</v>
      </c>
      <c r="R14" s="13">
        <f t="shared" si="1"/>
        <v>33.4213130979875</v>
      </c>
      <c r="S14" s="13">
        <v>102.150318159074</v>
      </c>
      <c r="T14" s="13">
        <v>10434.6875</v>
      </c>
      <c r="U14" s="34" t="str">
        <f t="shared" si="2"/>
        <v>BJP GAIN</v>
      </c>
      <c r="V14" s="13">
        <f t="shared" si="3"/>
        <v>29.4292312768063</v>
      </c>
      <c r="W14" s="27" t="str">
        <f t="shared" si="4"/>
        <v>LOWMARGIN</v>
      </c>
    </row>
    <row r="15" spans="1:23">
      <c r="A15" s="3">
        <v>12</v>
      </c>
      <c r="B15" s="3">
        <v>34</v>
      </c>
      <c r="C15" s="2" t="s">
        <v>279</v>
      </c>
      <c r="D15" s="3">
        <v>5</v>
      </c>
      <c r="E15" s="4" t="s">
        <v>280</v>
      </c>
      <c r="F15" s="4">
        <v>5621</v>
      </c>
      <c r="G15" s="4">
        <v>3433</v>
      </c>
      <c r="H15" s="13">
        <v>686.6</v>
      </c>
      <c r="I15" s="13">
        <v>60.1019134470775</v>
      </c>
      <c r="J15" s="13">
        <v>3612.24</v>
      </c>
      <c r="K15" s="22">
        <v>1527</v>
      </c>
      <c r="L15" s="13">
        <v>305.4</v>
      </c>
      <c r="M15" s="13">
        <f t="shared" si="0"/>
        <v>44.4800466064666</v>
      </c>
      <c r="N15" s="13">
        <v>35.617972991174</v>
      </c>
      <c r="O15" s="13">
        <v>1268.64</v>
      </c>
      <c r="P15" s="22">
        <v>1892</v>
      </c>
      <c r="Q15" s="13">
        <v>378.4</v>
      </c>
      <c r="R15" s="13">
        <f t="shared" si="1"/>
        <v>55.1121468103699</v>
      </c>
      <c r="S15" s="13">
        <v>106.057720133897</v>
      </c>
      <c r="T15" s="13">
        <v>11248.24</v>
      </c>
      <c r="U15" s="25" t="str">
        <f t="shared" si="2"/>
        <v>CONGRESS GAIN</v>
      </c>
      <c r="V15" s="13">
        <f>((Q15-L15)/H15)*100</f>
        <v>10.6321002039033</v>
      </c>
      <c r="W15" s="27" t="str">
        <f t="shared" si="4"/>
        <v>LOWMARGIN</v>
      </c>
    </row>
    <row r="16" spans="1:23">
      <c r="A16" s="3">
        <v>13</v>
      </c>
      <c r="B16" s="3">
        <v>35</v>
      </c>
      <c r="C16" s="2" t="s">
        <v>281</v>
      </c>
      <c r="D16" s="3">
        <v>7</v>
      </c>
      <c r="E16" s="4" t="s">
        <v>282</v>
      </c>
      <c r="F16" s="4">
        <v>7641</v>
      </c>
      <c r="G16" s="4">
        <v>5497</v>
      </c>
      <c r="H16" s="13">
        <v>785.285714285714</v>
      </c>
      <c r="I16" s="13">
        <v>96.8632530731772</v>
      </c>
      <c r="J16" s="13">
        <v>9382.48979591837</v>
      </c>
      <c r="K16" s="22">
        <v>2911</v>
      </c>
      <c r="L16" s="13">
        <v>415.857142857143</v>
      </c>
      <c r="M16" s="13">
        <f t="shared" si="0"/>
        <v>52.9561579043114</v>
      </c>
      <c r="N16" s="13">
        <v>88.5605984162073</v>
      </c>
      <c r="O16" s="13">
        <v>7842.97959183673</v>
      </c>
      <c r="P16" s="22">
        <v>2374</v>
      </c>
      <c r="Q16" s="13">
        <v>339.142857142857</v>
      </c>
      <c r="R16" s="13">
        <f t="shared" si="1"/>
        <v>43.1871930143715</v>
      </c>
      <c r="S16" s="13">
        <v>101.898308651922</v>
      </c>
      <c r="T16" s="13">
        <v>10383.2653061224</v>
      </c>
      <c r="U16" s="34" t="str">
        <f t="shared" si="2"/>
        <v>BJP GAIN</v>
      </c>
      <c r="V16" s="13">
        <f t="shared" si="3"/>
        <v>9.76896488993996</v>
      </c>
      <c r="W16" s="26" t="str">
        <f t="shared" si="4"/>
        <v>NARROWMARGIN</v>
      </c>
    </row>
    <row r="17" spans="1:23">
      <c r="A17" s="3">
        <v>14</v>
      </c>
      <c r="B17" s="3">
        <v>36</v>
      </c>
      <c r="C17" s="2" t="s">
        <v>283</v>
      </c>
      <c r="D17" s="3">
        <v>3</v>
      </c>
      <c r="E17" s="4" t="s">
        <v>284</v>
      </c>
      <c r="F17" s="4">
        <v>3460</v>
      </c>
      <c r="G17" s="4">
        <v>2412</v>
      </c>
      <c r="H17" s="13">
        <v>804</v>
      </c>
      <c r="I17" s="13">
        <v>89.859149042636</v>
      </c>
      <c r="J17" s="13">
        <v>8074.66666666667</v>
      </c>
      <c r="K17" s="22">
        <v>1112</v>
      </c>
      <c r="L17" s="13">
        <v>370.666666666667</v>
      </c>
      <c r="M17" s="13">
        <f t="shared" si="0"/>
        <v>46.1028192371476</v>
      </c>
      <c r="N17" s="13">
        <v>6.34209919681348</v>
      </c>
      <c r="O17" s="13">
        <v>40.2222222222222</v>
      </c>
      <c r="P17" s="22">
        <v>1216</v>
      </c>
      <c r="Q17" s="13">
        <v>405.333333333333</v>
      </c>
      <c r="R17" s="13">
        <f t="shared" si="1"/>
        <v>50.4145936981758</v>
      </c>
      <c r="S17" s="13">
        <v>90.7536347603897</v>
      </c>
      <c r="T17" s="13">
        <v>8236.22222222222</v>
      </c>
      <c r="U17" s="25" t="str">
        <f t="shared" si="2"/>
        <v>CONGRESS GAIN</v>
      </c>
      <c r="V17" s="13">
        <f>((Q17-L17)/H17)*100</f>
        <v>4.31177446102819</v>
      </c>
      <c r="W17" s="26" t="str">
        <f t="shared" si="4"/>
        <v>NARROWMARGIN</v>
      </c>
    </row>
    <row r="18" spans="1:23">
      <c r="A18" s="3">
        <v>15</v>
      </c>
      <c r="B18" s="3">
        <v>37</v>
      </c>
      <c r="C18" s="2" t="s">
        <v>285</v>
      </c>
      <c r="D18" s="3">
        <v>6</v>
      </c>
      <c r="E18" s="4" t="s">
        <v>286</v>
      </c>
      <c r="F18" s="4">
        <v>6068</v>
      </c>
      <c r="G18" s="4">
        <v>4370</v>
      </c>
      <c r="H18" s="13">
        <v>728.333333333333</v>
      </c>
      <c r="I18" s="13">
        <v>171.836808888227</v>
      </c>
      <c r="J18" s="13">
        <v>29527.8888888889</v>
      </c>
      <c r="K18" s="22">
        <v>2231</v>
      </c>
      <c r="L18" s="13">
        <v>371.833333333333</v>
      </c>
      <c r="M18" s="13">
        <f t="shared" si="0"/>
        <v>51.0526315789474</v>
      </c>
      <c r="N18" s="13">
        <v>154.139997693295</v>
      </c>
      <c r="O18" s="13">
        <v>23759.1388888889</v>
      </c>
      <c r="P18" s="22">
        <v>2014</v>
      </c>
      <c r="Q18" s="13">
        <v>335.666666666667</v>
      </c>
      <c r="R18" s="13">
        <f t="shared" si="1"/>
        <v>46.0869565217391</v>
      </c>
      <c r="S18" s="13">
        <v>40.2478432824529</v>
      </c>
      <c r="T18" s="13">
        <v>1619.88888888889</v>
      </c>
      <c r="U18" s="34" t="str">
        <f t="shared" si="2"/>
        <v>BJP GAIN</v>
      </c>
      <c r="V18" s="13">
        <f t="shared" si="3"/>
        <v>4.96567505720823</v>
      </c>
      <c r="W18" s="26" t="str">
        <f t="shared" si="4"/>
        <v>NARROWMARGIN</v>
      </c>
    </row>
    <row r="19" spans="1:23">
      <c r="A19" s="3">
        <v>16</v>
      </c>
      <c r="B19" s="3">
        <v>38</v>
      </c>
      <c r="C19" s="3" t="s">
        <v>287</v>
      </c>
      <c r="D19" s="3">
        <v>7</v>
      </c>
      <c r="E19" s="4" t="s">
        <v>288</v>
      </c>
      <c r="F19" s="4">
        <v>6484</v>
      </c>
      <c r="G19" s="4">
        <v>4019</v>
      </c>
      <c r="H19" s="13">
        <v>574.142857142857</v>
      </c>
      <c r="I19" s="13">
        <v>93.9200702290875</v>
      </c>
      <c r="J19" s="13">
        <v>8820.97959183673</v>
      </c>
      <c r="K19" s="22">
        <v>1364</v>
      </c>
      <c r="L19" s="13">
        <v>194.857142857143</v>
      </c>
      <c r="M19" s="13">
        <f t="shared" si="0"/>
        <v>33.9387907439662</v>
      </c>
      <c r="N19" s="13">
        <v>83.8202644632781</v>
      </c>
      <c r="O19" s="13">
        <v>7025.83673469388</v>
      </c>
      <c r="P19" s="22">
        <v>2418</v>
      </c>
      <c r="Q19" s="13">
        <v>345.428571428571</v>
      </c>
      <c r="R19" s="13">
        <f t="shared" si="1"/>
        <v>60.1642199552128</v>
      </c>
      <c r="S19" s="13">
        <v>50.4121786387183</v>
      </c>
      <c r="T19" s="13">
        <v>2541.38775510204</v>
      </c>
      <c r="U19" s="25" t="str">
        <f t="shared" si="2"/>
        <v>CONGRESS GAIN</v>
      </c>
      <c r="V19" s="13">
        <f>((Q19-L19)/H19)*100</f>
        <v>26.2254292112466</v>
      </c>
      <c r="W19" s="27" t="str">
        <f t="shared" si="4"/>
        <v>LOWMARGIN</v>
      </c>
    </row>
    <row r="20" spans="1:23">
      <c r="A20" s="3">
        <v>17</v>
      </c>
      <c r="B20" s="3">
        <v>39</v>
      </c>
      <c r="C20" s="3" t="s">
        <v>289</v>
      </c>
      <c r="D20" s="3">
        <v>6</v>
      </c>
      <c r="E20" s="4" t="s">
        <v>290</v>
      </c>
      <c r="F20" s="4">
        <v>6007</v>
      </c>
      <c r="G20" s="4">
        <v>3764</v>
      </c>
      <c r="H20" s="13">
        <v>627.333333333333</v>
      </c>
      <c r="I20" s="13">
        <v>192.453168906678</v>
      </c>
      <c r="J20" s="13">
        <v>37038.2222222222</v>
      </c>
      <c r="K20" s="22">
        <v>991</v>
      </c>
      <c r="L20" s="13">
        <v>165.166666666667</v>
      </c>
      <c r="M20" s="13">
        <f t="shared" si="0"/>
        <v>26.3283740701381</v>
      </c>
      <c r="N20" s="13">
        <v>177.785841830995</v>
      </c>
      <c r="O20" s="13">
        <v>31607.8055555556</v>
      </c>
      <c r="P20" s="22">
        <v>2590</v>
      </c>
      <c r="Q20" s="13">
        <v>431.666666666667</v>
      </c>
      <c r="R20" s="13">
        <f t="shared" si="1"/>
        <v>68.8097768331562</v>
      </c>
      <c r="S20" s="13">
        <v>63.4919067458383</v>
      </c>
      <c r="T20" s="13">
        <v>4031.22222222222</v>
      </c>
      <c r="U20" s="25" t="str">
        <f t="shared" si="2"/>
        <v>CONGRESS GAIN</v>
      </c>
      <c r="V20" s="13">
        <f>((Q20-L20)/H20)*100</f>
        <v>42.4814027630181</v>
      </c>
      <c r="W20" s="28" t="str">
        <f t="shared" si="4"/>
        <v>HIGHMARGIN</v>
      </c>
    </row>
    <row r="21" spans="1:23">
      <c r="A21" s="3">
        <v>18</v>
      </c>
      <c r="B21" s="3">
        <v>40</v>
      </c>
      <c r="C21" s="3" t="s">
        <v>291</v>
      </c>
      <c r="D21" s="3">
        <v>5</v>
      </c>
      <c r="E21" s="4" t="s">
        <v>292</v>
      </c>
      <c r="F21" s="4">
        <v>4313</v>
      </c>
      <c r="G21" s="4">
        <v>2612</v>
      </c>
      <c r="H21" s="13">
        <v>522.4</v>
      </c>
      <c r="I21" s="13">
        <v>97.4486531461569</v>
      </c>
      <c r="J21" s="13">
        <v>9496.24</v>
      </c>
      <c r="K21" s="22">
        <v>1314</v>
      </c>
      <c r="L21" s="13">
        <v>262.8</v>
      </c>
      <c r="M21" s="13">
        <f t="shared" si="0"/>
        <v>50.3062787136294</v>
      </c>
      <c r="N21" s="13">
        <v>61.3494906254323</v>
      </c>
      <c r="O21" s="13">
        <v>3763.76</v>
      </c>
      <c r="P21" s="22">
        <v>1145</v>
      </c>
      <c r="Q21" s="13">
        <v>229</v>
      </c>
      <c r="R21" s="13">
        <f t="shared" si="1"/>
        <v>43.8361408882083</v>
      </c>
      <c r="S21" s="13">
        <v>87.3864978128773</v>
      </c>
      <c r="T21" s="13">
        <v>7636.4</v>
      </c>
      <c r="U21" s="34" t="str">
        <f t="shared" si="2"/>
        <v>BJP GAIN</v>
      </c>
      <c r="V21" s="13">
        <f t="shared" si="3"/>
        <v>6.47013782542114</v>
      </c>
      <c r="W21" s="26" t="str">
        <f t="shared" si="4"/>
        <v>NARROWMARGIN</v>
      </c>
    </row>
    <row r="22" spans="1:23">
      <c r="A22" s="3">
        <v>19</v>
      </c>
      <c r="B22" s="3">
        <v>41</v>
      </c>
      <c r="C22" s="3" t="s">
        <v>293</v>
      </c>
      <c r="D22" s="3">
        <v>5</v>
      </c>
      <c r="E22" s="4" t="s">
        <v>294</v>
      </c>
      <c r="F22" s="4">
        <v>4539</v>
      </c>
      <c r="G22" s="4">
        <v>3235</v>
      </c>
      <c r="H22" s="13">
        <v>647</v>
      </c>
      <c r="I22" s="13">
        <v>132.148401428091</v>
      </c>
      <c r="J22" s="13">
        <v>17463.2</v>
      </c>
      <c r="K22" s="22">
        <v>2493</v>
      </c>
      <c r="L22" s="13">
        <v>498.6</v>
      </c>
      <c r="M22" s="13">
        <f t="shared" si="0"/>
        <v>77.0633693972179</v>
      </c>
      <c r="N22" s="13">
        <v>155.116214497389</v>
      </c>
      <c r="O22" s="13">
        <v>24061.04</v>
      </c>
      <c r="P22" s="22">
        <v>675</v>
      </c>
      <c r="Q22" s="13">
        <v>135</v>
      </c>
      <c r="R22" s="13">
        <f t="shared" si="1"/>
        <v>20.8655332302937</v>
      </c>
      <c r="S22" s="13">
        <v>35.1226422696243</v>
      </c>
      <c r="T22" s="13">
        <v>1233.6</v>
      </c>
      <c r="U22" s="34" t="str">
        <f t="shared" si="2"/>
        <v>BJP GAIN</v>
      </c>
      <c r="V22" s="13">
        <f t="shared" si="3"/>
        <v>56.1978361669243</v>
      </c>
      <c r="W22" s="36" t="str">
        <f t="shared" si="4"/>
        <v>VERYHIGHMARGIN</v>
      </c>
    </row>
    <row r="23" spans="1:23">
      <c r="A23" s="3">
        <v>20</v>
      </c>
      <c r="B23" s="3">
        <v>42</v>
      </c>
      <c r="C23" s="3" t="s">
        <v>295</v>
      </c>
      <c r="D23" s="3">
        <v>7</v>
      </c>
      <c r="E23" s="3" t="s">
        <v>296</v>
      </c>
      <c r="F23" s="3">
        <v>7308</v>
      </c>
      <c r="G23" s="3">
        <v>5141</v>
      </c>
      <c r="H23" s="13">
        <v>734.428571428571</v>
      </c>
      <c r="I23" s="13">
        <v>159.278603300593</v>
      </c>
      <c r="J23" s="13">
        <v>25369.6734693878</v>
      </c>
      <c r="K23" s="22">
        <v>3670</v>
      </c>
      <c r="L23" s="13">
        <v>524.285714285714</v>
      </c>
      <c r="M23" s="13">
        <f t="shared" si="0"/>
        <v>71.3868897101731</v>
      </c>
      <c r="N23" s="13">
        <v>220.140678583825</v>
      </c>
      <c r="O23" s="13">
        <v>48461.9183673469</v>
      </c>
      <c r="P23" s="22">
        <v>1311</v>
      </c>
      <c r="Q23" s="13">
        <v>187.285714285714</v>
      </c>
      <c r="R23" s="13">
        <f t="shared" si="1"/>
        <v>25.5008753160864</v>
      </c>
      <c r="S23" s="13">
        <v>81.2029455583167</v>
      </c>
      <c r="T23" s="13">
        <v>6593.91836734694</v>
      </c>
      <c r="U23" s="34" t="str">
        <f t="shared" si="2"/>
        <v>BJP GAIN</v>
      </c>
      <c r="V23" s="13">
        <f t="shared" si="3"/>
        <v>45.8860143940868</v>
      </c>
      <c r="W23" s="28" t="str">
        <f t="shared" si="4"/>
        <v>HIGHMARGIN</v>
      </c>
    </row>
    <row r="24" spans="1:23">
      <c r="A24" s="3">
        <v>21</v>
      </c>
      <c r="B24" s="3">
        <v>43</v>
      </c>
      <c r="C24" s="3" t="s">
        <v>297</v>
      </c>
      <c r="D24" s="3">
        <v>5</v>
      </c>
      <c r="E24" s="3" t="s">
        <v>298</v>
      </c>
      <c r="F24" s="3">
        <v>4886</v>
      </c>
      <c r="G24" s="3">
        <v>3399</v>
      </c>
      <c r="H24" s="13">
        <v>679.8</v>
      </c>
      <c r="I24" s="13">
        <v>122.313368034733</v>
      </c>
      <c r="J24" s="13">
        <v>14960.56</v>
      </c>
      <c r="K24" s="22">
        <v>885</v>
      </c>
      <c r="L24" s="13">
        <v>177</v>
      </c>
      <c r="M24" s="13">
        <f t="shared" si="0"/>
        <v>26.0370697263901</v>
      </c>
      <c r="N24" s="13">
        <v>58.8727441181401</v>
      </c>
      <c r="O24" s="13">
        <v>3466</v>
      </c>
      <c r="P24" s="22">
        <v>2314</v>
      </c>
      <c r="Q24" s="13">
        <v>462.8</v>
      </c>
      <c r="R24" s="13">
        <f t="shared" si="1"/>
        <v>68.0788467196234</v>
      </c>
      <c r="S24" s="13">
        <v>103.391295571726</v>
      </c>
      <c r="T24" s="13">
        <v>10689.76</v>
      </c>
      <c r="U24" s="25" t="str">
        <f t="shared" si="2"/>
        <v>CONGRESS GAIN</v>
      </c>
      <c r="V24" s="13">
        <f>((Q24-L24)/H24)*100</f>
        <v>42.0417769932333</v>
      </c>
      <c r="W24" s="28" t="str">
        <f t="shared" si="4"/>
        <v>HIGHMARGIN</v>
      </c>
    </row>
    <row r="25" spans="1:23">
      <c r="A25" s="3">
        <v>22</v>
      </c>
      <c r="B25" s="3">
        <v>44</v>
      </c>
      <c r="C25" s="3" t="s">
        <v>299</v>
      </c>
      <c r="D25" s="3">
        <v>6</v>
      </c>
      <c r="E25" s="3" t="s">
        <v>300</v>
      </c>
      <c r="F25" s="3">
        <v>4822</v>
      </c>
      <c r="G25" s="16">
        <v>3360</v>
      </c>
      <c r="H25" s="13">
        <v>560</v>
      </c>
      <c r="I25" s="13">
        <v>141.958914243993</v>
      </c>
      <c r="J25" s="13">
        <v>20152.3333333333</v>
      </c>
      <c r="K25" s="22">
        <v>1355</v>
      </c>
      <c r="L25" s="13">
        <v>225.833333333333</v>
      </c>
      <c r="M25" s="13">
        <f t="shared" si="0"/>
        <v>40.327380952381</v>
      </c>
      <c r="N25" s="13">
        <v>124.91786190222</v>
      </c>
      <c r="O25" s="13">
        <v>15604.4722222222</v>
      </c>
      <c r="P25" s="22">
        <v>1789</v>
      </c>
      <c r="Q25" s="13">
        <v>298.166666666667</v>
      </c>
      <c r="R25" s="13">
        <f t="shared" si="1"/>
        <v>53.2440476190476</v>
      </c>
      <c r="S25" s="13">
        <v>159.114651186565</v>
      </c>
      <c r="T25" s="13">
        <v>25317.4722222222</v>
      </c>
      <c r="U25" s="25" t="str">
        <f t="shared" si="2"/>
        <v>CONGRESS GAIN</v>
      </c>
      <c r="V25" s="13">
        <f>((Q25-L25)/H25)*100</f>
        <v>12.9166666666667</v>
      </c>
      <c r="W25" s="27" t="str">
        <f t="shared" si="4"/>
        <v>LOWMARGIN</v>
      </c>
    </row>
    <row r="26" spans="1:23">
      <c r="A26" s="3">
        <v>23</v>
      </c>
      <c r="B26" s="3">
        <v>45</v>
      </c>
      <c r="C26" s="3" t="s">
        <v>301</v>
      </c>
      <c r="D26" s="3">
        <v>6</v>
      </c>
      <c r="E26" s="3" t="s">
        <v>302</v>
      </c>
      <c r="F26" s="3">
        <v>6618</v>
      </c>
      <c r="G26" s="3">
        <v>4479</v>
      </c>
      <c r="H26" s="13">
        <v>746.5</v>
      </c>
      <c r="I26" s="13">
        <v>103.154818921205</v>
      </c>
      <c r="J26" s="13">
        <v>10640.9166666667</v>
      </c>
      <c r="K26" s="22">
        <v>2175</v>
      </c>
      <c r="L26" s="13">
        <v>362.5</v>
      </c>
      <c r="M26" s="13">
        <f t="shared" si="0"/>
        <v>48.5599464166108</v>
      </c>
      <c r="N26" s="13">
        <v>120.792866787185</v>
      </c>
      <c r="O26" s="13">
        <v>14590.9166666667</v>
      </c>
      <c r="P26" s="22">
        <v>2149</v>
      </c>
      <c r="Q26" s="13">
        <v>358.166666666667</v>
      </c>
      <c r="R26" s="13">
        <f t="shared" si="1"/>
        <v>47.9794597008261</v>
      </c>
      <c r="S26" s="13">
        <v>124.484827277151</v>
      </c>
      <c r="T26" s="13">
        <v>15496.4722222222</v>
      </c>
      <c r="U26" s="34" t="str">
        <f t="shared" si="2"/>
        <v>BJP GAIN</v>
      </c>
      <c r="V26" s="13">
        <f t="shared" si="3"/>
        <v>0.580486715784771</v>
      </c>
      <c r="W26" s="26" t="str">
        <f>IF(V26&gt;=50,"VERYHIGHMARGIN",IF(V26&gt;=40,"HIGHMARGIN",IF(V26&gt;=30,"MEDIUMMARGIN",IF(V26&gt;10,"LOWMARGIN",IF(V26&lt;1,"NARROWMARGIN")))))</f>
        <v>NARROWMARGIN</v>
      </c>
    </row>
    <row r="27" spans="1:23">
      <c r="A27" s="3">
        <v>24</v>
      </c>
      <c r="B27" s="3">
        <v>46</v>
      </c>
      <c r="C27" s="3" t="s">
        <v>303</v>
      </c>
      <c r="D27" s="3">
        <v>5</v>
      </c>
      <c r="E27" s="3" t="s">
        <v>304</v>
      </c>
      <c r="F27" s="3">
        <v>5048</v>
      </c>
      <c r="G27" s="3">
        <v>3345</v>
      </c>
      <c r="H27" s="13">
        <v>669</v>
      </c>
      <c r="I27" s="13">
        <v>68.1909084849293</v>
      </c>
      <c r="J27" s="13">
        <v>4650</v>
      </c>
      <c r="K27" s="22">
        <v>2094</v>
      </c>
      <c r="L27" s="13">
        <v>418.8</v>
      </c>
      <c r="M27" s="13">
        <f t="shared" si="0"/>
        <v>62.6008968609865</v>
      </c>
      <c r="N27" s="13">
        <v>84.8820357908551</v>
      </c>
      <c r="O27" s="13">
        <v>7204.96</v>
      </c>
      <c r="P27" s="22">
        <v>1163</v>
      </c>
      <c r="Q27" s="13">
        <v>232.6</v>
      </c>
      <c r="R27" s="13">
        <f t="shared" si="1"/>
        <v>34.7683109118087</v>
      </c>
      <c r="S27" s="13">
        <v>78.9749327318485</v>
      </c>
      <c r="T27" s="13">
        <v>6237.04</v>
      </c>
      <c r="U27" s="34" t="str">
        <f t="shared" si="2"/>
        <v>BJP GAIN</v>
      </c>
      <c r="V27" s="13">
        <f t="shared" si="3"/>
        <v>27.8325859491779</v>
      </c>
      <c r="W27" s="27" t="str">
        <f t="shared" si="4"/>
        <v>LOWMARGIN</v>
      </c>
    </row>
    <row r="28" spans="1:23">
      <c r="A28" s="3">
        <v>25</v>
      </c>
      <c r="B28" s="3">
        <v>47</v>
      </c>
      <c r="C28" s="3" t="s">
        <v>305</v>
      </c>
      <c r="D28" s="3">
        <v>5</v>
      </c>
      <c r="E28" s="3" t="s">
        <v>306</v>
      </c>
      <c r="F28" s="3">
        <v>5641</v>
      </c>
      <c r="G28" s="3">
        <v>3604</v>
      </c>
      <c r="H28" s="13">
        <v>720.8</v>
      </c>
      <c r="I28" s="13">
        <v>103.501497573707</v>
      </c>
      <c r="J28" s="13">
        <v>10712.56</v>
      </c>
      <c r="K28" s="22">
        <v>1522</v>
      </c>
      <c r="L28" s="13">
        <v>304.4</v>
      </c>
      <c r="M28" s="13">
        <f t="shared" si="0"/>
        <v>42.2308546059933</v>
      </c>
      <c r="N28" s="13">
        <v>105.575754792471</v>
      </c>
      <c r="O28" s="13">
        <v>11146.24</v>
      </c>
      <c r="P28" s="22">
        <v>1897</v>
      </c>
      <c r="Q28" s="13">
        <v>379.4</v>
      </c>
      <c r="R28" s="13">
        <f t="shared" si="1"/>
        <v>52.6359600443951</v>
      </c>
      <c r="S28" s="13">
        <v>23.7705700394416</v>
      </c>
      <c r="T28" s="13">
        <v>565.04</v>
      </c>
      <c r="U28" s="25" t="str">
        <f t="shared" si="2"/>
        <v>CONGRESS GAIN</v>
      </c>
      <c r="V28" s="13">
        <f>((Q28-L28)/H28)*100</f>
        <v>10.4051054384018</v>
      </c>
      <c r="W28" s="27" t="str">
        <f t="shared" si="4"/>
        <v>LOWMARGIN</v>
      </c>
    </row>
    <row r="29" spans="1:23">
      <c r="A29" s="3">
        <v>26</v>
      </c>
      <c r="B29" s="3">
        <v>48</v>
      </c>
      <c r="C29" s="3" t="s">
        <v>307</v>
      </c>
      <c r="D29" s="3">
        <v>6</v>
      </c>
      <c r="E29" s="3" t="s">
        <v>308</v>
      </c>
      <c r="F29" s="3">
        <v>5701</v>
      </c>
      <c r="G29" s="3">
        <v>3793</v>
      </c>
      <c r="H29" s="13">
        <v>632.166666666667</v>
      </c>
      <c r="I29" s="13">
        <v>174.046369938844</v>
      </c>
      <c r="J29" s="13">
        <v>30292.1388888889</v>
      </c>
      <c r="K29" s="22">
        <v>1715</v>
      </c>
      <c r="L29" s="13">
        <v>285.833333333333</v>
      </c>
      <c r="M29" s="13">
        <f t="shared" si="0"/>
        <v>45.2148694964408</v>
      </c>
      <c r="N29" s="13">
        <v>134.270146429585</v>
      </c>
      <c r="O29" s="13">
        <v>18028.4722222222</v>
      </c>
      <c r="P29" s="22">
        <v>1940</v>
      </c>
      <c r="Q29" s="13">
        <v>323.333333333333</v>
      </c>
      <c r="R29" s="13">
        <f t="shared" si="1"/>
        <v>51.1468494595307</v>
      </c>
      <c r="S29" s="13">
        <v>52.3534992993676</v>
      </c>
      <c r="T29" s="13">
        <v>2740.88888888889</v>
      </c>
      <c r="U29" s="25" t="str">
        <f t="shared" si="2"/>
        <v>CONGRESS GAIN</v>
      </c>
      <c r="V29" s="13">
        <f t="shared" ref="V29:V40" si="5">((Q29-L29)/H29)*100</f>
        <v>5.9319799630899</v>
      </c>
      <c r="W29" s="26" t="str">
        <f t="shared" si="4"/>
        <v>NARROWMARGIN</v>
      </c>
    </row>
    <row r="30" spans="1:23">
      <c r="A30" s="3">
        <v>27</v>
      </c>
      <c r="B30" s="3">
        <v>49</v>
      </c>
      <c r="C30" s="3" t="s">
        <v>309</v>
      </c>
      <c r="D30" s="3">
        <v>6</v>
      </c>
      <c r="E30" s="3" t="s">
        <v>310</v>
      </c>
      <c r="F30" s="3">
        <v>5729</v>
      </c>
      <c r="G30" s="3">
        <v>4131</v>
      </c>
      <c r="H30" s="13">
        <v>688.5</v>
      </c>
      <c r="I30" s="13">
        <v>268.032802718871</v>
      </c>
      <c r="J30" s="13">
        <v>71841.5833333333</v>
      </c>
      <c r="K30" s="22">
        <v>2267</v>
      </c>
      <c r="L30" s="13">
        <v>377.833333333333</v>
      </c>
      <c r="M30" s="13">
        <f t="shared" si="0"/>
        <v>54.877753570564</v>
      </c>
      <c r="N30" s="13">
        <v>193.064252402032</v>
      </c>
      <c r="O30" s="13">
        <v>37273.8055555556</v>
      </c>
      <c r="P30" s="22">
        <v>1709</v>
      </c>
      <c r="Q30" s="13">
        <v>284.833333333333</v>
      </c>
      <c r="R30" s="13">
        <f t="shared" si="1"/>
        <v>41.3701282982329</v>
      </c>
      <c r="S30" s="13">
        <v>95.4854555533052</v>
      </c>
      <c r="T30" s="13">
        <v>9117.47222222222</v>
      </c>
      <c r="U30" s="34" t="str">
        <f t="shared" si="2"/>
        <v>BJP GAIN</v>
      </c>
      <c r="V30" s="13">
        <f>((L30-Q30)/H30)*100</f>
        <v>13.5076252723312</v>
      </c>
      <c r="W30" s="27" t="str">
        <f t="shared" si="4"/>
        <v>LOWMARGIN</v>
      </c>
    </row>
    <row r="31" spans="1:23">
      <c r="A31" s="3">
        <v>28</v>
      </c>
      <c r="B31" s="3">
        <v>50</v>
      </c>
      <c r="C31" s="3" t="s">
        <v>311</v>
      </c>
      <c r="D31" s="3">
        <v>8</v>
      </c>
      <c r="E31" s="3" t="s">
        <v>312</v>
      </c>
      <c r="F31" s="3">
        <v>5817</v>
      </c>
      <c r="G31" s="3">
        <v>4273</v>
      </c>
      <c r="H31" s="13">
        <v>534.125</v>
      </c>
      <c r="I31" s="13">
        <v>130.158977312362</v>
      </c>
      <c r="J31" s="13">
        <v>16941.359375</v>
      </c>
      <c r="K31" s="22">
        <v>2541</v>
      </c>
      <c r="L31" s="13">
        <v>317.625</v>
      </c>
      <c r="M31" s="13">
        <f t="shared" si="0"/>
        <v>59.4664170372104</v>
      </c>
      <c r="N31" s="13">
        <v>116.560003324468</v>
      </c>
      <c r="O31" s="13">
        <v>13586.234375</v>
      </c>
      <c r="P31" s="22">
        <v>1519</v>
      </c>
      <c r="Q31" s="13">
        <v>189.875</v>
      </c>
      <c r="R31" s="13">
        <f t="shared" si="1"/>
        <v>35.5487947577814</v>
      </c>
      <c r="S31" s="13">
        <v>34.649810605543</v>
      </c>
      <c r="T31" s="13">
        <v>1200.609375</v>
      </c>
      <c r="U31" s="34" t="str">
        <f t="shared" si="2"/>
        <v>BJP GAIN</v>
      </c>
      <c r="V31" s="13">
        <f>((L31-Q31)/H31)*100</f>
        <v>23.917622279429</v>
      </c>
      <c r="W31" s="27" t="str">
        <f t="shared" si="4"/>
        <v>LOWMARGIN</v>
      </c>
    </row>
    <row r="32" spans="1:23">
      <c r="A32" s="3">
        <v>29</v>
      </c>
      <c r="B32" s="3">
        <v>51</v>
      </c>
      <c r="C32" s="3" t="s">
        <v>313</v>
      </c>
      <c r="D32" s="3">
        <v>8</v>
      </c>
      <c r="E32" s="3" t="s">
        <v>314</v>
      </c>
      <c r="F32" s="3">
        <v>6155</v>
      </c>
      <c r="G32" s="3">
        <v>4377</v>
      </c>
      <c r="H32" s="13">
        <v>625.285714285714</v>
      </c>
      <c r="I32" s="13">
        <v>111.762138088908</v>
      </c>
      <c r="J32" s="13">
        <v>12490.7755102041</v>
      </c>
      <c r="K32" s="22">
        <v>2289</v>
      </c>
      <c r="L32" s="13">
        <v>327</v>
      </c>
      <c r="M32" s="13">
        <f t="shared" si="0"/>
        <v>52.2960932145305</v>
      </c>
      <c r="N32" s="13">
        <v>89.4890256639646</v>
      </c>
      <c r="O32" s="13">
        <v>8008.28571428571</v>
      </c>
      <c r="P32" s="22">
        <v>1973</v>
      </c>
      <c r="Q32" s="13">
        <v>281.857142857143</v>
      </c>
      <c r="R32" s="13">
        <f t="shared" si="1"/>
        <v>45.0765364404843</v>
      </c>
      <c r="S32" s="13">
        <v>58.2492883375989</v>
      </c>
      <c r="T32" s="13">
        <v>3392.97959183673</v>
      </c>
      <c r="U32" s="34" t="str">
        <f t="shared" si="2"/>
        <v>BJP GAIN</v>
      </c>
      <c r="V32" s="13">
        <f>((L32-Q32)/H32)*100</f>
        <v>7.21955677404615</v>
      </c>
      <c r="W32" s="26" t="str">
        <f t="shared" si="4"/>
        <v>NARROWMARGIN</v>
      </c>
    </row>
    <row r="33" spans="1:23">
      <c r="A33" s="3">
        <v>30</v>
      </c>
      <c r="B33" s="3">
        <v>52</v>
      </c>
      <c r="C33" s="3" t="s">
        <v>315</v>
      </c>
      <c r="D33" s="3">
        <v>6</v>
      </c>
      <c r="E33" s="3" t="s">
        <v>316</v>
      </c>
      <c r="F33" s="3">
        <v>5757</v>
      </c>
      <c r="G33" s="3">
        <v>4059</v>
      </c>
      <c r="H33" s="13">
        <v>676.5</v>
      </c>
      <c r="I33" s="13">
        <v>127.537902862901</v>
      </c>
      <c r="J33" s="13">
        <v>16265.9166666667</v>
      </c>
      <c r="K33" s="22">
        <v>1674</v>
      </c>
      <c r="L33" s="13">
        <v>279</v>
      </c>
      <c r="M33" s="13">
        <f t="shared" si="0"/>
        <v>41.2416851441242</v>
      </c>
      <c r="N33" s="13">
        <v>183.943832006766</v>
      </c>
      <c r="O33" s="13">
        <v>33835.3333333333</v>
      </c>
      <c r="P33" s="22">
        <v>1931</v>
      </c>
      <c r="Q33" s="13">
        <v>321.833333333333</v>
      </c>
      <c r="R33" s="13">
        <f t="shared" si="1"/>
        <v>47.5732939147573</v>
      </c>
      <c r="S33" s="13">
        <v>207.507764245635</v>
      </c>
      <c r="T33" s="13">
        <v>43059.4722222222</v>
      </c>
      <c r="U33" s="25" t="str">
        <f t="shared" si="2"/>
        <v>CONGRESS GAIN</v>
      </c>
      <c r="V33" s="13">
        <f t="shared" si="5"/>
        <v>6.33160877063316</v>
      </c>
      <c r="W33" s="26" t="str">
        <f t="shared" si="4"/>
        <v>NARROWMARGIN</v>
      </c>
    </row>
    <row r="34" spans="1:23">
      <c r="A34" s="3">
        <v>31</v>
      </c>
      <c r="B34" s="3">
        <v>53</v>
      </c>
      <c r="C34" s="3" t="s">
        <v>317</v>
      </c>
      <c r="D34" s="3">
        <v>7</v>
      </c>
      <c r="E34" s="3" t="s">
        <v>318</v>
      </c>
      <c r="F34" s="5">
        <v>6459</v>
      </c>
      <c r="G34" s="3">
        <v>4852</v>
      </c>
      <c r="H34" s="13">
        <v>693.142857142857</v>
      </c>
      <c r="I34" s="13">
        <v>136.70450778588</v>
      </c>
      <c r="J34" s="13">
        <v>18688.1224489796</v>
      </c>
      <c r="K34" s="22">
        <v>1860</v>
      </c>
      <c r="L34" s="13">
        <v>265.714285714286</v>
      </c>
      <c r="M34" s="13">
        <f t="shared" si="0"/>
        <v>38.3347073371805</v>
      </c>
      <c r="N34" s="13">
        <v>139.154296977661</v>
      </c>
      <c r="O34" s="13">
        <v>19363.9183673469</v>
      </c>
      <c r="P34" s="22">
        <v>2447</v>
      </c>
      <c r="Q34" s="13">
        <v>349.571428571429</v>
      </c>
      <c r="R34" s="13">
        <f t="shared" si="1"/>
        <v>50.4328112118714</v>
      </c>
      <c r="S34" s="13">
        <v>155.522030724963</v>
      </c>
      <c r="T34" s="13">
        <v>24187.1020408163</v>
      </c>
      <c r="U34" s="25" t="str">
        <f t="shared" si="2"/>
        <v>CONGRESS GAIN</v>
      </c>
      <c r="V34" s="13">
        <f t="shared" si="5"/>
        <v>12.0981038746908</v>
      </c>
      <c r="W34" s="27" t="str">
        <f t="shared" si="4"/>
        <v>LOWMARGIN</v>
      </c>
    </row>
    <row r="35" spans="1:23">
      <c r="A35" s="3">
        <v>32</v>
      </c>
      <c r="B35" s="3">
        <v>54</v>
      </c>
      <c r="C35" s="3" t="s">
        <v>319</v>
      </c>
      <c r="D35" s="3">
        <v>5</v>
      </c>
      <c r="E35" s="3" t="s">
        <v>320</v>
      </c>
      <c r="F35" s="3">
        <v>5930</v>
      </c>
      <c r="G35" s="3">
        <v>4429</v>
      </c>
      <c r="H35" s="13">
        <v>885.8</v>
      </c>
      <c r="I35" s="13">
        <v>209.959424651526</v>
      </c>
      <c r="J35" s="13">
        <v>44082.96</v>
      </c>
      <c r="K35" s="22">
        <v>2315</v>
      </c>
      <c r="L35" s="13">
        <v>463</v>
      </c>
      <c r="M35" s="13">
        <f t="shared" si="0"/>
        <v>52.2691352449763</v>
      </c>
      <c r="N35" s="13">
        <v>217.681418591482</v>
      </c>
      <c r="O35" s="13">
        <v>47385.2</v>
      </c>
      <c r="P35" s="22">
        <v>1804</v>
      </c>
      <c r="Q35" s="13">
        <v>360.8</v>
      </c>
      <c r="R35" s="13">
        <f t="shared" si="1"/>
        <v>40.7315421088282</v>
      </c>
      <c r="S35" s="13">
        <v>42.5177609946714</v>
      </c>
      <c r="T35" s="13">
        <v>1807.76</v>
      </c>
      <c r="U35" s="34" t="str">
        <f t="shared" si="2"/>
        <v>BJP GAIN</v>
      </c>
      <c r="V35" s="13">
        <f>((L35-Q35)/H35)*100</f>
        <v>11.5375931361481</v>
      </c>
      <c r="W35" s="27" t="str">
        <f t="shared" si="4"/>
        <v>LOWMARGIN</v>
      </c>
    </row>
    <row r="36" spans="1:23">
      <c r="A36" s="3">
        <v>33</v>
      </c>
      <c r="B36" s="3">
        <v>55</v>
      </c>
      <c r="C36" s="3" t="s">
        <v>321</v>
      </c>
      <c r="D36" s="3">
        <v>8</v>
      </c>
      <c r="E36" s="3" t="s">
        <v>322</v>
      </c>
      <c r="F36" s="3">
        <v>6491</v>
      </c>
      <c r="G36" s="3">
        <v>4631</v>
      </c>
      <c r="H36" s="13">
        <v>578.875</v>
      </c>
      <c r="I36" s="13">
        <v>42.7242246857681</v>
      </c>
      <c r="J36" s="13">
        <v>1825.359375</v>
      </c>
      <c r="K36" s="22">
        <v>2269</v>
      </c>
      <c r="L36" s="13">
        <v>283.625</v>
      </c>
      <c r="M36" s="13">
        <f t="shared" si="0"/>
        <v>48.9958972144245</v>
      </c>
      <c r="N36" s="13">
        <v>72.7082139445056</v>
      </c>
      <c r="O36" s="13">
        <v>5286.484375</v>
      </c>
      <c r="P36" s="22">
        <v>2203</v>
      </c>
      <c r="Q36" s="13">
        <v>275.375</v>
      </c>
      <c r="R36" s="13">
        <f t="shared" si="1"/>
        <v>47.5707190671561</v>
      </c>
      <c r="S36" s="13">
        <v>75.0915066768539</v>
      </c>
      <c r="T36" s="13">
        <v>5638.734375</v>
      </c>
      <c r="U36" s="34" t="str">
        <f t="shared" si="2"/>
        <v>BJP GAIN</v>
      </c>
      <c r="V36" s="13">
        <f>((L36-Q36)/H36)*100</f>
        <v>1.42517814726841</v>
      </c>
      <c r="W36" s="26" t="str">
        <f t="shared" si="4"/>
        <v>NARROWMARGIN</v>
      </c>
    </row>
    <row r="37" spans="1:23">
      <c r="A37" s="3">
        <v>34</v>
      </c>
      <c r="B37" s="3">
        <v>56</v>
      </c>
      <c r="C37" s="3" t="s">
        <v>323</v>
      </c>
      <c r="D37" s="3">
        <v>5</v>
      </c>
      <c r="E37" s="3" t="s">
        <v>324</v>
      </c>
      <c r="F37" s="3">
        <v>4824</v>
      </c>
      <c r="G37" s="3">
        <v>3341</v>
      </c>
      <c r="H37" s="13">
        <v>668.2</v>
      </c>
      <c r="I37" s="13">
        <v>109.117184714416</v>
      </c>
      <c r="J37" s="13">
        <v>11906.56</v>
      </c>
      <c r="K37" s="22">
        <v>1861</v>
      </c>
      <c r="L37" s="13">
        <v>372.2</v>
      </c>
      <c r="M37" s="13">
        <f t="shared" si="0"/>
        <v>55.7018856629752</v>
      </c>
      <c r="N37" s="13">
        <v>101.828090426954</v>
      </c>
      <c r="O37" s="13">
        <v>10368.96</v>
      </c>
      <c r="P37" s="22">
        <v>1384</v>
      </c>
      <c r="Q37" s="13">
        <v>276.8</v>
      </c>
      <c r="R37" s="13">
        <f t="shared" si="1"/>
        <v>41.4247231367854</v>
      </c>
      <c r="S37" s="13">
        <v>44.5573787379823</v>
      </c>
      <c r="T37" s="13">
        <v>1985.36</v>
      </c>
      <c r="U37" s="34" t="str">
        <f t="shared" si="2"/>
        <v>BJP GAIN</v>
      </c>
      <c r="V37" s="13">
        <f>((L37-Q37)/H37)*100</f>
        <v>14.2771625261898</v>
      </c>
      <c r="W37" s="27" t="str">
        <f t="shared" si="4"/>
        <v>LOWMARGIN</v>
      </c>
    </row>
    <row r="38" spans="1:23">
      <c r="A38" s="3">
        <v>35</v>
      </c>
      <c r="B38" s="3">
        <v>57</v>
      </c>
      <c r="C38" s="3" t="s">
        <v>325</v>
      </c>
      <c r="D38" s="3">
        <v>5</v>
      </c>
      <c r="E38" s="3" t="s">
        <v>326</v>
      </c>
      <c r="F38" s="3">
        <v>5665</v>
      </c>
      <c r="G38" s="3">
        <v>4027</v>
      </c>
      <c r="H38" s="13">
        <v>805.4</v>
      </c>
      <c r="I38" s="13">
        <v>71.0199971838918</v>
      </c>
      <c r="J38" s="13">
        <v>5043.84</v>
      </c>
      <c r="K38" s="22">
        <v>2401</v>
      </c>
      <c r="L38" s="13">
        <v>480.2</v>
      </c>
      <c r="M38" s="13">
        <f t="shared" si="0"/>
        <v>59.6225478023342</v>
      </c>
      <c r="N38" s="13">
        <v>50.751945775507</v>
      </c>
      <c r="O38" s="13">
        <v>2575.76</v>
      </c>
      <c r="P38" s="22">
        <v>1468</v>
      </c>
      <c r="Q38" s="13">
        <v>293.6</v>
      </c>
      <c r="R38" s="13">
        <f t="shared" si="1"/>
        <v>36.4539359324559</v>
      </c>
      <c r="S38" s="13">
        <v>53.7907055168456</v>
      </c>
      <c r="T38" s="13">
        <v>2893.44</v>
      </c>
      <c r="U38" s="34" t="str">
        <f t="shared" si="2"/>
        <v>BJP GAIN</v>
      </c>
      <c r="V38" s="13">
        <f>((L38-Q38)/H38)*100</f>
        <v>23.1686118698783</v>
      </c>
      <c r="W38" s="27" t="str">
        <f t="shared" si="4"/>
        <v>LOWMARGIN</v>
      </c>
    </row>
    <row r="39" spans="1:23">
      <c r="A39" s="3">
        <v>36</v>
      </c>
      <c r="B39" s="3">
        <v>58</v>
      </c>
      <c r="C39" s="3" t="s">
        <v>327</v>
      </c>
      <c r="D39" s="3">
        <v>4</v>
      </c>
      <c r="E39" s="3" t="s">
        <v>328</v>
      </c>
      <c r="F39" s="3">
        <v>4353</v>
      </c>
      <c r="G39" s="3">
        <v>3095</v>
      </c>
      <c r="H39" s="13">
        <v>773.75</v>
      </c>
      <c r="I39" s="13">
        <v>87.2621768007193</v>
      </c>
      <c r="J39" s="13">
        <v>7614.6875</v>
      </c>
      <c r="K39" s="22">
        <v>1655</v>
      </c>
      <c r="L39" s="13">
        <v>413.75</v>
      </c>
      <c r="M39" s="13">
        <f t="shared" si="0"/>
        <v>53.4733441033926</v>
      </c>
      <c r="N39" s="13">
        <v>109.142968165613</v>
      </c>
      <c r="O39" s="13">
        <v>11912.1875</v>
      </c>
      <c r="P39" s="22">
        <v>1341</v>
      </c>
      <c r="Q39" s="13">
        <v>335.25</v>
      </c>
      <c r="R39" s="13">
        <f t="shared" si="1"/>
        <v>43.3279483037157</v>
      </c>
      <c r="S39" s="13">
        <v>92.2398368385374</v>
      </c>
      <c r="T39" s="13">
        <v>8508.1875</v>
      </c>
      <c r="U39" s="34" t="str">
        <f t="shared" si="2"/>
        <v>BJP GAIN</v>
      </c>
      <c r="V39" s="13">
        <f>((L39-Q39)/H39)*100</f>
        <v>10.1453957996769</v>
      </c>
      <c r="W39" s="27" t="str">
        <f t="shared" si="4"/>
        <v>LOWMARGIN</v>
      </c>
    </row>
    <row r="40" spans="1:23">
      <c r="A40" s="3">
        <v>37</v>
      </c>
      <c r="B40" s="3">
        <v>59</v>
      </c>
      <c r="C40" s="3" t="s">
        <v>329</v>
      </c>
      <c r="D40" s="3">
        <v>6</v>
      </c>
      <c r="E40" s="3" t="s">
        <v>330</v>
      </c>
      <c r="F40" s="3">
        <v>6409</v>
      </c>
      <c r="G40" s="3">
        <v>4390</v>
      </c>
      <c r="H40" s="13">
        <v>731.666666666667</v>
      </c>
      <c r="I40" s="13">
        <v>153.389120286356</v>
      </c>
      <c r="J40" s="13">
        <v>23528.2222222222</v>
      </c>
      <c r="K40" s="22">
        <v>1805</v>
      </c>
      <c r="L40" s="13">
        <v>300.833333333333</v>
      </c>
      <c r="M40" s="13">
        <f t="shared" si="0"/>
        <v>41.1161731207289</v>
      </c>
      <c r="N40" s="13">
        <v>85.8514543978273</v>
      </c>
      <c r="O40" s="13">
        <v>7370.47222222222</v>
      </c>
      <c r="P40" s="22">
        <v>2377</v>
      </c>
      <c r="Q40" s="13">
        <v>396.166666666667</v>
      </c>
      <c r="R40" s="13">
        <f t="shared" si="1"/>
        <v>54.1457858769932</v>
      </c>
      <c r="S40" s="13">
        <v>96.7667585256195</v>
      </c>
      <c r="T40" s="13">
        <v>9363.80555555555</v>
      </c>
      <c r="U40" s="25" t="str">
        <f t="shared" si="2"/>
        <v>CONGRESS GAIN</v>
      </c>
      <c r="V40" s="13">
        <f t="shared" si="5"/>
        <v>13.0296127562642</v>
      </c>
      <c r="W40" s="27" t="str">
        <f t="shared" si="4"/>
        <v>LOWMARGIN</v>
      </c>
    </row>
    <row r="41" spans="1:23">
      <c r="A41" s="3">
        <v>38</v>
      </c>
      <c r="B41" s="3">
        <v>60</v>
      </c>
      <c r="C41" s="3" t="s">
        <v>331</v>
      </c>
      <c r="D41" s="3">
        <v>8</v>
      </c>
      <c r="E41" s="3" t="s">
        <v>332</v>
      </c>
      <c r="F41" s="3">
        <v>6753</v>
      </c>
      <c r="G41" s="3">
        <v>5187</v>
      </c>
      <c r="H41" s="13">
        <v>741</v>
      </c>
      <c r="I41" s="13">
        <v>131.130251495003</v>
      </c>
      <c r="J41" s="13">
        <v>17195.1428571429</v>
      </c>
      <c r="K41" s="22">
        <v>2785</v>
      </c>
      <c r="L41" s="13">
        <v>397.857142857143</v>
      </c>
      <c r="M41" s="13">
        <f t="shared" si="0"/>
        <v>53.6919221129747</v>
      </c>
      <c r="N41" s="13">
        <v>243.764188493381</v>
      </c>
      <c r="O41" s="13">
        <v>59420.9795918367</v>
      </c>
      <c r="P41" s="22">
        <v>2018</v>
      </c>
      <c r="Q41" s="13">
        <v>288.285714285714</v>
      </c>
      <c r="R41" s="13">
        <f t="shared" si="1"/>
        <v>38.9049546944284</v>
      </c>
      <c r="S41" s="13">
        <v>203.528667188057</v>
      </c>
      <c r="T41" s="13">
        <v>41423.9183673469</v>
      </c>
      <c r="U41" s="34" t="str">
        <f t="shared" si="2"/>
        <v>BJP GAIN</v>
      </c>
      <c r="V41" s="13">
        <f>((L41-Q41)/H41)*100</f>
        <v>14.7869674185464</v>
      </c>
      <c r="W41" s="27" t="str">
        <f t="shared" si="4"/>
        <v>LOWMARGIN</v>
      </c>
    </row>
    <row r="42" ht="21" spans="1:16">
      <c r="A42" s="60" t="s">
        <v>235</v>
      </c>
      <c r="B42" s="60"/>
      <c r="C42" s="60"/>
      <c r="F42" s="61">
        <f>SUM(F4:F41)</f>
        <v>216510</v>
      </c>
      <c r="G42" s="62">
        <f>SUM(G4:G41)</f>
        <v>151526</v>
      </c>
      <c r="K42" s="64">
        <f>SUM(K4:K41)</f>
        <v>80681</v>
      </c>
      <c r="P42" s="65">
        <f>SUM(P4:P41)</f>
        <v>64258</v>
      </c>
    </row>
    <row r="43" ht="18.75" spans="1:18">
      <c r="A43" s="60" t="s">
        <v>333</v>
      </c>
      <c r="B43" s="60"/>
      <c r="C43" s="60"/>
      <c r="H43" s="63">
        <f>AVERAGE(H4:H41)</f>
        <v>702.429448621554</v>
      </c>
      <c r="L43" s="66">
        <f>AVERAGE(L4:L41)</f>
        <v>377.083239348371</v>
      </c>
      <c r="M43" s="67">
        <f>(L43/H43)*100</f>
        <v>53.6827207470243</v>
      </c>
      <c r="Q43" s="68">
        <f>AVERAGE(Q4:Q41)</f>
        <v>295.54376566416</v>
      </c>
      <c r="R43" s="68">
        <f>(Q43/H43)*100</f>
        <v>42.0745124288475</v>
      </c>
    </row>
    <row r="49" spans="19:22">
      <c r="S49" s="69" t="s">
        <v>250</v>
      </c>
      <c r="T49" s="70"/>
      <c r="U49" s="10" t="s">
        <v>251</v>
      </c>
      <c r="V49" s="10"/>
    </row>
    <row r="50" spans="19:22">
      <c r="S50" s="71"/>
      <c r="T50" s="72"/>
      <c r="U50" s="10"/>
      <c r="V50" s="10"/>
    </row>
    <row r="51" spans="15:22">
      <c r="O51" s="6" t="s">
        <v>334</v>
      </c>
      <c r="S51" s="73" t="s">
        <v>6</v>
      </c>
      <c r="T51" s="74">
        <f>COUNTIF(U4:U41,"BJP GAIN")</f>
        <v>27</v>
      </c>
      <c r="U51" s="26" t="s">
        <v>335</v>
      </c>
      <c r="V51" s="26">
        <f>COUNTIF(W4:W41,"NARROWMARGIN")</f>
        <v>9</v>
      </c>
    </row>
    <row r="52" spans="19:22">
      <c r="S52" s="75" t="s">
        <v>237</v>
      </c>
      <c r="T52" s="76">
        <f>COUNTIF(U4:U41,"CONGRESS GAIN")</f>
        <v>11</v>
      </c>
      <c r="U52" s="27" t="s">
        <v>238</v>
      </c>
      <c r="V52" s="27">
        <f>COUNTIF(W4:W41,"LOWMARGIN")</f>
        <v>22</v>
      </c>
    </row>
    <row r="53" spans="21:22">
      <c r="U53" s="35" t="s">
        <v>239</v>
      </c>
      <c r="V53" s="35">
        <f>COUNTIF(W4:W41,"MEDIUMMARGIN")</f>
        <v>1</v>
      </c>
    </row>
    <row r="54" spans="21:22">
      <c r="U54" s="28" t="s">
        <v>336</v>
      </c>
      <c r="V54" s="28">
        <f>COUNTIF(W4:W41,"HIGHMARGIN")</f>
        <v>4</v>
      </c>
    </row>
    <row r="55" spans="21:22">
      <c r="U55" s="36" t="s">
        <v>337</v>
      </c>
      <c r="V55" s="77">
        <f>COUNTIF(W4:W41,"VERYHIGHMARGIN")</f>
        <v>2</v>
      </c>
    </row>
    <row r="56" spans="19:22">
      <c r="S56" s="78" t="s">
        <v>250</v>
      </c>
      <c r="T56" s="79" t="s">
        <v>6</v>
      </c>
      <c r="U56" s="80" t="s">
        <v>251</v>
      </c>
      <c r="V56" s="79" t="s">
        <v>238</v>
      </c>
    </row>
    <row r="57" spans="19:22">
      <c r="S57" s="78"/>
      <c r="T57" s="79"/>
      <c r="U57" s="80"/>
      <c r="V57" s="79"/>
    </row>
  </sheetData>
  <sheetProtection password="CFF8" sheet="1" objects="1" scenarios="1"/>
  <mergeCells count="22">
    <mergeCell ref="A1:W1"/>
    <mergeCell ref="H2:J2"/>
    <mergeCell ref="K2:O2"/>
    <mergeCell ref="P2:T2"/>
    <mergeCell ref="A42:C42"/>
    <mergeCell ref="A43:C43"/>
    <mergeCell ref="A2:A3"/>
    <mergeCell ref="B2:B3"/>
    <mergeCell ref="C2:C3"/>
    <mergeCell ref="D2:D3"/>
    <mergeCell ref="E2:E3"/>
    <mergeCell ref="F2:F3"/>
    <mergeCell ref="G2:G3"/>
    <mergeCell ref="S56:S57"/>
    <mergeCell ref="T56:T57"/>
    <mergeCell ref="U2:U3"/>
    <mergeCell ref="U56:U57"/>
    <mergeCell ref="V2:V3"/>
    <mergeCell ref="V56:V57"/>
    <mergeCell ref="W2:W3"/>
    <mergeCell ref="S49:T50"/>
    <mergeCell ref="U49:V50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workbookViewId="0">
      <selection activeCell="B20" sqref="B20"/>
    </sheetView>
  </sheetViews>
  <sheetFormatPr defaultColWidth="9" defaultRowHeight="15"/>
  <cols>
    <col min="1" max="1" width="20.1428571428571" style="6" customWidth="1"/>
    <col min="2" max="2" width="16.7142857142857" style="6" customWidth="1"/>
    <col min="3" max="3" width="27" style="6" customWidth="1"/>
    <col min="4" max="4" width="29.5714285714286" style="6" customWidth="1"/>
    <col min="5" max="5" width="16.1428571428571" style="6" customWidth="1"/>
    <col min="6" max="6" width="17.5714285714286" style="6" customWidth="1"/>
    <col min="7" max="7" width="9.14285714285714" style="6"/>
    <col min="8" max="8" width="24.5714285714286" style="6" customWidth="1"/>
    <col min="9" max="9" width="13.1428571428571" style="6" customWidth="1"/>
    <col min="10" max="10" width="18.8571428571429" style="6" customWidth="1"/>
    <col min="11" max="11" width="25.1428571428571" style="6" customWidth="1"/>
    <col min="12" max="12" width="15.7142857142857" style="6" customWidth="1"/>
    <col min="13" max="13" width="18.8571428571429" style="6" customWidth="1"/>
    <col min="14" max="16384" width="9.14285714285714" style="6"/>
  </cols>
  <sheetData>
    <row r="1" customHeight="1" spans="4:8">
      <c r="D1" s="37" t="s">
        <v>6</v>
      </c>
      <c r="E1" s="37"/>
      <c r="F1" s="37"/>
      <c r="G1" s="37"/>
      <c r="H1" s="37"/>
    </row>
    <row r="2" customHeight="1" spans="4:8">
      <c r="D2" s="37"/>
      <c r="E2" s="37"/>
      <c r="F2" s="37"/>
      <c r="G2" s="37"/>
      <c r="H2" s="37"/>
    </row>
    <row r="3" customHeight="1" spans="4:8">
      <c r="D3" s="37"/>
      <c r="E3" s="37"/>
      <c r="F3" s="37"/>
      <c r="G3" s="37"/>
      <c r="H3" s="37"/>
    </row>
    <row r="4" spans="1:11">
      <c r="A4" s="38" t="s">
        <v>338</v>
      </c>
      <c r="B4" s="39"/>
      <c r="C4" s="39"/>
      <c r="D4" s="40"/>
      <c r="H4" s="41" t="s">
        <v>339</v>
      </c>
      <c r="I4" s="52"/>
      <c r="J4" s="52"/>
      <c r="K4" s="53"/>
    </row>
    <row r="5" spans="1:11">
      <c r="A5" s="42"/>
      <c r="B5" s="43"/>
      <c r="C5" s="43"/>
      <c r="D5" s="44"/>
      <c r="H5" s="45"/>
      <c r="I5" s="54"/>
      <c r="J5" s="54"/>
      <c r="K5" s="55"/>
    </row>
    <row r="6" spans="1:11">
      <c r="A6" s="46" t="s">
        <v>340</v>
      </c>
      <c r="B6" s="46" t="s">
        <v>341</v>
      </c>
      <c r="C6" s="46" t="s">
        <v>15</v>
      </c>
      <c r="D6" s="46" t="s">
        <v>251</v>
      </c>
      <c r="H6" s="46" t="s">
        <v>340</v>
      </c>
      <c r="I6" s="46" t="s">
        <v>341</v>
      </c>
      <c r="J6" s="46" t="s">
        <v>342</v>
      </c>
      <c r="K6" s="46" t="s">
        <v>251</v>
      </c>
    </row>
    <row r="7" spans="1:11">
      <c r="A7" s="3">
        <v>1</v>
      </c>
      <c r="B7" s="4">
        <v>21</v>
      </c>
      <c r="C7" s="13">
        <v>28.8657604078165</v>
      </c>
      <c r="D7" s="27" t="s">
        <v>343</v>
      </c>
      <c r="H7" s="3">
        <v>1</v>
      </c>
      <c r="I7" s="4">
        <v>34</v>
      </c>
      <c r="J7" s="13">
        <v>10.6321002039033</v>
      </c>
      <c r="K7" s="27" t="s">
        <v>343</v>
      </c>
    </row>
    <row r="8" spans="1:11">
      <c r="A8" s="3">
        <v>2</v>
      </c>
      <c r="B8" s="4">
        <v>24</v>
      </c>
      <c r="C8" s="13">
        <v>19.4291437155734</v>
      </c>
      <c r="D8" s="27" t="s">
        <v>343</v>
      </c>
      <c r="H8" s="3">
        <v>2</v>
      </c>
      <c r="I8" s="4">
        <v>36</v>
      </c>
      <c r="J8" s="13">
        <v>4.31177446102819</v>
      </c>
      <c r="K8" s="26" t="s">
        <v>344</v>
      </c>
    </row>
    <row r="9" spans="1:11">
      <c r="A9" s="3">
        <v>3</v>
      </c>
      <c r="B9" s="4">
        <v>25</v>
      </c>
      <c r="C9" s="13">
        <v>12.8008998875141</v>
      </c>
      <c r="D9" s="27" t="s">
        <v>343</v>
      </c>
      <c r="H9" s="3">
        <v>3</v>
      </c>
      <c r="I9" s="4">
        <v>38</v>
      </c>
      <c r="J9" s="13">
        <v>26.2254292112466</v>
      </c>
      <c r="K9" s="27" t="s">
        <v>343</v>
      </c>
    </row>
    <row r="10" spans="1:11">
      <c r="A10" s="3">
        <v>4</v>
      </c>
      <c r="B10" s="4">
        <v>26</v>
      </c>
      <c r="C10" s="13">
        <v>24.4064245810056</v>
      </c>
      <c r="D10" s="27" t="s">
        <v>343</v>
      </c>
      <c r="H10" s="3">
        <v>4</v>
      </c>
      <c r="I10" s="4">
        <v>39</v>
      </c>
      <c r="J10" s="13">
        <v>42.4814027630181</v>
      </c>
      <c r="K10" s="28" t="s">
        <v>336</v>
      </c>
    </row>
    <row r="11" spans="1:11">
      <c r="A11" s="3">
        <v>5</v>
      </c>
      <c r="B11" s="4">
        <v>27</v>
      </c>
      <c r="C11" s="13">
        <v>30.7777777777778</v>
      </c>
      <c r="D11" s="35" t="s">
        <v>345</v>
      </c>
      <c r="H11" s="3">
        <v>5</v>
      </c>
      <c r="I11" s="4">
        <v>43</v>
      </c>
      <c r="J11" s="13">
        <v>42.0417769932333</v>
      </c>
      <c r="K11" s="28" t="s">
        <v>336</v>
      </c>
    </row>
    <row r="12" spans="1:11">
      <c r="A12" s="3">
        <v>6</v>
      </c>
      <c r="B12" s="4">
        <v>28</v>
      </c>
      <c r="C12" s="13">
        <v>49.1649575153824</v>
      </c>
      <c r="D12" s="28" t="s">
        <v>336</v>
      </c>
      <c r="H12" s="3">
        <v>6</v>
      </c>
      <c r="I12" s="4">
        <v>44</v>
      </c>
      <c r="J12" s="13">
        <v>12.9166666666667</v>
      </c>
      <c r="K12" s="27" t="s">
        <v>343</v>
      </c>
    </row>
    <row r="13" spans="1:11">
      <c r="A13" s="3">
        <v>7</v>
      </c>
      <c r="B13" s="4">
        <v>29</v>
      </c>
      <c r="C13" s="13">
        <v>54.8988114359139</v>
      </c>
      <c r="D13" s="25" t="s">
        <v>337</v>
      </c>
      <c r="H13" s="3">
        <v>7</v>
      </c>
      <c r="I13" s="4">
        <v>47</v>
      </c>
      <c r="J13" s="13">
        <v>10.4051054384018</v>
      </c>
      <c r="K13" s="27" t="s">
        <v>343</v>
      </c>
    </row>
    <row r="14" spans="1:11">
      <c r="A14" s="3">
        <v>8</v>
      </c>
      <c r="B14" s="4">
        <v>30</v>
      </c>
      <c r="C14" s="13">
        <v>27.1114864864865</v>
      </c>
      <c r="D14" s="27" t="s">
        <v>343</v>
      </c>
      <c r="H14" s="3">
        <v>8</v>
      </c>
      <c r="I14" s="4">
        <v>48</v>
      </c>
      <c r="J14" s="13">
        <v>5.9319799630899</v>
      </c>
      <c r="K14" s="26" t="s">
        <v>344</v>
      </c>
    </row>
    <row r="15" spans="1:11">
      <c r="A15" s="3">
        <v>9</v>
      </c>
      <c r="B15" s="4">
        <v>31</v>
      </c>
      <c r="C15" s="13">
        <v>15.312353217473</v>
      </c>
      <c r="D15" s="27" t="s">
        <v>343</v>
      </c>
      <c r="H15" s="3">
        <v>9</v>
      </c>
      <c r="I15" s="4">
        <v>52</v>
      </c>
      <c r="J15" s="13">
        <v>6.33160877063316</v>
      </c>
      <c r="K15" s="26" t="s">
        <v>344</v>
      </c>
    </row>
    <row r="16" spans="1:11">
      <c r="A16" s="3">
        <v>10</v>
      </c>
      <c r="B16" s="4">
        <v>32</v>
      </c>
      <c r="C16" s="13">
        <v>28.9600453386228</v>
      </c>
      <c r="D16" s="27" t="s">
        <v>343</v>
      </c>
      <c r="H16" s="3">
        <v>10</v>
      </c>
      <c r="I16" s="4">
        <v>53</v>
      </c>
      <c r="J16" s="13">
        <v>12.0981038746908</v>
      </c>
      <c r="K16" s="27" t="s">
        <v>343</v>
      </c>
    </row>
    <row r="17" spans="1:11">
      <c r="A17" s="3">
        <v>11</v>
      </c>
      <c r="B17" s="4">
        <v>33</v>
      </c>
      <c r="C17" s="13">
        <v>29.4292312768063</v>
      </c>
      <c r="D17" s="27" t="s">
        <v>343</v>
      </c>
      <c r="H17" s="3">
        <v>11</v>
      </c>
      <c r="I17" s="4">
        <v>59</v>
      </c>
      <c r="J17" s="13">
        <v>13.0296127562642</v>
      </c>
      <c r="K17" s="27" t="s">
        <v>343</v>
      </c>
    </row>
    <row r="18" spans="1:4">
      <c r="A18" s="3">
        <v>12</v>
      </c>
      <c r="B18" s="4">
        <v>35</v>
      </c>
      <c r="C18" s="13">
        <v>9.76896488993996</v>
      </c>
      <c r="D18" s="26" t="s">
        <v>344</v>
      </c>
    </row>
    <row r="19" customHeight="1" spans="1:9">
      <c r="A19" s="3">
        <v>13</v>
      </c>
      <c r="B19" s="4">
        <v>37</v>
      </c>
      <c r="C19" s="13">
        <v>4.96567505720823</v>
      </c>
      <c r="D19" s="26" t="s">
        <v>344</v>
      </c>
      <c r="H19" s="47" t="s">
        <v>346</v>
      </c>
      <c r="I19" s="56"/>
    </row>
    <row r="20" spans="1:9">
      <c r="A20" s="3">
        <v>14</v>
      </c>
      <c r="B20" s="4">
        <v>40</v>
      </c>
      <c r="C20" s="13">
        <v>6.47013782542114</v>
      </c>
      <c r="D20" s="26" t="s">
        <v>344</v>
      </c>
      <c r="H20" s="48"/>
      <c r="I20" s="57"/>
    </row>
    <row r="21" spans="1:9">
      <c r="A21" s="3">
        <v>15</v>
      </c>
      <c r="B21" s="4">
        <v>41</v>
      </c>
      <c r="C21" s="13">
        <v>56.1978361669243</v>
      </c>
      <c r="D21" s="25" t="s">
        <v>337</v>
      </c>
      <c r="H21" s="26" t="s">
        <v>335</v>
      </c>
      <c r="I21" s="26">
        <f>COUNTIF(K7:K17,"NARROWMARGIN")</f>
        <v>3</v>
      </c>
    </row>
    <row r="22" spans="1:9">
      <c r="A22" s="3">
        <v>16</v>
      </c>
      <c r="B22" s="4">
        <v>42</v>
      </c>
      <c r="C22" s="13">
        <v>45.8860143940868</v>
      </c>
      <c r="D22" s="28" t="s">
        <v>336</v>
      </c>
      <c r="H22" s="27" t="s">
        <v>238</v>
      </c>
      <c r="I22" s="27">
        <f>COUNTIF(K7:K17,"LOWMARGIN")</f>
        <v>6</v>
      </c>
    </row>
    <row r="23" spans="1:9">
      <c r="A23" s="3">
        <v>17</v>
      </c>
      <c r="B23" s="4">
        <v>45</v>
      </c>
      <c r="C23" s="13">
        <v>0.580486715784771</v>
      </c>
      <c r="D23" s="26" t="s">
        <v>344</v>
      </c>
      <c r="H23" s="35" t="s">
        <v>239</v>
      </c>
      <c r="I23" s="35">
        <f>COUNTIF(K7:K17,"MEDIUMMARGIN")</f>
        <v>0</v>
      </c>
    </row>
    <row r="24" spans="1:9">
      <c r="A24" s="3">
        <v>18</v>
      </c>
      <c r="B24" s="4">
        <v>46</v>
      </c>
      <c r="C24" s="13">
        <v>27.8325859491779</v>
      </c>
      <c r="D24" s="27" t="s">
        <v>343</v>
      </c>
      <c r="H24" s="28" t="s">
        <v>336</v>
      </c>
      <c r="I24" s="28">
        <f>COUNTIF(K7:K17,"HIGHMARGIN")</f>
        <v>2</v>
      </c>
    </row>
    <row r="25" spans="1:9">
      <c r="A25" s="3">
        <v>19</v>
      </c>
      <c r="B25" s="4">
        <v>49</v>
      </c>
      <c r="C25" s="13">
        <v>13.5076252723312</v>
      </c>
      <c r="D25" s="27" t="s">
        <v>343</v>
      </c>
      <c r="H25" s="36" t="s">
        <v>337</v>
      </c>
      <c r="I25" s="50">
        <f>COUNTIF(K6:K17,"VERYHIGHMARGIN")</f>
        <v>0</v>
      </c>
    </row>
    <row r="26" spans="1:9">
      <c r="A26" s="3">
        <v>20</v>
      </c>
      <c r="B26" s="4">
        <v>50</v>
      </c>
      <c r="C26" s="13">
        <v>23.917622279429</v>
      </c>
      <c r="D26" s="27" t="s">
        <v>343</v>
      </c>
      <c r="H26" s="49"/>
      <c r="I26" s="49"/>
    </row>
    <row r="27" spans="1:9">
      <c r="A27" s="3">
        <v>21</v>
      </c>
      <c r="B27" s="4">
        <v>51</v>
      </c>
      <c r="C27" s="13">
        <v>7.21955677404615</v>
      </c>
      <c r="D27" s="26" t="s">
        <v>344</v>
      </c>
      <c r="H27" s="49"/>
      <c r="I27" s="49"/>
    </row>
    <row r="28" spans="1:4">
      <c r="A28" s="3">
        <v>22</v>
      </c>
      <c r="B28" s="4">
        <v>54</v>
      </c>
      <c r="C28" s="13">
        <v>11.5375931361481</v>
      </c>
      <c r="D28" s="27" t="s">
        <v>343</v>
      </c>
    </row>
    <row r="29" spans="1:4">
      <c r="A29" s="3">
        <v>23</v>
      </c>
      <c r="B29" s="4">
        <v>55</v>
      </c>
      <c r="C29" s="13">
        <v>1.42517814726841</v>
      </c>
      <c r="D29" s="26" t="s">
        <v>344</v>
      </c>
    </row>
    <row r="30" spans="1:4">
      <c r="A30" s="3">
        <v>24</v>
      </c>
      <c r="B30" s="4">
        <v>56</v>
      </c>
      <c r="C30" s="13">
        <v>14.2771625261898</v>
      </c>
      <c r="D30" s="27" t="s">
        <v>343</v>
      </c>
    </row>
    <row r="31" spans="1:4">
      <c r="A31" s="3">
        <v>25</v>
      </c>
      <c r="B31" s="4">
        <v>57</v>
      </c>
      <c r="C31" s="13">
        <v>23.1686118698783</v>
      </c>
      <c r="D31" s="27" t="s">
        <v>343</v>
      </c>
    </row>
    <row r="32" spans="1:4">
      <c r="A32" s="3">
        <v>26</v>
      </c>
      <c r="B32" s="4">
        <v>58</v>
      </c>
      <c r="C32" s="13">
        <v>10.1453957996769</v>
      </c>
      <c r="D32" s="27" t="s">
        <v>343</v>
      </c>
    </row>
    <row r="33" spans="1:4">
      <c r="A33" s="3">
        <v>27</v>
      </c>
      <c r="B33" s="4">
        <v>60</v>
      </c>
      <c r="C33" s="13">
        <v>14.7869674185464</v>
      </c>
      <c r="D33" s="27" t="s">
        <v>343</v>
      </c>
    </row>
    <row r="37" spans="1:2">
      <c r="A37" s="10" t="s">
        <v>347</v>
      </c>
      <c r="B37" s="10"/>
    </row>
    <row r="38" spans="1:2">
      <c r="A38" s="10"/>
      <c r="B38" s="10"/>
    </row>
    <row r="39" spans="1:2">
      <c r="A39" s="26" t="s">
        <v>335</v>
      </c>
      <c r="B39" s="26">
        <f>COUNTIF(D7:D33,"NARROWMARGIN")</f>
        <v>6</v>
      </c>
    </row>
    <row r="40" spans="1:2">
      <c r="A40" s="27" t="s">
        <v>238</v>
      </c>
      <c r="B40" s="27">
        <f>COUNTIF(D7:D33,"LOWMARGIN")</f>
        <v>16</v>
      </c>
    </row>
    <row r="41" spans="1:2">
      <c r="A41" s="35" t="s">
        <v>239</v>
      </c>
      <c r="B41" s="35">
        <f>COUNTIF(D7:D33,"MEDIUMMARGIN")</f>
        <v>1</v>
      </c>
    </row>
    <row r="42" spans="1:2">
      <c r="A42" s="28" t="s">
        <v>336</v>
      </c>
      <c r="B42" s="28">
        <f>COUNTIF(D7:D33,"HIGHMARGIN")</f>
        <v>2</v>
      </c>
    </row>
    <row r="43" spans="1:2">
      <c r="A43" s="36" t="s">
        <v>337</v>
      </c>
      <c r="B43" s="50">
        <f>COUNTIF(D7:D33,"VERYHIGHMARGIN")</f>
        <v>2</v>
      </c>
    </row>
    <row r="44" spans="1:2">
      <c r="A44" s="51"/>
      <c r="B44" s="51"/>
    </row>
    <row r="45" ht="9.75" customHeight="1" spans="1:2">
      <c r="A45" s="51"/>
      <c r="B45" s="51"/>
    </row>
  </sheetData>
  <sheetProtection password="CFF8" sheet="1" objects="1" scenarios="1"/>
  <mergeCells count="7">
    <mergeCell ref="A44:A45"/>
    <mergeCell ref="B44:B45"/>
    <mergeCell ref="D1:H3"/>
    <mergeCell ref="A4:D5"/>
    <mergeCell ref="H4:K5"/>
    <mergeCell ref="A37:B38"/>
    <mergeCell ref="H19:I20"/>
  </mergeCells>
  <pageMargins left="0.7" right="0.7" top="0.75" bottom="0.75" header="0.3" footer="0.3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workbookViewId="0">
      <selection activeCell="E16" sqref="E16"/>
    </sheetView>
  </sheetViews>
  <sheetFormatPr defaultColWidth="9" defaultRowHeight="15"/>
  <cols>
    <col min="1" max="1" width="9.14285714285714" style="6"/>
    <col min="2" max="2" width="11.4285714285714" style="6" customWidth="1"/>
    <col min="3" max="3" width="18" style="6" customWidth="1"/>
    <col min="4" max="4" width="13.8571428571429" style="6" customWidth="1"/>
    <col min="5" max="5" width="32.7142857142857" style="6" customWidth="1"/>
    <col min="6" max="6" width="13.7142857142857" style="6" customWidth="1"/>
    <col min="7" max="7" width="6.57142857142857" style="6" customWidth="1"/>
    <col min="8" max="8" width="10.8571428571429" style="6" customWidth="1"/>
    <col min="9" max="10" width="11.1428571428571" style="6" customWidth="1"/>
    <col min="11" max="11" width="10.5714285714286" style="6" customWidth="1"/>
    <col min="12" max="12" width="9.14285714285714" style="6"/>
    <col min="13" max="13" width="11.2857142857143" style="6" customWidth="1"/>
    <col min="14" max="15" width="10.8571428571429" style="6" customWidth="1"/>
    <col min="16" max="17" width="9.14285714285714" style="6"/>
    <col min="18" max="18" width="10.8571428571429" style="6" customWidth="1"/>
    <col min="19" max="19" width="10.1428571428571" style="6" customWidth="1"/>
    <col min="20" max="20" width="14" style="6" customWidth="1"/>
    <col min="21" max="21" width="13.2857142857143" style="6" customWidth="1"/>
    <col min="22" max="22" width="16" style="6" customWidth="1"/>
    <col min="23" max="16384" width="9.14285714285714" style="6"/>
  </cols>
  <sheetData>
    <row r="1" ht="28.5" spans="1:22">
      <c r="A1" s="7" t="s">
        <v>348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6.25" spans="1:22">
      <c r="A2" s="8" t="s">
        <v>335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3"/>
    </row>
    <row r="3" spans="1:22">
      <c r="A3" s="1" t="s">
        <v>243</v>
      </c>
      <c r="B3" s="1" t="s">
        <v>244</v>
      </c>
      <c r="C3" s="1" t="s">
        <v>245</v>
      </c>
      <c r="D3" s="10" t="s">
        <v>246</v>
      </c>
      <c r="E3" s="1" t="s">
        <v>247</v>
      </c>
      <c r="F3" s="11" t="s">
        <v>249</v>
      </c>
      <c r="G3" s="1" t="s">
        <v>249</v>
      </c>
      <c r="H3" s="1"/>
      <c r="I3" s="1"/>
      <c r="J3" s="17" t="s">
        <v>6</v>
      </c>
      <c r="K3" s="18"/>
      <c r="L3" s="18"/>
      <c r="M3" s="18"/>
      <c r="N3" s="19"/>
      <c r="O3" s="20" t="s">
        <v>237</v>
      </c>
      <c r="P3" s="21"/>
      <c r="Q3" s="21"/>
      <c r="R3" s="21"/>
      <c r="S3" s="24"/>
      <c r="T3" s="10" t="s">
        <v>250</v>
      </c>
      <c r="U3" s="10" t="s">
        <v>15</v>
      </c>
      <c r="V3" s="10" t="s">
        <v>251</v>
      </c>
    </row>
    <row r="4" ht="30" spans="1:22">
      <c r="A4" s="1"/>
      <c r="B4" s="1"/>
      <c r="C4" s="1"/>
      <c r="D4" s="10"/>
      <c r="E4" s="1"/>
      <c r="F4" s="12"/>
      <c r="G4" s="10" t="s">
        <v>252</v>
      </c>
      <c r="H4" s="10" t="s">
        <v>253</v>
      </c>
      <c r="I4" s="10" t="s">
        <v>254</v>
      </c>
      <c r="J4" s="10" t="s">
        <v>255</v>
      </c>
      <c r="K4" s="10" t="s">
        <v>252</v>
      </c>
      <c r="L4" s="10" t="s">
        <v>7</v>
      </c>
      <c r="M4" s="10" t="s">
        <v>253</v>
      </c>
      <c r="N4" s="10" t="s">
        <v>254</v>
      </c>
      <c r="O4" s="10" t="s">
        <v>256</v>
      </c>
      <c r="P4" s="10" t="s">
        <v>252</v>
      </c>
      <c r="Q4" s="10" t="s">
        <v>7</v>
      </c>
      <c r="R4" s="10" t="s">
        <v>253</v>
      </c>
      <c r="S4" s="10" t="s">
        <v>254</v>
      </c>
      <c r="T4" s="10"/>
      <c r="U4" s="10"/>
      <c r="V4" s="10"/>
    </row>
    <row r="5" spans="1:22">
      <c r="A5" s="3">
        <v>1</v>
      </c>
      <c r="B5" s="3">
        <v>35</v>
      </c>
      <c r="C5" s="2" t="s">
        <v>281</v>
      </c>
      <c r="D5" s="3">
        <v>7</v>
      </c>
      <c r="E5" s="4" t="s">
        <v>282</v>
      </c>
      <c r="F5" s="4">
        <v>5497</v>
      </c>
      <c r="G5" s="13">
        <v>785.285714285714</v>
      </c>
      <c r="H5" s="13">
        <v>96.8632530731772</v>
      </c>
      <c r="I5" s="13">
        <v>9382.48979591837</v>
      </c>
      <c r="J5" s="22">
        <v>2911</v>
      </c>
      <c r="K5" s="13">
        <v>415.857142857143</v>
      </c>
      <c r="L5" s="13">
        <v>52.9561579043114</v>
      </c>
      <c r="M5" s="13">
        <v>88.5605984162073</v>
      </c>
      <c r="N5" s="13">
        <v>7842.97959183673</v>
      </c>
      <c r="O5" s="22">
        <v>2374</v>
      </c>
      <c r="P5" s="13">
        <v>339.142857142857</v>
      </c>
      <c r="Q5" s="13">
        <v>43.1871930143715</v>
      </c>
      <c r="R5" s="13">
        <v>101.898308651922</v>
      </c>
      <c r="S5" s="13">
        <v>10383.2653061224</v>
      </c>
      <c r="T5" s="34" t="s">
        <v>349</v>
      </c>
      <c r="U5" s="13">
        <v>9.76896488993996</v>
      </c>
      <c r="V5" s="26" t="s">
        <v>344</v>
      </c>
    </row>
    <row r="6" spans="1:22">
      <c r="A6" s="3">
        <v>2</v>
      </c>
      <c r="B6" s="3">
        <v>37</v>
      </c>
      <c r="C6" s="2" t="s">
        <v>285</v>
      </c>
      <c r="D6" s="3">
        <v>6</v>
      </c>
      <c r="E6" s="4" t="s">
        <v>286</v>
      </c>
      <c r="F6" s="4">
        <v>4370</v>
      </c>
      <c r="G6" s="13">
        <v>728.333333333333</v>
      </c>
      <c r="H6" s="13">
        <v>171.836808888227</v>
      </c>
      <c r="I6" s="13">
        <v>29527.8888888889</v>
      </c>
      <c r="J6" s="22">
        <v>2231</v>
      </c>
      <c r="K6" s="13">
        <v>371.833333333333</v>
      </c>
      <c r="L6" s="13">
        <v>51.0526315789474</v>
      </c>
      <c r="M6" s="13">
        <v>154.139997693295</v>
      </c>
      <c r="N6" s="13">
        <v>23759.1388888889</v>
      </c>
      <c r="O6" s="22">
        <v>2014</v>
      </c>
      <c r="P6" s="13">
        <v>335.666666666667</v>
      </c>
      <c r="Q6" s="13">
        <v>46.0869565217391</v>
      </c>
      <c r="R6" s="13">
        <v>40.2478432824529</v>
      </c>
      <c r="S6" s="13">
        <v>1619.88888888889</v>
      </c>
      <c r="T6" s="34" t="s">
        <v>349</v>
      </c>
      <c r="U6" s="13">
        <v>4.96567505720823</v>
      </c>
      <c r="V6" s="26" t="s">
        <v>344</v>
      </c>
    </row>
    <row r="7" spans="1:22">
      <c r="A7" s="3">
        <v>3</v>
      </c>
      <c r="B7" s="3">
        <v>40</v>
      </c>
      <c r="C7" s="3" t="s">
        <v>291</v>
      </c>
      <c r="D7" s="3">
        <v>5</v>
      </c>
      <c r="E7" s="4" t="s">
        <v>292</v>
      </c>
      <c r="F7" s="4">
        <v>2612</v>
      </c>
      <c r="G7" s="13">
        <v>522.4</v>
      </c>
      <c r="H7" s="13">
        <v>97.4486531461569</v>
      </c>
      <c r="I7" s="13">
        <v>9496.24</v>
      </c>
      <c r="J7" s="22">
        <v>1314</v>
      </c>
      <c r="K7" s="13">
        <v>262.8</v>
      </c>
      <c r="L7" s="13">
        <v>50.3062787136294</v>
      </c>
      <c r="M7" s="13">
        <v>61.3494906254323</v>
      </c>
      <c r="N7" s="13">
        <v>3763.76</v>
      </c>
      <c r="O7" s="22">
        <v>1145</v>
      </c>
      <c r="P7" s="13">
        <v>229</v>
      </c>
      <c r="Q7" s="13">
        <v>43.8361408882083</v>
      </c>
      <c r="R7" s="13">
        <v>87.3864978128773</v>
      </c>
      <c r="S7" s="13">
        <v>7636.4</v>
      </c>
      <c r="T7" s="34" t="s">
        <v>349</v>
      </c>
      <c r="U7" s="13">
        <v>6.47013782542114</v>
      </c>
      <c r="V7" s="26" t="s">
        <v>344</v>
      </c>
    </row>
    <row r="8" spans="1:22">
      <c r="A8" s="3">
        <v>5</v>
      </c>
      <c r="B8" s="3">
        <v>45</v>
      </c>
      <c r="C8" s="3" t="s">
        <v>301</v>
      </c>
      <c r="D8" s="3">
        <v>6</v>
      </c>
      <c r="E8" s="3" t="s">
        <v>302</v>
      </c>
      <c r="F8" s="3">
        <v>4479</v>
      </c>
      <c r="G8" s="13">
        <v>746.5</v>
      </c>
      <c r="H8" s="13">
        <v>103.154818921205</v>
      </c>
      <c r="I8" s="13">
        <v>10640.9166666667</v>
      </c>
      <c r="J8" s="22">
        <v>2175</v>
      </c>
      <c r="K8" s="13">
        <v>362.5</v>
      </c>
      <c r="L8" s="13">
        <v>48.5599464166108</v>
      </c>
      <c r="M8" s="13">
        <v>120.792866787185</v>
      </c>
      <c r="N8" s="13">
        <v>14590.9166666667</v>
      </c>
      <c r="O8" s="22">
        <v>2149</v>
      </c>
      <c r="P8" s="13">
        <v>358.166666666667</v>
      </c>
      <c r="Q8" s="13">
        <v>47.9794597008261</v>
      </c>
      <c r="R8" s="13">
        <v>124.484827277151</v>
      </c>
      <c r="S8" s="13">
        <v>15496.4722222222</v>
      </c>
      <c r="T8" s="34" t="s">
        <v>349</v>
      </c>
      <c r="U8" s="13">
        <v>0.580486715784771</v>
      </c>
      <c r="V8" s="26" t="s">
        <v>344</v>
      </c>
    </row>
    <row r="9" spans="1:22">
      <c r="A9" s="3">
        <v>5</v>
      </c>
      <c r="B9" s="3">
        <v>51</v>
      </c>
      <c r="C9" s="3" t="s">
        <v>313</v>
      </c>
      <c r="D9" s="3">
        <v>8</v>
      </c>
      <c r="E9" s="3" t="s">
        <v>314</v>
      </c>
      <c r="F9" s="3">
        <v>4377</v>
      </c>
      <c r="G9" s="13">
        <v>625.285714285714</v>
      </c>
      <c r="H9" s="13">
        <v>111.762138088908</v>
      </c>
      <c r="I9" s="13">
        <v>12490.7755102041</v>
      </c>
      <c r="J9" s="22">
        <v>2289</v>
      </c>
      <c r="K9" s="13">
        <v>327</v>
      </c>
      <c r="L9" s="13">
        <v>52.2960932145305</v>
      </c>
      <c r="M9" s="13">
        <v>89.4890256639646</v>
      </c>
      <c r="N9" s="13">
        <v>8008.28571428571</v>
      </c>
      <c r="O9" s="22">
        <v>1973</v>
      </c>
      <c r="P9" s="13">
        <v>281.857142857143</v>
      </c>
      <c r="Q9" s="13">
        <v>45.0765364404843</v>
      </c>
      <c r="R9" s="13">
        <v>58.2492883375989</v>
      </c>
      <c r="S9" s="13">
        <v>3392.97959183673</v>
      </c>
      <c r="T9" s="34" t="s">
        <v>349</v>
      </c>
      <c r="U9" s="13">
        <v>7.21955677404615</v>
      </c>
      <c r="V9" s="26" t="s">
        <v>344</v>
      </c>
    </row>
    <row r="10" spans="1:22">
      <c r="A10" s="3">
        <v>6</v>
      </c>
      <c r="B10" s="3">
        <v>55</v>
      </c>
      <c r="C10" s="3" t="s">
        <v>321</v>
      </c>
      <c r="D10" s="3">
        <v>8</v>
      </c>
      <c r="E10" s="3" t="s">
        <v>322</v>
      </c>
      <c r="F10" s="3">
        <v>4631</v>
      </c>
      <c r="G10" s="13">
        <v>578.875</v>
      </c>
      <c r="H10" s="13">
        <v>42.7242246857681</v>
      </c>
      <c r="I10" s="13">
        <v>1825.359375</v>
      </c>
      <c r="J10" s="22">
        <v>2269</v>
      </c>
      <c r="K10" s="13">
        <v>283.625</v>
      </c>
      <c r="L10" s="13">
        <v>48.9958972144245</v>
      </c>
      <c r="M10" s="13">
        <v>72.7082139445056</v>
      </c>
      <c r="N10" s="13">
        <v>5286.484375</v>
      </c>
      <c r="O10" s="22">
        <v>2203</v>
      </c>
      <c r="P10" s="13">
        <v>275.375</v>
      </c>
      <c r="Q10" s="13">
        <v>47.5707190671561</v>
      </c>
      <c r="R10" s="13">
        <v>75.0915066768539</v>
      </c>
      <c r="S10" s="13">
        <v>5638.734375</v>
      </c>
      <c r="T10" s="34" t="s">
        <v>349</v>
      </c>
      <c r="U10" s="13">
        <v>1.42517814726841</v>
      </c>
      <c r="V10" s="26" t="s">
        <v>344</v>
      </c>
    </row>
    <row r="11" s="29" customFormat="1" ht="15.75" spans="1:22">
      <c r="A11" s="14"/>
      <c r="B11" s="14"/>
      <c r="C11" s="14"/>
      <c r="D11" s="14"/>
      <c r="E11" s="14"/>
      <c r="F11" s="14">
        <f>SUM(F5:F10)</f>
        <v>25966</v>
      </c>
      <c r="G11" s="14"/>
      <c r="H11" s="14"/>
      <c r="I11" s="14"/>
      <c r="J11" s="14">
        <f>SUM(J5:J10)</f>
        <v>13189</v>
      </c>
      <c r="K11" s="14"/>
      <c r="L11" s="14"/>
      <c r="M11" s="14"/>
      <c r="N11" s="14"/>
      <c r="O11" s="14">
        <f>SUM(O5:O10)</f>
        <v>11858</v>
      </c>
      <c r="P11" s="14"/>
      <c r="Q11" s="14"/>
      <c r="R11" s="14"/>
      <c r="S11" s="14"/>
      <c r="T11" s="14"/>
      <c r="U11" s="14"/>
      <c r="V11" s="14"/>
    </row>
    <row r="12" ht="26.25" spans="1:22">
      <c r="A12" s="15" t="s">
        <v>238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18.75" customHeight="1" spans="1:22">
      <c r="A13" s="1" t="s">
        <v>243</v>
      </c>
      <c r="B13" s="1" t="s">
        <v>244</v>
      </c>
      <c r="C13" s="1" t="s">
        <v>245</v>
      </c>
      <c r="D13" s="10" t="s">
        <v>246</v>
      </c>
      <c r="E13" s="1" t="s">
        <v>247</v>
      </c>
      <c r="F13" s="11" t="s">
        <v>249</v>
      </c>
      <c r="G13" s="1" t="s">
        <v>249</v>
      </c>
      <c r="H13" s="1"/>
      <c r="I13" s="1"/>
      <c r="J13" s="17" t="s">
        <v>6</v>
      </c>
      <c r="K13" s="18"/>
      <c r="L13" s="18"/>
      <c r="M13" s="18"/>
      <c r="N13" s="19"/>
      <c r="O13" s="20" t="s">
        <v>237</v>
      </c>
      <c r="P13" s="21"/>
      <c r="Q13" s="21"/>
      <c r="R13" s="21"/>
      <c r="S13" s="24"/>
      <c r="T13" s="10" t="s">
        <v>250</v>
      </c>
      <c r="U13" s="10" t="s">
        <v>15</v>
      </c>
      <c r="V13" s="10" t="s">
        <v>251</v>
      </c>
    </row>
    <row r="14" ht="30" spans="1:22">
      <c r="A14" s="1"/>
      <c r="B14" s="1"/>
      <c r="C14" s="1"/>
      <c r="D14" s="10"/>
      <c r="E14" s="1"/>
      <c r="F14" s="12"/>
      <c r="G14" s="10" t="s">
        <v>252</v>
      </c>
      <c r="H14" s="10" t="s">
        <v>253</v>
      </c>
      <c r="I14" s="10" t="s">
        <v>254</v>
      </c>
      <c r="J14" s="10" t="s">
        <v>255</v>
      </c>
      <c r="K14" s="10" t="s">
        <v>252</v>
      </c>
      <c r="L14" s="10" t="s">
        <v>7</v>
      </c>
      <c r="M14" s="10" t="s">
        <v>253</v>
      </c>
      <c r="N14" s="10" t="s">
        <v>254</v>
      </c>
      <c r="O14" s="10" t="s">
        <v>256</v>
      </c>
      <c r="P14" s="10" t="s">
        <v>252</v>
      </c>
      <c r="Q14" s="10" t="s">
        <v>7</v>
      </c>
      <c r="R14" s="10" t="s">
        <v>253</v>
      </c>
      <c r="S14" s="10" t="s">
        <v>254</v>
      </c>
      <c r="T14" s="10"/>
      <c r="U14" s="10"/>
      <c r="V14" s="10"/>
    </row>
    <row r="15" spans="1:22">
      <c r="A15" s="3">
        <v>1</v>
      </c>
      <c r="B15" s="3">
        <v>21</v>
      </c>
      <c r="C15" s="2" t="s">
        <v>257</v>
      </c>
      <c r="D15" s="3">
        <v>6</v>
      </c>
      <c r="E15" s="3" t="s">
        <v>258</v>
      </c>
      <c r="F15" s="16">
        <v>4708</v>
      </c>
      <c r="G15" s="13">
        <v>784.666666666667</v>
      </c>
      <c r="H15" s="13">
        <v>174.777636504852</v>
      </c>
      <c r="I15" s="13">
        <v>30547.2222222222</v>
      </c>
      <c r="J15" s="31">
        <v>2947</v>
      </c>
      <c r="K15" s="13">
        <v>491.166666666667</v>
      </c>
      <c r="L15" s="13">
        <v>62.5955819881054</v>
      </c>
      <c r="M15" s="13">
        <v>136.834957359425</v>
      </c>
      <c r="N15" s="13">
        <v>18723.8055555556</v>
      </c>
      <c r="O15" s="22">
        <v>1588</v>
      </c>
      <c r="P15" s="13">
        <v>264.666666666667</v>
      </c>
      <c r="Q15" s="13">
        <v>33.7298215802889</v>
      </c>
      <c r="R15" s="13">
        <v>52.6518966631044</v>
      </c>
      <c r="S15" s="13">
        <v>2772.22222222222</v>
      </c>
      <c r="T15" s="34" t="s">
        <v>349</v>
      </c>
      <c r="U15" s="13">
        <v>28.8657604078165</v>
      </c>
      <c r="V15" s="27" t="s">
        <v>343</v>
      </c>
    </row>
    <row r="16" spans="1:22">
      <c r="A16" s="3">
        <v>2</v>
      </c>
      <c r="B16" s="3">
        <v>24</v>
      </c>
      <c r="C16" s="2" t="s">
        <v>259</v>
      </c>
      <c r="D16" s="3">
        <v>6</v>
      </c>
      <c r="E16" s="3" t="s">
        <v>260</v>
      </c>
      <c r="F16" s="3">
        <v>3994</v>
      </c>
      <c r="G16" s="13">
        <v>665.666666666667</v>
      </c>
      <c r="H16" s="13">
        <v>167.927232918177</v>
      </c>
      <c r="I16" s="13">
        <v>28199.5555555556</v>
      </c>
      <c r="J16" s="22">
        <v>2322</v>
      </c>
      <c r="K16" s="13">
        <v>387</v>
      </c>
      <c r="L16" s="13">
        <v>58.1372058087131</v>
      </c>
      <c r="M16" s="13">
        <v>55.0272659687904</v>
      </c>
      <c r="N16" s="13">
        <v>3028</v>
      </c>
      <c r="O16" s="22">
        <v>1546</v>
      </c>
      <c r="P16" s="13">
        <v>257.666666666667</v>
      </c>
      <c r="Q16" s="13">
        <v>38.7080620931397</v>
      </c>
      <c r="R16" s="13">
        <v>113.725791074653</v>
      </c>
      <c r="S16" s="13">
        <v>12933.5555555556</v>
      </c>
      <c r="T16" s="34" t="s">
        <v>349</v>
      </c>
      <c r="U16" s="13">
        <v>19.4291437155734</v>
      </c>
      <c r="V16" s="27" t="s">
        <v>343</v>
      </c>
    </row>
    <row r="17" spans="1:22">
      <c r="A17" s="3">
        <v>3</v>
      </c>
      <c r="B17" s="3">
        <v>25</v>
      </c>
      <c r="C17" s="2" t="s">
        <v>261</v>
      </c>
      <c r="D17" s="3">
        <v>6</v>
      </c>
      <c r="E17" s="3" t="s">
        <v>262</v>
      </c>
      <c r="F17" s="3">
        <v>4445</v>
      </c>
      <c r="G17" s="30">
        <v>740.833333333333</v>
      </c>
      <c r="H17" s="30">
        <v>182.555394941432</v>
      </c>
      <c r="I17" s="30">
        <v>33326.4722222222</v>
      </c>
      <c r="J17" s="32">
        <v>2397</v>
      </c>
      <c r="K17" s="30">
        <v>399.5</v>
      </c>
      <c r="L17" s="13">
        <v>53.92575928009</v>
      </c>
      <c r="M17" s="30">
        <v>70.7548584904245</v>
      </c>
      <c r="N17" s="30">
        <v>5006.25</v>
      </c>
      <c r="O17" s="32">
        <v>1828</v>
      </c>
      <c r="P17" s="30">
        <v>304.666666666667</v>
      </c>
      <c r="Q17" s="13">
        <v>41.1248593925759</v>
      </c>
      <c r="R17" s="30">
        <v>109.721870604219</v>
      </c>
      <c r="S17" s="30">
        <v>12038.8888888889</v>
      </c>
      <c r="T17" s="34" t="s">
        <v>349</v>
      </c>
      <c r="U17" s="13">
        <v>12.8008998875141</v>
      </c>
      <c r="V17" s="27" t="s">
        <v>343</v>
      </c>
    </row>
    <row r="18" spans="1:22">
      <c r="A18" s="3">
        <v>4</v>
      </c>
      <c r="B18" s="3">
        <v>26</v>
      </c>
      <c r="C18" s="2" t="s">
        <v>263</v>
      </c>
      <c r="D18" s="3">
        <v>7</v>
      </c>
      <c r="E18" s="4" t="s">
        <v>264</v>
      </c>
      <c r="F18" s="4">
        <v>5728</v>
      </c>
      <c r="G18" s="13">
        <v>716</v>
      </c>
      <c r="H18" s="13">
        <v>201.78577749683</v>
      </c>
      <c r="I18" s="13">
        <v>40717.5</v>
      </c>
      <c r="J18" s="22">
        <v>3487</v>
      </c>
      <c r="K18" s="13">
        <v>435.875</v>
      </c>
      <c r="L18" s="13">
        <v>60.8763966480447</v>
      </c>
      <c r="M18" s="13">
        <v>130.40555730106</v>
      </c>
      <c r="N18" s="13">
        <v>17005.609375</v>
      </c>
      <c r="O18" s="33">
        <v>2089</v>
      </c>
      <c r="P18" s="13">
        <v>261.125</v>
      </c>
      <c r="Q18" s="13">
        <v>36.4699720670391</v>
      </c>
      <c r="R18" s="13">
        <v>73.0846042268821</v>
      </c>
      <c r="S18" s="13">
        <v>5341.359375</v>
      </c>
      <c r="T18" s="34" t="s">
        <v>349</v>
      </c>
      <c r="U18" s="13">
        <v>24.4064245810056</v>
      </c>
      <c r="V18" s="27" t="s">
        <v>343</v>
      </c>
    </row>
    <row r="19" spans="1:22">
      <c r="A19" s="3">
        <v>5</v>
      </c>
      <c r="B19" s="3">
        <v>30</v>
      </c>
      <c r="C19" s="2" t="s">
        <v>271</v>
      </c>
      <c r="D19" s="3">
        <v>5</v>
      </c>
      <c r="E19" s="4" t="s">
        <v>272</v>
      </c>
      <c r="F19" s="4">
        <v>3552</v>
      </c>
      <c r="G19" s="13">
        <v>710.4</v>
      </c>
      <c r="H19" s="13">
        <v>106.076576113674</v>
      </c>
      <c r="I19" s="13">
        <v>11252.24</v>
      </c>
      <c r="J19" s="22">
        <v>2203</v>
      </c>
      <c r="K19" s="13">
        <v>440.6</v>
      </c>
      <c r="L19" s="13">
        <v>62.0213963963964</v>
      </c>
      <c r="M19" s="13">
        <v>105.868975625534</v>
      </c>
      <c r="N19" s="13">
        <v>11208.24</v>
      </c>
      <c r="O19" s="22">
        <v>1240</v>
      </c>
      <c r="P19" s="13">
        <v>248</v>
      </c>
      <c r="Q19" s="13">
        <v>34.9099099099099</v>
      </c>
      <c r="R19" s="13">
        <v>24.3639077325457</v>
      </c>
      <c r="S19" s="13">
        <v>593.6</v>
      </c>
      <c r="T19" s="34" t="s">
        <v>349</v>
      </c>
      <c r="U19" s="13">
        <v>27.1114864864865</v>
      </c>
      <c r="V19" s="27" t="s">
        <v>343</v>
      </c>
    </row>
    <row r="20" spans="1:22">
      <c r="A20" s="3">
        <v>6</v>
      </c>
      <c r="B20" s="3">
        <v>31</v>
      </c>
      <c r="C20" s="2" t="s">
        <v>273</v>
      </c>
      <c r="D20" s="3">
        <v>6</v>
      </c>
      <c r="E20" s="4" t="s">
        <v>274</v>
      </c>
      <c r="F20" s="4">
        <v>4258</v>
      </c>
      <c r="G20" s="13">
        <v>709.666666666667</v>
      </c>
      <c r="H20" s="13">
        <v>127.431899024102</v>
      </c>
      <c r="I20" s="13">
        <v>16238.8888888889</v>
      </c>
      <c r="J20" s="22">
        <v>2361</v>
      </c>
      <c r="K20" s="13">
        <v>393.5</v>
      </c>
      <c r="L20" s="13">
        <v>55.4485674025364</v>
      </c>
      <c r="M20" s="13">
        <v>89.7343301083816</v>
      </c>
      <c r="N20" s="13">
        <v>8052.25</v>
      </c>
      <c r="O20" s="22">
        <v>1709</v>
      </c>
      <c r="P20" s="13">
        <v>284.833333333333</v>
      </c>
      <c r="Q20" s="13">
        <v>40.1362141850634</v>
      </c>
      <c r="R20" s="13">
        <v>42.9084943675362</v>
      </c>
      <c r="S20" s="13">
        <v>1841.13888888889</v>
      </c>
      <c r="T20" s="34" t="s">
        <v>349</v>
      </c>
      <c r="U20" s="13">
        <v>15.312353217473</v>
      </c>
      <c r="V20" s="27" t="s">
        <v>343</v>
      </c>
    </row>
    <row r="21" spans="1:22">
      <c r="A21" s="3">
        <v>7</v>
      </c>
      <c r="B21" s="3">
        <v>32</v>
      </c>
      <c r="C21" s="2" t="s">
        <v>275</v>
      </c>
      <c r="D21" s="3">
        <v>5</v>
      </c>
      <c r="E21" s="4" t="s">
        <v>276</v>
      </c>
      <c r="F21" s="4">
        <v>3529</v>
      </c>
      <c r="G21" s="13">
        <v>705.8</v>
      </c>
      <c r="H21" s="13">
        <v>207.31560481546</v>
      </c>
      <c r="I21" s="13">
        <v>42979.76</v>
      </c>
      <c r="J21" s="22">
        <v>2214</v>
      </c>
      <c r="K21" s="13">
        <v>442.8</v>
      </c>
      <c r="L21" s="13">
        <v>62.7373193539246</v>
      </c>
      <c r="M21" s="13">
        <v>125.490079289161</v>
      </c>
      <c r="N21" s="13">
        <v>15747.76</v>
      </c>
      <c r="O21" s="22">
        <v>1192</v>
      </c>
      <c r="P21" s="13">
        <v>238.4</v>
      </c>
      <c r="Q21" s="13">
        <v>33.7772740153018</v>
      </c>
      <c r="R21" s="13">
        <v>90.0346599926939</v>
      </c>
      <c r="S21" s="13">
        <v>8106.24</v>
      </c>
      <c r="T21" s="34" t="s">
        <v>349</v>
      </c>
      <c r="U21" s="13">
        <v>28.9600453386228</v>
      </c>
      <c r="V21" s="27" t="s">
        <v>343</v>
      </c>
    </row>
    <row r="22" spans="1:22">
      <c r="A22" s="3">
        <v>8</v>
      </c>
      <c r="B22" s="3">
        <v>33</v>
      </c>
      <c r="C22" s="2" t="s">
        <v>277</v>
      </c>
      <c r="D22" s="3">
        <v>4</v>
      </c>
      <c r="E22" s="4" t="s">
        <v>278</v>
      </c>
      <c r="F22" s="4">
        <v>3031</v>
      </c>
      <c r="G22" s="13">
        <v>757.75</v>
      </c>
      <c r="H22" s="13">
        <v>48.432298107771</v>
      </c>
      <c r="I22" s="13">
        <v>2345.6875</v>
      </c>
      <c r="J22" s="22">
        <v>1905</v>
      </c>
      <c r="K22" s="13">
        <v>476.25</v>
      </c>
      <c r="L22" s="13">
        <v>62.8505443747938</v>
      </c>
      <c r="M22" s="13">
        <v>60.9113084738786</v>
      </c>
      <c r="N22" s="13">
        <v>3710.1875</v>
      </c>
      <c r="O22" s="33">
        <v>1013</v>
      </c>
      <c r="P22" s="13">
        <v>253.25</v>
      </c>
      <c r="Q22" s="13">
        <v>33.4213130979875</v>
      </c>
      <c r="R22" s="13">
        <v>102.150318159074</v>
      </c>
      <c r="S22" s="13">
        <v>10434.6875</v>
      </c>
      <c r="T22" s="34" t="s">
        <v>349</v>
      </c>
      <c r="U22" s="13">
        <v>29.4292312768063</v>
      </c>
      <c r="V22" s="27" t="s">
        <v>343</v>
      </c>
    </row>
    <row r="23" spans="1:22">
      <c r="A23" s="3">
        <v>9</v>
      </c>
      <c r="B23" s="3">
        <v>46</v>
      </c>
      <c r="C23" s="3" t="s">
        <v>303</v>
      </c>
      <c r="D23" s="3">
        <v>5</v>
      </c>
      <c r="E23" s="3" t="s">
        <v>304</v>
      </c>
      <c r="F23" s="3">
        <v>3345</v>
      </c>
      <c r="G23" s="13">
        <v>669</v>
      </c>
      <c r="H23" s="13">
        <v>68.1909084849293</v>
      </c>
      <c r="I23" s="13">
        <v>4650</v>
      </c>
      <c r="J23" s="22">
        <v>2094</v>
      </c>
      <c r="K23" s="13">
        <v>418.8</v>
      </c>
      <c r="L23" s="13">
        <v>62.6008968609865</v>
      </c>
      <c r="M23" s="13">
        <v>84.8820357908551</v>
      </c>
      <c r="N23" s="13">
        <v>7204.96</v>
      </c>
      <c r="O23" s="22">
        <v>1163</v>
      </c>
      <c r="P23" s="13">
        <v>232.6</v>
      </c>
      <c r="Q23" s="13">
        <v>34.7683109118087</v>
      </c>
      <c r="R23" s="13">
        <v>78.9749327318485</v>
      </c>
      <c r="S23" s="13">
        <v>6237.04</v>
      </c>
      <c r="T23" s="34" t="s">
        <v>349</v>
      </c>
      <c r="U23" s="13">
        <v>27.8325859491779</v>
      </c>
      <c r="V23" s="27" t="s">
        <v>343</v>
      </c>
    </row>
    <row r="24" spans="1:22">
      <c r="A24" s="3">
        <v>10</v>
      </c>
      <c r="B24" s="3">
        <v>49</v>
      </c>
      <c r="C24" s="3" t="s">
        <v>309</v>
      </c>
      <c r="D24" s="3">
        <v>6</v>
      </c>
      <c r="E24" s="3" t="s">
        <v>310</v>
      </c>
      <c r="F24" s="3">
        <v>4131</v>
      </c>
      <c r="G24" s="13">
        <v>688.5</v>
      </c>
      <c r="H24" s="13">
        <v>268.032802718871</v>
      </c>
      <c r="I24" s="13">
        <v>71841.5833333333</v>
      </c>
      <c r="J24" s="22">
        <v>2267</v>
      </c>
      <c r="K24" s="13">
        <v>377.833333333333</v>
      </c>
      <c r="L24" s="13">
        <v>54.877753570564</v>
      </c>
      <c r="M24" s="13">
        <v>193.064252402032</v>
      </c>
      <c r="N24" s="13">
        <v>37273.8055555556</v>
      </c>
      <c r="O24" s="22">
        <v>1709</v>
      </c>
      <c r="P24" s="13">
        <v>284.833333333333</v>
      </c>
      <c r="Q24" s="13">
        <v>41.3701282982329</v>
      </c>
      <c r="R24" s="13">
        <v>95.4854555533052</v>
      </c>
      <c r="S24" s="13">
        <v>9117.47222222222</v>
      </c>
      <c r="T24" s="34" t="s">
        <v>349</v>
      </c>
      <c r="U24" s="13">
        <v>13.5076252723312</v>
      </c>
      <c r="V24" s="27" t="s">
        <v>343</v>
      </c>
    </row>
    <row r="25" spans="1:22">
      <c r="A25" s="3">
        <v>11</v>
      </c>
      <c r="B25" s="3">
        <v>50</v>
      </c>
      <c r="C25" s="3" t="s">
        <v>311</v>
      </c>
      <c r="D25" s="3">
        <v>8</v>
      </c>
      <c r="E25" s="3" t="s">
        <v>312</v>
      </c>
      <c r="F25" s="3">
        <v>4273</v>
      </c>
      <c r="G25" s="13">
        <v>534.125</v>
      </c>
      <c r="H25" s="13">
        <v>130.158977312362</v>
      </c>
      <c r="I25" s="13">
        <v>16941.359375</v>
      </c>
      <c r="J25" s="22">
        <v>2541</v>
      </c>
      <c r="K25" s="13">
        <v>317.625</v>
      </c>
      <c r="L25" s="13">
        <v>59.4664170372104</v>
      </c>
      <c r="M25" s="13">
        <v>116.560003324468</v>
      </c>
      <c r="N25" s="13">
        <v>13586.234375</v>
      </c>
      <c r="O25" s="22">
        <v>1519</v>
      </c>
      <c r="P25" s="13">
        <v>189.875</v>
      </c>
      <c r="Q25" s="13">
        <v>35.5487947577814</v>
      </c>
      <c r="R25" s="13">
        <v>34.649810605543</v>
      </c>
      <c r="S25" s="13">
        <v>1200.609375</v>
      </c>
      <c r="T25" s="34" t="s">
        <v>349</v>
      </c>
      <c r="U25" s="13">
        <v>23.917622279429</v>
      </c>
      <c r="V25" s="27" t="s">
        <v>343</v>
      </c>
    </row>
    <row r="26" spans="1:22">
      <c r="A26" s="3">
        <v>12</v>
      </c>
      <c r="B26" s="3">
        <v>54</v>
      </c>
      <c r="C26" s="3" t="s">
        <v>319</v>
      </c>
      <c r="D26" s="3">
        <v>5</v>
      </c>
      <c r="E26" s="3" t="s">
        <v>320</v>
      </c>
      <c r="F26" s="3">
        <v>4429</v>
      </c>
      <c r="G26" s="13">
        <v>885.8</v>
      </c>
      <c r="H26" s="13">
        <v>209.959424651526</v>
      </c>
      <c r="I26" s="13">
        <v>44082.96</v>
      </c>
      <c r="J26" s="22">
        <v>2315</v>
      </c>
      <c r="K26" s="13">
        <v>463</v>
      </c>
      <c r="L26" s="13">
        <v>52.2691352449763</v>
      </c>
      <c r="M26" s="13">
        <v>217.681418591482</v>
      </c>
      <c r="N26" s="13">
        <v>47385.2</v>
      </c>
      <c r="O26" s="22">
        <v>1804</v>
      </c>
      <c r="P26" s="13">
        <v>360.8</v>
      </c>
      <c r="Q26" s="13">
        <v>40.7315421088282</v>
      </c>
      <c r="R26" s="13">
        <v>42.5177609946714</v>
      </c>
      <c r="S26" s="13">
        <v>1807.76</v>
      </c>
      <c r="T26" s="34" t="s">
        <v>349</v>
      </c>
      <c r="U26" s="13">
        <v>11.5375931361481</v>
      </c>
      <c r="V26" s="27" t="s">
        <v>343</v>
      </c>
    </row>
    <row r="27" spans="1:22">
      <c r="A27" s="3">
        <v>13</v>
      </c>
      <c r="B27" s="3">
        <v>56</v>
      </c>
      <c r="C27" s="3" t="s">
        <v>323</v>
      </c>
      <c r="D27" s="3">
        <v>5</v>
      </c>
      <c r="E27" s="3" t="s">
        <v>324</v>
      </c>
      <c r="F27" s="3">
        <v>3341</v>
      </c>
      <c r="G27" s="13">
        <v>668.2</v>
      </c>
      <c r="H27" s="13">
        <v>109.117184714416</v>
      </c>
      <c r="I27" s="13">
        <v>11906.56</v>
      </c>
      <c r="J27" s="22">
        <v>1861</v>
      </c>
      <c r="K27" s="13">
        <v>372.2</v>
      </c>
      <c r="L27" s="13">
        <v>55.7018856629752</v>
      </c>
      <c r="M27" s="13">
        <v>101.828090426954</v>
      </c>
      <c r="N27" s="13">
        <v>10368.96</v>
      </c>
      <c r="O27" s="22">
        <v>1384</v>
      </c>
      <c r="P27" s="13">
        <v>276.8</v>
      </c>
      <c r="Q27" s="13">
        <v>41.4247231367854</v>
      </c>
      <c r="R27" s="13">
        <v>44.5573787379823</v>
      </c>
      <c r="S27" s="13">
        <v>1985.36</v>
      </c>
      <c r="T27" s="34" t="s">
        <v>349</v>
      </c>
      <c r="U27" s="13">
        <v>14.2771625261898</v>
      </c>
      <c r="V27" s="27" t="s">
        <v>343</v>
      </c>
    </row>
    <row r="28" spans="1:22">
      <c r="A28" s="3">
        <v>14</v>
      </c>
      <c r="B28" s="3">
        <v>57</v>
      </c>
      <c r="C28" s="3" t="s">
        <v>325</v>
      </c>
      <c r="D28" s="3">
        <v>5</v>
      </c>
      <c r="E28" s="3" t="s">
        <v>326</v>
      </c>
      <c r="F28" s="3">
        <v>4027</v>
      </c>
      <c r="G28" s="13">
        <v>805.4</v>
      </c>
      <c r="H28" s="13">
        <v>71.0199971838918</v>
      </c>
      <c r="I28" s="13">
        <v>5043.84</v>
      </c>
      <c r="J28" s="22">
        <v>2401</v>
      </c>
      <c r="K28" s="13">
        <v>480.2</v>
      </c>
      <c r="L28" s="13">
        <v>59.6225478023342</v>
      </c>
      <c r="M28" s="13">
        <v>50.751945775507</v>
      </c>
      <c r="N28" s="13">
        <v>2575.76</v>
      </c>
      <c r="O28" s="22">
        <v>1468</v>
      </c>
      <c r="P28" s="13">
        <v>293.6</v>
      </c>
      <c r="Q28" s="13">
        <v>36.4539359324559</v>
      </c>
      <c r="R28" s="13">
        <v>53.7907055168456</v>
      </c>
      <c r="S28" s="13">
        <v>2893.44</v>
      </c>
      <c r="T28" s="34" t="s">
        <v>349</v>
      </c>
      <c r="U28" s="13">
        <v>23.1686118698783</v>
      </c>
      <c r="V28" s="27" t="s">
        <v>343</v>
      </c>
    </row>
    <row r="29" spans="1:22">
      <c r="A29" s="3">
        <v>15</v>
      </c>
      <c r="B29" s="3">
        <v>58</v>
      </c>
      <c r="C29" s="3" t="s">
        <v>327</v>
      </c>
      <c r="D29" s="3">
        <v>4</v>
      </c>
      <c r="E29" s="3" t="s">
        <v>328</v>
      </c>
      <c r="F29" s="3">
        <v>3095</v>
      </c>
      <c r="G29" s="13">
        <v>773.75</v>
      </c>
      <c r="H29" s="13">
        <v>87.2621768007193</v>
      </c>
      <c r="I29" s="13">
        <v>7614.6875</v>
      </c>
      <c r="J29" s="22">
        <v>1655</v>
      </c>
      <c r="K29" s="13">
        <v>413.75</v>
      </c>
      <c r="L29" s="13">
        <v>53.4733441033926</v>
      </c>
      <c r="M29" s="13">
        <v>109.142968165613</v>
      </c>
      <c r="N29" s="13">
        <v>11912.1875</v>
      </c>
      <c r="O29" s="22">
        <v>1341</v>
      </c>
      <c r="P29" s="13">
        <v>335.25</v>
      </c>
      <c r="Q29" s="13">
        <v>43.3279483037157</v>
      </c>
      <c r="R29" s="13">
        <v>92.2398368385374</v>
      </c>
      <c r="S29" s="13">
        <v>8508.1875</v>
      </c>
      <c r="T29" s="34" t="s">
        <v>349</v>
      </c>
      <c r="U29" s="13">
        <v>10.1453957996769</v>
      </c>
      <c r="V29" s="27" t="s">
        <v>343</v>
      </c>
    </row>
    <row r="30" spans="1:22">
      <c r="A30" s="3">
        <v>16</v>
      </c>
      <c r="B30" s="3">
        <v>60</v>
      </c>
      <c r="C30" s="3" t="s">
        <v>331</v>
      </c>
      <c r="D30" s="3">
        <v>8</v>
      </c>
      <c r="E30" s="3" t="s">
        <v>332</v>
      </c>
      <c r="F30" s="3">
        <v>5187</v>
      </c>
      <c r="G30" s="13">
        <v>741</v>
      </c>
      <c r="H30" s="13">
        <v>131.130251495003</v>
      </c>
      <c r="I30" s="13">
        <v>17195.1428571429</v>
      </c>
      <c r="J30" s="22">
        <v>2785</v>
      </c>
      <c r="K30" s="13">
        <v>397.857142857143</v>
      </c>
      <c r="L30" s="13">
        <v>53.6919221129747</v>
      </c>
      <c r="M30" s="13">
        <v>243.764188493381</v>
      </c>
      <c r="N30" s="13">
        <v>59420.9795918367</v>
      </c>
      <c r="O30" s="22">
        <v>2018</v>
      </c>
      <c r="P30" s="13">
        <v>288.285714285714</v>
      </c>
      <c r="Q30" s="13">
        <v>38.9049546944284</v>
      </c>
      <c r="R30" s="13">
        <v>203.528667188057</v>
      </c>
      <c r="S30" s="13">
        <v>41423.9183673469</v>
      </c>
      <c r="T30" s="34" t="s">
        <v>349</v>
      </c>
      <c r="U30" s="13">
        <v>14.7869674185464</v>
      </c>
      <c r="V30" s="27" t="s">
        <v>343</v>
      </c>
    </row>
    <row r="31" s="29" customFormat="1" ht="15.75" spans="1:22">
      <c r="A31" s="14"/>
      <c r="B31" s="14"/>
      <c r="C31" s="14"/>
      <c r="D31" s="14"/>
      <c r="E31" s="14"/>
      <c r="F31" s="14">
        <f>SUM(F15:F30)</f>
        <v>65073</v>
      </c>
      <c r="G31" s="14"/>
      <c r="H31" s="14"/>
      <c r="I31" s="14"/>
      <c r="J31" s="14">
        <f>SUM(J15:J30)</f>
        <v>37755</v>
      </c>
      <c r="K31" s="14"/>
      <c r="L31" s="14"/>
      <c r="M31" s="14"/>
      <c r="N31" s="14"/>
      <c r="O31" s="14">
        <f>SUM(O15:O30)</f>
        <v>24611</v>
      </c>
      <c r="P31" s="14"/>
      <c r="Q31" s="14"/>
      <c r="R31" s="14"/>
      <c r="S31" s="14"/>
      <c r="T31" s="14"/>
      <c r="U31" s="14"/>
      <c r="V31" s="14"/>
    </row>
    <row r="32" ht="26.25" spans="1:22">
      <c r="A32" s="15" t="s">
        <v>239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8.75" customHeight="1" spans="1:22">
      <c r="A33" s="1" t="s">
        <v>243</v>
      </c>
      <c r="B33" s="1" t="s">
        <v>244</v>
      </c>
      <c r="C33" s="1" t="s">
        <v>245</v>
      </c>
      <c r="D33" s="10" t="s">
        <v>246</v>
      </c>
      <c r="E33" s="1" t="s">
        <v>247</v>
      </c>
      <c r="F33" s="11" t="s">
        <v>249</v>
      </c>
      <c r="G33" s="1" t="s">
        <v>249</v>
      </c>
      <c r="H33" s="1"/>
      <c r="I33" s="1"/>
      <c r="J33" s="17" t="s">
        <v>6</v>
      </c>
      <c r="K33" s="18"/>
      <c r="L33" s="18"/>
      <c r="M33" s="18"/>
      <c r="N33" s="19"/>
      <c r="O33" s="20" t="s">
        <v>237</v>
      </c>
      <c r="P33" s="21"/>
      <c r="Q33" s="21"/>
      <c r="R33" s="21"/>
      <c r="S33" s="24"/>
      <c r="T33" s="10" t="s">
        <v>250</v>
      </c>
      <c r="U33" s="10" t="s">
        <v>15</v>
      </c>
      <c r="V33" s="10" t="s">
        <v>251</v>
      </c>
    </row>
    <row r="34" ht="30" spans="1:22">
      <c r="A34" s="1"/>
      <c r="B34" s="1"/>
      <c r="C34" s="1"/>
      <c r="D34" s="10"/>
      <c r="E34" s="1"/>
      <c r="F34" s="12"/>
      <c r="G34" s="10" t="s">
        <v>252</v>
      </c>
      <c r="H34" s="10" t="s">
        <v>253</v>
      </c>
      <c r="I34" s="10" t="s">
        <v>254</v>
      </c>
      <c r="J34" s="10" t="s">
        <v>255</v>
      </c>
      <c r="K34" s="10" t="s">
        <v>252</v>
      </c>
      <c r="L34" s="10" t="s">
        <v>7</v>
      </c>
      <c r="M34" s="10" t="s">
        <v>253</v>
      </c>
      <c r="N34" s="10" t="s">
        <v>254</v>
      </c>
      <c r="O34" s="10" t="s">
        <v>256</v>
      </c>
      <c r="P34" s="10" t="s">
        <v>252</v>
      </c>
      <c r="Q34" s="10" t="s">
        <v>7</v>
      </c>
      <c r="R34" s="10" t="s">
        <v>253</v>
      </c>
      <c r="S34" s="10" t="s">
        <v>254</v>
      </c>
      <c r="T34" s="10"/>
      <c r="U34" s="10"/>
      <c r="V34" s="10"/>
    </row>
    <row r="35" spans="1:22">
      <c r="A35" s="3">
        <v>1</v>
      </c>
      <c r="B35" s="3">
        <v>27</v>
      </c>
      <c r="C35" s="2" t="s">
        <v>265</v>
      </c>
      <c r="D35" s="3">
        <v>6</v>
      </c>
      <c r="E35" s="4" t="s">
        <v>266</v>
      </c>
      <c r="F35" s="4">
        <v>4500</v>
      </c>
      <c r="G35" s="13">
        <v>750</v>
      </c>
      <c r="H35" s="13">
        <v>180.032404490599</v>
      </c>
      <c r="I35" s="13">
        <v>32411.6666666667</v>
      </c>
      <c r="J35" s="22">
        <v>2892</v>
      </c>
      <c r="K35" s="13">
        <v>482</v>
      </c>
      <c r="L35" s="13">
        <f t="shared" ref="L35" si="0">(K35/G35)*100</f>
        <v>64.2666666666667</v>
      </c>
      <c r="M35" s="13">
        <v>119.726076246294</v>
      </c>
      <c r="N35" s="13">
        <v>14334.3333333333</v>
      </c>
      <c r="O35" s="22">
        <v>1507</v>
      </c>
      <c r="P35" s="13">
        <v>251.166666666667</v>
      </c>
      <c r="Q35" s="13">
        <f t="shared" ref="Q35" si="1">(P35/G35)*100</f>
        <v>33.4888888888889</v>
      </c>
      <c r="R35" s="13">
        <v>81.9662871077019</v>
      </c>
      <c r="S35" s="13">
        <v>6718.47222222222</v>
      </c>
      <c r="T35" s="34" t="str">
        <f t="shared" ref="T35" si="2">IF(K35&gt;P35,"BJP GAIN","CONGRESS GAIN")</f>
        <v>BJP GAIN</v>
      </c>
      <c r="U35" s="13">
        <f t="shared" ref="U35" si="3">((K35-P35)/G35)*100</f>
        <v>30.7777777777778</v>
      </c>
      <c r="V35" s="35" t="str">
        <f t="shared" ref="V35" si="4">IF(U35&gt;=50,"VERYHIGHMARGIN",IF(U35&gt;=40,"HIGHMARGIN",IF(U35&gt;=30,"MEDIUMMARGIN",IF(U35&gt;10,"LOWMARGIN",IF(U35&gt;=1,"NARROWMARGIN")))))</f>
        <v>MEDIUMMARGIN</v>
      </c>
    </row>
    <row r="36" ht="26.25" spans="1:22">
      <c r="A36" s="15" t="s">
        <v>240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8.75" customHeight="1" spans="1:22">
      <c r="A37" s="1" t="s">
        <v>243</v>
      </c>
      <c r="B37" s="1" t="s">
        <v>244</v>
      </c>
      <c r="C37" s="1" t="s">
        <v>245</v>
      </c>
      <c r="D37" s="10" t="s">
        <v>246</v>
      </c>
      <c r="E37" s="1" t="s">
        <v>247</v>
      </c>
      <c r="F37" s="11" t="s">
        <v>249</v>
      </c>
      <c r="G37" s="1" t="s">
        <v>249</v>
      </c>
      <c r="H37" s="1"/>
      <c r="I37" s="1"/>
      <c r="J37" s="17" t="s">
        <v>6</v>
      </c>
      <c r="K37" s="18"/>
      <c r="L37" s="18"/>
      <c r="M37" s="18"/>
      <c r="N37" s="19"/>
      <c r="O37" s="20" t="s">
        <v>237</v>
      </c>
      <c r="P37" s="21"/>
      <c r="Q37" s="21"/>
      <c r="R37" s="21"/>
      <c r="S37" s="24"/>
      <c r="T37" s="10" t="s">
        <v>250</v>
      </c>
      <c r="U37" s="10" t="s">
        <v>15</v>
      </c>
      <c r="V37" s="10" t="s">
        <v>251</v>
      </c>
    </row>
    <row r="38" ht="30" spans="1:22">
      <c r="A38" s="1"/>
      <c r="B38" s="1"/>
      <c r="C38" s="1"/>
      <c r="D38" s="10"/>
      <c r="E38" s="1"/>
      <c r="F38" s="12"/>
      <c r="G38" s="10" t="s">
        <v>252</v>
      </c>
      <c r="H38" s="10" t="s">
        <v>253</v>
      </c>
      <c r="I38" s="10" t="s">
        <v>254</v>
      </c>
      <c r="J38" s="10" t="s">
        <v>255</v>
      </c>
      <c r="K38" s="10" t="s">
        <v>252</v>
      </c>
      <c r="L38" s="10" t="s">
        <v>7</v>
      </c>
      <c r="M38" s="10" t="s">
        <v>253</v>
      </c>
      <c r="N38" s="10" t="s">
        <v>254</v>
      </c>
      <c r="O38" s="10" t="s">
        <v>256</v>
      </c>
      <c r="P38" s="10" t="s">
        <v>252</v>
      </c>
      <c r="Q38" s="10" t="s">
        <v>7</v>
      </c>
      <c r="R38" s="10" t="s">
        <v>253</v>
      </c>
      <c r="S38" s="10" t="s">
        <v>254</v>
      </c>
      <c r="T38" s="10"/>
      <c r="U38" s="10"/>
      <c r="V38" s="10"/>
    </row>
    <row r="39" spans="1:22">
      <c r="A39" s="3">
        <v>1</v>
      </c>
      <c r="B39" s="3">
        <v>28</v>
      </c>
      <c r="C39" s="2" t="s">
        <v>267</v>
      </c>
      <c r="D39" s="3">
        <v>4</v>
      </c>
      <c r="E39" s="4" t="s">
        <v>268</v>
      </c>
      <c r="F39" s="4">
        <v>3413</v>
      </c>
      <c r="G39" s="13">
        <v>853.25</v>
      </c>
      <c r="H39" s="13">
        <v>124.706405208393</v>
      </c>
      <c r="I39" s="13">
        <v>15551.6875</v>
      </c>
      <c r="J39" s="22">
        <v>2503</v>
      </c>
      <c r="K39" s="13">
        <v>625.75</v>
      </c>
      <c r="L39" s="13">
        <v>73.3372399648403</v>
      </c>
      <c r="M39" s="13">
        <v>107.264567775198</v>
      </c>
      <c r="N39" s="13">
        <v>11505.6875</v>
      </c>
      <c r="O39" s="22">
        <v>825</v>
      </c>
      <c r="P39" s="13">
        <v>206.25</v>
      </c>
      <c r="Q39" s="13">
        <v>24.172282449458</v>
      </c>
      <c r="R39" s="13">
        <v>28.4637927901395</v>
      </c>
      <c r="S39" s="13">
        <v>810.1875</v>
      </c>
      <c r="T39" s="34" t="s">
        <v>349</v>
      </c>
      <c r="U39" s="13">
        <v>49.1649575153824</v>
      </c>
      <c r="V39" s="28" t="s">
        <v>336</v>
      </c>
    </row>
    <row r="40" spans="1:22">
      <c r="A40" s="3">
        <v>2</v>
      </c>
      <c r="B40" s="3">
        <v>42</v>
      </c>
      <c r="C40" s="3" t="s">
        <v>295</v>
      </c>
      <c r="D40" s="3">
        <v>7</v>
      </c>
      <c r="E40" s="3" t="s">
        <v>296</v>
      </c>
      <c r="F40" s="3">
        <v>5141</v>
      </c>
      <c r="G40" s="13">
        <v>734.428571428571</v>
      </c>
      <c r="H40" s="13">
        <v>159.278603300593</v>
      </c>
      <c r="I40" s="13">
        <v>25369.6734693878</v>
      </c>
      <c r="J40" s="22">
        <v>3670</v>
      </c>
      <c r="K40" s="13">
        <v>524.285714285714</v>
      </c>
      <c r="L40" s="13">
        <v>71.3868897101731</v>
      </c>
      <c r="M40" s="13">
        <v>220.140678583825</v>
      </c>
      <c r="N40" s="13">
        <v>48461.9183673469</v>
      </c>
      <c r="O40" s="22">
        <v>1311</v>
      </c>
      <c r="P40" s="13">
        <v>187.285714285714</v>
      </c>
      <c r="Q40" s="13">
        <v>25.5008753160864</v>
      </c>
      <c r="R40" s="13">
        <v>81.2029455583167</v>
      </c>
      <c r="S40" s="13">
        <v>6593.91836734694</v>
      </c>
      <c r="T40" s="34" t="s">
        <v>349</v>
      </c>
      <c r="U40" s="13">
        <v>45.8860143940868</v>
      </c>
      <c r="V40" s="28" t="s">
        <v>336</v>
      </c>
    </row>
    <row r="41" s="29" customFormat="1" ht="15.75" spans="1:22">
      <c r="A41" s="14"/>
      <c r="B41" s="14"/>
      <c r="C41" s="14"/>
      <c r="D41" s="14"/>
      <c r="E41" s="14"/>
      <c r="F41" s="14">
        <f>SUM(F39:F40)</f>
        <v>8554</v>
      </c>
      <c r="G41" s="14"/>
      <c r="H41" s="14"/>
      <c r="I41" s="14"/>
      <c r="J41" s="14">
        <f>SUM(J39:J40)</f>
        <v>6173</v>
      </c>
      <c r="K41" s="14"/>
      <c r="L41" s="14"/>
      <c r="M41" s="14"/>
      <c r="N41" s="14"/>
      <c r="O41" s="14">
        <f>SUM(O39:O40)</f>
        <v>2136</v>
      </c>
      <c r="P41" s="14"/>
      <c r="Q41" s="14"/>
      <c r="R41" s="14"/>
      <c r="S41" s="14"/>
      <c r="T41" s="14"/>
      <c r="U41" s="14"/>
      <c r="V41" s="14"/>
    </row>
    <row r="42" ht="26.25" spans="1:22">
      <c r="A42" s="15" t="s">
        <v>350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8.75" customHeight="1" spans="1:22">
      <c r="A43" s="1" t="s">
        <v>243</v>
      </c>
      <c r="B43" s="1" t="s">
        <v>244</v>
      </c>
      <c r="C43" s="1" t="s">
        <v>245</v>
      </c>
      <c r="D43" s="10" t="s">
        <v>246</v>
      </c>
      <c r="E43" s="1" t="s">
        <v>247</v>
      </c>
      <c r="F43" s="11" t="s">
        <v>249</v>
      </c>
      <c r="G43" s="1" t="s">
        <v>249</v>
      </c>
      <c r="H43" s="1"/>
      <c r="I43" s="1"/>
      <c r="J43" s="17" t="s">
        <v>6</v>
      </c>
      <c r="K43" s="18"/>
      <c r="L43" s="18"/>
      <c r="M43" s="18"/>
      <c r="N43" s="19"/>
      <c r="O43" s="20" t="s">
        <v>237</v>
      </c>
      <c r="P43" s="21"/>
      <c r="Q43" s="21"/>
      <c r="R43" s="21"/>
      <c r="S43" s="24"/>
      <c r="T43" s="10" t="s">
        <v>250</v>
      </c>
      <c r="U43" s="10" t="s">
        <v>15</v>
      </c>
      <c r="V43" s="10" t="s">
        <v>251</v>
      </c>
    </row>
    <row r="44" ht="30" spans="1:22">
      <c r="A44" s="1"/>
      <c r="B44" s="1"/>
      <c r="C44" s="1"/>
      <c r="D44" s="10"/>
      <c r="E44" s="1"/>
      <c r="F44" s="12"/>
      <c r="G44" s="10" t="s">
        <v>252</v>
      </c>
      <c r="H44" s="10" t="s">
        <v>253</v>
      </c>
      <c r="I44" s="10" t="s">
        <v>254</v>
      </c>
      <c r="J44" s="10" t="s">
        <v>255</v>
      </c>
      <c r="K44" s="10" t="s">
        <v>252</v>
      </c>
      <c r="L44" s="10" t="s">
        <v>7</v>
      </c>
      <c r="M44" s="10" t="s">
        <v>253</v>
      </c>
      <c r="N44" s="10" t="s">
        <v>254</v>
      </c>
      <c r="O44" s="10" t="s">
        <v>256</v>
      </c>
      <c r="P44" s="10" t="s">
        <v>252</v>
      </c>
      <c r="Q44" s="10" t="s">
        <v>7</v>
      </c>
      <c r="R44" s="10" t="s">
        <v>253</v>
      </c>
      <c r="S44" s="10" t="s">
        <v>254</v>
      </c>
      <c r="T44" s="10"/>
      <c r="U44" s="10"/>
      <c r="V44" s="10"/>
    </row>
    <row r="45" spans="1:22">
      <c r="A45" s="3">
        <v>1</v>
      </c>
      <c r="B45" s="3">
        <v>29</v>
      </c>
      <c r="C45" s="2" t="s">
        <v>269</v>
      </c>
      <c r="D45" s="3">
        <v>4</v>
      </c>
      <c r="E45" s="4" t="s">
        <v>270</v>
      </c>
      <c r="F45" s="4">
        <v>3113</v>
      </c>
      <c r="G45" s="13">
        <v>778.25</v>
      </c>
      <c r="H45" s="13">
        <v>152.655453554729</v>
      </c>
      <c r="I45" s="13">
        <v>23303.6875</v>
      </c>
      <c r="J45" s="31">
        <v>2369</v>
      </c>
      <c r="K45" s="13">
        <v>592.25</v>
      </c>
      <c r="L45" s="13">
        <v>76.1002248634757</v>
      </c>
      <c r="M45" s="13">
        <v>152.662004113663</v>
      </c>
      <c r="N45" s="13">
        <v>23305.6875</v>
      </c>
      <c r="O45" s="22">
        <v>660</v>
      </c>
      <c r="P45" s="13">
        <v>165</v>
      </c>
      <c r="Q45" s="13">
        <v>21.2014134275618</v>
      </c>
      <c r="R45" s="13">
        <v>55.4436651025164</v>
      </c>
      <c r="S45" s="13">
        <v>3074</v>
      </c>
      <c r="T45" s="34" t="s">
        <v>349</v>
      </c>
      <c r="U45" s="13">
        <v>54.8988114359139</v>
      </c>
      <c r="V45" s="36" t="s">
        <v>337</v>
      </c>
    </row>
    <row r="46" spans="1:22">
      <c r="A46" s="3">
        <v>2</v>
      </c>
      <c r="B46" s="3">
        <v>41</v>
      </c>
      <c r="C46" s="3" t="s">
        <v>293</v>
      </c>
      <c r="D46" s="3">
        <v>5</v>
      </c>
      <c r="E46" s="4" t="s">
        <v>294</v>
      </c>
      <c r="F46" s="4">
        <v>3235</v>
      </c>
      <c r="G46" s="13">
        <v>647</v>
      </c>
      <c r="H46" s="13">
        <v>132.148401428091</v>
      </c>
      <c r="I46" s="13">
        <v>17463.2</v>
      </c>
      <c r="J46" s="22">
        <v>2493</v>
      </c>
      <c r="K46" s="13">
        <v>498.6</v>
      </c>
      <c r="L46" s="13">
        <v>77.0633693972179</v>
      </c>
      <c r="M46" s="13">
        <v>155.116214497389</v>
      </c>
      <c r="N46" s="13">
        <v>24061.04</v>
      </c>
      <c r="O46" s="22">
        <v>675</v>
      </c>
      <c r="P46" s="13">
        <v>135</v>
      </c>
      <c r="Q46" s="13">
        <v>20.8655332302937</v>
      </c>
      <c r="R46" s="13">
        <v>35.1226422696243</v>
      </c>
      <c r="S46" s="13">
        <v>1233.6</v>
      </c>
      <c r="T46" s="34" t="s">
        <v>349</v>
      </c>
      <c r="U46" s="13">
        <v>56.1978361669243</v>
      </c>
      <c r="V46" s="36" t="s">
        <v>337</v>
      </c>
    </row>
    <row r="47" s="5" customFormat="1" ht="15.75" spans="1:22">
      <c r="A47" s="14"/>
      <c r="B47" s="14"/>
      <c r="C47" s="14"/>
      <c r="D47" s="14"/>
      <c r="E47" s="14"/>
      <c r="F47" s="14">
        <f>SUM(F45:F46)</f>
        <v>6348</v>
      </c>
      <c r="G47" s="14"/>
      <c r="H47" s="14"/>
      <c r="I47" s="14"/>
      <c r="J47" s="14">
        <f>SUM(J45:J46)</f>
        <v>4862</v>
      </c>
      <c r="K47" s="14"/>
      <c r="L47" s="14"/>
      <c r="M47" s="14"/>
      <c r="N47" s="14"/>
      <c r="O47" s="14">
        <f>SUM(O45:O46)</f>
        <v>1335</v>
      </c>
      <c r="P47" s="14"/>
      <c r="Q47" s="14"/>
      <c r="R47" s="14"/>
      <c r="S47" s="14"/>
      <c r="T47" s="14"/>
      <c r="U47" s="14"/>
      <c r="V47" s="14"/>
    </row>
  </sheetData>
  <sheetProtection password="CFF8" sheet="1" objects="1" scenarios="1"/>
  <mergeCells count="66">
    <mergeCell ref="A1:V1"/>
    <mergeCell ref="A2:V2"/>
    <mergeCell ref="G3:I3"/>
    <mergeCell ref="J3:N3"/>
    <mergeCell ref="O3:S3"/>
    <mergeCell ref="A12:V12"/>
    <mergeCell ref="G13:I13"/>
    <mergeCell ref="J13:N13"/>
    <mergeCell ref="O13:S13"/>
    <mergeCell ref="A32:V32"/>
    <mergeCell ref="G33:I33"/>
    <mergeCell ref="J33:N33"/>
    <mergeCell ref="O33:S33"/>
    <mergeCell ref="A36:V36"/>
    <mergeCell ref="G37:I37"/>
    <mergeCell ref="J37:N37"/>
    <mergeCell ref="O37:S37"/>
    <mergeCell ref="A42:V42"/>
    <mergeCell ref="G43:I43"/>
    <mergeCell ref="J43:N43"/>
    <mergeCell ref="O43:S43"/>
    <mergeCell ref="A3:A4"/>
    <mergeCell ref="A13:A14"/>
    <mergeCell ref="A33:A34"/>
    <mergeCell ref="A37:A38"/>
    <mergeCell ref="A43:A44"/>
    <mergeCell ref="B3:B4"/>
    <mergeCell ref="B13:B14"/>
    <mergeCell ref="B33:B34"/>
    <mergeCell ref="B37:B38"/>
    <mergeCell ref="B43:B44"/>
    <mergeCell ref="C3:C4"/>
    <mergeCell ref="C13:C14"/>
    <mergeCell ref="C33:C34"/>
    <mergeCell ref="C37:C38"/>
    <mergeCell ref="C43:C44"/>
    <mergeCell ref="D3:D4"/>
    <mergeCell ref="D13:D14"/>
    <mergeCell ref="D33:D34"/>
    <mergeCell ref="D37:D38"/>
    <mergeCell ref="D43:D44"/>
    <mergeCell ref="E3:E4"/>
    <mergeCell ref="E13:E14"/>
    <mergeCell ref="E33:E34"/>
    <mergeCell ref="E37:E38"/>
    <mergeCell ref="E43:E44"/>
    <mergeCell ref="F3:F4"/>
    <mergeCell ref="F13:F14"/>
    <mergeCell ref="F33:F34"/>
    <mergeCell ref="F37:F38"/>
    <mergeCell ref="F43:F44"/>
    <mergeCell ref="T3:T4"/>
    <mergeCell ref="T13:T14"/>
    <mergeCell ref="T33:T34"/>
    <mergeCell ref="T37:T38"/>
    <mergeCell ref="T43:T44"/>
    <mergeCell ref="U3:U4"/>
    <mergeCell ref="U13:U14"/>
    <mergeCell ref="U33:U34"/>
    <mergeCell ref="U37:U38"/>
    <mergeCell ref="U43:U44"/>
    <mergeCell ref="V3:V4"/>
    <mergeCell ref="V13:V14"/>
    <mergeCell ref="V33:V34"/>
    <mergeCell ref="V37:V38"/>
    <mergeCell ref="V43:V44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selection activeCell="D3" sqref="D3:D4"/>
    </sheetView>
  </sheetViews>
  <sheetFormatPr defaultColWidth="9" defaultRowHeight="15"/>
  <cols>
    <col min="1" max="1" width="6.71428571428571" style="6" customWidth="1"/>
    <col min="2" max="2" width="12.5714285714286" style="6" customWidth="1"/>
    <col min="3" max="3" width="12.7142857142857" style="6" customWidth="1"/>
    <col min="4" max="4" width="20.2857142857143" style="6" customWidth="1"/>
    <col min="5" max="5" width="28.1428571428571" style="6" customWidth="1"/>
    <col min="6" max="6" width="13.7142857142857" style="6" customWidth="1"/>
    <col min="7" max="7" width="6.57142857142857" style="6" customWidth="1"/>
    <col min="8" max="8" width="10.8571428571429" style="6" customWidth="1"/>
    <col min="9" max="10" width="10.5714285714286" style="6" customWidth="1"/>
    <col min="11" max="11" width="10" style="6" customWidth="1"/>
    <col min="12" max="12" width="9.14285714285714" style="6"/>
    <col min="13" max="13" width="12.2857142857143" style="6" customWidth="1"/>
    <col min="14" max="15" width="13" style="6" customWidth="1"/>
    <col min="16" max="17" width="9.14285714285714" style="6"/>
    <col min="18" max="18" width="10.5714285714286" style="6" customWidth="1"/>
    <col min="19" max="19" width="11.8571428571429" style="6" customWidth="1"/>
    <col min="20" max="20" width="15.5714285714286" style="6" customWidth="1"/>
    <col min="21" max="21" width="9.14285714285714" style="6"/>
    <col min="22" max="22" width="16.8571428571429" style="6" customWidth="1"/>
    <col min="23" max="16384" width="9.14285714285714" style="6"/>
  </cols>
  <sheetData>
    <row r="1" ht="28.5" spans="1:22">
      <c r="A1" s="7" t="s">
        <v>351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6.25" spans="1:22">
      <c r="A2" s="8" t="s">
        <v>335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3"/>
    </row>
    <row r="3" spans="1:22">
      <c r="A3" s="1" t="s">
        <v>243</v>
      </c>
      <c r="B3" s="1" t="s">
        <v>244</v>
      </c>
      <c r="C3" s="1" t="s">
        <v>245</v>
      </c>
      <c r="D3" s="10" t="s">
        <v>246</v>
      </c>
      <c r="E3" s="1" t="s">
        <v>247</v>
      </c>
      <c r="F3" s="11" t="s">
        <v>249</v>
      </c>
      <c r="G3" s="1" t="s">
        <v>249</v>
      </c>
      <c r="H3" s="1"/>
      <c r="I3" s="1"/>
      <c r="J3" s="17" t="s">
        <v>6</v>
      </c>
      <c r="K3" s="18"/>
      <c r="L3" s="18"/>
      <c r="M3" s="18"/>
      <c r="N3" s="19"/>
      <c r="O3" s="20" t="s">
        <v>237</v>
      </c>
      <c r="P3" s="21"/>
      <c r="Q3" s="21"/>
      <c r="R3" s="21"/>
      <c r="S3" s="24"/>
      <c r="T3" s="10" t="s">
        <v>250</v>
      </c>
      <c r="U3" s="10" t="s">
        <v>15</v>
      </c>
      <c r="V3" s="10" t="s">
        <v>251</v>
      </c>
    </row>
    <row r="4" ht="30" spans="1:22">
      <c r="A4" s="1"/>
      <c r="B4" s="1"/>
      <c r="C4" s="1"/>
      <c r="D4" s="10"/>
      <c r="E4" s="1"/>
      <c r="F4" s="12"/>
      <c r="G4" s="10" t="s">
        <v>252</v>
      </c>
      <c r="H4" s="10" t="s">
        <v>253</v>
      </c>
      <c r="I4" s="10" t="s">
        <v>254</v>
      </c>
      <c r="J4" s="10" t="s">
        <v>255</v>
      </c>
      <c r="K4" s="10" t="s">
        <v>252</v>
      </c>
      <c r="L4" s="10" t="s">
        <v>7</v>
      </c>
      <c r="M4" s="10" t="s">
        <v>253</v>
      </c>
      <c r="N4" s="10" t="s">
        <v>254</v>
      </c>
      <c r="O4" s="10" t="s">
        <v>256</v>
      </c>
      <c r="P4" s="10" t="s">
        <v>252</v>
      </c>
      <c r="Q4" s="10" t="s">
        <v>7</v>
      </c>
      <c r="R4" s="10" t="s">
        <v>253</v>
      </c>
      <c r="S4" s="10" t="s">
        <v>254</v>
      </c>
      <c r="T4" s="10"/>
      <c r="U4" s="10"/>
      <c r="V4" s="10"/>
    </row>
    <row r="5" spans="1:22">
      <c r="A5" s="3">
        <v>1</v>
      </c>
      <c r="B5" s="3">
        <v>36</v>
      </c>
      <c r="C5" s="2" t="s">
        <v>283</v>
      </c>
      <c r="D5" s="3">
        <v>3</v>
      </c>
      <c r="E5" s="4" t="s">
        <v>284</v>
      </c>
      <c r="F5" s="4">
        <v>2412</v>
      </c>
      <c r="G5" s="13">
        <v>804</v>
      </c>
      <c r="H5" s="13">
        <v>89.859149042636</v>
      </c>
      <c r="I5" s="13">
        <v>8074.66666666667</v>
      </c>
      <c r="J5" s="22">
        <v>1112</v>
      </c>
      <c r="K5" s="13">
        <v>370.666666666667</v>
      </c>
      <c r="L5" s="13">
        <v>46.1028192371476</v>
      </c>
      <c r="M5" s="13">
        <v>6.34209919681348</v>
      </c>
      <c r="N5" s="13">
        <v>40.2222222222222</v>
      </c>
      <c r="O5" s="22">
        <v>1216</v>
      </c>
      <c r="P5" s="13">
        <v>405.333333333333</v>
      </c>
      <c r="Q5" s="13">
        <v>50.4145936981758</v>
      </c>
      <c r="R5" s="13">
        <v>90.7536347603897</v>
      </c>
      <c r="S5" s="13">
        <v>8236.22222222222</v>
      </c>
      <c r="T5" s="25" t="s">
        <v>352</v>
      </c>
      <c r="U5" s="13">
        <v>4.31177446102819</v>
      </c>
      <c r="V5" s="26" t="s">
        <v>344</v>
      </c>
    </row>
    <row r="6" spans="1:22">
      <c r="A6" s="3">
        <v>2</v>
      </c>
      <c r="B6" s="3">
        <v>48</v>
      </c>
      <c r="C6" s="3" t="s">
        <v>307</v>
      </c>
      <c r="D6" s="3">
        <v>6</v>
      </c>
      <c r="E6" s="3" t="s">
        <v>308</v>
      </c>
      <c r="F6" s="3">
        <v>3793</v>
      </c>
      <c r="G6" s="13">
        <v>632.166666666667</v>
      </c>
      <c r="H6" s="13">
        <v>174.046369938844</v>
      </c>
      <c r="I6" s="13">
        <v>30292.1388888889</v>
      </c>
      <c r="J6" s="22">
        <v>1715</v>
      </c>
      <c r="K6" s="13">
        <v>285.833333333333</v>
      </c>
      <c r="L6" s="13">
        <v>45.2148694964408</v>
      </c>
      <c r="M6" s="13">
        <v>134.270146429585</v>
      </c>
      <c r="N6" s="13">
        <v>18028.4722222222</v>
      </c>
      <c r="O6" s="22">
        <v>1940</v>
      </c>
      <c r="P6" s="13">
        <v>323.333333333333</v>
      </c>
      <c r="Q6" s="13">
        <v>51.1468494595307</v>
      </c>
      <c r="R6" s="13">
        <v>52.3534992993676</v>
      </c>
      <c r="S6" s="13">
        <v>2740.88888888889</v>
      </c>
      <c r="T6" s="25" t="s">
        <v>352</v>
      </c>
      <c r="U6" s="13">
        <v>5.9319799630899</v>
      </c>
      <c r="V6" s="26" t="s">
        <v>344</v>
      </c>
    </row>
    <row r="7" spans="1:22">
      <c r="A7" s="3">
        <v>3</v>
      </c>
      <c r="B7" s="3">
        <v>52</v>
      </c>
      <c r="C7" s="3" t="s">
        <v>315</v>
      </c>
      <c r="D7" s="3">
        <v>6</v>
      </c>
      <c r="E7" s="3" t="s">
        <v>316</v>
      </c>
      <c r="F7" s="3">
        <v>4059</v>
      </c>
      <c r="G7" s="13">
        <v>676.5</v>
      </c>
      <c r="H7" s="13">
        <v>127.537902862901</v>
      </c>
      <c r="I7" s="13">
        <v>16265.9166666667</v>
      </c>
      <c r="J7" s="22">
        <v>1674</v>
      </c>
      <c r="K7" s="13">
        <v>279</v>
      </c>
      <c r="L7" s="13">
        <v>41.2416851441242</v>
      </c>
      <c r="M7" s="13">
        <v>183.943832006766</v>
      </c>
      <c r="N7" s="13">
        <v>33835.3333333333</v>
      </c>
      <c r="O7" s="22">
        <v>1931</v>
      </c>
      <c r="P7" s="13">
        <v>321.833333333333</v>
      </c>
      <c r="Q7" s="13">
        <v>47.5732939147573</v>
      </c>
      <c r="R7" s="13">
        <v>207.507764245635</v>
      </c>
      <c r="S7" s="13">
        <v>43059.4722222222</v>
      </c>
      <c r="T7" s="25" t="s">
        <v>352</v>
      </c>
      <c r="U7" s="13">
        <v>6.33160877063316</v>
      </c>
      <c r="V7" s="26" t="s">
        <v>344</v>
      </c>
    </row>
    <row r="8" s="5" customFormat="1" ht="15.75" spans="1:22">
      <c r="A8" s="14"/>
      <c r="B8" s="14"/>
      <c r="C8" s="14"/>
      <c r="D8" s="14"/>
      <c r="E8" s="14"/>
      <c r="F8" s="14">
        <f>SUM(F5:F7)</f>
        <v>10264</v>
      </c>
      <c r="G8" s="14"/>
      <c r="H8" s="14"/>
      <c r="I8" s="14"/>
      <c r="J8" s="14">
        <f>SUM(J5:J7)</f>
        <v>4501</v>
      </c>
      <c r="K8" s="14"/>
      <c r="L8" s="14"/>
      <c r="M8" s="14"/>
      <c r="N8" s="14"/>
      <c r="O8" s="14">
        <f>SUM(O5:O7)</f>
        <v>5087</v>
      </c>
      <c r="P8" s="14"/>
      <c r="Q8" s="14"/>
      <c r="R8" s="14"/>
      <c r="S8" s="14"/>
      <c r="T8" s="14"/>
      <c r="U8" s="14"/>
      <c r="V8" s="14"/>
    </row>
    <row r="9" ht="26.25" spans="1:22">
      <c r="A9" s="15" t="s">
        <v>238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A10" s="1" t="s">
        <v>243</v>
      </c>
      <c r="B10" s="1" t="s">
        <v>244</v>
      </c>
      <c r="C10" s="1" t="s">
        <v>245</v>
      </c>
      <c r="D10" s="10" t="s">
        <v>246</v>
      </c>
      <c r="E10" s="1" t="s">
        <v>247</v>
      </c>
      <c r="F10" s="11" t="s">
        <v>249</v>
      </c>
      <c r="G10" s="1" t="s">
        <v>249</v>
      </c>
      <c r="H10" s="1"/>
      <c r="I10" s="1"/>
      <c r="J10" s="17" t="s">
        <v>6</v>
      </c>
      <c r="K10" s="18"/>
      <c r="L10" s="18"/>
      <c r="M10" s="18"/>
      <c r="N10" s="19"/>
      <c r="O10" s="20" t="s">
        <v>237</v>
      </c>
      <c r="P10" s="21"/>
      <c r="Q10" s="21"/>
      <c r="R10" s="21"/>
      <c r="S10" s="24"/>
      <c r="T10" s="10" t="s">
        <v>250</v>
      </c>
      <c r="U10" s="10" t="s">
        <v>15</v>
      </c>
      <c r="V10" s="10" t="s">
        <v>251</v>
      </c>
    </row>
    <row r="11" ht="30" spans="1:22">
      <c r="A11" s="1"/>
      <c r="B11" s="1"/>
      <c r="C11" s="1"/>
      <c r="D11" s="10"/>
      <c r="E11" s="1"/>
      <c r="F11" s="12"/>
      <c r="G11" s="10" t="s">
        <v>252</v>
      </c>
      <c r="H11" s="10" t="s">
        <v>253</v>
      </c>
      <c r="I11" s="10" t="s">
        <v>254</v>
      </c>
      <c r="J11" s="10" t="s">
        <v>255</v>
      </c>
      <c r="K11" s="10" t="s">
        <v>252</v>
      </c>
      <c r="L11" s="10" t="s">
        <v>7</v>
      </c>
      <c r="M11" s="10" t="s">
        <v>253</v>
      </c>
      <c r="N11" s="10" t="s">
        <v>254</v>
      </c>
      <c r="O11" s="10" t="s">
        <v>256</v>
      </c>
      <c r="P11" s="10" t="s">
        <v>252</v>
      </c>
      <c r="Q11" s="10" t="s">
        <v>7</v>
      </c>
      <c r="R11" s="10" t="s">
        <v>253</v>
      </c>
      <c r="S11" s="10" t="s">
        <v>254</v>
      </c>
      <c r="T11" s="10"/>
      <c r="U11" s="10"/>
      <c r="V11" s="10"/>
    </row>
    <row r="12" spans="1:22">
      <c r="A12" s="3">
        <v>1</v>
      </c>
      <c r="B12" s="3">
        <v>34</v>
      </c>
      <c r="C12" s="2" t="s">
        <v>279</v>
      </c>
      <c r="D12" s="3">
        <v>5</v>
      </c>
      <c r="E12" s="4" t="s">
        <v>280</v>
      </c>
      <c r="F12" s="4">
        <v>3433</v>
      </c>
      <c r="G12" s="13">
        <v>686.6</v>
      </c>
      <c r="H12" s="13">
        <v>60.1019134470775</v>
      </c>
      <c r="I12" s="13">
        <v>3612.24</v>
      </c>
      <c r="J12" s="22">
        <v>1527</v>
      </c>
      <c r="K12" s="13">
        <v>305.4</v>
      </c>
      <c r="L12" s="13">
        <v>44.4800466064666</v>
      </c>
      <c r="M12" s="13">
        <v>35.617972991174</v>
      </c>
      <c r="N12" s="13">
        <v>1268.64</v>
      </c>
      <c r="O12" s="22">
        <v>1892</v>
      </c>
      <c r="P12" s="13">
        <v>378.4</v>
      </c>
      <c r="Q12" s="13">
        <v>55.1121468103699</v>
      </c>
      <c r="R12" s="13">
        <v>106.057720133897</v>
      </c>
      <c r="S12" s="13">
        <v>11248.24</v>
      </c>
      <c r="T12" s="25" t="s">
        <v>352</v>
      </c>
      <c r="U12" s="13">
        <v>10.6321002039033</v>
      </c>
      <c r="V12" s="27" t="s">
        <v>343</v>
      </c>
    </row>
    <row r="13" spans="1:22">
      <c r="A13" s="3">
        <v>2</v>
      </c>
      <c r="B13" s="3">
        <v>38</v>
      </c>
      <c r="C13" s="3" t="s">
        <v>287</v>
      </c>
      <c r="D13" s="3">
        <v>7</v>
      </c>
      <c r="E13" s="4" t="s">
        <v>288</v>
      </c>
      <c r="F13" s="4">
        <v>4019</v>
      </c>
      <c r="G13" s="13">
        <v>574.142857142857</v>
      </c>
      <c r="H13" s="13">
        <v>93.9200702290875</v>
      </c>
      <c r="I13" s="13">
        <v>8820.97959183673</v>
      </c>
      <c r="J13" s="22">
        <v>1364</v>
      </c>
      <c r="K13" s="13">
        <v>194.857142857143</v>
      </c>
      <c r="L13" s="13">
        <v>33.9387907439662</v>
      </c>
      <c r="M13" s="13">
        <v>83.8202644632781</v>
      </c>
      <c r="N13" s="13">
        <v>7025.83673469388</v>
      </c>
      <c r="O13" s="22">
        <v>2418</v>
      </c>
      <c r="P13" s="13">
        <v>345.428571428571</v>
      </c>
      <c r="Q13" s="13">
        <v>60.1642199552128</v>
      </c>
      <c r="R13" s="13">
        <v>50.4121786387183</v>
      </c>
      <c r="S13" s="13">
        <v>2541.38775510204</v>
      </c>
      <c r="T13" s="25" t="s">
        <v>352</v>
      </c>
      <c r="U13" s="13">
        <v>26.2254292112466</v>
      </c>
      <c r="V13" s="27" t="s">
        <v>343</v>
      </c>
    </row>
    <row r="14" spans="1:22">
      <c r="A14" s="3">
        <v>3</v>
      </c>
      <c r="B14" s="3">
        <v>44</v>
      </c>
      <c r="C14" s="3" t="s">
        <v>299</v>
      </c>
      <c r="D14" s="3">
        <v>6</v>
      </c>
      <c r="E14" s="3" t="s">
        <v>300</v>
      </c>
      <c r="F14" s="16">
        <v>3360</v>
      </c>
      <c r="G14" s="13">
        <v>560</v>
      </c>
      <c r="H14" s="13">
        <v>141.958914243993</v>
      </c>
      <c r="I14" s="13">
        <v>20152.3333333333</v>
      </c>
      <c r="J14" s="22">
        <v>1355</v>
      </c>
      <c r="K14" s="13">
        <v>225.833333333333</v>
      </c>
      <c r="L14" s="13">
        <v>40.327380952381</v>
      </c>
      <c r="M14" s="13">
        <v>124.91786190222</v>
      </c>
      <c r="N14" s="13">
        <v>15604.4722222222</v>
      </c>
      <c r="O14" s="22">
        <v>1789</v>
      </c>
      <c r="P14" s="13">
        <v>298.166666666667</v>
      </c>
      <c r="Q14" s="13">
        <v>53.2440476190476</v>
      </c>
      <c r="R14" s="13">
        <v>159.114651186565</v>
      </c>
      <c r="S14" s="13">
        <v>25317.4722222222</v>
      </c>
      <c r="T14" s="25" t="s">
        <v>352</v>
      </c>
      <c r="U14" s="13">
        <v>12.9166666666667</v>
      </c>
      <c r="V14" s="27" t="s">
        <v>343</v>
      </c>
    </row>
    <row r="15" spans="1:22">
      <c r="A15" s="3">
        <v>4</v>
      </c>
      <c r="B15" s="3">
        <v>47</v>
      </c>
      <c r="C15" s="3" t="s">
        <v>305</v>
      </c>
      <c r="D15" s="3">
        <v>5</v>
      </c>
      <c r="E15" s="3" t="s">
        <v>306</v>
      </c>
      <c r="F15" s="3">
        <v>3604</v>
      </c>
      <c r="G15" s="13">
        <v>720.8</v>
      </c>
      <c r="H15" s="13">
        <v>103.501497573707</v>
      </c>
      <c r="I15" s="13">
        <v>10712.56</v>
      </c>
      <c r="J15" s="22">
        <v>1522</v>
      </c>
      <c r="K15" s="13">
        <v>304.4</v>
      </c>
      <c r="L15" s="13">
        <v>42.2308546059933</v>
      </c>
      <c r="M15" s="13">
        <v>105.575754792471</v>
      </c>
      <c r="N15" s="13">
        <v>11146.24</v>
      </c>
      <c r="O15" s="22">
        <v>1897</v>
      </c>
      <c r="P15" s="13">
        <v>379.4</v>
      </c>
      <c r="Q15" s="13">
        <v>52.6359600443951</v>
      </c>
      <c r="R15" s="13">
        <v>23.7705700394416</v>
      </c>
      <c r="S15" s="13">
        <v>565.04</v>
      </c>
      <c r="T15" s="25" t="s">
        <v>352</v>
      </c>
      <c r="U15" s="13">
        <v>10.4051054384018</v>
      </c>
      <c r="V15" s="27" t="s">
        <v>343</v>
      </c>
    </row>
    <row r="16" spans="1:22">
      <c r="A16" s="3">
        <v>5</v>
      </c>
      <c r="B16" s="3">
        <v>53</v>
      </c>
      <c r="C16" s="3" t="s">
        <v>317</v>
      </c>
      <c r="D16" s="3">
        <v>7</v>
      </c>
      <c r="E16" s="3" t="s">
        <v>318</v>
      </c>
      <c r="F16" s="3">
        <v>4852</v>
      </c>
      <c r="G16" s="13">
        <v>693.142857142857</v>
      </c>
      <c r="H16" s="13">
        <v>136.70450778588</v>
      </c>
      <c r="I16" s="13">
        <v>18688.1224489796</v>
      </c>
      <c r="J16" s="22">
        <v>1860</v>
      </c>
      <c r="K16" s="13">
        <v>265.714285714286</v>
      </c>
      <c r="L16" s="13">
        <v>38.3347073371805</v>
      </c>
      <c r="M16" s="13">
        <v>139.154296977661</v>
      </c>
      <c r="N16" s="13">
        <v>19363.9183673469</v>
      </c>
      <c r="O16" s="22">
        <v>2447</v>
      </c>
      <c r="P16" s="13">
        <v>349.571428571429</v>
      </c>
      <c r="Q16" s="13">
        <v>50.4328112118714</v>
      </c>
      <c r="R16" s="13">
        <v>155.522030724963</v>
      </c>
      <c r="S16" s="13">
        <v>24187.1020408163</v>
      </c>
      <c r="T16" s="25" t="s">
        <v>352</v>
      </c>
      <c r="U16" s="13">
        <v>12.0981038746908</v>
      </c>
      <c r="V16" s="27" t="s">
        <v>343</v>
      </c>
    </row>
    <row r="17" spans="1:22">
      <c r="A17" s="3">
        <v>6</v>
      </c>
      <c r="B17" s="3">
        <v>59</v>
      </c>
      <c r="C17" s="3" t="s">
        <v>329</v>
      </c>
      <c r="D17" s="3">
        <v>6</v>
      </c>
      <c r="E17" s="3" t="s">
        <v>330</v>
      </c>
      <c r="F17" s="3">
        <v>4390</v>
      </c>
      <c r="G17" s="13">
        <v>731.666666666667</v>
      </c>
      <c r="H17" s="13">
        <v>153.389120286356</v>
      </c>
      <c r="I17" s="13">
        <v>23528.2222222222</v>
      </c>
      <c r="J17" s="22">
        <v>1805</v>
      </c>
      <c r="K17" s="13">
        <v>300.833333333333</v>
      </c>
      <c r="L17" s="13">
        <v>41.1161731207289</v>
      </c>
      <c r="M17" s="13">
        <v>85.8514543978273</v>
      </c>
      <c r="N17" s="13">
        <v>7370.47222222222</v>
      </c>
      <c r="O17" s="22">
        <v>2377</v>
      </c>
      <c r="P17" s="13">
        <v>396.166666666667</v>
      </c>
      <c r="Q17" s="13">
        <v>54.1457858769932</v>
      </c>
      <c r="R17" s="13">
        <v>96.7667585256195</v>
      </c>
      <c r="S17" s="13">
        <v>9363.80555555555</v>
      </c>
      <c r="T17" s="25" t="s">
        <v>352</v>
      </c>
      <c r="U17" s="13">
        <v>13.0296127562642</v>
      </c>
      <c r="V17" s="27" t="s">
        <v>343</v>
      </c>
    </row>
    <row r="18" ht="15.75" spans="1:22">
      <c r="A18" s="14"/>
      <c r="B18" s="14"/>
      <c r="C18" s="14"/>
      <c r="D18" s="14"/>
      <c r="E18" s="14"/>
      <c r="F18" s="14">
        <f>SUM(F12:F17)</f>
        <v>23658</v>
      </c>
      <c r="G18" s="14"/>
      <c r="H18" s="14"/>
      <c r="I18" s="14"/>
      <c r="J18" s="14">
        <f>SUM(J12:J17)</f>
        <v>9433</v>
      </c>
      <c r="K18" s="14"/>
      <c r="L18" s="14"/>
      <c r="M18" s="14"/>
      <c r="N18" s="14"/>
      <c r="O18" s="14">
        <f>SUM(O12:O17)</f>
        <v>12820</v>
      </c>
      <c r="P18" s="14"/>
      <c r="Q18" s="14"/>
      <c r="R18" s="14"/>
      <c r="S18" s="14"/>
      <c r="T18" s="14"/>
      <c r="U18" s="14"/>
      <c r="V18" s="14"/>
    </row>
    <row r="19" ht="26.25" spans="1:22">
      <c r="A19" s="15" t="s">
        <v>240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>
      <c r="A20" s="1" t="s">
        <v>243</v>
      </c>
      <c r="B20" s="1" t="s">
        <v>244</v>
      </c>
      <c r="C20" s="1" t="s">
        <v>245</v>
      </c>
      <c r="D20" s="10" t="s">
        <v>246</v>
      </c>
      <c r="E20" s="1" t="s">
        <v>247</v>
      </c>
      <c r="F20" s="11" t="s">
        <v>249</v>
      </c>
      <c r="G20" s="1" t="s">
        <v>249</v>
      </c>
      <c r="H20" s="1"/>
      <c r="I20" s="1"/>
      <c r="J20" s="17" t="s">
        <v>6</v>
      </c>
      <c r="K20" s="18"/>
      <c r="L20" s="18"/>
      <c r="M20" s="18"/>
      <c r="N20" s="19"/>
      <c r="O20" s="20" t="s">
        <v>237</v>
      </c>
      <c r="P20" s="21"/>
      <c r="Q20" s="21"/>
      <c r="R20" s="21"/>
      <c r="S20" s="24"/>
      <c r="T20" s="10" t="s">
        <v>250</v>
      </c>
      <c r="U20" s="10" t="s">
        <v>15</v>
      </c>
      <c r="V20" s="10" t="s">
        <v>251</v>
      </c>
    </row>
    <row r="21" ht="30" spans="1:22">
      <c r="A21" s="1"/>
      <c r="B21" s="1"/>
      <c r="C21" s="1"/>
      <c r="D21" s="10"/>
      <c r="E21" s="1"/>
      <c r="F21" s="12"/>
      <c r="G21" s="10" t="s">
        <v>252</v>
      </c>
      <c r="H21" s="10" t="s">
        <v>253</v>
      </c>
      <c r="I21" s="10" t="s">
        <v>254</v>
      </c>
      <c r="J21" s="10" t="s">
        <v>255</v>
      </c>
      <c r="K21" s="10" t="s">
        <v>252</v>
      </c>
      <c r="L21" s="10" t="s">
        <v>7</v>
      </c>
      <c r="M21" s="10" t="s">
        <v>253</v>
      </c>
      <c r="N21" s="10" t="s">
        <v>254</v>
      </c>
      <c r="O21" s="10" t="s">
        <v>256</v>
      </c>
      <c r="P21" s="10" t="s">
        <v>252</v>
      </c>
      <c r="Q21" s="10" t="s">
        <v>7</v>
      </c>
      <c r="R21" s="10" t="s">
        <v>253</v>
      </c>
      <c r="S21" s="10" t="s">
        <v>254</v>
      </c>
      <c r="T21" s="10"/>
      <c r="U21" s="10"/>
      <c r="V21" s="10"/>
    </row>
    <row r="22" spans="1:22">
      <c r="A22" s="3">
        <v>1</v>
      </c>
      <c r="B22" s="3">
        <v>39</v>
      </c>
      <c r="C22" s="3" t="s">
        <v>289</v>
      </c>
      <c r="D22" s="3">
        <v>6</v>
      </c>
      <c r="E22" s="4" t="s">
        <v>290</v>
      </c>
      <c r="F22" s="4">
        <v>3764</v>
      </c>
      <c r="G22" s="13">
        <v>627.333333333333</v>
      </c>
      <c r="H22" s="13">
        <v>192.453168906678</v>
      </c>
      <c r="I22" s="13">
        <v>37038.2222222222</v>
      </c>
      <c r="J22" s="22">
        <v>991</v>
      </c>
      <c r="K22" s="13">
        <v>165.166666666667</v>
      </c>
      <c r="L22" s="13">
        <v>26.3283740701381</v>
      </c>
      <c r="M22" s="13">
        <v>177.785841830995</v>
      </c>
      <c r="N22" s="13">
        <v>31607.8055555556</v>
      </c>
      <c r="O22" s="22">
        <v>2590</v>
      </c>
      <c r="P22" s="13">
        <v>431.666666666667</v>
      </c>
      <c r="Q22" s="13">
        <v>68.8097768331562</v>
      </c>
      <c r="R22" s="13">
        <v>63.4919067458383</v>
      </c>
      <c r="S22" s="13">
        <v>4031.22222222222</v>
      </c>
      <c r="T22" s="25" t="s">
        <v>352</v>
      </c>
      <c r="U22" s="13">
        <v>42.4814027630181</v>
      </c>
      <c r="V22" s="28" t="s">
        <v>336</v>
      </c>
    </row>
    <row r="23" spans="1:22">
      <c r="A23" s="3">
        <v>2</v>
      </c>
      <c r="B23" s="3">
        <v>43</v>
      </c>
      <c r="C23" s="3" t="s">
        <v>297</v>
      </c>
      <c r="D23" s="3">
        <v>5</v>
      </c>
      <c r="E23" s="3" t="s">
        <v>298</v>
      </c>
      <c r="F23" s="3">
        <v>3399</v>
      </c>
      <c r="G23" s="13">
        <v>679.8</v>
      </c>
      <c r="H23" s="13">
        <v>122.313368034733</v>
      </c>
      <c r="I23" s="13">
        <v>14960.56</v>
      </c>
      <c r="J23" s="22">
        <v>885</v>
      </c>
      <c r="K23" s="13">
        <v>177</v>
      </c>
      <c r="L23" s="13">
        <v>26.0370697263901</v>
      </c>
      <c r="M23" s="13">
        <v>58.8727441181401</v>
      </c>
      <c r="N23" s="13">
        <v>3466</v>
      </c>
      <c r="O23" s="22">
        <v>2314</v>
      </c>
      <c r="P23" s="13">
        <v>462.8</v>
      </c>
      <c r="Q23" s="13">
        <v>68.0788467196234</v>
      </c>
      <c r="R23" s="13">
        <v>103.391295571726</v>
      </c>
      <c r="S23" s="13">
        <v>10689.76</v>
      </c>
      <c r="T23" s="25" t="s">
        <v>352</v>
      </c>
      <c r="U23" s="13">
        <v>42.0417769932333</v>
      </c>
      <c r="V23" s="28" t="s">
        <v>336</v>
      </c>
    </row>
    <row r="24" s="5" customFormat="1" ht="15.75" spans="1:22">
      <c r="A24" s="14"/>
      <c r="B24" s="14"/>
      <c r="C24" s="14"/>
      <c r="D24" s="14"/>
      <c r="E24" s="14"/>
      <c r="F24" s="14">
        <f>SUM(F22:F23)</f>
        <v>7163</v>
      </c>
      <c r="G24" s="14"/>
      <c r="H24" s="14"/>
      <c r="I24" s="14"/>
      <c r="J24" s="14">
        <f>SUM(J22:J23)</f>
        <v>1876</v>
      </c>
      <c r="K24" s="14"/>
      <c r="L24" s="14"/>
      <c r="M24" s="14"/>
      <c r="N24" s="14"/>
      <c r="O24" s="14">
        <f>SUM(O22:O23)</f>
        <v>4904</v>
      </c>
      <c r="P24" s="14"/>
      <c r="Q24" s="14"/>
      <c r="R24" s="14"/>
      <c r="S24" s="14"/>
      <c r="T24" s="14"/>
      <c r="U24" s="14"/>
      <c r="V24" s="14"/>
    </row>
  </sheetData>
  <sheetProtection password="CFF8" sheet="1" objects="1" scenarios="1"/>
  <mergeCells count="40">
    <mergeCell ref="A1:V1"/>
    <mergeCell ref="A2:V2"/>
    <mergeCell ref="G3:I3"/>
    <mergeCell ref="J3:N3"/>
    <mergeCell ref="O3:S3"/>
    <mergeCell ref="A9:V9"/>
    <mergeCell ref="G10:I10"/>
    <mergeCell ref="J10:N10"/>
    <mergeCell ref="O10:S10"/>
    <mergeCell ref="A19:V19"/>
    <mergeCell ref="G20:I20"/>
    <mergeCell ref="J20:N20"/>
    <mergeCell ref="O20:S20"/>
    <mergeCell ref="A3:A4"/>
    <mergeCell ref="A10:A11"/>
    <mergeCell ref="A20:A21"/>
    <mergeCell ref="B3:B4"/>
    <mergeCell ref="B10:B11"/>
    <mergeCell ref="B20:B21"/>
    <mergeCell ref="C3:C4"/>
    <mergeCell ref="C10:C11"/>
    <mergeCell ref="C20:C21"/>
    <mergeCell ref="D3:D4"/>
    <mergeCell ref="D10:D11"/>
    <mergeCell ref="D20:D21"/>
    <mergeCell ref="E3:E4"/>
    <mergeCell ref="E10:E11"/>
    <mergeCell ref="E20:E21"/>
    <mergeCell ref="F3:F4"/>
    <mergeCell ref="F10:F11"/>
    <mergeCell ref="F20:F21"/>
    <mergeCell ref="T3:T4"/>
    <mergeCell ref="T10:T11"/>
    <mergeCell ref="T20:T21"/>
    <mergeCell ref="U3:U4"/>
    <mergeCell ref="U10:U11"/>
    <mergeCell ref="U20:U21"/>
    <mergeCell ref="V3:V4"/>
    <mergeCell ref="V10:V11"/>
    <mergeCell ref="V20:V21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abSelected="1" workbookViewId="0">
      <selection activeCell="D13" sqref="D13"/>
    </sheetView>
  </sheetViews>
  <sheetFormatPr defaultColWidth="9.14285714285714" defaultRowHeight="15" outlineLevelCol="1"/>
  <cols>
    <col min="1" max="1" width="19.2857142857143" customWidth="1"/>
    <col min="2" max="2" width="35.4285714285714" customWidth="1"/>
  </cols>
  <sheetData>
    <row r="1" spans="1:2">
      <c r="A1" s="1" t="s">
        <v>245</v>
      </c>
      <c r="B1" s="1" t="s">
        <v>247</v>
      </c>
    </row>
    <row r="2" spans="1:2">
      <c r="A2" s="1"/>
      <c r="B2" s="1"/>
    </row>
    <row r="3" spans="1:2">
      <c r="A3" s="2" t="s">
        <v>257</v>
      </c>
      <c r="B3" s="3" t="s">
        <v>258</v>
      </c>
    </row>
    <row r="4" spans="1:2">
      <c r="A4" s="2" t="s">
        <v>259</v>
      </c>
      <c r="B4" s="3" t="s">
        <v>260</v>
      </c>
    </row>
    <row r="5" spans="1:2">
      <c r="A5" s="2" t="s">
        <v>261</v>
      </c>
      <c r="B5" s="3" t="s">
        <v>262</v>
      </c>
    </row>
    <row r="6" spans="1:2">
      <c r="A6" s="2" t="s">
        <v>263</v>
      </c>
      <c r="B6" s="4" t="s">
        <v>264</v>
      </c>
    </row>
    <row r="7" spans="1:2">
      <c r="A7" s="2" t="s">
        <v>265</v>
      </c>
      <c r="B7" s="4" t="s">
        <v>266</v>
      </c>
    </row>
    <row r="8" spans="1:2">
      <c r="A8" s="2" t="s">
        <v>267</v>
      </c>
      <c r="B8" s="4" t="s">
        <v>268</v>
      </c>
    </row>
    <row r="9" spans="1:2">
      <c r="A9" s="2" t="s">
        <v>269</v>
      </c>
      <c r="B9" s="4" t="s">
        <v>270</v>
      </c>
    </row>
    <row r="10" spans="1:2">
      <c r="A10" s="2" t="s">
        <v>271</v>
      </c>
      <c r="B10" s="4" t="s">
        <v>272</v>
      </c>
    </row>
    <row r="11" spans="1:2">
      <c r="A11" s="2" t="s">
        <v>273</v>
      </c>
      <c r="B11" s="4" t="s">
        <v>274</v>
      </c>
    </row>
    <row r="12" spans="1:2">
      <c r="A12" s="2" t="s">
        <v>275</v>
      </c>
      <c r="B12" s="4" t="s">
        <v>276</v>
      </c>
    </row>
    <row r="13" spans="1:2">
      <c r="A13" s="2" t="s">
        <v>277</v>
      </c>
      <c r="B13" s="4" t="s">
        <v>278</v>
      </c>
    </row>
    <row r="14" spans="1:2">
      <c r="A14" s="2" t="s">
        <v>279</v>
      </c>
      <c r="B14" s="4" t="s">
        <v>280</v>
      </c>
    </row>
    <row r="15" spans="1:2">
      <c r="A15" s="2" t="s">
        <v>281</v>
      </c>
      <c r="B15" s="4" t="s">
        <v>282</v>
      </c>
    </row>
    <row r="16" spans="1:2">
      <c r="A16" s="2" t="s">
        <v>283</v>
      </c>
      <c r="B16" s="4" t="s">
        <v>284</v>
      </c>
    </row>
    <row r="17" spans="1:2">
      <c r="A17" s="2" t="s">
        <v>285</v>
      </c>
      <c r="B17" s="4" t="s">
        <v>286</v>
      </c>
    </row>
    <row r="18" spans="1:2">
      <c r="A18" s="3" t="s">
        <v>287</v>
      </c>
      <c r="B18" s="4" t="s">
        <v>288</v>
      </c>
    </row>
    <row r="19" spans="1:2">
      <c r="A19" s="3" t="s">
        <v>289</v>
      </c>
      <c r="B19" s="4" t="s">
        <v>290</v>
      </c>
    </row>
    <row r="20" spans="1:2">
      <c r="A20" s="3" t="s">
        <v>291</v>
      </c>
      <c r="B20" s="4" t="s">
        <v>292</v>
      </c>
    </row>
    <row r="21" spans="1:2">
      <c r="A21" s="3" t="s">
        <v>293</v>
      </c>
      <c r="B21" s="4" t="s">
        <v>294</v>
      </c>
    </row>
    <row r="22" spans="1:2">
      <c r="A22" s="3" t="s">
        <v>295</v>
      </c>
      <c r="B22" s="3" t="s">
        <v>296</v>
      </c>
    </row>
    <row r="23" spans="1:2">
      <c r="A23" s="3" t="s">
        <v>297</v>
      </c>
      <c r="B23" s="3" t="s">
        <v>298</v>
      </c>
    </row>
    <row r="24" spans="1:2">
      <c r="A24" s="3" t="s">
        <v>299</v>
      </c>
      <c r="B24" s="3" t="s">
        <v>300</v>
      </c>
    </row>
    <row r="25" spans="1:2">
      <c r="A25" s="3" t="s">
        <v>301</v>
      </c>
      <c r="B25" s="3" t="s">
        <v>302</v>
      </c>
    </row>
    <row r="26" spans="1:2">
      <c r="A26" s="3" t="s">
        <v>303</v>
      </c>
      <c r="B26" s="3" t="s">
        <v>304</v>
      </c>
    </row>
    <row r="27" spans="1:2">
      <c r="A27" s="3" t="s">
        <v>305</v>
      </c>
      <c r="B27" s="3" t="s">
        <v>306</v>
      </c>
    </row>
    <row r="28" spans="1:2">
      <c r="A28" s="3" t="s">
        <v>307</v>
      </c>
      <c r="B28" s="3" t="s">
        <v>308</v>
      </c>
    </row>
    <row r="29" spans="1:2">
      <c r="A29" s="3" t="s">
        <v>309</v>
      </c>
      <c r="B29" s="3" t="s">
        <v>310</v>
      </c>
    </row>
    <row r="30" spans="1:2">
      <c r="A30" s="3" t="s">
        <v>311</v>
      </c>
      <c r="B30" s="3" t="s">
        <v>312</v>
      </c>
    </row>
    <row r="31" spans="1:2">
      <c r="A31" s="3" t="s">
        <v>313</v>
      </c>
      <c r="B31" s="3" t="s">
        <v>314</v>
      </c>
    </row>
    <row r="32" spans="1:2">
      <c r="A32" s="3" t="s">
        <v>315</v>
      </c>
      <c r="B32" s="3" t="s">
        <v>316</v>
      </c>
    </row>
    <row r="33" spans="1:2">
      <c r="A33" s="3" t="s">
        <v>317</v>
      </c>
      <c r="B33" s="3" t="s">
        <v>318</v>
      </c>
    </row>
    <row r="34" spans="1:2">
      <c r="A34" s="3" t="s">
        <v>319</v>
      </c>
      <c r="B34" s="3" t="s">
        <v>320</v>
      </c>
    </row>
    <row r="35" spans="1:2">
      <c r="A35" s="3" t="s">
        <v>321</v>
      </c>
      <c r="B35" s="3" t="s">
        <v>322</v>
      </c>
    </row>
    <row r="36" spans="1:2">
      <c r="A36" s="3" t="s">
        <v>323</v>
      </c>
      <c r="B36" s="3" t="s">
        <v>324</v>
      </c>
    </row>
    <row r="37" spans="1:2">
      <c r="A37" s="3" t="s">
        <v>325</v>
      </c>
      <c r="B37" s="3" t="s">
        <v>326</v>
      </c>
    </row>
    <row r="38" spans="1:2">
      <c r="A38" s="3" t="s">
        <v>327</v>
      </c>
      <c r="B38" s="3" t="s">
        <v>328</v>
      </c>
    </row>
    <row r="39" spans="1:2">
      <c r="A39" s="3" t="s">
        <v>329</v>
      </c>
      <c r="B39" s="3" t="s">
        <v>330</v>
      </c>
    </row>
    <row r="40" spans="1:2">
      <c r="A40" s="3" t="s">
        <v>331</v>
      </c>
      <c r="B40" s="3" t="s">
        <v>332</v>
      </c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BOOTH WISE</vt:lpstr>
      <vt:lpstr>WARD WISE ANALYSIS</vt:lpstr>
      <vt:lpstr>BJP WIN OR LOSS</vt:lpstr>
      <vt:lpstr>BJP</vt:lpstr>
      <vt:lpstr>CONGRESS</vt:lpstr>
      <vt:lpstr>WARD-BOOTH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USER</cp:lastModifiedBy>
  <dcterms:created xsi:type="dcterms:W3CDTF">2018-11-10T01:00:00Z</dcterms:created>
  <dcterms:modified xsi:type="dcterms:W3CDTF">2024-06-02T02:09:13Z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FE28E38046714E169B368AFE09875448_12</vt:lpwstr>
  </property>
</Properties>
</file>