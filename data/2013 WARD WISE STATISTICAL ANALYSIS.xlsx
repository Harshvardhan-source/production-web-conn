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11280" yWindow="1050" windowWidth="9210" windowHeight="6570" activeTab="1"/>
  </bookViews>
  <sheets>
    <sheet name="2013 BOOTH WISE" sheetId="4" r:id="rId1"/>
    <sheet name="WARD WISE ANALYSIS" sheetId="1" r:id="rId2"/>
    <sheet name="BJP WIN OR LOSS" sheetId="5" r:id="rId3"/>
    <sheet name="BJP" sheetId="2" r:id="rId4"/>
    <sheet name="CONGRESS" sheetId="3" r:id="rId5"/>
    <sheet name="WARD-BOOTH" sheetId="6" r:id="rId6"/>
  </sheets>
  <definedNames>
    <definedName name="_xlnm._FilterDatabase" localSheetId="1" hidden="1">'WARD WISE ANALYSIS'!$A$3:$X$50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<sst xmlns="http://schemas.openxmlformats.org/spreadsheetml/2006/main" count="838" uniqueCount="151">
  <si>
    <t>MANGALORE SOUTH BHOOTH WISE ANALYSIS OF YEAR 2013</t>
  </si>
  <si>
    <t>Booth No.</t>
  </si>
  <si>
    <t>Place / Locality</t>
  </si>
  <si>
    <t>Total Polled Votes</t>
  </si>
  <si>
    <t>BJP</t>
  </si>
  <si>
    <t>BJP%</t>
  </si>
  <si>
    <t>INC</t>
  </si>
  <si>
    <t>INC%</t>
  </si>
  <si>
    <t>JDS</t>
  </si>
  <si>
    <t>JDS%</t>
  </si>
  <si>
    <t>BSP</t>
  </si>
  <si>
    <t>BSP%</t>
  </si>
  <si>
    <t>SP</t>
  </si>
  <si>
    <t>SP%</t>
  </si>
  <si>
    <t>JDU</t>
  </si>
  <si>
    <t>JDU%</t>
  </si>
  <si>
    <t>CPI</t>
  </si>
  <si>
    <t>CPI%</t>
  </si>
  <si>
    <t>CPIM</t>
  </si>
  <si>
    <t>CPIM%</t>
  </si>
  <si>
    <t>KJP</t>
  </si>
  <si>
    <t>KJP%</t>
  </si>
  <si>
    <t>BSRCP</t>
  </si>
  <si>
    <t>BSRCP%</t>
  </si>
  <si>
    <t>OTH</t>
  </si>
  <si>
    <t>OTH%</t>
  </si>
  <si>
    <t>BOOTH STATUS</t>
  </si>
  <si>
    <t>WIN MARGIN</t>
  </si>
  <si>
    <t>WIN STATUS</t>
  </si>
  <si>
    <t>Mangalore Corp</t>
  </si>
  <si>
    <t>TOTAL</t>
  </si>
  <si>
    <t>NARROW  MARGIN</t>
  </si>
  <si>
    <t>CONGRESS</t>
  </si>
  <si>
    <t>LOW MARGIN</t>
  </si>
  <si>
    <t>MEDIUM MARGIN</t>
  </si>
  <si>
    <t>HIGH MARGIN</t>
  </si>
  <si>
    <t>VERY HIGH MARGIN</t>
  </si>
  <si>
    <t xml:space="preserve"> *MANGALORE SOUTH WARDWISE STATISTICAL ANALYSIS OF YEAR 2013</t>
  </si>
  <si>
    <t>SL. NO</t>
  </si>
  <si>
    <t>WARD NO.</t>
  </si>
  <si>
    <t>WARD NAME</t>
  </si>
  <si>
    <t>TOTAL NO. OF BOOTH</t>
  </si>
  <si>
    <t>BOOTH DETAILS</t>
  </si>
  <si>
    <t>TOTAL VOTERS</t>
  </si>
  <si>
    <t>TOTAL POLLED</t>
  </si>
  <si>
    <t>WARD STATUS</t>
  </si>
  <si>
    <t>MARGIN STATUS</t>
  </si>
  <si>
    <t>TP%</t>
  </si>
  <si>
    <t>MEAN</t>
  </si>
  <si>
    <t>STANDARD DEVIATION</t>
  </si>
  <si>
    <t>VARIANCE</t>
  </si>
  <si>
    <t>POLLED</t>
  </si>
  <si>
    <t>%</t>
  </si>
  <si>
    <t>PADAV WEST</t>
  </si>
  <si>
    <t>28,29,48,49,50,51</t>
  </si>
  <si>
    <t>DEREBAIL SOUTH</t>
  </si>
  <si>
    <t>8,10,11,12,13,15</t>
  </si>
  <si>
    <t>DEREBAIL WEST</t>
  </si>
  <si>
    <t>4,5,6,7,1,2</t>
  </si>
  <si>
    <t>DEREBAIL NAIRUTHYA</t>
  </si>
  <si>
    <t>3,4,75,75,77,78,79,80</t>
  </si>
  <si>
    <t>BOLOOR</t>
  </si>
  <si>
    <t>71,73,74,81,82,83</t>
  </si>
  <si>
    <t>MANNAGUDDA</t>
  </si>
  <si>
    <t>68,69,70,72</t>
  </si>
  <si>
    <t>KAMBALA</t>
  </si>
  <si>
    <t>61,62,63,64</t>
  </si>
  <si>
    <t>KODIALBAIL</t>
  </si>
  <si>
    <t>20,22,23,59,60</t>
  </si>
  <si>
    <t>BEJAI</t>
  </si>
  <si>
    <t>14,16,17,18,19,21</t>
  </si>
  <si>
    <t>KADRI NORTH</t>
  </si>
  <si>
    <t>24,27,57,25,26</t>
  </si>
  <si>
    <t>KADRI SOUTH</t>
  </si>
  <si>
    <t>54,55,56,58</t>
  </si>
  <si>
    <t>SHIVABAGH</t>
  </si>
  <si>
    <t>52,53,117,119,123</t>
  </si>
  <si>
    <t>PADAV CENTRAL</t>
  </si>
  <si>
    <t>30,31,34,38,39,35,37</t>
  </si>
  <si>
    <t>PADAV EAST</t>
  </si>
  <si>
    <t>32,33,36</t>
  </si>
  <si>
    <t>MAROLI</t>
  </si>
  <si>
    <t>42,43,44,45,46,47</t>
  </si>
  <si>
    <t>BENDOOR</t>
  </si>
  <si>
    <t>117,118,122,124,148,149,153</t>
  </si>
  <si>
    <t>FALNIR</t>
  </si>
  <si>
    <t>144,145,146,154,155,147</t>
  </si>
  <si>
    <t>COURT</t>
  </si>
  <si>
    <t>114,115,116,129,130</t>
  </si>
  <si>
    <t>CENTRAL</t>
  </si>
  <si>
    <t>111,112,113,109,110</t>
  </si>
  <si>
    <t>DONGARAKERY</t>
  </si>
  <si>
    <t>65, 66, 67, 98,100, 102,103</t>
  </si>
  <si>
    <t>KUDROLI</t>
  </si>
  <si>
    <t>94, 95, 96, 97,99</t>
  </si>
  <si>
    <t>NAVAYATH</t>
  </si>
  <si>
    <t>106, 107, 108, 109,101, 104</t>
  </si>
  <si>
    <t>PORT</t>
  </si>
  <si>
    <t>131,135, 136, 208, 209, 210</t>
  </si>
  <si>
    <t>CONTONMENT</t>
  </si>
  <si>
    <t>125, 128, 132, 133, 137</t>
  </si>
  <si>
    <t>MILLAGRES</t>
  </si>
  <si>
    <t>126, 127, 150, 151, 152</t>
  </si>
  <si>
    <t>VALANCIA</t>
  </si>
  <si>
    <t>120, 121, 156, 157, 158, 165</t>
  </si>
  <si>
    <t>KANKANADY</t>
  </si>
  <si>
    <t>157, 160, 161, 167, 163, 164</t>
  </si>
  <si>
    <t>ALAPE SOUTH</t>
  </si>
  <si>
    <t>166, 167, 168, 169, 170, 189, 190, 191</t>
  </si>
  <si>
    <t>ALAPE NORTH</t>
  </si>
  <si>
    <t>40, 41, 171, 172, 173, 174, 179</t>
  </si>
  <si>
    <t>KANNUR</t>
  </si>
  <si>
    <t>175, 176, 177,178, 180, 181</t>
  </si>
  <si>
    <t>BAJAL</t>
  </si>
  <si>
    <t>182, 183, 184, 185, 186,187, 188</t>
  </si>
  <si>
    <t>JAPPINAMOGARU</t>
  </si>
  <si>
    <t>192, 193, 194, 195, 219</t>
  </si>
  <si>
    <t>ATTAVARA</t>
  </si>
  <si>
    <t>138, 139, 140, 197, 198, 199, 200, 217</t>
  </si>
  <si>
    <t>MANGALADEVI</t>
  </si>
  <si>
    <t>199, 200, 202, 203, 204</t>
  </si>
  <si>
    <t>HOIGE BAZAR</t>
  </si>
  <si>
    <t>206, 207, 210, 213, 214</t>
  </si>
  <si>
    <t>201, 211, 212, 205</t>
  </si>
  <si>
    <t>JEPPU</t>
  </si>
  <si>
    <t>141, 142, 143, 196, 215, 216</t>
  </si>
  <si>
    <t>BENGRE</t>
  </si>
  <si>
    <t>84, 85, 91, 93, 185, 186, 184</t>
  </si>
  <si>
    <t>AVERAGE</t>
  </si>
  <si>
    <t xml:space="preserve"> TOTAL BJP</t>
  </si>
  <si>
    <t>TOTAL CONGRESS</t>
  </si>
  <si>
    <t>* 2013 TOTAL VOTERS LIST NOT PROVIDED</t>
  </si>
  <si>
    <t>NARROW MARGIN</t>
  </si>
  <si>
    <t xml:space="preserve"> </t>
  </si>
  <si>
    <t>WIN</t>
  </si>
  <si>
    <t>LOSS</t>
  </si>
  <si>
    <t>SL.NO</t>
  </si>
  <si>
    <t>WARD NO</t>
  </si>
  <si>
    <t>MARGINSTATUS</t>
  </si>
  <si>
    <t>LOSS MARGIN</t>
  </si>
  <si>
    <t>NARROWMARGIN</t>
  </si>
  <si>
    <t>MEDIUMMARGIN</t>
  </si>
  <si>
    <t>LOWMARGIN</t>
  </si>
  <si>
    <t>BJP WIN MARGIN STATUS</t>
  </si>
  <si>
    <t>HIGHMARGIN</t>
  </si>
  <si>
    <t>VERYHIGHMARGIN</t>
  </si>
  <si>
    <t>CONGRESS WIN MARGIN STATUS</t>
  </si>
  <si>
    <t>BJP WARD WISE MARGIN BASED STATISTICAL ANALYSIS OF YEAR 2013</t>
  </si>
  <si>
    <t>BJP GAIN</t>
  </si>
  <si>
    <t>CONGRESS WARD WISE MARGIN BASED STATISTICAL ANALYSIS OF YEAR 2013</t>
  </si>
  <si>
    <t>CONGRESS GAIN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</si>
</sst>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18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6" borderId="17" applyNumberFormat="0" applyAlignment="0" applyProtection="0">
      <alignment vertical="center"/>
    </xf>
    <xf numFmtId="0" fontId="23" fillId="17" borderId="18" applyNumberFormat="0" applyAlignment="0" applyProtection="0">
      <alignment vertical="center"/>
    </xf>
    <xf numFmtId="0" fontId="24" fillId="17" borderId="17" applyNumberFormat="0" applyAlignment="0" applyProtection="0">
      <alignment vertical="center"/>
    </xf>
    <xf numFmtId="0" fontId="25" fillId="1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</cellStyleXfs>
  <cellXfs count="10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" xfId="0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1" fillId="2" borderId="4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/>
      <protection hidden="1"/>
    </xf>
    <xf numFmtId="0" fontId="7" fillId="4" borderId="1" xfId="0" applyFont="1" applyFill="1" applyBorder="1" applyAlignment="1" applyProtection="1">
      <alignment horizontal="center" vertical="center"/>
      <protection hidden="1"/>
    </xf>
    <xf numFmtId="0" fontId="8" fillId="4" borderId="1" xfId="0" applyFont="1" applyFill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Border="1" applyAlignment="1" applyProtection="1">
      <alignment horizontal="center" vertical="center"/>
      <protection hidden="1"/>
    </xf>
    <xf numFmtId="0" fontId="1" fillId="2" borderId="9" xfId="0" applyFont="1" applyFill="1" applyBorder="1" applyAlignment="1" applyProtection="1">
      <alignment horizontal="center" vertical="center"/>
      <protection hidden="1"/>
    </xf>
    <xf numFmtId="0" fontId="1" fillId="5" borderId="3" xfId="0" applyFont="1" applyFill="1" applyBorder="1" applyAlignment="1" applyProtection="1">
      <alignment horizontal="center" vertical="center"/>
      <protection hidden="1"/>
    </xf>
    <xf numFmtId="0" fontId="1" fillId="5" borderId="4" xfId="0" applyFont="1" applyFill="1" applyBorder="1" applyAlignment="1" applyProtection="1">
      <alignment horizontal="center" vertical="center"/>
      <protection hidden="1"/>
    </xf>
    <xf numFmtId="0" fontId="1" fillId="5" borderId="9" xfId="0" applyFont="1" applyFill="1" applyBorder="1" applyAlignment="1" applyProtection="1">
      <alignment horizontal="center" vertical="center"/>
      <protection hidden="1"/>
    </xf>
    <xf numFmtId="0" fontId="1" fillId="6" borderId="3" xfId="0" applyFont="1" applyFill="1" applyBorder="1" applyAlignment="1" applyProtection="1">
      <alignment horizontal="center" vertical="center"/>
      <protection hidden="1"/>
    </xf>
    <xf numFmtId="0" fontId="1" fillId="6" borderId="4" xfId="0" applyFont="1" applyFill="1" applyBorder="1" applyAlignment="1" applyProtection="1">
      <alignment horizontal="center" vertical="center"/>
      <protection hidden="1"/>
    </xf>
    <xf numFmtId="0" fontId="9" fillId="4" borderId="1" xfId="0" applyFont="1" applyFill="1" applyBorder="1" applyAlignment="1" applyProtection="1">
      <alignment horizontal="center" vertical="center"/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1" fillId="6" borderId="9" xfId="0" applyFont="1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7" fillId="0" borderId="0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0" fillId="3" borderId="2" xfId="0" applyFill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4" borderId="2" xfId="0" applyFill="1" applyBorder="1" applyAlignment="1" applyProtection="1">
      <alignment horizontal="center" vertical="center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0" fontId="0" fillId="5" borderId="2" xfId="0" applyFill="1" applyBorder="1" applyAlignment="1" applyProtection="1">
      <alignment horizontal="center" vertical="center"/>
      <protection hidden="1"/>
    </xf>
    <xf numFmtId="0" fontId="0" fillId="7" borderId="2" xfId="0" applyFill="1" applyBorder="1" applyAlignment="1" applyProtection="1">
      <alignment horizontal="center" vertical="center"/>
      <protection hidden="1"/>
    </xf>
    <xf numFmtId="0" fontId="3" fillId="5" borderId="1" xfId="0" applyFont="1" applyFill="1" applyBorder="1" applyAlignment="1" applyProtection="1">
      <alignment horizontal="center" vertical="center"/>
      <protection hidden="1"/>
    </xf>
    <xf numFmtId="0" fontId="0" fillId="11" borderId="1" xfId="0" applyFill="1" applyBorder="1" applyProtection="1">
      <protection hidden="1"/>
    </xf>
    <xf numFmtId="0" fontId="0" fillId="11" borderId="1" xfId="0" applyFill="1" applyBorder="1" applyAlignment="1" applyProtection="1">
      <alignment horizontal="center" vertical="center"/>
      <protection hidden="1"/>
    </xf>
    <xf numFmtId="0" fontId="0" fillId="12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/>
      <protection hidden="1"/>
    </xf>
    <xf numFmtId="0" fontId="1" fillId="2" borderId="6" xfId="0" applyFont="1" applyFill="1" applyBorder="1" applyAlignment="1" applyProtection="1">
      <alignment horizontal="center" vertical="center" wrapText="1"/>
      <protection hidden="1"/>
    </xf>
    <xf numFmtId="0" fontId="1" fillId="2" borderId="10" xfId="0" applyFont="1" applyFill="1" applyBorder="1" applyAlignment="1" applyProtection="1">
      <alignment horizontal="center" vertical="center" wrapText="1"/>
      <protection hidden="1"/>
    </xf>
    <xf numFmtId="0" fontId="1" fillId="2" borderId="11" xfId="0" applyFont="1" applyFill="1" applyBorder="1" applyAlignment="1" applyProtection="1">
      <alignment horizontal="center" vertical="center" wrapText="1"/>
      <protection hidden="1"/>
    </xf>
    <xf numFmtId="0" fontId="1" fillId="2" borderId="12" xfId="0" applyFont="1" applyFill="1" applyBorder="1" applyAlignment="1" applyProtection="1">
      <alignment horizontal="center" vertical="center" wrapText="1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3" fillId="10" borderId="1" xfId="0" applyFont="1" applyFill="1" applyBorder="1" applyAlignment="1" applyProtection="1">
      <alignment horizontal="center" vertical="center"/>
      <protection hidden="1"/>
    </xf>
    <xf numFmtId="0" fontId="1" fillId="5" borderId="1" xfId="0" applyFont="1" applyFill="1" applyBorder="1" applyAlignment="1" applyProtection="1">
      <alignment horizontal="center" vertical="center"/>
      <protection hidden="1"/>
    </xf>
    <xf numFmtId="0" fontId="7" fillId="13" borderId="5" xfId="0" applyFont="1" applyFill="1" applyBorder="1" applyAlignment="1" applyProtection="1">
      <alignment horizontal="center" vertical="center"/>
      <protection hidden="1"/>
    </xf>
    <xf numFmtId="0" fontId="1" fillId="10" borderId="5" xfId="0" applyFont="1" applyFill="1" applyBorder="1" applyAlignment="1" applyProtection="1">
      <alignment horizontal="center" vertical="center"/>
      <protection hidden="1"/>
    </xf>
    <xf numFmtId="0" fontId="1" fillId="10" borderId="10" xfId="0" applyFont="1" applyFill="1" applyBorder="1" applyAlignment="1" applyProtection="1">
      <alignment horizontal="center" vertical="center"/>
      <protection hidden="1"/>
    </xf>
    <xf numFmtId="0" fontId="7" fillId="13" borderId="1" xfId="0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7" borderId="1" xfId="0" applyFont="1" applyFill="1" applyBorder="1" applyAlignment="1" applyProtection="1">
      <alignment horizontal="center" vertical="center"/>
      <protection hidden="1"/>
    </xf>
    <xf numFmtId="0" fontId="1" fillId="8" borderId="1" xfId="0" applyFont="1" applyFill="1" applyBorder="1" applyAlignment="1" applyProtection="1">
      <alignment horizontal="center" vertical="center"/>
      <protection hidden="1"/>
    </xf>
    <xf numFmtId="0" fontId="1" fillId="9" borderId="1" xfId="0" applyFont="1" applyFill="1" applyBorder="1" applyAlignment="1" applyProtection="1">
      <alignment horizontal="center" vertical="center"/>
      <protection hidden="1"/>
    </xf>
    <xf numFmtId="0" fontId="1" fillId="12" borderId="1" xfId="0" applyFont="1" applyFill="1" applyBorder="1" applyAlignment="1" applyProtection="1">
      <alignment horizontal="center" vertical="center"/>
      <protection hidden="1"/>
    </xf>
    <xf numFmtId="0" fontId="1" fillId="10" borderId="1" xfId="0" applyFont="1" applyFill="1" applyBorder="1" applyAlignment="1" applyProtection="1">
      <alignment horizontal="center" vertical="center"/>
      <protection hidden="1"/>
    </xf>
    <xf numFmtId="0" fontId="1" fillId="13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protection hidden="1"/>
    </xf>
    <xf numFmtId="0" fontId="0" fillId="4" borderId="0" xfId="0" applyNumberFormat="1" applyFill="1" applyAlignment="1" applyProtection="1">
      <alignment wrapText="1"/>
      <protection hidden="1"/>
    </xf>
    <xf numFmtId="0" fontId="0" fillId="4" borderId="0" xfId="0" applyNumberFormat="1" applyFill="1" applyAlignment="1" applyProtection="1">
      <alignment horizontal="left" wrapText="1"/>
      <protection hidden="1"/>
    </xf>
    <xf numFmtId="0" fontId="0" fillId="4" borderId="0" xfId="0" applyFill="1" applyAlignment="1" applyProtection="1">
      <alignment horizontal="center"/>
      <protection hidden="1"/>
    </xf>
    <xf numFmtId="0" fontId="11" fillId="4" borderId="1" xfId="0" applyFont="1" applyFill="1" applyBorder="1" applyAlignment="1" applyProtection="1">
      <alignment horizontal="center" vertical="center"/>
      <protection hidden="1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0" fontId="13" fillId="2" borderId="1" xfId="0" applyFont="1" applyFill="1" applyBorder="1" applyAlignment="1" applyProtection="1">
      <alignment horizontal="center" vertical="center"/>
      <protection hidden="1"/>
    </xf>
    <xf numFmtId="2" fontId="12" fillId="2" borderId="1" xfId="0" applyNumberFormat="1" applyFont="1" applyFill="1" applyBorder="1" applyAlignment="1" applyProtection="1">
      <alignment horizontal="center" vertical="center"/>
      <protection hidden="1"/>
    </xf>
    <xf numFmtId="0" fontId="9" fillId="4" borderId="1" xfId="0" applyFont="1" applyFill="1" applyBorder="1" applyAlignment="1" applyProtection="1">
      <alignment horizontal="center"/>
      <protection hidden="1"/>
    </xf>
    <xf numFmtId="0" fontId="9" fillId="4" borderId="1" xfId="0" applyFont="1" applyFill="1" applyBorder="1" applyProtection="1">
      <protection hidden="1"/>
    </xf>
    <xf numFmtId="2" fontId="9" fillId="4" borderId="1" xfId="0" applyNumberFormat="1" applyFont="1" applyFill="1" applyBorder="1" applyProtection="1">
      <protection hidden="1"/>
    </xf>
    <xf numFmtId="2" fontId="9" fillId="4" borderId="1" xfId="0" applyNumberFormat="1" applyFont="1" applyFill="1" applyBorder="1" applyAlignment="1" applyProtection="1">
      <alignment horizontal="center"/>
      <protection hidden="1"/>
    </xf>
    <xf numFmtId="1" fontId="12" fillId="2" borderId="1" xfId="0" applyNumberFormat="1" applyFont="1" applyFill="1" applyBorder="1" applyAlignment="1" applyProtection="1">
      <alignment horizontal="center" vertical="center"/>
      <protection hidden="1"/>
    </xf>
    <xf numFmtId="1" fontId="9" fillId="4" borderId="1" xfId="0" applyNumberFormat="1" applyFont="1" applyFill="1" applyBorder="1" applyAlignment="1" applyProtection="1">
      <alignment horizontal="center"/>
      <protection hidden="1"/>
    </xf>
    <xf numFmtId="2" fontId="12" fillId="2" borderId="13" xfId="0" applyNumberFormat="1" applyFont="1" applyFill="1" applyBorder="1" applyAlignment="1" applyProtection="1">
      <alignment horizontal="center" vertical="center"/>
      <protection hidden="1"/>
    </xf>
    <xf numFmtId="2" fontId="0" fillId="3" borderId="1" xfId="0" applyNumberFormat="1" applyFill="1" applyBorder="1" applyAlignment="1" applyProtection="1">
      <alignment horizontal="center" vertical="center"/>
      <protection hidden="1"/>
    </xf>
    <xf numFmtId="0" fontId="0" fillId="14" borderId="1" xfId="0" applyFill="1" applyBorder="1" applyAlignment="1" applyProtection="1">
      <alignment horizontal="center" vertical="center"/>
      <protection hidden="1"/>
    </xf>
    <xf numFmtId="0" fontId="7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5" borderId="1" xfId="0" applyFill="1" applyBorder="1" applyAlignment="1" applyProtection="1">
      <alignment horizontal="center"/>
      <protection hidden="1"/>
    </xf>
    <xf numFmtId="0" fontId="0" fillId="5" borderId="3" xfId="0" applyFill="1" applyBorder="1" applyAlignment="1" applyProtection="1">
      <alignment horizontal="center"/>
      <protection hidden="1"/>
    </xf>
    <xf numFmtId="0" fontId="0" fillId="7" borderId="1" xfId="0" applyFill="1" applyBorder="1" applyAlignment="1" applyProtection="1">
      <alignment horizontal="center"/>
      <protection hidden="1"/>
    </xf>
    <xf numFmtId="0" fontId="0" fillId="6" borderId="1" xfId="0" applyFill="1" applyBorder="1" applyAlignment="1" applyProtection="1">
      <alignment horizontal="center"/>
      <protection hidden="1"/>
    </xf>
    <xf numFmtId="0" fontId="0" fillId="6" borderId="3" xfId="0" applyFill="1" applyBorder="1" applyAlignment="1" applyProtection="1">
      <alignment horizontal="center"/>
      <protection hidden="1"/>
    </xf>
    <xf numFmtId="0" fontId="0" fillId="8" borderId="1" xfId="0" applyFill="1" applyBorder="1" applyAlignment="1" applyProtection="1">
      <alignment horizontal="center"/>
      <protection hidden="1"/>
    </xf>
    <xf numFmtId="0" fontId="0" fillId="9" borderId="1" xfId="0" applyFill="1" applyBorder="1" applyAlignment="1" applyProtection="1">
      <alignment horizontal="center"/>
      <protection hidden="1"/>
    </xf>
    <xf numFmtId="0" fontId="0" fillId="12" borderId="1" xfId="0" applyFill="1" applyBorder="1" applyAlignment="1" applyProtection="1">
      <alignment horizontal="center"/>
      <protection hidden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80278484826858"/>
          <c:y val="0.237522015111993"/>
          <c:w val="0.754007025556851"/>
          <c:h val="0.60289910788675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rgbClr val="00B050"/>
              </a:solidFill>
            </c:spPr>
          </c:dPt>
          <c:dLbls>
            <c:delete val="1"/>
          </c:dLbls>
          <c:cat>
            <c:strRef>
              <c:f>'BJP WIN OR LOSS'!$A$20:$A$24</c:f>
              <c:strCache>
                <c:ptCount val="5"/>
                <c:pt idx="0">
                  <c:v>NARROW MARGIN</c:v>
                </c:pt>
                <c:pt idx="1">
                  <c:v>LOW MARGIN</c:v>
                </c:pt>
                <c:pt idx="2">
                  <c:v>MEDIUM MARGIN</c:v>
                </c:pt>
                <c:pt idx="3">
                  <c:v>HIGHMARGIN</c:v>
                </c:pt>
                <c:pt idx="4">
                  <c:v>VERYHIGHMARGIN</c:v>
                </c:pt>
              </c:strCache>
            </c:strRef>
          </c:cat>
          <c:val>
            <c:numRef>
              <c:f>'BJP WIN OR LOSS'!$B$20:$B$24</c:f>
              <c:numCache>
                <c:formatCode>General</c:formatCode>
                <c:ptCount val="5"/>
                <c:pt idx="0">
                  <c:v>7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279104"/>
        <c:axId val="65280640"/>
      </c:barChart>
      <c:catAx>
        <c:axId val="652791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5280640"/>
        <c:crosses val="autoZero"/>
        <c:auto val="1"/>
        <c:lblAlgn val="ctr"/>
        <c:lblOffset val="100"/>
        <c:noMultiLvlLbl val="0"/>
      </c:catAx>
      <c:valAx>
        <c:axId val="65280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527910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I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9341556293903"/>
          <c:y val="0.264363517060367"/>
          <c:w val="0.764536586105928"/>
          <c:h val="0.568730679498398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rgbClr val="00B050"/>
              </a:solidFill>
            </c:spPr>
          </c:dPt>
          <c:dLbls>
            <c:delete val="1"/>
          </c:dLbls>
          <c:cat>
            <c:strRef>
              <c:f>'BJP WIN OR LOSS'!$H$36:$H$40</c:f>
              <c:strCache>
                <c:ptCount val="5"/>
                <c:pt idx="0">
                  <c:v>NARROW MARGIN</c:v>
                </c:pt>
                <c:pt idx="1">
                  <c:v>LOW MARGIN</c:v>
                </c:pt>
                <c:pt idx="2">
                  <c:v>MEDIUM MARGIN</c:v>
                </c:pt>
                <c:pt idx="3">
                  <c:v>HIGHMARGIN</c:v>
                </c:pt>
                <c:pt idx="4">
                  <c:v>VERYHIGHMARGIN</c:v>
                </c:pt>
              </c:strCache>
            </c:strRef>
          </c:cat>
          <c:val>
            <c:numRef>
              <c:f>'BJP WIN OR LOSS'!$I$36:$I$40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4064"/>
        <c:axId val="67385600"/>
      </c:barChart>
      <c:catAx>
        <c:axId val="6738406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7385600"/>
        <c:crosses val="autoZero"/>
        <c:auto val="1"/>
        <c:lblAlgn val="ctr"/>
        <c:lblOffset val="100"/>
        <c:noMultiLvlLbl val="0"/>
      </c:catAx>
      <c:valAx>
        <c:axId val="67385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738406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I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24</xdr:row>
      <xdr:rowOff>114301</xdr:rowOff>
    </xdr:from>
    <xdr:to>
      <xdr:col>6</xdr:col>
      <xdr:colOff>838199</xdr:colOff>
      <xdr:row>41</xdr:row>
      <xdr:rowOff>152400</xdr:rowOff>
    </xdr:to>
    <xdr:graphicFrame>
      <xdr:nvGraphicFramePr>
        <xdr:cNvPr id="10" name="Chart 9"/>
        <xdr:cNvGraphicFramePr/>
      </xdr:nvGraphicFramePr>
      <xdr:xfrm>
        <a:off x="0" y="4686300"/>
        <a:ext cx="7362190" cy="3267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123825</xdr:colOff>
      <xdr:row>32</xdr:row>
      <xdr:rowOff>95250</xdr:rowOff>
    </xdr:from>
    <xdr:to>
      <xdr:col>15</xdr:col>
      <xdr:colOff>1095375</xdr:colOff>
      <xdr:row>46</xdr:row>
      <xdr:rowOff>171450</xdr:rowOff>
    </xdr:to>
    <xdr:graphicFrame>
      <xdr:nvGraphicFramePr>
        <xdr:cNvPr id="11" name="Chart 10"/>
        <xdr:cNvGraphicFramePr/>
      </xdr:nvGraphicFramePr>
      <xdr:xfrm>
        <a:off x="10439400" y="6181725"/>
        <a:ext cx="71151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0.23803</cdr:x>
      <cdr:y>0.07677</cdr:y>
    </cdr:from>
    <cdr:to>
      <cdr:x>0.62875</cdr:x>
      <cdr:y>0.16741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1689100" y="250825"/>
          <a:ext cx="2772620" cy="29613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IN" sz="1400" b="1"/>
            <a:t>BJP  WIN  MARGIN  STATUS</a:t>
          </a:r>
          <a:endParaRPr lang="en-IN" sz="14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0.23748</cdr:x>
      <cdr:y>0.09135</cdr:y>
    </cdr:from>
    <cdr:to>
      <cdr:x>0.72158</cdr:x>
      <cdr:y>0.18226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1690047" y="242734"/>
          <a:ext cx="3445229" cy="241568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1100" b="1">
              <a:latin typeface="+mn-lt"/>
              <a:ea typeface="+mn-ea"/>
              <a:cs typeface="+mn-cs"/>
            </a:rPr>
            <a:t>CONGRESS  WIN  MARGIN  STATUS</a:t>
          </a:r>
          <a:endParaRPr lang="en-IN"/>
        </a:p>
        <a:p>
          <a:endParaRPr lang="en-IN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16"/>
  <sheetViews>
    <sheetView workbookViewId="0">
      <selection activeCell="D18" sqref="D18"/>
    </sheetView>
  </sheetViews>
  <sheetFormatPr defaultColWidth="9" defaultRowHeight="15"/>
  <cols>
    <col min="1" max="1" width="8" style="80" customWidth="1"/>
    <col min="2" max="2" width="13.4285714285714" style="81" customWidth="1"/>
    <col min="3" max="3" width="15.4285714285714" style="82" customWidth="1"/>
    <col min="4" max="4" width="6.71428571428571" style="82" customWidth="1"/>
    <col min="5" max="5" width="12.1428571428571" style="82" customWidth="1"/>
    <col min="6" max="6" width="6.71428571428571" style="82" customWidth="1"/>
    <col min="7" max="7" width="12.1428571428571" style="82" customWidth="1"/>
    <col min="8" max="8" width="5.57142857142857" style="82" customWidth="1"/>
    <col min="9" max="9" width="5" style="82" customWidth="1"/>
    <col min="10" max="10" width="3.85714285714286" style="82" customWidth="1"/>
    <col min="11" max="11" width="5.14285714285714" style="82" customWidth="1"/>
    <col min="12" max="12" width="2.85714285714286" style="82" customWidth="1"/>
    <col min="13" max="13" width="4.14285714285714" style="82" customWidth="1"/>
    <col min="14" max="14" width="4" style="82" customWidth="1"/>
    <col min="15" max="15" width="5.28571428571429" style="82" customWidth="1"/>
    <col min="16" max="16" width="3.28571428571429" style="82" customWidth="1"/>
    <col min="17" max="17" width="4.57142857142857" style="82" customWidth="1"/>
    <col min="18" max="18" width="5.57142857142857" style="82" customWidth="1"/>
    <col min="19" max="19" width="6" style="82" customWidth="1"/>
    <col min="20" max="20" width="4.42857142857143" style="82" customWidth="1"/>
    <col min="21" max="21" width="4.85714285714286" style="82" customWidth="1"/>
    <col min="22" max="22" width="5.71428571428571" style="82" customWidth="1"/>
    <col min="23" max="23" width="7" style="82" customWidth="1"/>
    <col min="24" max="25" width="5.57142857142857" style="82" customWidth="1"/>
    <col min="26" max="26" width="15.1428571428571" style="82" customWidth="1"/>
    <col min="27" max="27" width="10.7142857142857" style="82" customWidth="1"/>
    <col min="28" max="28" width="17.5714285714286" style="82" customWidth="1"/>
    <col min="29" max="16384" width="9.14285714285714" style="44"/>
  </cols>
  <sheetData>
    <row r="1" ht="26.25" customHeight="1" spans="1:28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</row>
    <row r="2" s="79" customFormat="1" spans="1:28">
      <c r="A2" s="84" t="s">
        <v>1</v>
      </c>
      <c r="B2" s="84" t="s">
        <v>2</v>
      </c>
      <c r="C2" s="85" t="s">
        <v>3</v>
      </c>
      <c r="D2" s="84" t="s">
        <v>4</v>
      </c>
      <c r="E2" s="86" t="s">
        <v>5</v>
      </c>
      <c r="F2" s="84" t="s">
        <v>6</v>
      </c>
      <c r="G2" s="86" t="s">
        <v>7</v>
      </c>
      <c r="H2" s="84" t="s">
        <v>8</v>
      </c>
      <c r="I2" s="86" t="s">
        <v>9</v>
      </c>
      <c r="J2" s="84" t="s">
        <v>10</v>
      </c>
      <c r="K2" s="86" t="s">
        <v>11</v>
      </c>
      <c r="L2" s="84" t="s">
        <v>12</v>
      </c>
      <c r="M2" s="86" t="s">
        <v>13</v>
      </c>
      <c r="N2" s="84" t="s">
        <v>14</v>
      </c>
      <c r="O2" s="86" t="s">
        <v>15</v>
      </c>
      <c r="P2" s="84" t="s">
        <v>16</v>
      </c>
      <c r="Q2" s="86" t="s">
        <v>17</v>
      </c>
      <c r="R2" s="84" t="s">
        <v>18</v>
      </c>
      <c r="S2" s="86" t="s">
        <v>19</v>
      </c>
      <c r="T2" s="84" t="s">
        <v>20</v>
      </c>
      <c r="U2" s="86" t="s">
        <v>21</v>
      </c>
      <c r="V2" s="84" t="s">
        <v>22</v>
      </c>
      <c r="W2" s="86" t="s">
        <v>23</v>
      </c>
      <c r="X2" s="91" t="s">
        <v>24</v>
      </c>
      <c r="Y2" s="86" t="s">
        <v>25</v>
      </c>
      <c r="Z2" s="93" t="s">
        <v>26</v>
      </c>
      <c r="AA2" s="93" t="s">
        <v>27</v>
      </c>
      <c r="AB2" s="93" t="s">
        <v>28</v>
      </c>
    </row>
    <row r="3" spans="1:28">
      <c r="A3" s="87">
        <v>1</v>
      </c>
      <c r="B3" s="88" t="s">
        <v>29</v>
      </c>
      <c r="C3" s="87">
        <v>633</v>
      </c>
      <c r="D3" s="88">
        <v>239</v>
      </c>
      <c r="E3" s="89">
        <v>37.7567140600316</v>
      </c>
      <c r="F3" s="88">
        <v>365</v>
      </c>
      <c r="G3" s="90">
        <v>57.6619273301738</v>
      </c>
      <c r="H3" s="87">
        <v>7</v>
      </c>
      <c r="I3" s="90">
        <v>1.10584518167457</v>
      </c>
      <c r="J3" s="87">
        <v>0</v>
      </c>
      <c r="K3" s="90">
        <v>0</v>
      </c>
      <c r="L3" s="87">
        <v>0</v>
      </c>
      <c r="M3" s="90">
        <v>0</v>
      </c>
      <c r="N3" s="87">
        <v>0</v>
      </c>
      <c r="O3" s="90">
        <v>0</v>
      </c>
      <c r="P3" s="87">
        <v>0</v>
      </c>
      <c r="Q3" s="90">
        <v>0</v>
      </c>
      <c r="R3" s="87">
        <v>15</v>
      </c>
      <c r="S3" s="90">
        <v>2.3696682464455</v>
      </c>
      <c r="T3" s="87">
        <v>3</v>
      </c>
      <c r="U3" s="90">
        <v>0.4739336492891</v>
      </c>
      <c r="V3" s="87">
        <v>0</v>
      </c>
      <c r="W3" s="90">
        <v>0</v>
      </c>
      <c r="X3" s="92">
        <v>4</v>
      </c>
      <c r="Y3" s="90">
        <v>0.631911532385466</v>
      </c>
      <c r="Z3" s="33" t="str">
        <f>IF(E3&gt;G3,"BJP GAIN","CONGRESSGAIN")</f>
        <v>CONGRESSGAIN</v>
      </c>
      <c r="AA3" s="94">
        <f>G3-E3</f>
        <v>19.9052132701422</v>
      </c>
      <c r="AB3" s="35" t="str">
        <f>IF(AA3&gt;=50,"VERYHIGHMARGIN",IF(AA3&gt;=40,"HIGHMARGIN",IF(AA3&gt;=30,"MEDIUMMARGIN",IF(AA3&gt;10,"LOWMARGIN",IF(AA3&gt;1,"NARROWMARGIN")))))</f>
        <v>LOWMARGIN</v>
      </c>
    </row>
    <row r="4" spans="1:28">
      <c r="A4" s="87">
        <v>2</v>
      </c>
      <c r="B4" s="88" t="s">
        <v>29</v>
      </c>
      <c r="C4" s="87">
        <v>800</v>
      </c>
      <c r="D4" s="88">
        <v>330</v>
      </c>
      <c r="E4" s="89">
        <v>41.25</v>
      </c>
      <c r="F4" s="88">
        <v>439</v>
      </c>
      <c r="G4" s="90">
        <v>54.875</v>
      </c>
      <c r="H4" s="87">
        <v>5</v>
      </c>
      <c r="I4" s="90">
        <v>0.625</v>
      </c>
      <c r="J4" s="87">
        <v>0</v>
      </c>
      <c r="K4" s="90">
        <v>0</v>
      </c>
      <c r="L4" s="87">
        <v>0</v>
      </c>
      <c r="M4" s="90">
        <v>0</v>
      </c>
      <c r="N4" s="87">
        <v>0</v>
      </c>
      <c r="O4" s="90">
        <v>0</v>
      </c>
      <c r="P4" s="87">
        <v>0</v>
      </c>
      <c r="Q4" s="90">
        <v>0</v>
      </c>
      <c r="R4" s="87">
        <v>14</v>
      </c>
      <c r="S4" s="90">
        <v>1.75</v>
      </c>
      <c r="T4" s="87">
        <v>6</v>
      </c>
      <c r="U4" s="90">
        <v>0.75</v>
      </c>
      <c r="V4" s="87">
        <v>0</v>
      </c>
      <c r="W4" s="90">
        <v>0</v>
      </c>
      <c r="X4" s="92">
        <v>6</v>
      </c>
      <c r="Y4" s="90">
        <v>0.75</v>
      </c>
      <c r="Z4" s="33" t="str">
        <f t="shared" ref="Z4:Z67" si="0">IF(E4&gt;G4,"BJP GAIN","CONGRESSGAIN")</f>
        <v>CONGRESSGAIN</v>
      </c>
      <c r="AA4" s="94">
        <f t="shared" ref="AA4:AA61" si="1">G4-E4</f>
        <v>13.625</v>
      </c>
      <c r="AB4" s="35" t="str">
        <f t="shared" ref="AB4:AB67" si="2">IF(AA4&gt;=50,"VERYHIGHMARGIN",IF(AA4&gt;=40,"HIGHMARGIN",IF(AA4&gt;=30,"MEDIUMMARGIN",IF(AA4&gt;10,"LOWMARGIN",IF(AA4&gt;1,"NARROWMARGIN")))))</f>
        <v>LOWMARGIN</v>
      </c>
    </row>
    <row r="5" spans="1:28">
      <c r="A5" s="87">
        <v>3</v>
      </c>
      <c r="B5" s="88" t="s">
        <v>29</v>
      </c>
      <c r="C5" s="87">
        <v>740</v>
      </c>
      <c r="D5" s="88">
        <v>312</v>
      </c>
      <c r="E5" s="89">
        <v>42.1621621621622</v>
      </c>
      <c r="F5" s="88">
        <v>380</v>
      </c>
      <c r="G5" s="90">
        <v>51.3513513513513</v>
      </c>
      <c r="H5" s="87">
        <v>5</v>
      </c>
      <c r="I5" s="90">
        <v>0.675675675675676</v>
      </c>
      <c r="J5" s="87">
        <v>0</v>
      </c>
      <c r="K5" s="90">
        <v>0</v>
      </c>
      <c r="L5" s="87">
        <v>0</v>
      </c>
      <c r="M5" s="90">
        <v>0</v>
      </c>
      <c r="N5" s="87">
        <v>1</v>
      </c>
      <c r="O5" s="90">
        <v>0.135135135135135</v>
      </c>
      <c r="P5" s="87">
        <v>0</v>
      </c>
      <c r="Q5" s="90">
        <v>0</v>
      </c>
      <c r="R5" s="87">
        <v>21</v>
      </c>
      <c r="S5" s="90">
        <v>2.83783783783784</v>
      </c>
      <c r="T5" s="87">
        <v>2</v>
      </c>
      <c r="U5" s="90">
        <v>0.27027027027027</v>
      </c>
      <c r="V5" s="87">
        <v>0</v>
      </c>
      <c r="W5" s="90">
        <v>0</v>
      </c>
      <c r="X5" s="92">
        <v>19</v>
      </c>
      <c r="Y5" s="90">
        <v>2.56756756756757</v>
      </c>
      <c r="Z5" s="33" t="str">
        <f t="shared" si="0"/>
        <v>CONGRESSGAIN</v>
      </c>
      <c r="AA5" s="94">
        <f t="shared" si="1"/>
        <v>9.18918918918919</v>
      </c>
      <c r="AB5" s="34" t="str">
        <f t="shared" si="2"/>
        <v>NARROWMARGIN</v>
      </c>
    </row>
    <row r="6" spans="1:28">
      <c r="A6" s="87">
        <v>4</v>
      </c>
      <c r="B6" s="88" t="s">
        <v>29</v>
      </c>
      <c r="C6" s="87">
        <v>697</v>
      </c>
      <c r="D6" s="88">
        <v>297</v>
      </c>
      <c r="E6" s="89">
        <v>42.6111908177905</v>
      </c>
      <c r="F6" s="88">
        <v>339</v>
      </c>
      <c r="G6" s="90">
        <v>48.6370157819225</v>
      </c>
      <c r="H6" s="87">
        <v>14</v>
      </c>
      <c r="I6" s="90">
        <v>2.00860832137733</v>
      </c>
      <c r="J6" s="87">
        <v>0</v>
      </c>
      <c r="K6" s="90">
        <v>0</v>
      </c>
      <c r="L6" s="87">
        <v>0</v>
      </c>
      <c r="M6" s="90">
        <v>0</v>
      </c>
      <c r="N6" s="87">
        <v>1</v>
      </c>
      <c r="O6" s="90">
        <v>0.143472022955524</v>
      </c>
      <c r="P6" s="87">
        <v>0</v>
      </c>
      <c r="Q6" s="90">
        <v>0</v>
      </c>
      <c r="R6" s="87">
        <v>27</v>
      </c>
      <c r="S6" s="90">
        <v>3.87374461979914</v>
      </c>
      <c r="T6" s="87">
        <v>1</v>
      </c>
      <c r="U6" s="90">
        <v>0.143472022955524</v>
      </c>
      <c r="V6" s="87">
        <v>0</v>
      </c>
      <c r="W6" s="90">
        <v>0</v>
      </c>
      <c r="X6" s="92">
        <v>18</v>
      </c>
      <c r="Y6" s="90">
        <v>2.58249641319943</v>
      </c>
      <c r="Z6" s="33" t="str">
        <f t="shared" si="0"/>
        <v>CONGRESSGAIN</v>
      </c>
      <c r="AA6" s="94">
        <f t="shared" si="1"/>
        <v>6.025824964132</v>
      </c>
      <c r="AB6" s="34" t="str">
        <f t="shared" si="2"/>
        <v>NARROWMARGIN</v>
      </c>
    </row>
    <row r="7" spans="1:28">
      <c r="A7" s="87">
        <v>5</v>
      </c>
      <c r="B7" s="88" t="s">
        <v>29</v>
      </c>
      <c r="C7" s="87">
        <v>838</v>
      </c>
      <c r="D7" s="88">
        <v>251</v>
      </c>
      <c r="E7" s="89">
        <v>29.9522673031026</v>
      </c>
      <c r="F7" s="88">
        <v>418</v>
      </c>
      <c r="G7" s="90">
        <v>49.8806682577566</v>
      </c>
      <c r="H7" s="87">
        <v>9</v>
      </c>
      <c r="I7" s="90">
        <v>1.07398568019093</v>
      </c>
      <c r="J7" s="87">
        <v>0</v>
      </c>
      <c r="K7" s="90">
        <v>0</v>
      </c>
      <c r="L7" s="87">
        <v>0</v>
      </c>
      <c r="M7" s="90">
        <v>0</v>
      </c>
      <c r="N7" s="87">
        <v>1</v>
      </c>
      <c r="O7" s="90">
        <v>0.119331742243437</v>
      </c>
      <c r="P7" s="87">
        <v>0</v>
      </c>
      <c r="Q7" s="90">
        <v>0</v>
      </c>
      <c r="R7" s="87">
        <v>120</v>
      </c>
      <c r="S7" s="90">
        <v>14.3198090692124</v>
      </c>
      <c r="T7" s="87">
        <v>9</v>
      </c>
      <c r="U7" s="90">
        <v>1.07398568019093</v>
      </c>
      <c r="V7" s="87">
        <v>0</v>
      </c>
      <c r="W7" s="90">
        <v>0</v>
      </c>
      <c r="X7" s="92">
        <v>30</v>
      </c>
      <c r="Y7" s="90">
        <v>3.5799522673031</v>
      </c>
      <c r="Z7" s="33" t="str">
        <f t="shared" si="0"/>
        <v>CONGRESSGAIN</v>
      </c>
      <c r="AA7" s="94">
        <f t="shared" si="1"/>
        <v>19.9284009546539</v>
      </c>
      <c r="AB7" s="35" t="str">
        <f t="shared" si="2"/>
        <v>LOWMARGIN</v>
      </c>
    </row>
    <row r="8" spans="1:28">
      <c r="A8" s="87">
        <v>6</v>
      </c>
      <c r="B8" s="88" t="s">
        <v>29</v>
      </c>
      <c r="C8" s="87">
        <v>482</v>
      </c>
      <c r="D8" s="88">
        <v>266</v>
      </c>
      <c r="E8" s="89">
        <v>55.1867219917012</v>
      </c>
      <c r="F8" s="88">
        <v>185</v>
      </c>
      <c r="G8" s="90">
        <v>38.3817427385892</v>
      </c>
      <c r="H8" s="87">
        <v>5</v>
      </c>
      <c r="I8" s="90">
        <v>1.03734439834025</v>
      </c>
      <c r="J8" s="87">
        <v>0</v>
      </c>
      <c r="K8" s="90">
        <v>0</v>
      </c>
      <c r="L8" s="87">
        <v>0</v>
      </c>
      <c r="M8" s="90">
        <v>0</v>
      </c>
      <c r="N8" s="87">
        <v>1</v>
      </c>
      <c r="O8" s="90">
        <v>0.20746887966805</v>
      </c>
      <c r="P8" s="87">
        <v>0</v>
      </c>
      <c r="Q8" s="90">
        <v>0</v>
      </c>
      <c r="R8" s="87">
        <v>14</v>
      </c>
      <c r="S8" s="90">
        <v>2.9045643153527</v>
      </c>
      <c r="T8" s="87">
        <v>3</v>
      </c>
      <c r="U8" s="90">
        <v>0.622406639004149</v>
      </c>
      <c r="V8" s="87">
        <v>0</v>
      </c>
      <c r="W8" s="90">
        <v>0</v>
      </c>
      <c r="X8" s="92">
        <v>8</v>
      </c>
      <c r="Y8" s="90">
        <v>1.6597510373444</v>
      </c>
      <c r="Z8" s="46" t="str">
        <f t="shared" si="0"/>
        <v>BJP GAIN</v>
      </c>
      <c r="AA8" s="94">
        <f>E8-G8</f>
        <v>16.804979253112</v>
      </c>
      <c r="AB8" s="35" t="str">
        <f t="shared" si="2"/>
        <v>LOWMARGIN</v>
      </c>
    </row>
    <row r="9" spans="1:28">
      <c r="A9" s="87">
        <v>7</v>
      </c>
      <c r="B9" s="88" t="s">
        <v>29</v>
      </c>
      <c r="C9" s="87">
        <v>445</v>
      </c>
      <c r="D9" s="88">
        <v>229</v>
      </c>
      <c r="E9" s="89">
        <v>51.4606741573034</v>
      </c>
      <c r="F9" s="88">
        <v>190</v>
      </c>
      <c r="G9" s="90">
        <v>42.6966292134831</v>
      </c>
      <c r="H9" s="87">
        <v>6</v>
      </c>
      <c r="I9" s="90">
        <v>1.34831460674157</v>
      </c>
      <c r="J9" s="87">
        <v>0</v>
      </c>
      <c r="K9" s="90">
        <v>0</v>
      </c>
      <c r="L9" s="87">
        <v>0</v>
      </c>
      <c r="M9" s="90">
        <v>0</v>
      </c>
      <c r="N9" s="87">
        <v>0</v>
      </c>
      <c r="O9" s="90">
        <v>0</v>
      </c>
      <c r="P9" s="87">
        <v>0</v>
      </c>
      <c r="Q9" s="90">
        <v>0</v>
      </c>
      <c r="R9" s="87">
        <v>8</v>
      </c>
      <c r="S9" s="90">
        <v>1.79775280898876</v>
      </c>
      <c r="T9" s="87">
        <v>6</v>
      </c>
      <c r="U9" s="90">
        <v>1.34831460674157</v>
      </c>
      <c r="V9" s="87">
        <v>0</v>
      </c>
      <c r="W9" s="90">
        <v>0</v>
      </c>
      <c r="X9" s="92">
        <v>6</v>
      </c>
      <c r="Y9" s="90">
        <v>1.34831460674157</v>
      </c>
      <c r="Z9" s="46" t="str">
        <f t="shared" si="0"/>
        <v>BJP GAIN</v>
      </c>
      <c r="AA9" s="94">
        <f>E9-G9</f>
        <v>8.76404494382022</v>
      </c>
      <c r="AB9" s="34" t="str">
        <f t="shared" si="2"/>
        <v>NARROWMARGIN</v>
      </c>
    </row>
    <row r="10" spans="1:28">
      <c r="A10" s="87">
        <v>8</v>
      </c>
      <c r="B10" s="88" t="s">
        <v>29</v>
      </c>
      <c r="C10" s="87">
        <v>523</v>
      </c>
      <c r="D10" s="88">
        <v>204</v>
      </c>
      <c r="E10" s="89">
        <v>39.0057361376673</v>
      </c>
      <c r="F10" s="88">
        <v>293</v>
      </c>
      <c r="G10" s="90">
        <v>56.0229445506692</v>
      </c>
      <c r="H10" s="87">
        <v>6</v>
      </c>
      <c r="I10" s="90">
        <v>1.1472275334608</v>
      </c>
      <c r="J10" s="87">
        <v>0</v>
      </c>
      <c r="K10" s="90">
        <v>0</v>
      </c>
      <c r="L10" s="87">
        <v>0</v>
      </c>
      <c r="M10" s="90">
        <v>0</v>
      </c>
      <c r="N10" s="87">
        <v>0</v>
      </c>
      <c r="O10" s="90">
        <v>0</v>
      </c>
      <c r="P10" s="87">
        <v>0</v>
      </c>
      <c r="Q10" s="90">
        <v>0</v>
      </c>
      <c r="R10" s="87">
        <v>13</v>
      </c>
      <c r="S10" s="90">
        <v>2.48565965583174</v>
      </c>
      <c r="T10" s="87">
        <v>3</v>
      </c>
      <c r="U10" s="90">
        <v>0.573613766730401</v>
      </c>
      <c r="V10" s="87">
        <v>0</v>
      </c>
      <c r="W10" s="90">
        <v>0</v>
      </c>
      <c r="X10" s="92">
        <v>4</v>
      </c>
      <c r="Y10" s="90">
        <v>0.764818355640535</v>
      </c>
      <c r="Z10" s="33" t="str">
        <f t="shared" si="0"/>
        <v>CONGRESSGAIN</v>
      </c>
      <c r="AA10" s="94">
        <f t="shared" si="1"/>
        <v>17.0172084130019</v>
      </c>
      <c r="AB10" s="35" t="str">
        <f t="shared" si="2"/>
        <v>LOWMARGIN</v>
      </c>
    </row>
    <row r="11" spans="1:28">
      <c r="A11" s="87">
        <v>9</v>
      </c>
      <c r="B11" s="88" t="s">
        <v>29</v>
      </c>
      <c r="C11" s="87">
        <v>487</v>
      </c>
      <c r="D11" s="88">
        <v>222</v>
      </c>
      <c r="E11" s="89">
        <v>45.5852156057495</v>
      </c>
      <c r="F11" s="88">
        <v>228</v>
      </c>
      <c r="G11" s="90">
        <v>46.8172484599589</v>
      </c>
      <c r="H11" s="87">
        <v>12</v>
      </c>
      <c r="I11" s="90">
        <v>2.46406570841889</v>
      </c>
      <c r="J11" s="87">
        <v>0</v>
      </c>
      <c r="K11" s="90">
        <v>0</v>
      </c>
      <c r="L11" s="87">
        <v>0</v>
      </c>
      <c r="M11" s="90">
        <v>0</v>
      </c>
      <c r="N11" s="87">
        <v>0</v>
      </c>
      <c r="O11" s="90">
        <v>0</v>
      </c>
      <c r="P11" s="87">
        <v>0</v>
      </c>
      <c r="Q11" s="90">
        <v>0</v>
      </c>
      <c r="R11" s="87">
        <v>11</v>
      </c>
      <c r="S11" s="90">
        <v>2.25872689938398</v>
      </c>
      <c r="T11" s="87">
        <v>11</v>
      </c>
      <c r="U11" s="90">
        <v>2.25872689938398</v>
      </c>
      <c r="V11" s="87">
        <v>0</v>
      </c>
      <c r="W11" s="90">
        <v>0</v>
      </c>
      <c r="X11" s="92">
        <v>3</v>
      </c>
      <c r="Y11" s="90">
        <v>0.616016427104723</v>
      </c>
      <c r="Z11" s="33" t="str">
        <f t="shared" si="0"/>
        <v>CONGRESSGAIN</v>
      </c>
      <c r="AA11" s="94">
        <f t="shared" si="1"/>
        <v>1.23203285420945</v>
      </c>
      <c r="AB11" s="34" t="str">
        <f t="shared" si="2"/>
        <v>NARROWMARGIN</v>
      </c>
    </row>
    <row r="12" spans="1:28">
      <c r="A12" s="87">
        <v>10</v>
      </c>
      <c r="B12" s="88" t="s">
        <v>29</v>
      </c>
      <c r="C12" s="87">
        <v>752</v>
      </c>
      <c r="D12" s="88">
        <v>289</v>
      </c>
      <c r="E12" s="89">
        <v>38.4308510638298</v>
      </c>
      <c r="F12" s="88">
        <v>418</v>
      </c>
      <c r="G12" s="90">
        <v>55.5851063829787</v>
      </c>
      <c r="H12" s="87">
        <v>11</v>
      </c>
      <c r="I12" s="90">
        <v>1.46276595744681</v>
      </c>
      <c r="J12" s="87">
        <v>0</v>
      </c>
      <c r="K12" s="90">
        <v>0</v>
      </c>
      <c r="L12" s="87">
        <v>0</v>
      </c>
      <c r="M12" s="90">
        <v>0</v>
      </c>
      <c r="N12" s="87">
        <v>4</v>
      </c>
      <c r="O12" s="90">
        <v>0.531914893617021</v>
      </c>
      <c r="P12" s="87">
        <v>0</v>
      </c>
      <c r="Q12" s="90">
        <v>0</v>
      </c>
      <c r="R12" s="87">
        <v>10</v>
      </c>
      <c r="S12" s="90">
        <v>1.32978723404255</v>
      </c>
      <c r="T12" s="87">
        <v>3</v>
      </c>
      <c r="U12" s="90">
        <v>0.398936170212766</v>
      </c>
      <c r="V12" s="87">
        <v>0</v>
      </c>
      <c r="W12" s="90">
        <v>0</v>
      </c>
      <c r="X12" s="92">
        <v>17</v>
      </c>
      <c r="Y12" s="90">
        <v>2.26063829787234</v>
      </c>
      <c r="Z12" s="33" t="str">
        <f t="shared" si="0"/>
        <v>CONGRESSGAIN</v>
      </c>
      <c r="AA12" s="94">
        <f t="shared" si="1"/>
        <v>17.1542553191489</v>
      </c>
      <c r="AB12" s="35" t="str">
        <f t="shared" si="2"/>
        <v>LOWMARGIN</v>
      </c>
    </row>
    <row r="13" spans="1:28">
      <c r="A13" s="87">
        <v>11</v>
      </c>
      <c r="B13" s="88" t="s">
        <v>29</v>
      </c>
      <c r="C13" s="87">
        <v>374</v>
      </c>
      <c r="D13" s="88">
        <v>177</v>
      </c>
      <c r="E13" s="89">
        <v>47.3262032085561</v>
      </c>
      <c r="F13" s="88">
        <v>182</v>
      </c>
      <c r="G13" s="90">
        <v>48.6631016042781</v>
      </c>
      <c r="H13" s="87">
        <v>3</v>
      </c>
      <c r="I13" s="90">
        <v>0.802139037433155</v>
      </c>
      <c r="J13" s="87">
        <v>0</v>
      </c>
      <c r="K13" s="90">
        <v>0</v>
      </c>
      <c r="L13" s="87">
        <v>0</v>
      </c>
      <c r="M13" s="90">
        <v>0</v>
      </c>
      <c r="N13" s="87">
        <v>0</v>
      </c>
      <c r="O13" s="90">
        <v>0</v>
      </c>
      <c r="P13" s="87">
        <v>0</v>
      </c>
      <c r="Q13" s="90">
        <v>0</v>
      </c>
      <c r="R13" s="87">
        <v>1</v>
      </c>
      <c r="S13" s="90">
        <v>0.267379679144385</v>
      </c>
      <c r="T13" s="87">
        <v>2</v>
      </c>
      <c r="U13" s="90">
        <v>0.53475935828877</v>
      </c>
      <c r="V13" s="87">
        <v>0</v>
      </c>
      <c r="W13" s="90">
        <v>0</v>
      </c>
      <c r="X13" s="92">
        <v>9</v>
      </c>
      <c r="Y13" s="90">
        <v>2.40641711229946</v>
      </c>
      <c r="Z13" s="33" t="str">
        <f t="shared" si="0"/>
        <v>CONGRESSGAIN</v>
      </c>
      <c r="AA13" s="94">
        <f t="shared" si="1"/>
        <v>1.33689839572192</v>
      </c>
      <c r="AB13" s="34" t="str">
        <f t="shared" si="2"/>
        <v>NARROWMARGIN</v>
      </c>
    </row>
    <row r="14" spans="1:28">
      <c r="A14" s="87">
        <v>12</v>
      </c>
      <c r="B14" s="88" t="s">
        <v>29</v>
      </c>
      <c r="C14" s="87">
        <v>443</v>
      </c>
      <c r="D14" s="88">
        <v>206</v>
      </c>
      <c r="E14" s="89">
        <v>46.5011286681716</v>
      </c>
      <c r="F14" s="88">
        <v>221</v>
      </c>
      <c r="G14" s="90">
        <v>49.8871331828442</v>
      </c>
      <c r="H14" s="87">
        <v>3</v>
      </c>
      <c r="I14" s="90">
        <v>0.677200902934537</v>
      </c>
      <c r="J14" s="87">
        <v>0</v>
      </c>
      <c r="K14" s="90">
        <v>0</v>
      </c>
      <c r="L14" s="87">
        <v>0</v>
      </c>
      <c r="M14" s="90">
        <v>0</v>
      </c>
      <c r="N14" s="87">
        <v>1</v>
      </c>
      <c r="O14" s="90">
        <v>0.225733634311512</v>
      </c>
      <c r="P14" s="87">
        <v>0</v>
      </c>
      <c r="Q14" s="90">
        <v>0</v>
      </c>
      <c r="R14" s="87">
        <v>1</v>
      </c>
      <c r="S14" s="90">
        <v>0.225733634311512</v>
      </c>
      <c r="T14" s="87">
        <v>5</v>
      </c>
      <c r="U14" s="90">
        <v>1.12866817155756</v>
      </c>
      <c r="V14" s="87">
        <v>0</v>
      </c>
      <c r="W14" s="90">
        <v>0</v>
      </c>
      <c r="X14" s="92">
        <v>6</v>
      </c>
      <c r="Y14" s="90">
        <v>1.35440180586907</v>
      </c>
      <c r="Z14" s="33" t="str">
        <f t="shared" si="0"/>
        <v>CONGRESSGAIN</v>
      </c>
      <c r="AA14" s="94">
        <f t="shared" si="1"/>
        <v>3.38600451467268</v>
      </c>
      <c r="AB14" s="34" t="str">
        <f t="shared" si="2"/>
        <v>NARROWMARGIN</v>
      </c>
    </row>
    <row r="15" spans="1:28">
      <c r="A15" s="87">
        <v>13</v>
      </c>
      <c r="B15" s="88" t="s">
        <v>29</v>
      </c>
      <c r="C15" s="87">
        <v>349</v>
      </c>
      <c r="D15" s="88">
        <v>196</v>
      </c>
      <c r="E15" s="89">
        <v>56.1604584527221</v>
      </c>
      <c r="F15" s="88">
        <v>129</v>
      </c>
      <c r="G15" s="90">
        <v>36.9627507163324</v>
      </c>
      <c r="H15" s="87">
        <v>12</v>
      </c>
      <c r="I15" s="90">
        <v>3.43839541547278</v>
      </c>
      <c r="J15" s="87">
        <v>0</v>
      </c>
      <c r="K15" s="90">
        <v>0</v>
      </c>
      <c r="L15" s="87">
        <v>0</v>
      </c>
      <c r="M15" s="90">
        <v>0</v>
      </c>
      <c r="N15" s="87">
        <v>0</v>
      </c>
      <c r="O15" s="90">
        <v>0</v>
      </c>
      <c r="P15" s="87">
        <v>0</v>
      </c>
      <c r="Q15" s="90">
        <v>0</v>
      </c>
      <c r="R15" s="87">
        <v>5</v>
      </c>
      <c r="S15" s="90">
        <v>1.43266475644699</v>
      </c>
      <c r="T15" s="87">
        <v>4</v>
      </c>
      <c r="U15" s="90">
        <v>1.14613180515759</v>
      </c>
      <c r="V15" s="87">
        <v>0</v>
      </c>
      <c r="W15" s="90">
        <v>0</v>
      </c>
      <c r="X15" s="92">
        <v>3</v>
      </c>
      <c r="Y15" s="90">
        <v>0.859598853868195</v>
      </c>
      <c r="Z15" s="46" t="str">
        <f t="shared" si="0"/>
        <v>BJP GAIN</v>
      </c>
      <c r="AA15" s="94">
        <f>E15-G15</f>
        <v>19.1977077363897</v>
      </c>
      <c r="AB15" s="35" t="str">
        <f t="shared" si="2"/>
        <v>LOWMARGIN</v>
      </c>
    </row>
    <row r="16" spans="1:28">
      <c r="A16" s="87">
        <v>14</v>
      </c>
      <c r="B16" s="88" t="s">
        <v>29</v>
      </c>
      <c r="C16" s="87">
        <v>708</v>
      </c>
      <c r="D16" s="88">
        <v>311</v>
      </c>
      <c r="E16" s="89">
        <v>43.9265536723164</v>
      </c>
      <c r="F16" s="88">
        <v>367</v>
      </c>
      <c r="G16" s="90">
        <v>51.8361581920904</v>
      </c>
      <c r="H16" s="87">
        <v>2</v>
      </c>
      <c r="I16" s="90">
        <v>0.282485875706215</v>
      </c>
      <c r="J16" s="87">
        <v>0</v>
      </c>
      <c r="K16" s="90">
        <v>0</v>
      </c>
      <c r="L16" s="87">
        <v>0</v>
      </c>
      <c r="M16" s="90">
        <v>0</v>
      </c>
      <c r="N16" s="87">
        <v>2</v>
      </c>
      <c r="O16" s="90">
        <v>0.282485875706215</v>
      </c>
      <c r="P16" s="87">
        <v>0</v>
      </c>
      <c r="Q16" s="90">
        <v>0</v>
      </c>
      <c r="R16" s="87">
        <v>8</v>
      </c>
      <c r="S16" s="90">
        <v>1.12994350282486</v>
      </c>
      <c r="T16" s="87">
        <v>6</v>
      </c>
      <c r="U16" s="90">
        <v>0.847457627118644</v>
      </c>
      <c r="V16" s="87">
        <v>0</v>
      </c>
      <c r="W16" s="90">
        <v>0</v>
      </c>
      <c r="X16" s="92">
        <v>12</v>
      </c>
      <c r="Y16" s="90">
        <v>1.69491525423729</v>
      </c>
      <c r="Z16" s="33" t="str">
        <f t="shared" si="0"/>
        <v>CONGRESSGAIN</v>
      </c>
      <c r="AA16" s="94">
        <f t="shared" si="1"/>
        <v>7.90960451977401</v>
      </c>
      <c r="AB16" s="34" t="str">
        <f t="shared" si="2"/>
        <v>NARROWMARGIN</v>
      </c>
    </row>
    <row r="17" spans="1:28">
      <c r="A17" s="87">
        <v>15</v>
      </c>
      <c r="B17" s="88" t="s">
        <v>29</v>
      </c>
      <c r="C17" s="87">
        <v>806</v>
      </c>
      <c r="D17" s="88">
        <v>350</v>
      </c>
      <c r="E17" s="89">
        <v>43.424317617866</v>
      </c>
      <c r="F17" s="88">
        <v>436</v>
      </c>
      <c r="G17" s="90">
        <v>54.0942928039702</v>
      </c>
      <c r="H17" s="87">
        <v>4</v>
      </c>
      <c r="I17" s="90">
        <v>0.496277915632754</v>
      </c>
      <c r="J17" s="87">
        <v>0</v>
      </c>
      <c r="K17" s="90">
        <v>0</v>
      </c>
      <c r="L17" s="87">
        <v>0</v>
      </c>
      <c r="M17" s="90">
        <v>0</v>
      </c>
      <c r="N17" s="87">
        <v>0</v>
      </c>
      <c r="O17" s="90">
        <v>0</v>
      </c>
      <c r="P17" s="87">
        <v>0</v>
      </c>
      <c r="Q17" s="90">
        <v>0</v>
      </c>
      <c r="R17" s="87">
        <v>6</v>
      </c>
      <c r="S17" s="90">
        <v>0.744416873449131</v>
      </c>
      <c r="T17" s="87">
        <v>3</v>
      </c>
      <c r="U17" s="90">
        <v>0.372208436724566</v>
      </c>
      <c r="V17" s="87">
        <v>0</v>
      </c>
      <c r="W17" s="90">
        <v>0</v>
      </c>
      <c r="X17" s="92">
        <v>7</v>
      </c>
      <c r="Y17" s="90">
        <v>0.86848635235732</v>
      </c>
      <c r="Z17" s="33" t="str">
        <f t="shared" si="0"/>
        <v>CONGRESSGAIN</v>
      </c>
      <c r="AA17" s="94">
        <f t="shared" si="1"/>
        <v>10.6699751861042</v>
      </c>
      <c r="AB17" s="35" t="str">
        <f t="shared" si="2"/>
        <v>LOWMARGIN</v>
      </c>
    </row>
    <row r="18" spans="1:28">
      <c r="A18" s="87">
        <v>16</v>
      </c>
      <c r="B18" s="88" t="s">
        <v>29</v>
      </c>
      <c r="C18" s="87">
        <v>545</v>
      </c>
      <c r="D18" s="88">
        <v>199</v>
      </c>
      <c r="E18" s="89">
        <v>36.5137614678899</v>
      </c>
      <c r="F18" s="88">
        <v>325</v>
      </c>
      <c r="G18" s="90">
        <v>59.6330275229358</v>
      </c>
      <c r="H18" s="87">
        <v>8</v>
      </c>
      <c r="I18" s="90">
        <v>1.46788990825688</v>
      </c>
      <c r="J18" s="87">
        <v>0</v>
      </c>
      <c r="K18" s="90">
        <v>0</v>
      </c>
      <c r="L18" s="87">
        <v>0</v>
      </c>
      <c r="M18" s="90">
        <v>0</v>
      </c>
      <c r="N18" s="87">
        <v>1</v>
      </c>
      <c r="O18" s="90">
        <v>0.18348623853211</v>
      </c>
      <c r="P18" s="87">
        <v>0</v>
      </c>
      <c r="Q18" s="90">
        <v>0</v>
      </c>
      <c r="R18" s="87">
        <v>3</v>
      </c>
      <c r="S18" s="90">
        <v>0.55045871559633</v>
      </c>
      <c r="T18" s="87">
        <v>2</v>
      </c>
      <c r="U18" s="90">
        <v>0.36697247706422</v>
      </c>
      <c r="V18" s="87">
        <v>0</v>
      </c>
      <c r="W18" s="90">
        <v>0</v>
      </c>
      <c r="X18" s="92">
        <v>7</v>
      </c>
      <c r="Y18" s="90">
        <v>1.28440366972477</v>
      </c>
      <c r="Z18" s="33" t="str">
        <f t="shared" si="0"/>
        <v>CONGRESSGAIN</v>
      </c>
      <c r="AA18" s="94">
        <f t="shared" si="1"/>
        <v>23.1192660550459</v>
      </c>
      <c r="AB18" s="35" t="str">
        <f t="shared" si="2"/>
        <v>LOWMARGIN</v>
      </c>
    </row>
    <row r="19" spans="1:28">
      <c r="A19" s="87">
        <v>17</v>
      </c>
      <c r="B19" s="88" t="s">
        <v>29</v>
      </c>
      <c r="C19" s="87">
        <v>658</v>
      </c>
      <c r="D19" s="88">
        <v>272</v>
      </c>
      <c r="E19" s="89">
        <v>41.3373860182371</v>
      </c>
      <c r="F19" s="88">
        <v>354</v>
      </c>
      <c r="G19" s="90">
        <v>53.7993920972644</v>
      </c>
      <c r="H19" s="87">
        <v>10</v>
      </c>
      <c r="I19" s="90">
        <v>1.51975683890577</v>
      </c>
      <c r="J19" s="87">
        <v>0</v>
      </c>
      <c r="K19" s="90">
        <v>0</v>
      </c>
      <c r="L19" s="87">
        <v>0</v>
      </c>
      <c r="M19" s="90">
        <v>0</v>
      </c>
      <c r="N19" s="87">
        <v>0</v>
      </c>
      <c r="O19" s="90">
        <v>0</v>
      </c>
      <c r="P19" s="87">
        <v>0</v>
      </c>
      <c r="Q19" s="90">
        <v>0</v>
      </c>
      <c r="R19" s="87">
        <v>6</v>
      </c>
      <c r="S19" s="90">
        <v>0.911854103343465</v>
      </c>
      <c r="T19" s="87">
        <v>8</v>
      </c>
      <c r="U19" s="90">
        <v>1.21580547112462</v>
      </c>
      <c r="V19" s="87">
        <v>0</v>
      </c>
      <c r="W19" s="90">
        <v>0</v>
      </c>
      <c r="X19" s="92">
        <v>8</v>
      </c>
      <c r="Y19" s="90">
        <v>1.21580547112462</v>
      </c>
      <c r="Z19" s="33" t="str">
        <f t="shared" si="0"/>
        <v>CONGRESSGAIN</v>
      </c>
      <c r="AA19" s="94">
        <f t="shared" si="1"/>
        <v>12.4620060790274</v>
      </c>
      <c r="AB19" s="35" t="str">
        <f t="shared" si="2"/>
        <v>LOWMARGIN</v>
      </c>
    </row>
    <row r="20" spans="1:28">
      <c r="A20" s="87">
        <v>18</v>
      </c>
      <c r="B20" s="88" t="s">
        <v>29</v>
      </c>
      <c r="C20" s="87">
        <v>615</v>
      </c>
      <c r="D20" s="88">
        <v>265</v>
      </c>
      <c r="E20" s="89">
        <v>43.0894308943089</v>
      </c>
      <c r="F20" s="88">
        <v>309</v>
      </c>
      <c r="G20" s="90">
        <v>50.2439024390244</v>
      </c>
      <c r="H20" s="87">
        <v>6</v>
      </c>
      <c r="I20" s="90">
        <v>0.975609756097561</v>
      </c>
      <c r="J20" s="87">
        <v>0</v>
      </c>
      <c r="K20" s="90">
        <v>0</v>
      </c>
      <c r="L20" s="87">
        <v>0</v>
      </c>
      <c r="M20" s="90">
        <v>0</v>
      </c>
      <c r="N20" s="87">
        <v>1</v>
      </c>
      <c r="O20" s="90">
        <v>0.16260162601626</v>
      </c>
      <c r="P20" s="87">
        <v>0</v>
      </c>
      <c r="Q20" s="90">
        <v>0</v>
      </c>
      <c r="R20" s="87">
        <v>5</v>
      </c>
      <c r="S20" s="90">
        <v>0.813008130081301</v>
      </c>
      <c r="T20" s="87">
        <v>1</v>
      </c>
      <c r="U20" s="90">
        <v>0.16260162601626</v>
      </c>
      <c r="V20" s="87">
        <v>0</v>
      </c>
      <c r="W20" s="90">
        <v>0</v>
      </c>
      <c r="X20" s="92">
        <v>28</v>
      </c>
      <c r="Y20" s="90">
        <v>4.55284552845528</v>
      </c>
      <c r="Z20" s="33" t="str">
        <f t="shared" si="0"/>
        <v>CONGRESSGAIN</v>
      </c>
      <c r="AA20" s="94">
        <f t="shared" si="1"/>
        <v>7.15447154471545</v>
      </c>
      <c r="AB20" s="34" t="str">
        <f t="shared" si="2"/>
        <v>NARROWMARGIN</v>
      </c>
    </row>
    <row r="21" spans="1:28">
      <c r="A21" s="87">
        <v>19</v>
      </c>
      <c r="B21" s="88" t="s">
        <v>29</v>
      </c>
      <c r="C21" s="87">
        <v>400</v>
      </c>
      <c r="D21" s="88">
        <v>166</v>
      </c>
      <c r="E21" s="89">
        <v>41.5</v>
      </c>
      <c r="F21" s="88">
        <v>215</v>
      </c>
      <c r="G21" s="90">
        <v>53.75</v>
      </c>
      <c r="H21" s="87">
        <v>5</v>
      </c>
      <c r="I21" s="90">
        <v>1.25</v>
      </c>
      <c r="J21" s="87">
        <v>0</v>
      </c>
      <c r="K21" s="90">
        <v>0</v>
      </c>
      <c r="L21" s="87">
        <v>0</v>
      </c>
      <c r="M21" s="90">
        <v>0</v>
      </c>
      <c r="N21" s="87">
        <v>0</v>
      </c>
      <c r="O21" s="90">
        <v>0</v>
      </c>
      <c r="P21" s="87">
        <v>0</v>
      </c>
      <c r="Q21" s="90">
        <v>0</v>
      </c>
      <c r="R21" s="87">
        <v>2</v>
      </c>
      <c r="S21" s="90">
        <v>0.5</v>
      </c>
      <c r="T21" s="87">
        <v>3</v>
      </c>
      <c r="U21" s="90">
        <v>0.75</v>
      </c>
      <c r="V21" s="87">
        <v>0</v>
      </c>
      <c r="W21" s="90">
        <v>0</v>
      </c>
      <c r="X21" s="92">
        <v>9</v>
      </c>
      <c r="Y21" s="90">
        <v>2.25</v>
      </c>
      <c r="Z21" s="33" t="str">
        <f t="shared" si="0"/>
        <v>CONGRESSGAIN</v>
      </c>
      <c r="AA21" s="94">
        <f t="shared" si="1"/>
        <v>12.25</v>
      </c>
      <c r="AB21" s="35" t="str">
        <f t="shared" si="2"/>
        <v>LOWMARGIN</v>
      </c>
    </row>
    <row r="22" spans="1:28">
      <c r="A22" s="87">
        <v>20</v>
      </c>
      <c r="B22" s="88" t="s">
        <v>29</v>
      </c>
      <c r="C22" s="87">
        <v>521</v>
      </c>
      <c r="D22" s="88">
        <v>251</v>
      </c>
      <c r="E22" s="89">
        <v>48.1765834932822</v>
      </c>
      <c r="F22" s="88">
        <v>250</v>
      </c>
      <c r="G22" s="90">
        <v>47.9846449136276</v>
      </c>
      <c r="H22" s="87">
        <v>4</v>
      </c>
      <c r="I22" s="90">
        <v>0.767754318618042</v>
      </c>
      <c r="J22" s="87">
        <v>0</v>
      </c>
      <c r="K22" s="90">
        <v>0</v>
      </c>
      <c r="L22" s="87">
        <v>0</v>
      </c>
      <c r="M22" s="90">
        <v>0</v>
      </c>
      <c r="N22" s="87">
        <v>1</v>
      </c>
      <c r="O22" s="90">
        <v>0.191938579654511</v>
      </c>
      <c r="P22" s="87">
        <v>0</v>
      </c>
      <c r="Q22" s="90">
        <v>0</v>
      </c>
      <c r="R22" s="87">
        <v>6</v>
      </c>
      <c r="S22" s="90">
        <v>1.15163147792706</v>
      </c>
      <c r="T22" s="87">
        <v>4</v>
      </c>
      <c r="U22" s="90">
        <v>0.767754318618042</v>
      </c>
      <c r="V22" s="87">
        <v>0</v>
      </c>
      <c r="W22" s="90">
        <v>0</v>
      </c>
      <c r="X22" s="92">
        <v>5</v>
      </c>
      <c r="Y22" s="90">
        <v>0.959692898272553</v>
      </c>
      <c r="Z22" s="46" t="str">
        <f t="shared" si="0"/>
        <v>BJP GAIN</v>
      </c>
      <c r="AA22" s="94">
        <f>E22-G22</f>
        <v>0.191938579654511</v>
      </c>
      <c r="AB22" s="34" t="str">
        <f>IF(AA22&gt;=50,"VERYHIGHMARGIN",IF(AA22&gt;=40,"HIGHMARGIN",IF(AA22&gt;=30,"MEDIUMMARGIN",IF(AA22&gt;10,"LOWMARGIN",IF(AA22&lt;1,"NARROWMARGIN")))))</f>
        <v>NARROWMARGIN</v>
      </c>
    </row>
    <row r="23" spans="1:28">
      <c r="A23" s="87">
        <v>21</v>
      </c>
      <c r="B23" s="88" t="s">
        <v>29</v>
      </c>
      <c r="C23" s="87">
        <v>606</v>
      </c>
      <c r="D23" s="88">
        <v>246</v>
      </c>
      <c r="E23" s="89">
        <v>40.5940594059406</v>
      </c>
      <c r="F23" s="88">
        <v>333</v>
      </c>
      <c r="G23" s="90">
        <v>54.950495049505</v>
      </c>
      <c r="H23" s="87">
        <v>12</v>
      </c>
      <c r="I23" s="90">
        <v>1.98019801980198</v>
      </c>
      <c r="J23" s="87">
        <v>0</v>
      </c>
      <c r="K23" s="90">
        <v>0</v>
      </c>
      <c r="L23" s="87">
        <v>0</v>
      </c>
      <c r="M23" s="90">
        <v>0</v>
      </c>
      <c r="N23" s="87">
        <v>0</v>
      </c>
      <c r="O23" s="90">
        <v>0</v>
      </c>
      <c r="P23" s="87">
        <v>0</v>
      </c>
      <c r="Q23" s="90">
        <v>0</v>
      </c>
      <c r="R23" s="87">
        <v>4</v>
      </c>
      <c r="S23" s="90">
        <v>0.66006600660066</v>
      </c>
      <c r="T23" s="87">
        <v>2</v>
      </c>
      <c r="U23" s="90">
        <v>0.33003300330033</v>
      </c>
      <c r="V23" s="87">
        <v>0</v>
      </c>
      <c r="W23" s="90">
        <v>0</v>
      </c>
      <c r="X23" s="92">
        <v>9</v>
      </c>
      <c r="Y23" s="90">
        <v>1.48514851485149</v>
      </c>
      <c r="Z23" s="33" t="str">
        <f t="shared" si="0"/>
        <v>CONGRESSGAIN</v>
      </c>
      <c r="AA23" s="94">
        <f t="shared" si="1"/>
        <v>14.3564356435644</v>
      </c>
      <c r="AB23" s="35" t="str">
        <f t="shared" si="2"/>
        <v>LOWMARGIN</v>
      </c>
    </row>
    <row r="24" spans="1:28">
      <c r="A24" s="87">
        <v>22</v>
      </c>
      <c r="B24" s="88" t="s">
        <v>29</v>
      </c>
      <c r="C24" s="87">
        <v>474</v>
      </c>
      <c r="D24" s="88">
        <v>193</v>
      </c>
      <c r="E24" s="89">
        <v>40.7172995780591</v>
      </c>
      <c r="F24" s="88">
        <v>263</v>
      </c>
      <c r="G24" s="90">
        <v>55.4852320675105</v>
      </c>
      <c r="H24" s="87">
        <v>3</v>
      </c>
      <c r="I24" s="90">
        <v>0.632911392405063</v>
      </c>
      <c r="J24" s="87">
        <v>0</v>
      </c>
      <c r="K24" s="90">
        <v>0</v>
      </c>
      <c r="L24" s="87">
        <v>0</v>
      </c>
      <c r="M24" s="90">
        <v>0</v>
      </c>
      <c r="N24" s="87">
        <v>0</v>
      </c>
      <c r="O24" s="90">
        <v>0</v>
      </c>
      <c r="P24" s="87">
        <v>0</v>
      </c>
      <c r="Q24" s="90">
        <v>0</v>
      </c>
      <c r="R24" s="87">
        <v>7</v>
      </c>
      <c r="S24" s="90">
        <v>1.47679324894515</v>
      </c>
      <c r="T24" s="87">
        <v>1</v>
      </c>
      <c r="U24" s="90">
        <v>0.210970464135021</v>
      </c>
      <c r="V24" s="87">
        <v>0</v>
      </c>
      <c r="W24" s="90">
        <v>0</v>
      </c>
      <c r="X24" s="92">
        <v>7</v>
      </c>
      <c r="Y24" s="90">
        <v>1.47679324894515</v>
      </c>
      <c r="Z24" s="33" t="str">
        <f t="shared" si="0"/>
        <v>CONGRESSGAIN</v>
      </c>
      <c r="AA24" s="94">
        <f t="shared" si="1"/>
        <v>14.7679324894515</v>
      </c>
      <c r="AB24" s="35" t="str">
        <f t="shared" si="2"/>
        <v>LOWMARGIN</v>
      </c>
    </row>
    <row r="25" spans="1:28">
      <c r="A25" s="87">
        <v>23</v>
      </c>
      <c r="B25" s="88" t="s">
        <v>29</v>
      </c>
      <c r="C25" s="87">
        <v>677</v>
      </c>
      <c r="D25" s="88">
        <v>374</v>
      </c>
      <c r="E25" s="89">
        <v>55.2437223042836</v>
      </c>
      <c r="F25" s="88">
        <v>282</v>
      </c>
      <c r="G25" s="90">
        <v>41.6543574593796</v>
      </c>
      <c r="H25" s="87">
        <v>5</v>
      </c>
      <c r="I25" s="90">
        <v>0.738552437223043</v>
      </c>
      <c r="J25" s="87">
        <v>0</v>
      </c>
      <c r="K25" s="90">
        <v>0</v>
      </c>
      <c r="L25" s="87">
        <v>0</v>
      </c>
      <c r="M25" s="90">
        <v>0</v>
      </c>
      <c r="N25" s="87">
        <v>0</v>
      </c>
      <c r="O25" s="90">
        <v>0</v>
      </c>
      <c r="P25" s="87">
        <v>0</v>
      </c>
      <c r="Q25" s="90">
        <v>0</v>
      </c>
      <c r="R25" s="87">
        <v>3</v>
      </c>
      <c r="S25" s="90">
        <v>0.443131462333826</v>
      </c>
      <c r="T25" s="87">
        <v>6</v>
      </c>
      <c r="U25" s="90">
        <v>0.886262924667651</v>
      </c>
      <c r="V25" s="87">
        <v>0</v>
      </c>
      <c r="W25" s="90">
        <v>0</v>
      </c>
      <c r="X25" s="92">
        <v>7</v>
      </c>
      <c r="Y25" s="90">
        <v>1.03397341211226</v>
      </c>
      <c r="Z25" s="46" t="str">
        <f t="shared" si="0"/>
        <v>BJP GAIN</v>
      </c>
      <c r="AA25" s="94">
        <f>E25-G25</f>
        <v>13.589364844904</v>
      </c>
      <c r="AB25" s="35" t="str">
        <f t="shared" si="2"/>
        <v>LOWMARGIN</v>
      </c>
    </row>
    <row r="26" spans="1:28">
      <c r="A26" s="87">
        <v>24</v>
      </c>
      <c r="B26" s="88" t="s">
        <v>29</v>
      </c>
      <c r="C26" s="87">
        <v>472</v>
      </c>
      <c r="D26" s="88">
        <v>219</v>
      </c>
      <c r="E26" s="89">
        <v>46.3983050847458</v>
      </c>
      <c r="F26" s="88">
        <v>227</v>
      </c>
      <c r="G26" s="90">
        <v>48.0932203389831</v>
      </c>
      <c r="H26" s="87">
        <v>6</v>
      </c>
      <c r="I26" s="90">
        <v>1.27118644067797</v>
      </c>
      <c r="J26" s="87">
        <v>0</v>
      </c>
      <c r="K26" s="90">
        <v>0</v>
      </c>
      <c r="L26" s="87">
        <v>0</v>
      </c>
      <c r="M26" s="90">
        <v>0</v>
      </c>
      <c r="N26" s="87">
        <v>0</v>
      </c>
      <c r="O26" s="90">
        <v>0</v>
      </c>
      <c r="P26" s="87">
        <v>0</v>
      </c>
      <c r="Q26" s="90">
        <v>0</v>
      </c>
      <c r="R26" s="87">
        <v>9</v>
      </c>
      <c r="S26" s="90">
        <v>1.90677966101695</v>
      </c>
      <c r="T26" s="87">
        <v>4</v>
      </c>
      <c r="U26" s="90">
        <v>0.847457627118644</v>
      </c>
      <c r="V26" s="87">
        <v>0</v>
      </c>
      <c r="W26" s="90">
        <v>0</v>
      </c>
      <c r="X26" s="92">
        <v>7</v>
      </c>
      <c r="Y26" s="90">
        <v>1.48305084745763</v>
      </c>
      <c r="Z26" s="33" t="str">
        <f t="shared" si="0"/>
        <v>CONGRESSGAIN</v>
      </c>
      <c r="AA26" s="94">
        <f t="shared" si="1"/>
        <v>1.69491525423729</v>
      </c>
      <c r="AB26" s="34" t="str">
        <f t="shared" si="2"/>
        <v>NARROWMARGIN</v>
      </c>
    </row>
    <row r="27" spans="1:28">
      <c r="A27" s="87">
        <v>25</v>
      </c>
      <c r="B27" s="88" t="s">
        <v>29</v>
      </c>
      <c r="C27" s="87">
        <v>504</v>
      </c>
      <c r="D27" s="88">
        <v>211</v>
      </c>
      <c r="E27" s="89">
        <v>41.8650793650794</v>
      </c>
      <c r="F27" s="88">
        <v>255</v>
      </c>
      <c r="G27" s="90">
        <v>50.5952380952381</v>
      </c>
      <c r="H27" s="87">
        <v>9</v>
      </c>
      <c r="I27" s="90">
        <v>1.78571428571429</v>
      </c>
      <c r="J27" s="87">
        <v>0</v>
      </c>
      <c r="K27" s="90">
        <v>0</v>
      </c>
      <c r="L27" s="87">
        <v>0</v>
      </c>
      <c r="M27" s="90">
        <v>0</v>
      </c>
      <c r="N27" s="87">
        <v>0</v>
      </c>
      <c r="O27" s="90">
        <v>0</v>
      </c>
      <c r="P27" s="87">
        <v>0</v>
      </c>
      <c r="Q27" s="90">
        <v>0</v>
      </c>
      <c r="R27" s="87">
        <v>17</v>
      </c>
      <c r="S27" s="90">
        <v>3.37301587301587</v>
      </c>
      <c r="T27" s="87">
        <v>4</v>
      </c>
      <c r="U27" s="90">
        <v>0.793650793650794</v>
      </c>
      <c r="V27" s="87">
        <v>0</v>
      </c>
      <c r="W27" s="90">
        <v>0</v>
      </c>
      <c r="X27" s="92">
        <v>8</v>
      </c>
      <c r="Y27" s="90">
        <v>1.58730158730159</v>
      </c>
      <c r="Z27" s="33" t="str">
        <f t="shared" si="0"/>
        <v>CONGRESSGAIN</v>
      </c>
      <c r="AA27" s="94">
        <f t="shared" si="1"/>
        <v>8.73015873015873</v>
      </c>
      <c r="AB27" s="34" t="str">
        <f t="shared" si="2"/>
        <v>NARROWMARGIN</v>
      </c>
    </row>
    <row r="28" spans="1:28">
      <c r="A28" s="87">
        <v>26</v>
      </c>
      <c r="B28" s="88" t="s">
        <v>29</v>
      </c>
      <c r="C28" s="87">
        <v>800</v>
      </c>
      <c r="D28" s="88">
        <v>424</v>
      </c>
      <c r="E28" s="89">
        <v>53</v>
      </c>
      <c r="F28" s="88">
        <v>305</v>
      </c>
      <c r="G28" s="90">
        <v>38.125</v>
      </c>
      <c r="H28" s="87">
        <v>9</v>
      </c>
      <c r="I28" s="90">
        <v>1.125</v>
      </c>
      <c r="J28" s="87">
        <v>0</v>
      </c>
      <c r="K28" s="90">
        <v>0</v>
      </c>
      <c r="L28" s="87">
        <v>0</v>
      </c>
      <c r="M28" s="90">
        <v>0</v>
      </c>
      <c r="N28" s="87">
        <v>0</v>
      </c>
      <c r="O28" s="90">
        <v>0</v>
      </c>
      <c r="P28" s="87">
        <v>0</v>
      </c>
      <c r="Q28" s="90">
        <v>0</v>
      </c>
      <c r="R28" s="87">
        <v>31</v>
      </c>
      <c r="S28" s="90">
        <v>3.875</v>
      </c>
      <c r="T28" s="87">
        <v>15</v>
      </c>
      <c r="U28" s="90">
        <v>1.875</v>
      </c>
      <c r="V28" s="87">
        <v>0</v>
      </c>
      <c r="W28" s="90">
        <v>0</v>
      </c>
      <c r="X28" s="92">
        <v>16</v>
      </c>
      <c r="Y28" s="90">
        <v>2</v>
      </c>
      <c r="Z28" s="46" t="str">
        <f t="shared" si="0"/>
        <v>BJP GAIN</v>
      </c>
      <c r="AA28" s="94">
        <f>E28-G28</f>
        <v>14.875</v>
      </c>
      <c r="AB28" s="35" t="str">
        <f t="shared" si="2"/>
        <v>LOWMARGIN</v>
      </c>
    </row>
    <row r="29" spans="1:28">
      <c r="A29" s="87">
        <v>27</v>
      </c>
      <c r="B29" s="88" t="s">
        <v>29</v>
      </c>
      <c r="C29" s="87">
        <v>831</v>
      </c>
      <c r="D29" s="88">
        <v>370</v>
      </c>
      <c r="E29" s="89">
        <v>44.5246690734055</v>
      </c>
      <c r="F29" s="88">
        <v>374</v>
      </c>
      <c r="G29" s="90">
        <v>45.0060168471721</v>
      </c>
      <c r="H29" s="87">
        <v>3</v>
      </c>
      <c r="I29" s="90">
        <v>0.36101083032491</v>
      </c>
      <c r="J29" s="87">
        <v>0</v>
      </c>
      <c r="K29" s="90">
        <v>0</v>
      </c>
      <c r="L29" s="87">
        <v>0</v>
      </c>
      <c r="M29" s="90">
        <v>0</v>
      </c>
      <c r="N29" s="87">
        <v>1</v>
      </c>
      <c r="O29" s="90">
        <v>0.120336943441637</v>
      </c>
      <c r="P29" s="87">
        <v>0</v>
      </c>
      <c r="Q29" s="90">
        <v>0</v>
      </c>
      <c r="R29" s="87">
        <v>66</v>
      </c>
      <c r="S29" s="90">
        <v>7.94223826714801</v>
      </c>
      <c r="T29" s="87">
        <v>9</v>
      </c>
      <c r="U29" s="90">
        <v>1.08303249097473</v>
      </c>
      <c r="V29" s="87">
        <v>0</v>
      </c>
      <c r="W29" s="90">
        <v>0</v>
      </c>
      <c r="X29" s="92">
        <v>8</v>
      </c>
      <c r="Y29" s="90">
        <v>0.962695547533093</v>
      </c>
      <c r="Z29" s="33" t="str">
        <f t="shared" si="0"/>
        <v>CONGRESSGAIN</v>
      </c>
      <c r="AA29" s="94">
        <f t="shared" si="1"/>
        <v>0.481347773766544</v>
      </c>
      <c r="AB29" s="34" t="str">
        <f>IF(AA29&gt;=50,"VERYHIGHMARGIN",IF(AA29&gt;=40,"HIGHMARGIN",IF(AA29&gt;=30,"MEDIUMMARGIN",IF(AA29&gt;10,"LOWMARGIN",IF(AA29&lt;1,"NARROWMARGIN")))))</f>
        <v>NARROWMARGIN</v>
      </c>
    </row>
    <row r="30" spans="1:28">
      <c r="A30" s="87">
        <v>28</v>
      </c>
      <c r="B30" s="88" t="s">
        <v>29</v>
      </c>
      <c r="C30" s="87">
        <v>858</v>
      </c>
      <c r="D30" s="88">
        <v>498</v>
      </c>
      <c r="E30" s="89">
        <v>58.041958041958</v>
      </c>
      <c r="F30" s="88">
        <v>328</v>
      </c>
      <c r="G30" s="90">
        <v>38.2284382284382</v>
      </c>
      <c r="H30" s="87">
        <v>5</v>
      </c>
      <c r="I30" s="90">
        <v>0.582750582750583</v>
      </c>
      <c r="J30" s="87">
        <v>0</v>
      </c>
      <c r="K30" s="90">
        <v>0</v>
      </c>
      <c r="L30" s="87">
        <v>0</v>
      </c>
      <c r="M30" s="90">
        <v>0</v>
      </c>
      <c r="N30" s="87">
        <v>2</v>
      </c>
      <c r="O30" s="90">
        <v>0.233100233100233</v>
      </c>
      <c r="P30" s="87">
        <v>0</v>
      </c>
      <c r="Q30" s="90">
        <v>0</v>
      </c>
      <c r="R30" s="87">
        <v>12</v>
      </c>
      <c r="S30" s="90">
        <v>1.3986013986014</v>
      </c>
      <c r="T30" s="87">
        <v>3</v>
      </c>
      <c r="U30" s="90">
        <v>0.34965034965035</v>
      </c>
      <c r="V30" s="87">
        <v>0</v>
      </c>
      <c r="W30" s="90">
        <v>0</v>
      </c>
      <c r="X30" s="92">
        <v>10</v>
      </c>
      <c r="Y30" s="90">
        <v>1.16550116550117</v>
      </c>
      <c r="Z30" s="46" t="str">
        <f t="shared" si="0"/>
        <v>BJP GAIN</v>
      </c>
      <c r="AA30" s="94">
        <f>E30-G30</f>
        <v>19.8135198135198</v>
      </c>
      <c r="AB30" s="35" t="str">
        <f t="shared" si="2"/>
        <v>LOWMARGIN</v>
      </c>
    </row>
    <row r="31" spans="1:28">
      <c r="A31" s="87">
        <v>29</v>
      </c>
      <c r="B31" s="88" t="s">
        <v>29</v>
      </c>
      <c r="C31" s="87">
        <v>929</v>
      </c>
      <c r="D31" s="88">
        <v>462</v>
      </c>
      <c r="E31" s="89">
        <v>49.7308934337998</v>
      </c>
      <c r="F31" s="88">
        <v>402</v>
      </c>
      <c r="G31" s="90">
        <v>43.2723358449946</v>
      </c>
      <c r="H31" s="87">
        <v>7</v>
      </c>
      <c r="I31" s="90">
        <v>0.753498385360603</v>
      </c>
      <c r="J31" s="87">
        <v>0</v>
      </c>
      <c r="K31" s="90">
        <v>0</v>
      </c>
      <c r="L31" s="87">
        <v>0</v>
      </c>
      <c r="M31" s="90">
        <v>0</v>
      </c>
      <c r="N31" s="87">
        <v>0</v>
      </c>
      <c r="O31" s="90">
        <v>0</v>
      </c>
      <c r="P31" s="87">
        <v>0</v>
      </c>
      <c r="Q31" s="90">
        <v>0</v>
      </c>
      <c r="R31" s="87">
        <v>42</v>
      </c>
      <c r="S31" s="90">
        <v>4.52099031216362</v>
      </c>
      <c r="T31" s="87">
        <v>7</v>
      </c>
      <c r="U31" s="90">
        <v>0.753498385360603</v>
      </c>
      <c r="V31" s="87">
        <v>0</v>
      </c>
      <c r="W31" s="90">
        <v>0</v>
      </c>
      <c r="X31" s="92">
        <v>9</v>
      </c>
      <c r="Y31" s="90">
        <v>0.968783638320775</v>
      </c>
      <c r="Z31" s="46" t="str">
        <f t="shared" si="0"/>
        <v>BJP GAIN</v>
      </c>
      <c r="AA31" s="94">
        <f>E31-G31</f>
        <v>6.45855758880517</v>
      </c>
      <c r="AB31" s="34" t="str">
        <f t="shared" si="2"/>
        <v>NARROWMARGIN</v>
      </c>
    </row>
    <row r="32" spans="1:28">
      <c r="A32" s="87">
        <v>30</v>
      </c>
      <c r="B32" s="88" t="s">
        <v>29</v>
      </c>
      <c r="C32" s="87">
        <v>630</v>
      </c>
      <c r="D32" s="88">
        <v>197</v>
      </c>
      <c r="E32" s="89">
        <v>31.2698412698413</v>
      </c>
      <c r="F32" s="88">
        <v>391</v>
      </c>
      <c r="G32" s="90">
        <v>62.0634920634921</v>
      </c>
      <c r="H32" s="87">
        <v>6</v>
      </c>
      <c r="I32" s="90">
        <v>0.952380952380952</v>
      </c>
      <c r="J32" s="87">
        <v>0</v>
      </c>
      <c r="K32" s="90">
        <v>0</v>
      </c>
      <c r="L32" s="87">
        <v>0</v>
      </c>
      <c r="M32" s="90">
        <v>0</v>
      </c>
      <c r="N32" s="87">
        <v>0</v>
      </c>
      <c r="O32" s="90">
        <v>0</v>
      </c>
      <c r="P32" s="87">
        <v>0</v>
      </c>
      <c r="Q32" s="90">
        <v>0</v>
      </c>
      <c r="R32" s="87">
        <v>26</v>
      </c>
      <c r="S32" s="90">
        <v>4.12698412698413</v>
      </c>
      <c r="T32" s="87">
        <v>6</v>
      </c>
      <c r="U32" s="90">
        <v>0.952380952380952</v>
      </c>
      <c r="V32" s="87">
        <v>0</v>
      </c>
      <c r="W32" s="90">
        <v>0</v>
      </c>
      <c r="X32" s="92">
        <v>4</v>
      </c>
      <c r="Y32" s="90">
        <v>0.634920634920635</v>
      </c>
      <c r="Z32" s="33" t="str">
        <f t="shared" si="0"/>
        <v>CONGRESSGAIN</v>
      </c>
      <c r="AA32" s="94">
        <f t="shared" si="1"/>
        <v>30.7936507936508</v>
      </c>
      <c r="AB32" s="36" t="str">
        <f t="shared" si="2"/>
        <v>MEDIUMMARGIN</v>
      </c>
    </row>
    <row r="33" spans="1:28">
      <c r="A33" s="87">
        <v>31</v>
      </c>
      <c r="B33" s="88" t="s">
        <v>29</v>
      </c>
      <c r="C33" s="87">
        <v>631</v>
      </c>
      <c r="D33" s="88">
        <v>284</v>
      </c>
      <c r="E33" s="89">
        <v>45.0079239302694</v>
      </c>
      <c r="F33" s="88">
        <v>320</v>
      </c>
      <c r="G33" s="90">
        <v>50.7131537242472</v>
      </c>
      <c r="H33" s="87">
        <v>3</v>
      </c>
      <c r="I33" s="90">
        <v>0.475435816164818</v>
      </c>
      <c r="J33" s="87">
        <v>0</v>
      </c>
      <c r="K33" s="90">
        <v>0</v>
      </c>
      <c r="L33" s="87">
        <v>0</v>
      </c>
      <c r="M33" s="90">
        <v>0</v>
      </c>
      <c r="N33" s="87">
        <v>0</v>
      </c>
      <c r="O33" s="90">
        <v>0</v>
      </c>
      <c r="P33" s="87">
        <v>0</v>
      </c>
      <c r="Q33" s="90">
        <v>0</v>
      </c>
      <c r="R33" s="87">
        <v>14</v>
      </c>
      <c r="S33" s="90">
        <v>2.21870047543582</v>
      </c>
      <c r="T33" s="87">
        <v>1</v>
      </c>
      <c r="U33" s="90">
        <v>0.158478605388273</v>
      </c>
      <c r="V33" s="87">
        <v>0</v>
      </c>
      <c r="W33" s="90">
        <v>0</v>
      </c>
      <c r="X33" s="92">
        <v>9</v>
      </c>
      <c r="Y33" s="90">
        <v>1.42630744849445</v>
      </c>
      <c r="Z33" s="33" t="str">
        <f t="shared" si="0"/>
        <v>CONGRESSGAIN</v>
      </c>
      <c r="AA33" s="94">
        <f t="shared" si="1"/>
        <v>5.70522979397781</v>
      </c>
      <c r="AB33" s="34" t="str">
        <f t="shared" si="2"/>
        <v>NARROWMARGIN</v>
      </c>
    </row>
    <row r="34" spans="1:28">
      <c r="A34" s="87">
        <v>32</v>
      </c>
      <c r="B34" s="88" t="s">
        <v>29</v>
      </c>
      <c r="C34" s="87">
        <v>817</v>
      </c>
      <c r="D34" s="88">
        <v>210</v>
      </c>
      <c r="E34" s="89">
        <v>25.703794369645</v>
      </c>
      <c r="F34" s="88">
        <v>547</v>
      </c>
      <c r="G34" s="90">
        <v>66.9522643818849</v>
      </c>
      <c r="H34" s="87">
        <v>13</v>
      </c>
      <c r="I34" s="90">
        <v>1.59118727050184</v>
      </c>
      <c r="J34" s="87">
        <v>0</v>
      </c>
      <c r="K34" s="90">
        <v>0</v>
      </c>
      <c r="L34" s="87">
        <v>0</v>
      </c>
      <c r="M34" s="90">
        <v>0</v>
      </c>
      <c r="N34" s="87">
        <v>1</v>
      </c>
      <c r="O34" s="90">
        <v>0.122399020807834</v>
      </c>
      <c r="P34" s="87">
        <v>0</v>
      </c>
      <c r="Q34" s="90">
        <v>0</v>
      </c>
      <c r="R34" s="87">
        <v>31</v>
      </c>
      <c r="S34" s="90">
        <v>3.79436964504284</v>
      </c>
      <c r="T34" s="87">
        <v>4</v>
      </c>
      <c r="U34" s="90">
        <v>0.489596083231334</v>
      </c>
      <c r="V34" s="87">
        <v>0</v>
      </c>
      <c r="W34" s="90">
        <v>0</v>
      </c>
      <c r="X34" s="92">
        <v>11</v>
      </c>
      <c r="Y34" s="90">
        <v>1.34638922888617</v>
      </c>
      <c r="Z34" s="33" t="str">
        <f t="shared" si="0"/>
        <v>CONGRESSGAIN</v>
      </c>
      <c r="AA34" s="94">
        <f t="shared" si="1"/>
        <v>41.2484700122399</v>
      </c>
      <c r="AB34" s="95" t="str">
        <f t="shared" si="2"/>
        <v>HIGHMARGIN</v>
      </c>
    </row>
    <row r="35" spans="1:28">
      <c r="A35" s="87">
        <v>33</v>
      </c>
      <c r="B35" s="88" t="s">
        <v>29</v>
      </c>
      <c r="C35" s="87">
        <v>621</v>
      </c>
      <c r="D35" s="88">
        <v>234</v>
      </c>
      <c r="E35" s="89">
        <v>37.6811594202899</v>
      </c>
      <c r="F35" s="88">
        <v>348</v>
      </c>
      <c r="G35" s="90">
        <v>56.0386473429952</v>
      </c>
      <c r="H35" s="87">
        <v>11</v>
      </c>
      <c r="I35" s="90">
        <v>1.77133655394525</v>
      </c>
      <c r="J35" s="87">
        <v>0</v>
      </c>
      <c r="K35" s="90">
        <v>0</v>
      </c>
      <c r="L35" s="87">
        <v>0</v>
      </c>
      <c r="M35" s="90">
        <v>0</v>
      </c>
      <c r="N35" s="87">
        <v>0</v>
      </c>
      <c r="O35" s="90">
        <v>0</v>
      </c>
      <c r="P35" s="87">
        <v>0</v>
      </c>
      <c r="Q35" s="90">
        <v>0</v>
      </c>
      <c r="R35" s="87">
        <v>14</v>
      </c>
      <c r="S35" s="90">
        <v>2.25442834138486</v>
      </c>
      <c r="T35" s="87">
        <v>5</v>
      </c>
      <c r="U35" s="90">
        <v>0.805152979066023</v>
      </c>
      <c r="V35" s="87">
        <v>0</v>
      </c>
      <c r="W35" s="90">
        <v>0</v>
      </c>
      <c r="X35" s="92">
        <v>9</v>
      </c>
      <c r="Y35" s="90">
        <v>1.44927536231884</v>
      </c>
      <c r="Z35" s="33" t="str">
        <f t="shared" si="0"/>
        <v>CONGRESSGAIN</v>
      </c>
      <c r="AA35" s="94">
        <f t="shared" si="1"/>
        <v>18.3574879227053</v>
      </c>
      <c r="AB35" s="35" t="str">
        <f t="shared" si="2"/>
        <v>LOWMARGIN</v>
      </c>
    </row>
    <row r="36" spans="1:28">
      <c r="A36" s="87">
        <v>34</v>
      </c>
      <c r="B36" s="88" t="s">
        <v>29</v>
      </c>
      <c r="C36" s="87">
        <v>886</v>
      </c>
      <c r="D36" s="88">
        <v>322</v>
      </c>
      <c r="E36" s="89">
        <v>36.3431151241535</v>
      </c>
      <c r="F36" s="88">
        <v>497</v>
      </c>
      <c r="G36" s="90">
        <v>56.0948081264108</v>
      </c>
      <c r="H36" s="87">
        <v>15</v>
      </c>
      <c r="I36" s="90">
        <v>1.69300225733634</v>
      </c>
      <c r="J36" s="87">
        <v>0</v>
      </c>
      <c r="K36" s="90">
        <v>0</v>
      </c>
      <c r="L36" s="87">
        <v>0</v>
      </c>
      <c r="M36" s="90">
        <v>0</v>
      </c>
      <c r="N36" s="87">
        <v>3</v>
      </c>
      <c r="O36" s="90">
        <v>0.338600451467269</v>
      </c>
      <c r="P36" s="87">
        <v>0</v>
      </c>
      <c r="Q36" s="90">
        <v>0</v>
      </c>
      <c r="R36" s="87">
        <v>9</v>
      </c>
      <c r="S36" s="90">
        <v>1.01580135440181</v>
      </c>
      <c r="T36" s="87">
        <v>10</v>
      </c>
      <c r="U36" s="90">
        <v>1.12866817155756</v>
      </c>
      <c r="V36" s="87">
        <v>0</v>
      </c>
      <c r="W36" s="90">
        <v>0</v>
      </c>
      <c r="X36" s="92">
        <v>30</v>
      </c>
      <c r="Y36" s="90">
        <v>3.38600451467269</v>
      </c>
      <c r="Z36" s="33" t="str">
        <f t="shared" si="0"/>
        <v>CONGRESSGAIN</v>
      </c>
      <c r="AA36" s="94">
        <f t="shared" si="1"/>
        <v>19.7516930022573</v>
      </c>
      <c r="AB36" s="35" t="str">
        <f t="shared" si="2"/>
        <v>LOWMARGIN</v>
      </c>
    </row>
    <row r="37" spans="1:28">
      <c r="A37" s="87">
        <v>35</v>
      </c>
      <c r="B37" s="88" t="s">
        <v>29</v>
      </c>
      <c r="C37" s="87">
        <v>752</v>
      </c>
      <c r="D37" s="88">
        <v>340</v>
      </c>
      <c r="E37" s="89">
        <v>45.2127659574468</v>
      </c>
      <c r="F37" s="88">
        <v>376</v>
      </c>
      <c r="G37" s="90">
        <v>50</v>
      </c>
      <c r="H37" s="87">
        <v>8</v>
      </c>
      <c r="I37" s="90">
        <v>1.06382978723404</v>
      </c>
      <c r="J37" s="87">
        <v>0</v>
      </c>
      <c r="K37" s="90">
        <v>0</v>
      </c>
      <c r="L37" s="87">
        <v>0</v>
      </c>
      <c r="M37" s="90">
        <v>0</v>
      </c>
      <c r="N37" s="87">
        <v>0</v>
      </c>
      <c r="O37" s="90">
        <v>0</v>
      </c>
      <c r="P37" s="87">
        <v>0</v>
      </c>
      <c r="Q37" s="90">
        <v>0</v>
      </c>
      <c r="R37" s="87">
        <v>12</v>
      </c>
      <c r="S37" s="90">
        <v>1.59574468085106</v>
      </c>
      <c r="T37" s="87">
        <v>4</v>
      </c>
      <c r="U37" s="90">
        <v>0.531914893617021</v>
      </c>
      <c r="V37" s="87">
        <v>0</v>
      </c>
      <c r="W37" s="90">
        <v>0</v>
      </c>
      <c r="X37" s="92">
        <v>12</v>
      </c>
      <c r="Y37" s="90">
        <v>1.59574468085106</v>
      </c>
      <c r="Z37" s="33" t="str">
        <f t="shared" si="0"/>
        <v>CONGRESSGAIN</v>
      </c>
      <c r="AA37" s="94">
        <f t="shared" si="1"/>
        <v>4.78723404255319</v>
      </c>
      <c r="AB37" s="34" t="str">
        <f t="shared" si="2"/>
        <v>NARROWMARGIN</v>
      </c>
    </row>
    <row r="38" spans="1:28">
      <c r="A38" s="87">
        <v>36</v>
      </c>
      <c r="B38" s="88" t="s">
        <v>29</v>
      </c>
      <c r="C38" s="87">
        <v>665</v>
      </c>
      <c r="D38" s="88">
        <v>230</v>
      </c>
      <c r="E38" s="89">
        <v>34.5864661654135</v>
      </c>
      <c r="F38" s="88">
        <v>408</v>
      </c>
      <c r="G38" s="90">
        <v>61.3533834586466</v>
      </c>
      <c r="H38" s="87">
        <v>6</v>
      </c>
      <c r="I38" s="90">
        <v>0.902255639097744</v>
      </c>
      <c r="J38" s="87">
        <v>0</v>
      </c>
      <c r="K38" s="90">
        <v>0</v>
      </c>
      <c r="L38" s="87">
        <v>0</v>
      </c>
      <c r="M38" s="90">
        <v>0</v>
      </c>
      <c r="N38" s="87">
        <v>0</v>
      </c>
      <c r="O38" s="90">
        <v>0</v>
      </c>
      <c r="P38" s="87">
        <v>0</v>
      </c>
      <c r="Q38" s="90">
        <v>0</v>
      </c>
      <c r="R38" s="87">
        <v>8</v>
      </c>
      <c r="S38" s="90">
        <v>1.20300751879699</v>
      </c>
      <c r="T38" s="87">
        <v>5</v>
      </c>
      <c r="U38" s="90">
        <v>0.75187969924812</v>
      </c>
      <c r="V38" s="87">
        <v>0</v>
      </c>
      <c r="W38" s="90">
        <v>0</v>
      </c>
      <c r="X38" s="92">
        <v>8</v>
      </c>
      <c r="Y38" s="90">
        <v>1.20300751879699</v>
      </c>
      <c r="Z38" s="33" t="str">
        <f t="shared" si="0"/>
        <v>CONGRESSGAIN</v>
      </c>
      <c r="AA38" s="94">
        <f t="shared" si="1"/>
        <v>26.7669172932331</v>
      </c>
      <c r="AB38" s="35" t="str">
        <f t="shared" si="2"/>
        <v>LOWMARGIN</v>
      </c>
    </row>
    <row r="39" spans="1:28">
      <c r="A39" s="87">
        <v>37</v>
      </c>
      <c r="B39" s="88" t="s">
        <v>29</v>
      </c>
      <c r="C39" s="87">
        <v>762</v>
      </c>
      <c r="D39" s="88">
        <v>206</v>
      </c>
      <c r="E39" s="89">
        <v>27.0341207349081</v>
      </c>
      <c r="F39" s="88">
        <v>533</v>
      </c>
      <c r="G39" s="90">
        <v>69.9475065616798</v>
      </c>
      <c r="H39" s="87">
        <v>6</v>
      </c>
      <c r="I39" s="90">
        <v>0.78740157480315</v>
      </c>
      <c r="J39" s="87">
        <v>0</v>
      </c>
      <c r="K39" s="90">
        <v>0</v>
      </c>
      <c r="L39" s="87">
        <v>0</v>
      </c>
      <c r="M39" s="90">
        <v>0</v>
      </c>
      <c r="N39" s="87">
        <v>0</v>
      </c>
      <c r="O39" s="90">
        <v>0</v>
      </c>
      <c r="P39" s="87">
        <v>0</v>
      </c>
      <c r="Q39" s="90">
        <v>0</v>
      </c>
      <c r="R39" s="87">
        <v>6</v>
      </c>
      <c r="S39" s="90">
        <v>0.78740157480315</v>
      </c>
      <c r="T39" s="87">
        <v>1</v>
      </c>
      <c r="U39" s="90">
        <v>0.131233595800525</v>
      </c>
      <c r="V39" s="87">
        <v>0</v>
      </c>
      <c r="W39" s="90">
        <v>0</v>
      </c>
      <c r="X39" s="92">
        <v>10</v>
      </c>
      <c r="Y39" s="90">
        <v>1.31233595800525</v>
      </c>
      <c r="Z39" s="33" t="str">
        <f t="shared" si="0"/>
        <v>CONGRESSGAIN</v>
      </c>
      <c r="AA39" s="94">
        <f t="shared" si="1"/>
        <v>42.9133858267717</v>
      </c>
      <c r="AB39" s="95" t="str">
        <f t="shared" si="2"/>
        <v>HIGHMARGIN</v>
      </c>
    </row>
    <row r="40" spans="1:28">
      <c r="A40" s="87">
        <v>38</v>
      </c>
      <c r="B40" s="88" t="s">
        <v>29</v>
      </c>
      <c r="C40" s="87">
        <v>599</v>
      </c>
      <c r="D40" s="88">
        <v>208</v>
      </c>
      <c r="E40" s="89">
        <v>34.7245409015025</v>
      </c>
      <c r="F40" s="88">
        <v>369</v>
      </c>
      <c r="G40" s="90">
        <v>61.6026711185309</v>
      </c>
      <c r="H40" s="87">
        <v>4</v>
      </c>
      <c r="I40" s="90">
        <v>0.667779632721202</v>
      </c>
      <c r="J40" s="87">
        <v>0</v>
      </c>
      <c r="K40" s="90">
        <v>0</v>
      </c>
      <c r="L40" s="87">
        <v>0</v>
      </c>
      <c r="M40" s="90">
        <v>0</v>
      </c>
      <c r="N40" s="87">
        <v>0</v>
      </c>
      <c r="O40" s="90">
        <v>0</v>
      </c>
      <c r="P40" s="87">
        <v>0</v>
      </c>
      <c r="Q40" s="90">
        <v>0</v>
      </c>
      <c r="R40" s="87">
        <v>9</v>
      </c>
      <c r="S40" s="90">
        <v>1.5025041736227</v>
      </c>
      <c r="T40" s="87">
        <v>2</v>
      </c>
      <c r="U40" s="90">
        <v>0.333889816360601</v>
      </c>
      <c r="V40" s="87">
        <v>0</v>
      </c>
      <c r="W40" s="90">
        <v>0</v>
      </c>
      <c r="X40" s="92">
        <v>7</v>
      </c>
      <c r="Y40" s="90">
        <v>1.1686143572621</v>
      </c>
      <c r="Z40" s="33" t="str">
        <f t="shared" si="0"/>
        <v>CONGRESSGAIN</v>
      </c>
      <c r="AA40" s="94">
        <f t="shared" si="1"/>
        <v>26.8781302170284</v>
      </c>
      <c r="AB40" s="35" t="str">
        <f t="shared" si="2"/>
        <v>LOWMARGIN</v>
      </c>
    </row>
    <row r="41" spans="1:28">
      <c r="A41" s="87">
        <v>39</v>
      </c>
      <c r="B41" s="88" t="s">
        <v>29</v>
      </c>
      <c r="C41" s="87">
        <v>559</v>
      </c>
      <c r="D41" s="88">
        <v>283</v>
      </c>
      <c r="E41" s="89">
        <v>50.6261180679785</v>
      </c>
      <c r="F41" s="88">
        <v>244</v>
      </c>
      <c r="G41" s="90">
        <v>43.649373881932</v>
      </c>
      <c r="H41" s="87">
        <v>4</v>
      </c>
      <c r="I41" s="90">
        <v>0.715563506261181</v>
      </c>
      <c r="J41" s="87">
        <v>0</v>
      </c>
      <c r="K41" s="90">
        <v>0</v>
      </c>
      <c r="L41" s="87">
        <v>0</v>
      </c>
      <c r="M41" s="90">
        <v>0</v>
      </c>
      <c r="N41" s="87">
        <v>0</v>
      </c>
      <c r="O41" s="90">
        <v>0</v>
      </c>
      <c r="P41" s="87">
        <v>0</v>
      </c>
      <c r="Q41" s="90">
        <v>0</v>
      </c>
      <c r="R41" s="87">
        <v>11</v>
      </c>
      <c r="S41" s="90">
        <v>1.96779964221825</v>
      </c>
      <c r="T41" s="87">
        <v>4</v>
      </c>
      <c r="U41" s="90">
        <v>0.715563506261181</v>
      </c>
      <c r="V41" s="87">
        <v>0</v>
      </c>
      <c r="W41" s="90">
        <v>0</v>
      </c>
      <c r="X41" s="92">
        <v>13</v>
      </c>
      <c r="Y41" s="90">
        <v>2.32558139534884</v>
      </c>
      <c r="Z41" s="46" t="str">
        <f t="shared" si="0"/>
        <v>BJP GAIN</v>
      </c>
      <c r="AA41" s="94">
        <f>E41-G41</f>
        <v>6.97674418604651</v>
      </c>
      <c r="AB41" s="34" t="str">
        <f t="shared" si="2"/>
        <v>NARROWMARGIN</v>
      </c>
    </row>
    <row r="42" spans="1:28">
      <c r="A42" s="87">
        <v>40</v>
      </c>
      <c r="B42" s="88" t="s">
        <v>29</v>
      </c>
      <c r="C42" s="87">
        <v>534</v>
      </c>
      <c r="D42" s="88">
        <v>228</v>
      </c>
      <c r="E42" s="89">
        <v>42.6966292134831</v>
      </c>
      <c r="F42" s="88">
        <v>273</v>
      </c>
      <c r="G42" s="90">
        <v>51.123595505618</v>
      </c>
      <c r="H42" s="87">
        <v>2</v>
      </c>
      <c r="I42" s="90">
        <v>0.374531835205993</v>
      </c>
      <c r="J42" s="87">
        <v>0</v>
      </c>
      <c r="K42" s="90">
        <v>0</v>
      </c>
      <c r="L42" s="87">
        <v>0</v>
      </c>
      <c r="M42" s="90">
        <v>0</v>
      </c>
      <c r="N42" s="87">
        <v>0</v>
      </c>
      <c r="O42" s="90">
        <v>0</v>
      </c>
      <c r="P42" s="87">
        <v>0</v>
      </c>
      <c r="Q42" s="90">
        <v>0</v>
      </c>
      <c r="R42" s="87">
        <v>15</v>
      </c>
      <c r="S42" s="90">
        <v>2.80898876404494</v>
      </c>
      <c r="T42" s="87">
        <v>0</v>
      </c>
      <c r="U42" s="90">
        <v>0</v>
      </c>
      <c r="V42" s="87">
        <v>0</v>
      </c>
      <c r="W42" s="90">
        <v>0</v>
      </c>
      <c r="X42" s="92">
        <v>16</v>
      </c>
      <c r="Y42" s="90">
        <v>2.99625468164794</v>
      </c>
      <c r="Z42" s="33" t="str">
        <f t="shared" si="0"/>
        <v>CONGRESSGAIN</v>
      </c>
      <c r="AA42" s="94">
        <f t="shared" si="1"/>
        <v>8.42696629213483</v>
      </c>
      <c r="AB42" s="34" t="str">
        <f t="shared" si="2"/>
        <v>NARROWMARGIN</v>
      </c>
    </row>
    <row r="43" spans="1:28">
      <c r="A43" s="87">
        <v>41</v>
      </c>
      <c r="B43" s="88" t="s">
        <v>29</v>
      </c>
      <c r="C43" s="87">
        <v>631</v>
      </c>
      <c r="D43" s="88">
        <v>276</v>
      </c>
      <c r="E43" s="89">
        <v>43.7400950871632</v>
      </c>
      <c r="F43" s="88">
        <v>314</v>
      </c>
      <c r="G43" s="90">
        <v>49.7622820919176</v>
      </c>
      <c r="H43" s="87">
        <v>10</v>
      </c>
      <c r="I43" s="90">
        <v>1.58478605388273</v>
      </c>
      <c r="J43" s="87">
        <v>0</v>
      </c>
      <c r="K43" s="90">
        <v>0</v>
      </c>
      <c r="L43" s="87">
        <v>0</v>
      </c>
      <c r="M43" s="90">
        <v>0</v>
      </c>
      <c r="N43" s="87">
        <v>2</v>
      </c>
      <c r="O43" s="90">
        <v>0.316957210776545</v>
      </c>
      <c r="P43" s="87">
        <v>0</v>
      </c>
      <c r="Q43" s="90">
        <v>0</v>
      </c>
      <c r="R43" s="87">
        <v>13</v>
      </c>
      <c r="S43" s="90">
        <v>2.06022187004754</v>
      </c>
      <c r="T43" s="87">
        <v>2</v>
      </c>
      <c r="U43" s="90">
        <v>0.316957210776545</v>
      </c>
      <c r="V43" s="87">
        <v>0</v>
      </c>
      <c r="W43" s="90">
        <v>0</v>
      </c>
      <c r="X43" s="92">
        <v>14</v>
      </c>
      <c r="Y43" s="90">
        <v>2.21870047543582</v>
      </c>
      <c r="Z43" s="33" t="str">
        <f t="shared" si="0"/>
        <v>CONGRESSGAIN</v>
      </c>
      <c r="AA43" s="94">
        <f t="shared" si="1"/>
        <v>6.02218700475436</v>
      </c>
      <c r="AB43" s="34" t="str">
        <f t="shared" si="2"/>
        <v>NARROWMARGIN</v>
      </c>
    </row>
    <row r="44" spans="1:28">
      <c r="A44" s="87">
        <v>42</v>
      </c>
      <c r="B44" s="88" t="s">
        <v>29</v>
      </c>
      <c r="C44" s="87">
        <v>832</v>
      </c>
      <c r="D44" s="88">
        <v>203</v>
      </c>
      <c r="E44" s="89">
        <v>24.3990384615385</v>
      </c>
      <c r="F44" s="88">
        <v>591</v>
      </c>
      <c r="G44" s="90">
        <v>71.0336538461538</v>
      </c>
      <c r="H44" s="87">
        <v>5</v>
      </c>
      <c r="I44" s="90">
        <v>0.600961538461538</v>
      </c>
      <c r="J44" s="87">
        <v>0</v>
      </c>
      <c r="K44" s="90">
        <v>0</v>
      </c>
      <c r="L44" s="87">
        <v>0</v>
      </c>
      <c r="M44" s="90">
        <v>0</v>
      </c>
      <c r="N44" s="87">
        <v>0</v>
      </c>
      <c r="O44" s="90">
        <v>0</v>
      </c>
      <c r="P44" s="87">
        <v>0</v>
      </c>
      <c r="Q44" s="90">
        <v>0</v>
      </c>
      <c r="R44" s="87">
        <v>16</v>
      </c>
      <c r="S44" s="90">
        <v>1.92307692307692</v>
      </c>
      <c r="T44" s="87">
        <v>4</v>
      </c>
      <c r="U44" s="90">
        <v>0.480769230769231</v>
      </c>
      <c r="V44" s="87">
        <v>0</v>
      </c>
      <c r="W44" s="90">
        <v>0</v>
      </c>
      <c r="X44" s="92">
        <v>13</v>
      </c>
      <c r="Y44" s="90">
        <v>1.5625</v>
      </c>
      <c r="Z44" s="33" t="str">
        <f t="shared" si="0"/>
        <v>CONGRESSGAIN</v>
      </c>
      <c r="AA44" s="94">
        <f t="shared" si="1"/>
        <v>46.6346153846154</v>
      </c>
      <c r="AB44" s="95" t="str">
        <f t="shared" si="2"/>
        <v>HIGHMARGIN</v>
      </c>
    </row>
    <row r="45" spans="1:28">
      <c r="A45" s="87">
        <v>43</v>
      </c>
      <c r="B45" s="88" t="s">
        <v>29</v>
      </c>
      <c r="C45" s="87">
        <v>785</v>
      </c>
      <c r="D45" s="88">
        <v>330</v>
      </c>
      <c r="E45" s="89">
        <v>42.0382165605096</v>
      </c>
      <c r="F45" s="88">
        <v>419</v>
      </c>
      <c r="G45" s="90">
        <v>53.375796178344</v>
      </c>
      <c r="H45" s="87">
        <v>14</v>
      </c>
      <c r="I45" s="90">
        <v>1.78343949044586</v>
      </c>
      <c r="J45" s="87">
        <v>0</v>
      </c>
      <c r="K45" s="90">
        <v>0</v>
      </c>
      <c r="L45" s="87">
        <v>0</v>
      </c>
      <c r="M45" s="90">
        <v>0</v>
      </c>
      <c r="N45" s="87">
        <v>0</v>
      </c>
      <c r="O45" s="90">
        <v>0</v>
      </c>
      <c r="P45" s="87">
        <v>0</v>
      </c>
      <c r="Q45" s="90">
        <v>0</v>
      </c>
      <c r="R45" s="87">
        <v>9</v>
      </c>
      <c r="S45" s="90">
        <v>1.14649681528662</v>
      </c>
      <c r="T45" s="87">
        <v>2</v>
      </c>
      <c r="U45" s="90">
        <v>0.254777070063694</v>
      </c>
      <c r="V45" s="87">
        <v>0</v>
      </c>
      <c r="W45" s="90">
        <v>0</v>
      </c>
      <c r="X45" s="92">
        <v>11</v>
      </c>
      <c r="Y45" s="90">
        <v>1.40127388535032</v>
      </c>
      <c r="Z45" s="33" t="str">
        <f t="shared" si="0"/>
        <v>CONGRESSGAIN</v>
      </c>
      <c r="AA45" s="94">
        <f t="shared" si="1"/>
        <v>11.3375796178344</v>
      </c>
      <c r="AB45" s="35" t="str">
        <f t="shared" si="2"/>
        <v>LOWMARGIN</v>
      </c>
    </row>
    <row r="46" spans="1:28">
      <c r="A46" s="87">
        <v>44</v>
      </c>
      <c r="B46" s="88" t="s">
        <v>29</v>
      </c>
      <c r="C46" s="87">
        <v>466</v>
      </c>
      <c r="D46" s="88">
        <v>230</v>
      </c>
      <c r="E46" s="89">
        <v>49.3562231759657</v>
      </c>
      <c r="F46" s="88">
        <v>215</v>
      </c>
      <c r="G46" s="90">
        <v>46.137339055794</v>
      </c>
      <c r="H46" s="87">
        <v>6</v>
      </c>
      <c r="I46" s="90">
        <v>1.28755364806867</v>
      </c>
      <c r="J46" s="87">
        <v>0</v>
      </c>
      <c r="K46" s="90">
        <v>0</v>
      </c>
      <c r="L46" s="87">
        <v>0</v>
      </c>
      <c r="M46" s="90">
        <v>0</v>
      </c>
      <c r="N46" s="87">
        <v>0</v>
      </c>
      <c r="O46" s="90">
        <v>0</v>
      </c>
      <c r="P46" s="87">
        <v>0</v>
      </c>
      <c r="Q46" s="90">
        <v>0</v>
      </c>
      <c r="R46" s="87">
        <v>6</v>
      </c>
      <c r="S46" s="90">
        <v>1.28755364806867</v>
      </c>
      <c r="T46" s="87">
        <v>1</v>
      </c>
      <c r="U46" s="90">
        <v>0.214592274678112</v>
      </c>
      <c r="V46" s="87">
        <v>0</v>
      </c>
      <c r="W46" s="90">
        <v>0</v>
      </c>
      <c r="X46" s="92">
        <v>8</v>
      </c>
      <c r="Y46" s="90">
        <v>1.71673819742489</v>
      </c>
      <c r="Z46" s="46" t="str">
        <f t="shared" si="0"/>
        <v>BJP GAIN</v>
      </c>
      <c r="AA46" s="94">
        <f>E46-G46</f>
        <v>3.21888412017168</v>
      </c>
      <c r="AB46" s="34" t="str">
        <f t="shared" si="2"/>
        <v>NARROWMARGIN</v>
      </c>
    </row>
    <row r="47" spans="1:28">
      <c r="A47" s="87">
        <v>45</v>
      </c>
      <c r="B47" s="88" t="s">
        <v>29</v>
      </c>
      <c r="C47" s="87">
        <v>510</v>
      </c>
      <c r="D47" s="88">
        <v>223</v>
      </c>
      <c r="E47" s="89">
        <v>43.7254901960784</v>
      </c>
      <c r="F47" s="88">
        <v>257</v>
      </c>
      <c r="G47" s="90">
        <v>50.3921568627451</v>
      </c>
      <c r="H47" s="87">
        <v>2</v>
      </c>
      <c r="I47" s="90">
        <v>0.392156862745098</v>
      </c>
      <c r="J47" s="87">
        <v>0</v>
      </c>
      <c r="K47" s="90">
        <v>0</v>
      </c>
      <c r="L47" s="87">
        <v>0</v>
      </c>
      <c r="M47" s="90">
        <v>0</v>
      </c>
      <c r="N47" s="87">
        <v>0</v>
      </c>
      <c r="O47" s="90">
        <v>0</v>
      </c>
      <c r="P47" s="87">
        <v>0</v>
      </c>
      <c r="Q47" s="90">
        <v>0</v>
      </c>
      <c r="R47" s="87">
        <v>14</v>
      </c>
      <c r="S47" s="90">
        <v>2.74509803921569</v>
      </c>
      <c r="T47" s="87">
        <v>2</v>
      </c>
      <c r="U47" s="90">
        <v>0.392156862745098</v>
      </c>
      <c r="V47" s="87">
        <v>0</v>
      </c>
      <c r="W47" s="90">
        <v>0</v>
      </c>
      <c r="X47" s="92">
        <v>12</v>
      </c>
      <c r="Y47" s="90">
        <v>2.35294117647059</v>
      </c>
      <c r="Z47" s="33" t="str">
        <f t="shared" si="0"/>
        <v>CONGRESSGAIN</v>
      </c>
      <c r="AA47" s="94">
        <f t="shared" si="1"/>
        <v>6.66666666666667</v>
      </c>
      <c r="AB47" s="34" t="str">
        <f t="shared" si="2"/>
        <v>NARROWMARGIN</v>
      </c>
    </row>
    <row r="48" spans="1:28">
      <c r="A48" s="87">
        <v>46</v>
      </c>
      <c r="B48" s="88" t="s">
        <v>29</v>
      </c>
      <c r="C48" s="87">
        <v>654</v>
      </c>
      <c r="D48" s="88">
        <v>246</v>
      </c>
      <c r="E48" s="89">
        <v>37.6146788990826</v>
      </c>
      <c r="F48" s="88">
        <v>363</v>
      </c>
      <c r="G48" s="90">
        <v>55.5045871559633</v>
      </c>
      <c r="H48" s="87">
        <v>6</v>
      </c>
      <c r="I48" s="90">
        <v>0.91743119266055</v>
      </c>
      <c r="J48" s="87">
        <v>0</v>
      </c>
      <c r="K48" s="90">
        <v>0</v>
      </c>
      <c r="L48" s="87">
        <v>0</v>
      </c>
      <c r="M48" s="90">
        <v>0</v>
      </c>
      <c r="N48" s="87">
        <v>1</v>
      </c>
      <c r="O48" s="90">
        <v>0.152905198776758</v>
      </c>
      <c r="P48" s="87">
        <v>0</v>
      </c>
      <c r="Q48" s="90">
        <v>0</v>
      </c>
      <c r="R48" s="87">
        <v>20</v>
      </c>
      <c r="S48" s="90">
        <v>3.05810397553517</v>
      </c>
      <c r="T48" s="87">
        <v>2</v>
      </c>
      <c r="U48" s="90">
        <v>0.305810397553517</v>
      </c>
      <c r="V48" s="87">
        <v>0</v>
      </c>
      <c r="W48" s="90">
        <v>0</v>
      </c>
      <c r="X48" s="92">
        <v>16</v>
      </c>
      <c r="Y48" s="90">
        <v>2.44648318042813</v>
      </c>
      <c r="Z48" s="33" t="str">
        <f t="shared" si="0"/>
        <v>CONGRESSGAIN</v>
      </c>
      <c r="AA48" s="94">
        <f t="shared" si="1"/>
        <v>17.8899082568807</v>
      </c>
      <c r="AB48" s="35" t="str">
        <f t="shared" si="2"/>
        <v>LOWMARGIN</v>
      </c>
    </row>
    <row r="49" spans="1:28">
      <c r="A49" s="87">
        <v>47</v>
      </c>
      <c r="B49" s="88" t="s">
        <v>29</v>
      </c>
      <c r="C49" s="87">
        <v>499</v>
      </c>
      <c r="D49" s="88">
        <v>273</v>
      </c>
      <c r="E49" s="89">
        <v>54.7094188376754</v>
      </c>
      <c r="F49" s="88">
        <v>204</v>
      </c>
      <c r="G49" s="90">
        <v>40.8817635270541</v>
      </c>
      <c r="H49" s="87">
        <v>8</v>
      </c>
      <c r="I49" s="90">
        <v>1.60320641282565</v>
      </c>
      <c r="J49" s="87">
        <v>0</v>
      </c>
      <c r="K49" s="90">
        <v>0</v>
      </c>
      <c r="L49" s="87">
        <v>0</v>
      </c>
      <c r="M49" s="90">
        <v>0</v>
      </c>
      <c r="N49" s="87">
        <v>0</v>
      </c>
      <c r="O49" s="90">
        <v>0</v>
      </c>
      <c r="P49" s="87">
        <v>0</v>
      </c>
      <c r="Q49" s="90">
        <v>0</v>
      </c>
      <c r="R49" s="87">
        <v>11</v>
      </c>
      <c r="S49" s="90">
        <v>2.20440881763527</v>
      </c>
      <c r="T49" s="87">
        <v>1</v>
      </c>
      <c r="U49" s="90">
        <v>0.200400801603206</v>
      </c>
      <c r="V49" s="87">
        <v>0</v>
      </c>
      <c r="W49" s="90">
        <v>0</v>
      </c>
      <c r="X49" s="92">
        <v>2</v>
      </c>
      <c r="Y49" s="90">
        <v>0.400801603206413</v>
      </c>
      <c r="Z49" s="46" t="str">
        <f t="shared" si="0"/>
        <v>BJP GAIN</v>
      </c>
      <c r="AA49" s="94">
        <f>E49-G49</f>
        <v>13.8276553106212</v>
      </c>
      <c r="AB49" s="35" t="str">
        <f t="shared" si="2"/>
        <v>LOWMARGIN</v>
      </c>
    </row>
    <row r="50" spans="1:28">
      <c r="A50" s="87">
        <v>48</v>
      </c>
      <c r="B50" s="88" t="s">
        <v>29</v>
      </c>
      <c r="C50" s="87">
        <v>831</v>
      </c>
      <c r="D50" s="88">
        <v>262</v>
      </c>
      <c r="E50" s="89">
        <v>31.5282791817088</v>
      </c>
      <c r="F50" s="88">
        <v>512</v>
      </c>
      <c r="G50" s="90">
        <v>61.6125150421179</v>
      </c>
      <c r="H50" s="87">
        <v>13</v>
      </c>
      <c r="I50" s="90">
        <v>1.56438026474128</v>
      </c>
      <c r="J50" s="87">
        <v>0</v>
      </c>
      <c r="K50" s="90">
        <v>0</v>
      </c>
      <c r="L50" s="87">
        <v>0</v>
      </c>
      <c r="M50" s="90">
        <v>0</v>
      </c>
      <c r="N50" s="87">
        <v>1</v>
      </c>
      <c r="O50" s="90">
        <v>0.120336943441637</v>
      </c>
      <c r="P50" s="87">
        <v>0</v>
      </c>
      <c r="Q50" s="90">
        <v>0</v>
      </c>
      <c r="R50" s="87">
        <v>26</v>
      </c>
      <c r="S50" s="90">
        <v>3.12876052948255</v>
      </c>
      <c r="T50" s="87">
        <v>2</v>
      </c>
      <c r="U50" s="90">
        <v>0.240673886883273</v>
      </c>
      <c r="V50" s="87">
        <v>0</v>
      </c>
      <c r="W50" s="90">
        <v>0</v>
      </c>
      <c r="X50" s="92">
        <v>15</v>
      </c>
      <c r="Y50" s="90">
        <v>1.80505415162455</v>
      </c>
      <c r="Z50" s="33" t="str">
        <f t="shared" si="0"/>
        <v>CONGRESSGAIN</v>
      </c>
      <c r="AA50" s="94">
        <f t="shared" si="1"/>
        <v>30.0842358604091</v>
      </c>
      <c r="AB50" s="36" t="str">
        <f t="shared" si="2"/>
        <v>MEDIUMMARGIN</v>
      </c>
    </row>
    <row r="51" spans="1:28">
      <c r="A51" s="87">
        <v>49</v>
      </c>
      <c r="B51" s="88" t="s">
        <v>29</v>
      </c>
      <c r="C51" s="87">
        <v>643</v>
      </c>
      <c r="D51" s="88">
        <v>235</v>
      </c>
      <c r="E51" s="89">
        <v>36.547433903577</v>
      </c>
      <c r="F51" s="88">
        <v>368</v>
      </c>
      <c r="G51" s="90">
        <v>57.2317262830482</v>
      </c>
      <c r="H51" s="87">
        <v>9</v>
      </c>
      <c r="I51" s="90">
        <v>1.39968895800933</v>
      </c>
      <c r="J51" s="87">
        <v>0</v>
      </c>
      <c r="K51" s="90">
        <v>0</v>
      </c>
      <c r="L51" s="87">
        <v>0</v>
      </c>
      <c r="M51" s="90">
        <v>0</v>
      </c>
      <c r="N51" s="87">
        <v>0</v>
      </c>
      <c r="O51" s="90">
        <v>0</v>
      </c>
      <c r="P51" s="87">
        <v>0</v>
      </c>
      <c r="Q51" s="90">
        <v>0</v>
      </c>
      <c r="R51" s="87">
        <v>27</v>
      </c>
      <c r="S51" s="90">
        <v>4.19906687402799</v>
      </c>
      <c r="T51" s="87">
        <v>1</v>
      </c>
      <c r="U51" s="90">
        <v>0.15552099533437</v>
      </c>
      <c r="V51" s="87">
        <v>0</v>
      </c>
      <c r="W51" s="90">
        <v>0</v>
      </c>
      <c r="X51" s="92">
        <v>3</v>
      </c>
      <c r="Y51" s="90">
        <v>0.46656298600311</v>
      </c>
      <c r="Z51" s="33" t="str">
        <f t="shared" si="0"/>
        <v>CONGRESSGAIN</v>
      </c>
      <c r="AA51" s="94">
        <f t="shared" si="1"/>
        <v>20.6842923794712</v>
      </c>
      <c r="AB51" s="35" t="str">
        <f t="shared" si="2"/>
        <v>LOWMARGIN</v>
      </c>
    </row>
    <row r="52" spans="1:28">
      <c r="A52" s="87">
        <v>50</v>
      </c>
      <c r="B52" s="88" t="s">
        <v>29</v>
      </c>
      <c r="C52" s="87">
        <v>447</v>
      </c>
      <c r="D52" s="88">
        <v>240</v>
      </c>
      <c r="E52" s="89">
        <v>53.6912751677852</v>
      </c>
      <c r="F52" s="88">
        <v>191</v>
      </c>
      <c r="G52" s="90">
        <v>42.7293064876958</v>
      </c>
      <c r="H52" s="87">
        <v>7</v>
      </c>
      <c r="I52" s="90">
        <v>1.56599552572707</v>
      </c>
      <c r="J52" s="87">
        <v>0</v>
      </c>
      <c r="K52" s="90">
        <v>0</v>
      </c>
      <c r="L52" s="87">
        <v>0</v>
      </c>
      <c r="M52" s="90">
        <v>0</v>
      </c>
      <c r="N52" s="87">
        <v>0</v>
      </c>
      <c r="O52" s="90">
        <v>0</v>
      </c>
      <c r="P52" s="87">
        <v>0</v>
      </c>
      <c r="Q52" s="90">
        <v>0</v>
      </c>
      <c r="R52" s="87">
        <v>4</v>
      </c>
      <c r="S52" s="90">
        <v>0.894854586129754</v>
      </c>
      <c r="T52" s="87">
        <v>1</v>
      </c>
      <c r="U52" s="90">
        <v>0.223713646532438</v>
      </c>
      <c r="V52" s="87">
        <v>0</v>
      </c>
      <c r="W52" s="90">
        <v>0</v>
      </c>
      <c r="X52" s="92">
        <v>4</v>
      </c>
      <c r="Y52" s="90">
        <v>0.894854586129754</v>
      </c>
      <c r="Z52" s="46" t="str">
        <f t="shared" si="0"/>
        <v>BJP GAIN</v>
      </c>
      <c r="AA52" s="94">
        <f>E52-G52</f>
        <v>10.9619686800895</v>
      </c>
      <c r="AB52" s="35" t="str">
        <f t="shared" si="2"/>
        <v>LOWMARGIN</v>
      </c>
    </row>
    <row r="53" spans="1:28">
      <c r="A53" s="87">
        <v>51</v>
      </c>
      <c r="B53" s="88" t="s">
        <v>29</v>
      </c>
      <c r="C53" s="87">
        <v>553</v>
      </c>
      <c r="D53" s="88">
        <v>203</v>
      </c>
      <c r="E53" s="89">
        <v>36.7088607594937</v>
      </c>
      <c r="F53" s="88">
        <v>315</v>
      </c>
      <c r="G53" s="90">
        <v>56.9620253164557</v>
      </c>
      <c r="H53" s="87">
        <v>6</v>
      </c>
      <c r="I53" s="90">
        <v>1.08499095840868</v>
      </c>
      <c r="J53" s="87">
        <v>0</v>
      </c>
      <c r="K53" s="90">
        <v>0</v>
      </c>
      <c r="L53" s="87">
        <v>0</v>
      </c>
      <c r="M53" s="90">
        <v>0</v>
      </c>
      <c r="N53" s="87">
        <v>0</v>
      </c>
      <c r="O53" s="90">
        <v>0</v>
      </c>
      <c r="P53" s="87">
        <v>0</v>
      </c>
      <c r="Q53" s="90">
        <v>0</v>
      </c>
      <c r="R53" s="87">
        <v>14</v>
      </c>
      <c r="S53" s="90">
        <v>2.53164556962025</v>
      </c>
      <c r="T53" s="87">
        <v>4</v>
      </c>
      <c r="U53" s="90">
        <v>0.723327305605787</v>
      </c>
      <c r="V53" s="87">
        <v>0</v>
      </c>
      <c r="W53" s="90">
        <v>0</v>
      </c>
      <c r="X53" s="92">
        <v>11</v>
      </c>
      <c r="Y53" s="90">
        <v>1.98915009041591</v>
      </c>
      <c r="Z53" s="33" t="str">
        <f t="shared" si="0"/>
        <v>CONGRESSGAIN</v>
      </c>
      <c r="AA53" s="94">
        <f t="shared" si="1"/>
        <v>20.253164556962</v>
      </c>
      <c r="AB53" s="35" t="str">
        <f t="shared" si="2"/>
        <v>LOWMARGIN</v>
      </c>
    </row>
    <row r="54" spans="1:28">
      <c r="A54" s="87">
        <v>52</v>
      </c>
      <c r="B54" s="88" t="s">
        <v>29</v>
      </c>
      <c r="C54" s="87">
        <v>712</v>
      </c>
      <c r="D54" s="88">
        <v>168</v>
      </c>
      <c r="E54" s="89">
        <v>23.5955056179775</v>
      </c>
      <c r="F54" s="88">
        <v>509</v>
      </c>
      <c r="G54" s="90">
        <v>71.4887640449438</v>
      </c>
      <c r="H54" s="87">
        <v>8</v>
      </c>
      <c r="I54" s="90">
        <v>1.12359550561798</v>
      </c>
      <c r="J54" s="87">
        <v>0</v>
      </c>
      <c r="K54" s="90">
        <v>0</v>
      </c>
      <c r="L54" s="87">
        <v>0</v>
      </c>
      <c r="M54" s="90">
        <v>0</v>
      </c>
      <c r="N54" s="87">
        <v>0</v>
      </c>
      <c r="O54" s="90">
        <v>0</v>
      </c>
      <c r="P54" s="87">
        <v>0</v>
      </c>
      <c r="Q54" s="90">
        <v>0</v>
      </c>
      <c r="R54" s="87">
        <v>19</v>
      </c>
      <c r="S54" s="90">
        <v>2.6685393258427</v>
      </c>
      <c r="T54" s="87">
        <v>0</v>
      </c>
      <c r="U54" s="90">
        <v>0</v>
      </c>
      <c r="V54" s="87">
        <v>0</v>
      </c>
      <c r="W54" s="90">
        <v>0</v>
      </c>
      <c r="X54" s="92">
        <v>8</v>
      </c>
      <c r="Y54" s="90">
        <v>1.12359550561798</v>
      </c>
      <c r="Z54" s="33" t="str">
        <f t="shared" si="0"/>
        <v>CONGRESSGAIN</v>
      </c>
      <c r="AA54" s="94">
        <f t="shared" si="1"/>
        <v>47.8932584269663</v>
      </c>
      <c r="AB54" s="95" t="str">
        <f t="shared" si="2"/>
        <v>HIGHMARGIN</v>
      </c>
    </row>
    <row r="55" spans="1:28">
      <c r="A55" s="87">
        <v>53</v>
      </c>
      <c r="B55" s="88" t="s">
        <v>29</v>
      </c>
      <c r="C55" s="87">
        <v>605</v>
      </c>
      <c r="D55" s="88">
        <v>297</v>
      </c>
      <c r="E55" s="89">
        <v>49.0909090909091</v>
      </c>
      <c r="F55" s="88">
        <v>275</v>
      </c>
      <c r="G55" s="90">
        <v>45.4545454545455</v>
      </c>
      <c r="H55" s="87">
        <v>6</v>
      </c>
      <c r="I55" s="90">
        <v>0.991735537190083</v>
      </c>
      <c r="J55" s="87">
        <v>0</v>
      </c>
      <c r="K55" s="90">
        <v>0</v>
      </c>
      <c r="L55" s="87">
        <v>0</v>
      </c>
      <c r="M55" s="90">
        <v>0</v>
      </c>
      <c r="N55" s="87">
        <v>0</v>
      </c>
      <c r="O55" s="90">
        <v>0</v>
      </c>
      <c r="P55" s="87">
        <v>0</v>
      </c>
      <c r="Q55" s="90">
        <v>0</v>
      </c>
      <c r="R55" s="87">
        <v>18</v>
      </c>
      <c r="S55" s="90">
        <v>2.97520661157025</v>
      </c>
      <c r="T55" s="87">
        <v>4</v>
      </c>
      <c r="U55" s="90">
        <v>0.661157024793388</v>
      </c>
      <c r="V55" s="87">
        <v>0</v>
      </c>
      <c r="W55" s="90">
        <v>0</v>
      </c>
      <c r="X55" s="92">
        <v>5</v>
      </c>
      <c r="Y55" s="90">
        <v>0.826446280991736</v>
      </c>
      <c r="Z55" s="46" t="str">
        <f t="shared" si="0"/>
        <v>BJP GAIN</v>
      </c>
      <c r="AA55" s="94">
        <f>E55-G55</f>
        <v>3.63636363636364</v>
      </c>
      <c r="AB55" s="34" t="str">
        <f t="shared" si="2"/>
        <v>NARROWMARGIN</v>
      </c>
    </row>
    <row r="56" spans="1:28">
      <c r="A56" s="87">
        <v>54</v>
      </c>
      <c r="B56" s="88" t="s">
        <v>29</v>
      </c>
      <c r="C56" s="87">
        <v>632</v>
      </c>
      <c r="D56" s="88">
        <v>403</v>
      </c>
      <c r="E56" s="89">
        <v>63.7658227848101</v>
      </c>
      <c r="F56" s="88">
        <v>212</v>
      </c>
      <c r="G56" s="90">
        <v>33.5443037974684</v>
      </c>
      <c r="H56" s="87">
        <v>3</v>
      </c>
      <c r="I56" s="90">
        <v>0.474683544303797</v>
      </c>
      <c r="J56" s="87">
        <v>0</v>
      </c>
      <c r="K56" s="90">
        <v>0</v>
      </c>
      <c r="L56" s="87">
        <v>0</v>
      </c>
      <c r="M56" s="90">
        <v>0</v>
      </c>
      <c r="N56" s="87">
        <v>0</v>
      </c>
      <c r="O56" s="90">
        <v>0</v>
      </c>
      <c r="P56" s="87">
        <v>0</v>
      </c>
      <c r="Q56" s="90">
        <v>0</v>
      </c>
      <c r="R56" s="87">
        <v>6</v>
      </c>
      <c r="S56" s="90">
        <v>0.949367088607595</v>
      </c>
      <c r="T56" s="87">
        <v>2</v>
      </c>
      <c r="U56" s="90">
        <v>0.316455696202532</v>
      </c>
      <c r="V56" s="87">
        <v>0</v>
      </c>
      <c r="W56" s="90">
        <v>0</v>
      </c>
      <c r="X56" s="92">
        <v>6</v>
      </c>
      <c r="Y56" s="90">
        <v>0.949367088607595</v>
      </c>
      <c r="Z56" s="46" t="str">
        <f t="shared" si="0"/>
        <v>BJP GAIN</v>
      </c>
      <c r="AA56" s="94">
        <f>E56-G56</f>
        <v>30.2215189873418</v>
      </c>
      <c r="AB56" s="36" t="str">
        <f t="shared" si="2"/>
        <v>MEDIUMMARGIN</v>
      </c>
    </row>
    <row r="57" spans="1:28">
      <c r="A57" s="87">
        <v>55</v>
      </c>
      <c r="B57" s="88" t="s">
        <v>29</v>
      </c>
      <c r="C57" s="87">
        <v>664</v>
      </c>
      <c r="D57" s="88">
        <v>336</v>
      </c>
      <c r="E57" s="89">
        <v>50.6024096385542</v>
      </c>
      <c r="F57" s="88">
        <v>304</v>
      </c>
      <c r="G57" s="90">
        <v>45.7831325301205</v>
      </c>
      <c r="H57" s="87">
        <v>4</v>
      </c>
      <c r="I57" s="90">
        <v>0.602409638554217</v>
      </c>
      <c r="J57" s="87">
        <v>0</v>
      </c>
      <c r="K57" s="90">
        <v>0</v>
      </c>
      <c r="L57" s="87">
        <v>0</v>
      </c>
      <c r="M57" s="90">
        <v>0</v>
      </c>
      <c r="N57" s="87">
        <v>0</v>
      </c>
      <c r="O57" s="90">
        <v>0</v>
      </c>
      <c r="P57" s="87">
        <v>0</v>
      </c>
      <c r="Q57" s="90">
        <v>0</v>
      </c>
      <c r="R57" s="87">
        <v>7</v>
      </c>
      <c r="S57" s="90">
        <v>1.05421686746988</v>
      </c>
      <c r="T57" s="87">
        <v>3</v>
      </c>
      <c r="U57" s="90">
        <v>0.451807228915663</v>
      </c>
      <c r="V57" s="87">
        <v>0</v>
      </c>
      <c r="W57" s="90">
        <v>0</v>
      </c>
      <c r="X57" s="92">
        <v>10</v>
      </c>
      <c r="Y57" s="90">
        <v>1.50602409638554</v>
      </c>
      <c r="Z57" s="46" t="str">
        <f t="shared" si="0"/>
        <v>BJP GAIN</v>
      </c>
      <c r="AA57" s="94">
        <f>E57-G57</f>
        <v>4.81927710843374</v>
      </c>
      <c r="AB57" s="34" t="str">
        <f t="shared" si="2"/>
        <v>NARROWMARGIN</v>
      </c>
    </row>
    <row r="58" spans="1:28">
      <c r="A58" s="87">
        <v>56</v>
      </c>
      <c r="B58" s="88" t="s">
        <v>29</v>
      </c>
      <c r="C58" s="87">
        <v>698</v>
      </c>
      <c r="D58" s="88">
        <v>238</v>
      </c>
      <c r="E58" s="89">
        <v>34.0974212034384</v>
      </c>
      <c r="F58" s="88">
        <v>445</v>
      </c>
      <c r="G58" s="90">
        <v>63.7535816618911</v>
      </c>
      <c r="H58" s="87">
        <v>3</v>
      </c>
      <c r="I58" s="90">
        <v>0.429799426934097</v>
      </c>
      <c r="J58" s="87">
        <v>0</v>
      </c>
      <c r="K58" s="90">
        <v>0</v>
      </c>
      <c r="L58" s="87">
        <v>0</v>
      </c>
      <c r="M58" s="90">
        <v>0</v>
      </c>
      <c r="N58" s="87">
        <v>0</v>
      </c>
      <c r="O58" s="90">
        <v>0</v>
      </c>
      <c r="P58" s="87">
        <v>0</v>
      </c>
      <c r="Q58" s="90">
        <v>0</v>
      </c>
      <c r="R58" s="87">
        <v>6</v>
      </c>
      <c r="S58" s="90">
        <v>0.859598853868195</v>
      </c>
      <c r="T58" s="87">
        <v>2</v>
      </c>
      <c r="U58" s="90">
        <v>0.286532951289398</v>
      </c>
      <c r="V58" s="87">
        <v>0</v>
      </c>
      <c r="W58" s="90">
        <v>0</v>
      </c>
      <c r="X58" s="92">
        <v>4</v>
      </c>
      <c r="Y58" s="90">
        <v>0.573065902578797</v>
      </c>
      <c r="Z58" s="33" t="str">
        <f t="shared" si="0"/>
        <v>CONGRESSGAIN</v>
      </c>
      <c r="AA58" s="94">
        <f t="shared" si="1"/>
        <v>29.6561604584527</v>
      </c>
      <c r="AB58" s="35" t="str">
        <f t="shared" si="2"/>
        <v>LOWMARGIN</v>
      </c>
    </row>
    <row r="59" spans="1:28">
      <c r="A59" s="87">
        <v>57</v>
      </c>
      <c r="B59" s="88" t="s">
        <v>29</v>
      </c>
      <c r="C59" s="87">
        <v>479</v>
      </c>
      <c r="D59" s="88">
        <v>313</v>
      </c>
      <c r="E59" s="89">
        <v>65.3444676409186</v>
      </c>
      <c r="F59" s="88">
        <v>140</v>
      </c>
      <c r="G59" s="90">
        <v>29.2275574112735</v>
      </c>
      <c r="H59" s="87">
        <v>5</v>
      </c>
      <c r="I59" s="90">
        <v>1.04384133611691</v>
      </c>
      <c r="J59" s="87">
        <v>0</v>
      </c>
      <c r="K59" s="90">
        <v>0</v>
      </c>
      <c r="L59" s="87">
        <v>0</v>
      </c>
      <c r="M59" s="90">
        <v>0</v>
      </c>
      <c r="N59" s="87">
        <v>0</v>
      </c>
      <c r="O59" s="90">
        <v>0</v>
      </c>
      <c r="P59" s="87">
        <v>0</v>
      </c>
      <c r="Q59" s="90">
        <v>0</v>
      </c>
      <c r="R59" s="87">
        <v>3</v>
      </c>
      <c r="S59" s="90">
        <v>0.626304801670146</v>
      </c>
      <c r="T59" s="87">
        <v>3</v>
      </c>
      <c r="U59" s="90">
        <v>0.626304801670146</v>
      </c>
      <c r="V59" s="87">
        <v>0</v>
      </c>
      <c r="W59" s="90">
        <v>0</v>
      </c>
      <c r="X59" s="92">
        <v>15</v>
      </c>
      <c r="Y59" s="90">
        <v>3.13152400835073</v>
      </c>
      <c r="Z59" s="46" t="str">
        <f t="shared" si="0"/>
        <v>BJP GAIN</v>
      </c>
      <c r="AA59" s="94">
        <f>E59-G59</f>
        <v>36.1169102296451</v>
      </c>
      <c r="AB59" s="36" t="str">
        <f t="shared" si="2"/>
        <v>MEDIUMMARGIN</v>
      </c>
    </row>
    <row r="60" spans="1:28">
      <c r="A60" s="87">
        <v>58</v>
      </c>
      <c r="B60" s="88" t="s">
        <v>29</v>
      </c>
      <c r="C60" s="87">
        <v>549</v>
      </c>
      <c r="D60" s="88">
        <v>342</v>
      </c>
      <c r="E60" s="89">
        <v>62.2950819672131</v>
      </c>
      <c r="F60" s="88">
        <v>190</v>
      </c>
      <c r="G60" s="90">
        <v>34.608378870674</v>
      </c>
      <c r="H60" s="87">
        <v>3</v>
      </c>
      <c r="I60" s="90">
        <v>0.546448087431694</v>
      </c>
      <c r="J60" s="87">
        <v>0</v>
      </c>
      <c r="K60" s="90">
        <v>0</v>
      </c>
      <c r="L60" s="87">
        <v>0</v>
      </c>
      <c r="M60" s="90">
        <v>0</v>
      </c>
      <c r="N60" s="87">
        <v>2</v>
      </c>
      <c r="O60" s="90">
        <v>0.364298724954463</v>
      </c>
      <c r="P60" s="87">
        <v>0</v>
      </c>
      <c r="Q60" s="90">
        <v>0</v>
      </c>
      <c r="R60" s="87">
        <v>1</v>
      </c>
      <c r="S60" s="90">
        <v>0.182149362477231</v>
      </c>
      <c r="T60" s="87">
        <v>4</v>
      </c>
      <c r="U60" s="90">
        <v>0.728597449908925</v>
      </c>
      <c r="V60" s="87">
        <v>0</v>
      </c>
      <c r="W60" s="90">
        <v>0</v>
      </c>
      <c r="X60" s="92">
        <v>7</v>
      </c>
      <c r="Y60" s="90">
        <v>1.27504553734062</v>
      </c>
      <c r="Z60" s="46" t="str">
        <f t="shared" si="0"/>
        <v>BJP GAIN</v>
      </c>
      <c r="AA60" s="94">
        <f>E60-G60</f>
        <v>27.6867030965392</v>
      </c>
      <c r="AB60" s="35" t="str">
        <f t="shared" si="2"/>
        <v>LOWMARGIN</v>
      </c>
    </row>
    <row r="61" spans="1:28">
      <c r="A61" s="87">
        <v>59</v>
      </c>
      <c r="B61" s="88" t="s">
        <v>29</v>
      </c>
      <c r="C61" s="87">
        <v>702</v>
      </c>
      <c r="D61" s="88">
        <v>331</v>
      </c>
      <c r="E61" s="89">
        <v>47.1509971509972</v>
      </c>
      <c r="F61" s="88">
        <v>346</v>
      </c>
      <c r="G61" s="90">
        <v>49.2877492877493</v>
      </c>
      <c r="H61" s="87">
        <v>4</v>
      </c>
      <c r="I61" s="90">
        <v>0.56980056980057</v>
      </c>
      <c r="J61" s="87">
        <v>0</v>
      </c>
      <c r="K61" s="90">
        <v>0</v>
      </c>
      <c r="L61" s="87">
        <v>0</v>
      </c>
      <c r="M61" s="90">
        <v>0</v>
      </c>
      <c r="N61" s="87">
        <v>0</v>
      </c>
      <c r="O61" s="90">
        <v>0</v>
      </c>
      <c r="P61" s="87">
        <v>0</v>
      </c>
      <c r="Q61" s="90">
        <v>0</v>
      </c>
      <c r="R61" s="87">
        <v>10</v>
      </c>
      <c r="S61" s="90">
        <v>1.42450142450142</v>
      </c>
      <c r="T61" s="87">
        <v>6</v>
      </c>
      <c r="U61" s="90">
        <v>0.854700854700855</v>
      </c>
      <c r="V61" s="87">
        <v>0</v>
      </c>
      <c r="W61" s="90">
        <v>0</v>
      </c>
      <c r="X61" s="92">
        <v>5</v>
      </c>
      <c r="Y61" s="90">
        <v>0.712250712250712</v>
      </c>
      <c r="Z61" s="33" t="str">
        <f t="shared" si="0"/>
        <v>CONGRESSGAIN</v>
      </c>
      <c r="AA61" s="94">
        <f t="shared" si="1"/>
        <v>2.13675213675214</v>
      </c>
      <c r="AB61" s="34" t="str">
        <f t="shared" si="2"/>
        <v>NARROWMARGIN</v>
      </c>
    </row>
    <row r="62" spans="1:28">
      <c r="A62" s="87">
        <v>60</v>
      </c>
      <c r="B62" s="88" t="s">
        <v>29</v>
      </c>
      <c r="C62" s="87">
        <v>776</v>
      </c>
      <c r="D62" s="88">
        <v>373</v>
      </c>
      <c r="E62" s="89">
        <v>48.0670103092784</v>
      </c>
      <c r="F62" s="88">
        <v>355</v>
      </c>
      <c r="G62" s="90">
        <v>45.7474226804124</v>
      </c>
      <c r="H62" s="87">
        <v>22</v>
      </c>
      <c r="I62" s="90">
        <v>2.83505154639175</v>
      </c>
      <c r="J62" s="87">
        <v>0</v>
      </c>
      <c r="K62" s="90">
        <v>0</v>
      </c>
      <c r="L62" s="87">
        <v>0</v>
      </c>
      <c r="M62" s="90">
        <v>0</v>
      </c>
      <c r="N62" s="87">
        <v>1</v>
      </c>
      <c r="O62" s="90">
        <v>0.128865979381443</v>
      </c>
      <c r="P62" s="87">
        <v>0</v>
      </c>
      <c r="Q62" s="90">
        <v>0</v>
      </c>
      <c r="R62" s="87">
        <v>13</v>
      </c>
      <c r="S62" s="90">
        <v>1.67525773195876</v>
      </c>
      <c r="T62" s="87">
        <v>5</v>
      </c>
      <c r="U62" s="90">
        <v>0.644329896907217</v>
      </c>
      <c r="V62" s="87">
        <v>0</v>
      </c>
      <c r="W62" s="90">
        <v>0</v>
      </c>
      <c r="X62" s="92">
        <v>7</v>
      </c>
      <c r="Y62" s="90">
        <v>0.902061855670103</v>
      </c>
      <c r="Z62" s="46" t="str">
        <f t="shared" si="0"/>
        <v>BJP GAIN</v>
      </c>
      <c r="AA62" s="94">
        <f t="shared" ref="AA62:AA77" si="3">E62-G62</f>
        <v>2.31958762886598</v>
      </c>
      <c r="AB62" s="34" t="str">
        <f t="shared" si="2"/>
        <v>NARROWMARGIN</v>
      </c>
    </row>
    <row r="63" spans="1:28">
      <c r="A63" s="87">
        <v>61</v>
      </c>
      <c r="B63" s="88" t="s">
        <v>29</v>
      </c>
      <c r="C63" s="87">
        <v>511</v>
      </c>
      <c r="D63" s="88">
        <v>357</v>
      </c>
      <c r="E63" s="89">
        <v>69.8630136986301</v>
      </c>
      <c r="F63" s="88">
        <v>138</v>
      </c>
      <c r="G63" s="90">
        <v>27.0058708414873</v>
      </c>
      <c r="H63" s="87">
        <v>7</v>
      </c>
      <c r="I63" s="90">
        <v>1.36986301369863</v>
      </c>
      <c r="J63" s="87">
        <v>0</v>
      </c>
      <c r="K63" s="90">
        <v>0</v>
      </c>
      <c r="L63" s="87">
        <v>0</v>
      </c>
      <c r="M63" s="90">
        <v>0</v>
      </c>
      <c r="N63" s="87">
        <v>0</v>
      </c>
      <c r="O63" s="90">
        <v>0</v>
      </c>
      <c r="P63" s="87">
        <v>0</v>
      </c>
      <c r="Q63" s="90">
        <v>0</v>
      </c>
      <c r="R63" s="87">
        <v>3</v>
      </c>
      <c r="S63" s="90">
        <v>0.587084148727984</v>
      </c>
      <c r="T63" s="87">
        <v>1</v>
      </c>
      <c r="U63" s="90">
        <v>0.195694716242661</v>
      </c>
      <c r="V63" s="87">
        <v>0</v>
      </c>
      <c r="W63" s="90">
        <v>0</v>
      </c>
      <c r="X63" s="92">
        <v>5</v>
      </c>
      <c r="Y63" s="90">
        <v>0.978473581213307</v>
      </c>
      <c r="Z63" s="46" t="str">
        <f t="shared" si="0"/>
        <v>BJP GAIN</v>
      </c>
      <c r="AA63" s="94">
        <f t="shared" si="3"/>
        <v>42.8571428571428</v>
      </c>
      <c r="AB63" s="95" t="str">
        <f t="shared" si="2"/>
        <v>HIGHMARGIN</v>
      </c>
    </row>
    <row r="64" spans="1:28">
      <c r="A64" s="87">
        <v>62</v>
      </c>
      <c r="B64" s="88" t="s">
        <v>29</v>
      </c>
      <c r="C64" s="87">
        <v>458</v>
      </c>
      <c r="D64" s="88">
        <v>239</v>
      </c>
      <c r="E64" s="89">
        <v>52.1834061135371</v>
      </c>
      <c r="F64" s="88">
        <v>194</v>
      </c>
      <c r="G64" s="90">
        <v>42.3580786026201</v>
      </c>
      <c r="H64" s="87">
        <v>7</v>
      </c>
      <c r="I64" s="90">
        <v>1.52838427947598</v>
      </c>
      <c r="J64" s="87">
        <v>0</v>
      </c>
      <c r="K64" s="90">
        <v>0</v>
      </c>
      <c r="L64" s="87">
        <v>0</v>
      </c>
      <c r="M64" s="90">
        <v>0</v>
      </c>
      <c r="N64" s="87">
        <v>0</v>
      </c>
      <c r="O64" s="90">
        <v>0</v>
      </c>
      <c r="P64" s="87">
        <v>0</v>
      </c>
      <c r="Q64" s="90">
        <v>0</v>
      </c>
      <c r="R64" s="87">
        <v>3</v>
      </c>
      <c r="S64" s="90">
        <v>0.655021834061135</v>
      </c>
      <c r="T64" s="87">
        <v>3</v>
      </c>
      <c r="U64" s="90">
        <v>0.655021834061135</v>
      </c>
      <c r="V64" s="87">
        <v>0</v>
      </c>
      <c r="W64" s="90">
        <v>0</v>
      </c>
      <c r="X64" s="92">
        <v>12</v>
      </c>
      <c r="Y64" s="90">
        <v>2.62008733624454</v>
      </c>
      <c r="Z64" s="46" t="str">
        <f t="shared" si="0"/>
        <v>BJP GAIN</v>
      </c>
      <c r="AA64" s="94">
        <f t="shared" si="3"/>
        <v>9.82532751091703</v>
      </c>
      <c r="AB64" s="34" t="str">
        <f t="shared" si="2"/>
        <v>NARROWMARGIN</v>
      </c>
    </row>
    <row r="65" spans="1:28">
      <c r="A65" s="87">
        <v>63</v>
      </c>
      <c r="B65" s="88" t="s">
        <v>29</v>
      </c>
      <c r="C65" s="87">
        <v>703</v>
      </c>
      <c r="D65" s="88">
        <v>447</v>
      </c>
      <c r="E65" s="89">
        <v>63.5846372688478</v>
      </c>
      <c r="F65" s="88">
        <v>225</v>
      </c>
      <c r="G65" s="90">
        <v>32.0056899004267</v>
      </c>
      <c r="H65" s="87">
        <v>13</v>
      </c>
      <c r="I65" s="90">
        <v>1.84921763869132</v>
      </c>
      <c r="J65" s="87">
        <v>0</v>
      </c>
      <c r="K65" s="90">
        <v>0</v>
      </c>
      <c r="L65" s="87">
        <v>0</v>
      </c>
      <c r="M65" s="90">
        <v>0</v>
      </c>
      <c r="N65" s="87">
        <v>1</v>
      </c>
      <c r="O65" s="90">
        <v>0.142247510668563</v>
      </c>
      <c r="P65" s="87">
        <v>0</v>
      </c>
      <c r="Q65" s="90">
        <v>0</v>
      </c>
      <c r="R65" s="87">
        <v>4</v>
      </c>
      <c r="S65" s="90">
        <v>0.568990042674253</v>
      </c>
      <c r="T65" s="87">
        <v>4</v>
      </c>
      <c r="U65" s="90">
        <v>0.568990042674253</v>
      </c>
      <c r="V65" s="87">
        <v>0</v>
      </c>
      <c r="W65" s="90">
        <v>0</v>
      </c>
      <c r="X65" s="92">
        <v>9</v>
      </c>
      <c r="Y65" s="90">
        <v>1.28022759601707</v>
      </c>
      <c r="Z65" s="46" t="str">
        <f t="shared" si="0"/>
        <v>BJP GAIN</v>
      </c>
      <c r="AA65" s="94">
        <f t="shared" si="3"/>
        <v>31.5789473684211</v>
      </c>
      <c r="AB65" s="36" t="str">
        <f t="shared" si="2"/>
        <v>MEDIUMMARGIN</v>
      </c>
    </row>
    <row r="66" spans="1:28">
      <c r="A66" s="87">
        <v>64</v>
      </c>
      <c r="B66" s="88" t="s">
        <v>29</v>
      </c>
      <c r="C66" s="87">
        <v>694</v>
      </c>
      <c r="D66" s="88">
        <v>513</v>
      </c>
      <c r="E66" s="89">
        <v>73.9193083573487</v>
      </c>
      <c r="F66" s="88">
        <v>151</v>
      </c>
      <c r="G66" s="90">
        <v>21.7579250720461</v>
      </c>
      <c r="H66" s="87">
        <v>11</v>
      </c>
      <c r="I66" s="90">
        <v>1.5850144092219</v>
      </c>
      <c r="J66" s="87">
        <v>0</v>
      </c>
      <c r="K66" s="90">
        <v>0</v>
      </c>
      <c r="L66" s="87">
        <v>0</v>
      </c>
      <c r="M66" s="90">
        <v>0</v>
      </c>
      <c r="N66" s="87">
        <v>1</v>
      </c>
      <c r="O66" s="90">
        <v>0.144092219020173</v>
      </c>
      <c r="P66" s="87">
        <v>0</v>
      </c>
      <c r="Q66" s="90">
        <v>0</v>
      </c>
      <c r="R66" s="87">
        <v>6</v>
      </c>
      <c r="S66" s="90">
        <v>0.864553314121037</v>
      </c>
      <c r="T66" s="87">
        <v>3</v>
      </c>
      <c r="U66" s="90">
        <v>0.432276657060519</v>
      </c>
      <c r="V66" s="87">
        <v>0</v>
      </c>
      <c r="W66" s="90">
        <v>0</v>
      </c>
      <c r="X66" s="92">
        <v>9</v>
      </c>
      <c r="Y66" s="90">
        <v>1.29682997118156</v>
      </c>
      <c r="Z66" s="46" t="str">
        <f t="shared" si="0"/>
        <v>BJP GAIN</v>
      </c>
      <c r="AA66" s="94">
        <f t="shared" si="3"/>
        <v>52.1613832853026</v>
      </c>
      <c r="AB66" s="33" t="str">
        <f t="shared" si="2"/>
        <v>VERYHIGHMARGIN</v>
      </c>
    </row>
    <row r="67" spans="1:28">
      <c r="A67" s="87">
        <v>65</v>
      </c>
      <c r="B67" s="88" t="s">
        <v>29</v>
      </c>
      <c r="C67" s="87">
        <v>675</v>
      </c>
      <c r="D67" s="88">
        <v>510</v>
      </c>
      <c r="E67" s="89">
        <v>75.5555555555556</v>
      </c>
      <c r="F67" s="88">
        <v>126</v>
      </c>
      <c r="G67" s="90">
        <v>18.6666666666667</v>
      </c>
      <c r="H67" s="87">
        <v>12</v>
      </c>
      <c r="I67" s="90">
        <v>1.77777777777778</v>
      </c>
      <c r="J67" s="87">
        <v>0</v>
      </c>
      <c r="K67" s="90">
        <v>0</v>
      </c>
      <c r="L67" s="87">
        <v>0</v>
      </c>
      <c r="M67" s="90">
        <v>0</v>
      </c>
      <c r="N67" s="87">
        <v>1</v>
      </c>
      <c r="O67" s="90">
        <v>0.148148148148148</v>
      </c>
      <c r="P67" s="87">
        <v>0</v>
      </c>
      <c r="Q67" s="90">
        <v>0</v>
      </c>
      <c r="R67" s="87">
        <v>4</v>
      </c>
      <c r="S67" s="90">
        <v>0.592592592592593</v>
      </c>
      <c r="T67" s="87">
        <v>4</v>
      </c>
      <c r="U67" s="90">
        <v>0.592592592592593</v>
      </c>
      <c r="V67" s="87">
        <v>0</v>
      </c>
      <c r="W67" s="90">
        <v>0</v>
      </c>
      <c r="X67" s="92">
        <v>18</v>
      </c>
      <c r="Y67" s="90">
        <v>2.66666666666667</v>
      </c>
      <c r="Z67" s="46" t="str">
        <f t="shared" si="0"/>
        <v>BJP GAIN</v>
      </c>
      <c r="AA67" s="94">
        <f t="shared" si="3"/>
        <v>56.8888888888889</v>
      </c>
      <c r="AB67" s="33" t="str">
        <f t="shared" si="2"/>
        <v>VERYHIGHMARGIN</v>
      </c>
    </row>
    <row r="68" spans="1:28">
      <c r="A68" s="87">
        <v>66</v>
      </c>
      <c r="B68" s="88" t="s">
        <v>29</v>
      </c>
      <c r="C68" s="87">
        <v>712</v>
      </c>
      <c r="D68" s="88">
        <v>481</v>
      </c>
      <c r="E68" s="89">
        <v>67.5561797752809</v>
      </c>
      <c r="F68" s="88">
        <v>208</v>
      </c>
      <c r="G68" s="90">
        <v>29.2134831460674</v>
      </c>
      <c r="H68" s="87">
        <v>5</v>
      </c>
      <c r="I68" s="90">
        <v>0.702247191011236</v>
      </c>
      <c r="J68" s="87">
        <v>0</v>
      </c>
      <c r="K68" s="90">
        <v>0</v>
      </c>
      <c r="L68" s="87">
        <v>0</v>
      </c>
      <c r="M68" s="90">
        <v>0</v>
      </c>
      <c r="N68" s="87">
        <v>0</v>
      </c>
      <c r="O68" s="90">
        <v>0</v>
      </c>
      <c r="P68" s="87">
        <v>0</v>
      </c>
      <c r="Q68" s="90">
        <v>0</v>
      </c>
      <c r="R68" s="87">
        <v>10</v>
      </c>
      <c r="S68" s="90">
        <v>1.40449438202247</v>
      </c>
      <c r="T68" s="87">
        <v>2</v>
      </c>
      <c r="U68" s="90">
        <v>0.280898876404494</v>
      </c>
      <c r="V68" s="87">
        <v>0</v>
      </c>
      <c r="W68" s="90">
        <v>0</v>
      </c>
      <c r="X68" s="92">
        <v>6</v>
      </c>
      <c r="Y68" s="90">
        <v>0.842696629213483</v>
      </c>
      <c r="Z68" s="46" t="str">
        <f t="shared" ref="Z68:Z131" si="4">IF(E68&gt;G68,"BJP GAIN","CONGRESSGAIN")</f>
        <v>BJP GAIN</v>
      </c>
      <c r="AA68" s="94">
        <f t="shared" si="3"/>
        <v>38.3426966292135</v>
      </c>
      <c r="AB68" s="36" t="str">
        <f t="shared" ref="AB68:AB131" si="5">IF(AA68&gt;=50,"VERYHIGHMARGIN",IF(AA68&gt;=40,"HIGHMARGIN",IF(AA68&gt;=30,"MEDIUMMARGIN",IF(AA68&gt;10,"LOWMARGIN",IF(AA68&gt;1,"NARROWMARGIN")))))</f>
        <v>MEDIUMMARGIN</v>
      </c>
    </row>
    <row r="69" spans="1:28">
      <c r="A69" s="87">
        <v>67</v>
      </c>
      <c r="B69" s="88" t="s">
        <v>29</v>
      </c>
      <c r="C69" s="87">
        <v>648</v>
      </c>
      <c r="D69" s="88">
        <v>449</v>
      </c>
      <c r="E69" s="89">
        <v>69.2901234567901</v>
      </c>
      <c r="F69" s="88">
        <v>173</v>
      </c>
      <c r="G69" s="90">
        <v>26.6975308641975</v>
      </c>
      <c r="H69" s="87">
        <v>7</v>
      </c>
      <c r="I69" s="90">
        <v>1.08024691358025</v>
      </c>
      <c r="J69" s="87">
        <v>0</v>
      </c>
      <c r="K69" s="90">
        <v>0</v>
      </c>
      <c r="L69" s="87">
        <v>0</v>
      </c>
      <c r="M69" s="90">
        <v>0</v>
      </c>
      <c r="N69" s="87">
        <v>1</v>
      </c>
      <c r="O69" s="90">
        <v>0.154320987654321</v>
      </c>
      <c r="P69" s="87">
        <v>0</v>
      </c>
      <c r="Q69" s="90">
        <v>0</v>
      </c>
      <c r="R69" s="87">
        <v>3</v>
      </c>
      <c r="S69" s="90">
        <v>0.462962962962963</v>
      </c>
      <c r="T69" s="87">
        <v>2</v>
      </c>
      <c r="U69" s="90">
        <v>0.308641975308642</v>
      </c>
      <c r="V69" s="87">
        <v>0</v>
      </c>
      <c r="W69" s="90">
        <v>0</v>
      </c>
      <c r="X69" s="92">
        <v>13</v>
      </c>
      <c r="Y69" s="90">
        <v>2.00617283950617</v>
      </c>
      <c r="Z69" s="46" t="str">
        <f t="shared" si="4"/>
        <v>BJP GAIN</v>
      </c>
      <c r="AA69" s="94">
        <f t="shared" si="3"/>
        <v>42.5925925925926</v>
      </c>
      <c r="AB69" s="95" t="str">
        <f t="shared" si="5"/>
        <v>HIGHMARGIN</v>
      </c>
    </row>
    <row r="70" spans="1:28">
      <c r="A70" s="87">
        <v>68</v>
      </c>
      <c r="B70" s="88" t="s">
        <v>29</v>
      </c>
      <c r="C70" s="87">
        <v>654</v>
      </c>
      <c r="D70" s="88">
        <v>429</v>
      </c>
      <c r="E70" s="89">
        <v>65.5963302752294</v>
      </c>
      <c r="F70" s="88">
        <v>198</v>
      </c>
      <c r="G70" s="90">
        <v>30.2752293577982</v>
      </c>
      <c r="H70" s="87">
        <v>10</v>
      </c>
      <c r="I70" s="90">
        <v>1.52905198776758</v>
      </c>
      <c r="J70" s="87">
        <v>0</v>
      </c>
      <c r="K70" s="90">
        <v>0</v>
      </c>
      <c r="L70" s="87">
        <v>0</v>
      </c>
      <c r="M70" s="90">
        <v>0</v>
      </c>
      <c r="N70" s="87">
        <v>0</v>
      </c>
      <c r="O70" s="90">
        <v>0</v>
      </c>
      <c r="P70" s="87">
        <v>0</v>
      </c>
      <c r="Q70" s="90">
        <v>0</v>
      </c>
      <c r="R70" s="87">
        <v>3</v>
      </c>
      <c r="S70" s="90">
        <v>0.458715596330275</v>
      </c>
      <c r="T70" s="87">
        <v>7</v>
      </c>
      <c r="U70" s="90">
        <v>1.07033639143731</v>
      </c>
      <c r="V70" s="87">
        <v>0</v>
      </c>
      <c r="W70" s="90">
        <v>0</v>
      </c>
      <c r="X70" s="92">
        <v>7</v>
      </c>
      <c r="Y70" s="90">
        <v>1.07033639143731</v>
      </c>
      <c r="Z70" s="46" t="str">
        <f t="shared" si="4"/>
        <v>BJP GAIN</v>
      </c>
      <c r="AA70" s="94">
        <f t="shared" si="3"/>
        <v>35.3211009174312</v>
      </c>
      <c r="AB70" s="36" t="str">
        <f t="shared" si="5"/>
        <v>MEDIUMMARGIN</v>
      </c>
    </row>
    <row r="71" spans="1:28">
      <c r="A71" s="87">
        <v>69</v>
      </c>
      <c r="B71" s="88" t="s">
        <v>29</v>
      </c>
      <c r="C71" s="87">
        <v>610</v>
      </c>
      <c r="D71" s="88">
        <v>374</v>
      </c>
      <c r="E71" s="89">
        <v>61.3114754098361</v>
      </c>
      <c r="F71" s="88">
        <v>216</v>
      </c>
      <c r="G71" s="90">
        <v>35.4098360655738</v>
      </c>
      <c r="H71" s="87">
        <v>1</v>
      </c>
      <c r="I71" s="90">
        <v>0.163934426229508</v>
      </c>
      <c r="J71" s="87">
        <v>0</v>
      </c>
      <c r="K71" s="90">
        <v>0</v>
      </c>
      <c r="L71" s="87">
        <v>0</v>
      </c>
      <c r="M71" s="90">
        <v>0</v>
      </c>
      <c r="N71" s="87">
        <v>0</v>
      </c>
      <c r="O71" s="90">
        <v>0</v>
      </c>
      <c r="P71" s="87">
        <v>0</v>
      </c>
      <c r="Q71" s="90">
        <v>0</v>
      </c>
      <c r="R71" s="87">
        <v>7</v>
      </c>
      <c r="S71" s="90">
        <v>1.14754098360656</v>
      </c>
      <c r="T71" s="87">
        <v>2</v>
      </c>
      <c r="U71" s="90">
        <v>0.327868852459016</v>
      </c>
      <c r="V71" s="87">
        <v>0</v>
      </c>
      <c r="W71" s="90">
        <v>0</v>
      </c>
      <c r="X71" s="92">
        <v>10</v>
      </c>
      <c r="Y71" s="90">
        <v>1.63934426229508</v>
      </c>
      <c r="Z71" s="46" t="str">
        <f t="shared" si="4"/>
        <v>BJP GAIN</v>
      </c>
      <c r="AA71" s="94">
        <f t="shared" si="3"/>
        <v>25.9016393442623</v>
      </c>
      <c r="AB71" s="35" t="str">
        <f t="shared" si="5"/>
        <v>LOWMARGIN</v>
      </c>
    </row>
    <row r="72" spans="1:28">
      <c r="A72" s="87">
        <v>70</v>
      </c>
      <c r="B72" s="88" t="s">
        <v>29</v>
      </c>
      <c r="C72" s="87">
        <v>707</v>
      </c>
      <c r="D72" s="88">
        <v>452</v>
      </c>
      <c r="E72" s="89">
        <v>63.9321074964639</v>
      </c>
      <c r="F72" s="88">
        <v>214</v>
      </c>
      <c r="G72" s="90">
        <v>30.2687411598303</v>
      </c>
      <c r="H72" s="87">
        <v>5</v>
      </c>
      <c r="I72" s="90">
        <v>0.707213578500707</v>
      </c>
      <c r="J72" s="87">
        <v>0</v>
      </c>
      <c r="K72" s="90">
        <v>0</v>
      </c>
      <c r="L72" s="87">
        <v>0</v>
      </c>
      <c r="M72" s="90">
        <v>0</v>
      </c>
      <c r="N72" s="87">
        <v>1</v>
      </c>
      <c r="O72" s="90">
        <v>0.141442715700141</v>
      </c>
      <c r="P72" s="87">
        <v>0</v>
      </c>
      <c r="Q72" s="90">
        <v>0</v>
      </c>
      <c r="R72" s="87">
        <v>7</v>
      </c>
      <c r="S72" s="90">
        <v>0.99009900990099</v>
      </c>
      <c r="T72" s="87">
        <v>3</v>
      </c>
      <c r="U72" s="90">
        <v>0.424328147100424</v>
      </c>
      <c r="V72" s="87">
        <v>0</v>
      </c>
      <c r="W72" s="90">
        <v>0</v>
      </c>
      <c r="X72" s="92">
        <v>25</v>
      </c>
      <c r="Y72" s="90">
        <v>3.53606789250354</v>
      </c>
      <c r="Z72" s="46" t="str">
        <f t="shared" si="4"/>
        <v>BJP GAIN</v>
      </c>
      <c r="AA72" s="94">
        <f t="shared" si="3"/>
        <v>33.6633663366337</v>
      </c>
      <c r="AB72" s="36" t="str">
        <f t="shared" si="5"/>
        <v>MEDIUMMARGIN</v>
      </c>
    </row>
    <row r="73" spans="1:28">
      <c r="A73" s="87">
        <v>71</v>
      </c>
      <c r="B73" s="88" t="s">
        <v>29</v>
      </c>
      <c r="C73" s="87">
        <v>889</v>
      </c>
      <c r="D73" s="88">
        <v>465</v>
      </c>
      <c r="E73" s="89">
        <v>52.3059617547806</v>
      </c>
      <c r="F73" s="88">
        <v>390</v>
      </c>
      <c r="G73" s="90">
        <v>43.8695163104612</v>
      </c>
      <c r="H73" s="87">
        <v>6</v>
      </c>
      <c r="I73" s="90">
        <v>0.674915635545557</v>
      </c>
      <c r="J73" s="87">
        <v>0</v>
      </c>
      <c r="K73" s="90">
        <v>0</v>
      </c>
      <c r="L73" s="87">
        <v>0</v>
      </c>
      <c r="M73" s="90">
        <v>0</v>
      </c>
      <c r="N73" s="87">
        <v>1</v>
      </c>
      <c r="O73" s="90">
        <v>0.112485939257593</v>
      </c>
      <c r="P73" s="87">
        <v>0</v>
      </c>
      <c r="Q73" s="90">
        <v>0</v>
      </c>
      <c r="R73" s="87">
        <v>5</v>
      </c>
      <c r="S73" s="90">
        <v>0.562429696287964</v>
      </c>
      <c r="T73" s="87">
        <v>5</v>
      </c>
      <c r="U73" s="90">
        <v>0.562429696287964</v>
      </c>
      <c r="V73" s="87">
        <v>0</v>
      </c>
      <c r="W73" s="90">
        <v>0</v>
      </c>
      <c r="X73" s="92">
        <v>17</v>
      </c>
      <c r="Y73" s="90">
        <v>1.91226096737908</v>
      </c>
      <c r="Z73" s="46" t="str">
        <f t="shared" si="4"/>
        <v>BJP GAIN</v>
      </c>
      <c r="AA73" s="94">
        <f t="shared" si="3"/>
        <v>8.43644544431946</v>
      </c>
      <c r="AB73" s="34" t="str">
        <f t="shared" si="5"/>
        <v>NARROWMARGIN</v>
      </c>
    </row>
    <row r="74" spans="1:28">
      <c r="A74" s="87">
        <v>72</v>
      </c>
      <c r="B74" s="88" t="s">
        <v>29</v>
      </c>
      <c r="C74" s="87">
        <v>912</v>
      </c>
      <c r="D74" s="88">
        <v>578</v>
      </c>
      <c r="E74" s="89">
        <v>63.3771929824561</v>
      </c>
      <c r="F74" s="88">
        <v>287</v>
      </c>
      <c r="G74" s="90">
        <v>31.469298245614</v>
      </c>
      <c r="H74" s="87">
        <v>5</v>
      </c>
      <c r="I74" s="90">
        <v>0.548245614035088</v>
      </c>
      <c r="J74" s="87">
        <v>0</v>
      </c>
      <c r="K74" s="90">
        <v>0</v>
      </c>
      <c r="L74" s="87">
        <v>0</v>
      </c>
      <c r="M74" s="90">
        <v>0</v>
      </c>
      <c r="N74" s="87">
        <v>1</v>
      </c>
      <c r="O74" s="90">
        <v>0.109649122807018</v>
      </c>
      <c r="P74" s="87">
        <v>0</v>
      </c>
      <c r="Q74" s="90">
        <v>0</v>
      </c>
      <c r="R74" s="87">
        <v>2</v>
      </c>
      <c r="S74" s="90">
        <v>0.219298245614035</v>
      </c>
      <c r="T74" s="87">
        <v>6</v>
      </c>
      <c r="U74" s="90">
        <v>0.657894736842105</v>
      </c>
      <c r="V74" s="87">
        <v>0</v>
      </c>
      <c r="W74" s="90">
        <v>0</v>
      </c>
      <c r="X74" s="92">
        <v>33</v>
      </c>
      <c r="Y74" s="90">
        <v>3.61842105263158</v>
      </c>
      <c r="Z74" s="46" t="str">
        <f t="shared" si="4"/>
        <v>BJP GAIN</v>
      </c>
      <c r="AA74" s="94">
        <f t="shared" si="3"/>
        <v>31.9078947368421</v>
      </c>
      <c r="AB74" s="36" t="str">
        <f t="shared" si="5"/>
        <v>MEDIUMMARGIN</v>
      </c>
    </row>
    <row r="75" spans="1:28">
      <c r="A75" s="87">
        <v>73</v>
      </c>
      <c r="B75" s="88" t="s">
        <v>29</v>
      </c>
      <c r="C75" s="87">
        <v>564</v>
      </c>
      <c r="D75" s="88">
        <v>373</v>
      </c>
      <c r="E75" s="89">
        <v>66.1347517730496</v>
      </c>
      <c r="F75" s="88">
        <v>176</v>
      </c>
      <c r="G75" s="90">
        <v>31.2056737588652</v>
      </c>
      <c r="H75" s="87">
        <v>4</v>
      </c>
      <c r="I75" s="90">
        <v>0.709219858156028</v>
      </c>
      <c r="J75" s="87">
        <v>0</v>
      </c>
      <c r="K75" s="90">
        <v>0</v>
      </c>
      <c r="L75" s="87">
        <v>0</v>
      </c>
      <c r="M75" s="90">
        <v>0</v>
      </c>
      <c r="N75" s="87">
        <v>0</v>
      </c>
      <c r="O75" s="90">
        <v>0</v>
      </c>
      <c r="P75" s="87">
        <v>0</v>
      </c>
      <c r="Q75" s="90">
        <v>0</v>
      </c>
      <c r="R75" s="87">
        <v>4</v>
      </c>
      <c r="S75" s="90">
        <v>0.709219858156028</v>
      </c>
      <c r="T75" s="87">
        <v>1</v>
      </c>
      <c r="U75" s="90">
        <v>0.177304964539007</v>
      </c>
      <c r="V75" s="87">
        <v>0</v>
      </c>
      <c r="W75" s="90">
        <v>0</v>
      </c>
      <c r="X75" s="92">
        <v>6</v>
      </c>
      <c r="Y75" s="90">
        <v>1.06382978723404</v>
      </c>
      <c r="Z75" s="46" t="str">
        <f t="shared" si="4"/>
        <v>BJP GAIN</v>
      </c>
      <c r="AA75" s="94">
        <f t="shared" si="3"/>
        <v>34.9290780141844</v>
      </c>
      <c r="AB75" s="36" t="str">
        <f t="shared" si="5"/>
        <v>MEDIUMMARGIN</v>
      </c>
    </row>
    <row r="76" spans="1:28">
      <c r="A76" s="87">
        <v>74</v>
      </c>
      <c r="B76" s="88" t="s">
        <v>29</v>
      </c>
      <c r="C76" s="87">
        <v>780</v>
      </c>
      <c r="D76" s="88">
        <v>478</v>
      </c>
      <c r="E76" s="89">
        <v>61.2820512820513</v>
      </c>
      <c r="F76" s="88">
        <v>279</v>
      </c>
      <c r="G76" s="90">
        <v>35.7692307692308</v>
      </c>
      <c r="H76" s="87">
        <v>2</v>
      </c>
      <c r="I76" s="90">
        <v>0.256410256410256</v>
      </c>
      <c r="J76" s="87">
        <v>0</v>
      </c>
      <c r="K76" s="90">
        <v>0</v>
      </c>
      <c r="L76" s="87">
        <v>0</v>
      </c>
      <c r="M76" s="90">
        <v>0</v>
      </c>
      <c r="N76" s="87">
        <v>1</v>
      </c>
      <c r="O76" s="90">
        <v>0.128205128205128</v>
      </c>
      <c r="P76" s="87">
        <v>0</v>
      </c>
      <c r="Q76" s="90">
        <v>0</v>
      </c>
      <c r="R76" s="87">
        <v>4</v>
      </c>
      <c r="S76" s="90">
        <v>0.512820512820513</v>
      </c>
      <c r="T76" s="87">
        <v>4</v>
      </c>
      <c r="U76" s="90">
        <v>0.512820512820513</v>
      </c>
      <c r="V76" s="87">
        <v>0</v>
      </c>
      <c r="W76" s="90">
        <v>0</v>
      </c>
      <c r="X76" s="92">
        <v>12</v>
      </c>
      <c r="Y76" s="90">
        <v>1.53846153846154</v>
      </c>
      <c r="Z76" s="46" t="str">
        <f t="shared" si="4"/>
        <v>BJP GAIN</v>
      </c>
      <c r="AA76" s="94">
        <f t="shared" si="3"/>
        <v>25.5128205128205</v>
      </c>
      <c r="AB76" s="35" t="str">
        <f t="shared" si="5"/>
        <v>LOWMARGIN</v>
      </c>
    </row>
    <row r="77" spans="1:28">
      <c r="A77" s="87">
        <v>75</v>
      </c>
      <c r="B77" s="88" t="s">
        <v>29</v>
      </c>
      <c r="C77" s="87">
        <v>975</v>
      </c>
      <c r="D77" s="88">
        <v>519</v>
      </c>
      <c r="E77" s="89">
        <v>53.2307692307692</v>
      </c>
      <c r="F77" s="88">
        <v>427</v>
      </c>
      <c r="G77" s="90">
        <v>43.7948717948718</v>
      </c>
      <c r="H77" s="87">
        <v>7</v>
      </c>
      <c r="I77" s="90">
        <v>0.717948717948718</v>
      </c>
      <c r="J77" s="87">
        <v>0</v>
      </c>
      <c r="K77" s="90">
        <v>0</v>
      </c>
      <c r="L77" s="87">
        <v>0</v>
      </c>
      <c r="M77" s="90">
        <v>0</v>
      </c>
      <c r="N77" s="87">
        <v>0</v>
      </c>
      <c r="O77" s="90">
        <v>0</v>
      </c>
      <c r="P77" s="87">
        <v>0</v>
      </c>
      <c r="Q77" s="90">
        <v>0</v>
      </c>
      <c r="R77" s="87">
        <v>8</v>
      </c>
      <c r="S77" s="90">
        <v>0.82051282051282</v>
      </c>
      <c r="T77" s="87">
        <v>4</v>
      </c>
      <c r="U77" s="90">
        <v>0.41025641025641</v>
      </c>
      <c r="V77" s="87">
        <v>0</v>
      </c>
      <c r="W77" s="90">
        <v>0</v>
      </c>
      <c r="X77" s="92">
        <v>10</v>
      </c>
      <c r="Y77" s="90">
        <v>1.02564102564103</v>
      </c>
      <c r="Z77" s="46" t="str">
        <f t="shared" si="4"/>
        <v>BJP GAIN</v>
      </c>
      <c r="AA77" s="94">
        <f t="shared" si="3"/>
        <v>9.43589743589744</v>
      </c>
      <c r="AB77" s="34" t="str">
        <f t="shared" si="5"/>
        <v>NARROWMARGIN</v>
      </c>
    </row>
    <row r="78" spans="1:28">
      <c r="A78" s="87">
        <v>76</v>
      </c>
      <c r="B78" s="88" t="s">
        <v>29</v>
      </c>
      <c r="C78" s="87">
        <v>533</v>
      </c>
      <c r="D78" s="88">
        <v>245</v>
      </c>
      <c r="E78" s="89">
        <v>45.9662288930582</v>
      </c>
      <c r="F78" s="88">
        <v>270</v>
      </c>
      <c r="G78" s="90">
        <v>50.656660412758</v>
      </c>
      <c r="H78" s="87">
        <v>4</v>
      </c>
      <c r="I78" s="90">
        <v>0.75046904315197</v>
      </c>
      <c r="J78" s="87">
        <v>0</v>
      </c>
      <c r="K78" s="90">
        <v>0</v>
      </c>
      <c r="L78" s="87">
        <v>0</v>
      </c>
      <c r="M78" s="90">
        <v>0</v>
      </c>
      <c r="N78" s="87">
        <v>0</v>
      </c>
      <c r="O78" s="90">
        <v>0</v>
      </c>
      <c r="P78" s="87">
        <v>0</v>
      </c>
      <c r="Q78" s="90">
        <v>0</v>
      </c>
      <c r="R78" s="87">
        <v>9</v>
      </c>
      <c r="S78" s="90">
        <v>1.68855534709193</v>
      </c>
      <c r="T78" s="87">
        <v>2</v>
      </c>
      <c r="U78" s="90">
        <v>0.375234521575985</v>
      </c>
      <c r="V78" s="87">
        <v>0</v>
      </c>
      <c r="W78" s="90">
        <v>0</v>
      </c>
      <c r="X78" s="92">
        <v>3</v>
      </c>
      <c r="Y78" s="90">
        <v>0.562851782363977</v>
      </c>
      <c r="Z78" s="33" t="str">
        <f t="shared" si="4"/>
        <v>CONGRESSGAIN</v>
      </c>
      <c r="AA78" s="94">
        <f t="shared" ref="AA78:AA141" si="6">G78-E78</f>
        <v>4.69043151969981</v>
      </c>
      <c r="AB78" s="34" t="str">
        <f t="shared" si="5"/>
        <v>NARROWMARGIN</v>
      </c>
    </row>
    <row r="79" spans="1:28">
      <c r="A79" s="87">
        <v>77</v>
      </c>
      <c r="B79" s="88" t="s">
        <v>29</v>
      </c>
      <c r="C79" s="87">
        <v>751</v>
      </c>
      <c r="D79" s="88">
        <v>373</v>
      </c>
      <c r="E79" s="89">
        <v>49.6671105193076</v>
      </c>
      <c r="F79" s="88">
        <v>354</v>
      </c>
      <c r="G79" s="90">
        <v>47.1371504660453</v>
      </c>
      <c r="H79" s="87">
        <v>6</v>
      </c>
      <c r="I79" s="90">
        <v>0.798934753661784</v>
      </c>
      <c r="J79" s="87">
        <v>0</v>
      </c>
      <c r="K79" s="90">
        <v>0</v>
      </c>
      <c r="L79" s="87">
        <v>0</v>
      </c>
      <c r="M79" s="90">
        <v>0</v>
      </c>
      <c r="N79" s="87">
        <v>1</v>
      </c>
      <c r="O79" s="90">
        <v>0.133155792276964</v>
      </c>
      <c r="P79" s="87">
        <v>0</v>
      </c>
      <c r="Q79" s="90">
        <v>0</v>
      </c>
      <c r="R79" s="87">
        <v>4</v>
      </c>
      <c r="S79" s="90">
        <v>0.532623169107856</v>
      </c>
      <c r="T79" s="87">
        <v>7</v>
      </c>
      <c r="U79" s="90">
        <v>0.932090545938748</v>
      </c>
      <c r="V79" s="87">
        <v>0</v>
      </c>
      <c r="W79" s="90">
        <v>0</v>
      </c>
      <c r="X79" s="92">
        <v>6</v>
      </c>
      <c r="Y79" s="90">
        <v>0.798934753661784</v>
      </c>
      <c r="Z79" s="46" t="str">
        <f t="shared" si="4"/>
        <v>BJP GAIN</v>
      </c>
      <c r="AA79" s="94">
        <f>E79-G79</f>
        <v>2.52996005326231</v>
      </c>
      <c r="AB79" s="34" t="str">
        <f t="shared" si="5"/>
        <v>NARROWMARGIN</v>
      </c>
    </row>
    <row r="80" spans="1:28">
      <c r="A80" s="87">
        <v>78</v>
      </c>
      <c r="B80" s="88" t="s">
        <v>29</v>
      </c>
      <c r="C80" s="87">
        <v>420</v>
      </c>
      <c r="D80" s="88">
        <v>227</v>
      </c>
      <c r="E80" s="89">
        <v>54.047619047619</v>
      </c>
      <c r="F80" s="88">
        <v>176</v>
      </c>
      <c r="G80" s="90">
        <v>41.9047619047619</v>
      </c>
      <c r="H80" s="87">
        <v>4</v>
      </c>
      <c r="I80" s="90">
        <v>0.952380952380952</v>
      </c>
      <c r="J80" s="87">
        <v>0</v>
      </c>
      <c r="K80" s="90">
        <v>0</v>
      </c>
      <c r="L80" s="87">
        <v>0</v>
      </c>
      <c r="M80" s="90">
        <v>0</v>
      </c>
      <c r="N80" s="87">
        <v>0</v>
      </c>
      <c r="O80" s="90">
        <v>0</v>
      </c>
      <c r="P80" s="87">
        <v>0</v>
      </c>
      <c r="Q80" s="90">
        <v>0</v>
      </c>
      <c r="R80" s="87">
        <v>8</v>
      </c>
      <c r="S80" s="90">
        <v>1.9047619047619</v>
      </c>
      <c r="T80" s="87">
        <v>2</v>
      </c>
      <c r="U80" s="90">
        <v>0.476190476190476</v>
      </c>
      <c r="V80" s="87">
        <v>0</v>
      </c>
      <c r="W80" s="90">
        <v>0</v>
      </c>
      <c r="X80" s="92">
        <v>3</v>
      </c>
      <c r="Y80" s="90">
        <v>0.714285714285714</v>
      </c>
      <c r="Z80" s="46" t="str">
        <f t="shared" si="4"/>
        <v>BJP GAIN</v>
      </c>
      <c r="AA80" s="94">
        <f>E80-G80</f>
        <v>12.1428571428571</v>
      </c>
      <c r="AB80" s="35" t="str">
        <f t="shared" si="5"/>
        <v>LOWMARGIN</v>
      </c>
    </row>
    <row r="81" spans="1:28">
      <c r="A81" s="87">
        <v>79</v>
      </c>
      <c r="B81" s="88" t="s">
        <v>29</v>
      </c>
      <c r="C81" s="87">
        <v>679</v>
      </c>
      <c r="D81" s="88">
        <v>307</v>
      </c>
      <c r="E81" s="89">
        <v>45.2135493372607</v>
      </c>
      <c r="F81" s="88">
        <v>349</v>
      </c>
      <c r="G81" s="90">
        <v>51.39911634757</v>
      </c>
      <c r="H81" s="87">
        <v>9</v>
      </c>
      <c r="I81" s="90">
        <v>1.32547864506627</v>
      </c>
      <c r="J81" s="87">
        <v>0</v>
      </c>
      <c r="K81" s="90">
        <v>0</v>
      </c>
      <c r="L81" s="87">
        <v>0</v>
      </c>
      <c r="M81" s="90">
        <v>0</v>
      </c>
      <c r="N81" s="87">
        <v>0</v>
      </c>
      <c r="O81" s="90">
        <v>0</v>
      </c>
      <c r="P81" s="87">
        <v>0</v>
      </c>
      <c r="Q81" s="90">
        <v>0</v>
      </c>
      <c r="R81" s="87">
        <v>7</v>
      </c>
      <c r="S81" s="90">
        <v>1.03092783505155</v>
      </c>
      <c r="T81" s="87">
        <v>0</v>
      </c>
      <c r="U81" s="90">
        <v>0</v>
      </c>
      <c r="V81" s="87">
        <v>0</v>
      </c>
      <c r="W81" s="90">
        <v>0</v>
      </c>
      <c r="X81" s="92">
        <v>7</v>
      </c>
      <c r="Y81" s="90">
        <v>1.03092783505155</v>
      </c>
      <c r="Z81" s="33" t="str">
        <f t="shared" si="4"/>
        <v>CONGRESSGAIN</v>
      </c>
      <c r="AA81" s="94">
        <f t="shared" si="6"/>
        <v>6.18556701030928</v>
      </c>
      <c r="AB81" s="34" t="str">
        <f t="shared" si="5"/>
        <v>NARROWMARGIN</v>
      </c>
    </row>
    <row r="82" spans="1:28">
      <c r="A82" s="87">
        <v>80</v>
      </c>
      <c r="B82" s="88" t="s">
        <v>29</v>
      </c>
      <c r="C82" s="87">
        <v>976</v>
      </c>
      <c r="D82" s="88">
        <v>583</v>
      </c>
      <c r="E82" s="89">
        <v>59.7336065573771</v>
      </c>
      <c r="F82" s="88">
        <v>353</v>
      </c>
      <c r="G82" s="90">
        <v>36.1680327868852</v>
      </c>
      <c r="H82" s="87">
        <v>7</v>
      </c>
      <c r="I82" s="90">
        <v>0.717213114754098</v>
      </c>
      <c r="J82" s="87">
        <v>0</v>
      </c>
      <c r="K82" s="90">
        <v>0</v>
      </c>
      <c r="L82" s="87">
        <v>0</v>
      </c>
      <c r="M82" s="90">
        <v>0</v>
      </c>
      <c r="N82" s="87">
        <v>0</v>
      </c>
      <c r="O82" s="90">
        <v>0</v>
      </c>
      <c r="P82" s="87">
        <v>0</v>
      </c>
      <c r="Q82" s="90">
        <v>0</v>
      </c>
      <c r="R82" s="87">
        <v>6</v>
      </c>
      <c r="S82" s="90">
        <v>0.614754098360656</v>
      </c>
      <c r="T82" s="87">
        <v>4</v>
      </c>
      <c r="U82" s="90">
        <v>0.409836065573771</v>
      </c>
      <c r="V82" s="87">
        <v>0</v>
      </c>
      <c r="W82" s="90">
        <v>0</v>
      </c>
      <c r="X82" s="92">
        <v>23</v>
      </c>
      <c r="Y82" s="90">
        <v>2.35655737704918</v>
      </c>
      <c r="Z82" s="46" t="str">
        <f t="shared" si="4"/>
        <v>BJP GAIN</v>
      </c>
      <c r="AA82" s="94">
        <f>E82-G82</f>
        <v>23.5655737704918</v>
      </c>
      <c r="AB82" s="35" t="str">
        <f t="shared" si="5"/>
        <v>LOWMARGIN</v>
      </c>
    </row>
    <row r="83" spans="1:28">
      <c r="A83" s="87">
        <v>81</v>
      </c>
      <c r="B83" s="88" t="s">
        <v>29</v>
      </c>
      <c r="C83" s="87">
        <v>650</v>
      </c>
      <c r="D83" s="88">
        <v>274</v>
      </c>
      <c r="E83" s="89">
        <v>42.1538461538462</v>
      </c>
      <c r="F83" s="88">
        <v>338</v>
      </c>
      <c r="G83" s="90">
        <v>52</v>
      </c>
      <c r="H83" s="87">
        <v>5</v>
      </c>
      <c r="I83" s="90">
        <v>0.769230769230769</v>
      </c>
      <c r="J83" s="87">
        <v>0</v>
      </c>
      <c r="K83" s="90">
        <v>0</v>
      </c>
      <c r="L83" s="87">
        <v>0</v>
      </c>
      <c r="M83" s="90">
        <v>0</v>
      </c>
      <c r="N83" s="87">
        <v>1</v>
      </c>
      <c r="O83" s="90">
        <v>0.153846153846154</v>
      </c>
      <c r="P83" s="87">
        <v>0</v>
      </c>
      <c r="Q83" s="90">
        <v>0</v>
      </c>
      <c r="R83" s="87">
        <v>10</v>
      </c>
      <c r="S83" s="90">
        <v>1.53846153846154</v>
      </c>
      <c r="T83" s="87">
        <v>0</v>
      </c>
      <c r="U83" s="90">
        <v>0</v>
      </c>
      <c r="V83" s="87">
        <v>0</v>
      </c>
      <c r="W83" s="90">
        <v>0</v>
      </c>
      <c r="X83" s="92">
        <v>22</v>
      </c>
      <c r="Y83" s="90">
        <v>3.38461538461538</v>
      </c>
      <c r="Z83" s="33" t="str">
        <f t="shared" si="4"/>
        <v>CONGRESSGAIN</v>
      </c>
      <c r="AA83" s="94">
        <f t="shared" si="6"/>
        <v>9.84615384615385</v>
      </c>
      <c r="AB83" s="34" t="str">
        <f t="shared" si="5"/>
        <v>NARROWMARGIN</v>
      </c>
    </row>
    <row r="84" spans="1:28">
      <c r="A84" s="87">
        <v>82</v>
      </c>
      <c r="B84" s="88" t="s">
        <v>29</v>
      </c>
      <c r="C84" s="87">
        <v>508</v>
      </c>
      <c r="D84" s="88">
        <v>310</v>
      </c>
      <c r="E84" s="89">
        <v>61.0236220472441</v>
      </c>
      <c r="F84" s="88">
        <v>171</v>
      </c>
      <c r="G84" s="90">
        <v>33.6614173228346</v>
      </c>
      <c r="H84" s="87">
        <v>5</v>
      </c>
      <c r="I84" s="90">
        <v>0.984251968503937</v>
      </c>
      <c r="J84" s="87">
        <v>0</v>
      </c>
      <c r="K84" s="90">
        <v>0</v>
      </c>
      <c r="L84" s="87">
        <v>0</v>
      </c>
      <c r="M84" s="90">
        <v>0</v>
      </c>
      <c r="N84" s="87">
        <v>0</v>
      </c>
      <c r="O84" s="90">
        <v>0</v>
      </c>
      <c r="P84" s="87">
        <v>0</v>
      </c>
      <c r="Q84" s="90">
        <v>0</v>
      </c>
      <c r="R84" s="87">
        <v>1</v>
      </c>
      <c r="S84" s="90">
        <v>0.196850393700787</v>
      </c>
      <c r="T84" s="87">
        <v>3</v>
      </c>
      <c r="U84" s="90">
        <v>0.590551181102362</v>
      </c>
      <c r="V84" s="87">
        <v>0</v>
      </c>
      <c r="W84" s="90">
        <v>0</v>
      </c>
      <c r="X84" s="92">
        <v>18</v>
      </c>
      <c r="Y84" s="90">
        <v>3.54330708661417</v>
      </c>
      <c r="Z84" s="46" t="str">
        <f t="shared" si="4"/>
        <v>BJP GAIN</v>
      </c>
      <c r="AA84" s="94">
        <f>E84-G84</f>
        <v>27.3622047244095</v>
      </c>
      <c r="AB84" s="35" t="str">
        <f t="shared" si="5"/>
        <v>LOWMARGIN</v>
      </c>
    </row>
    <row r="85" spans="1:28">
      <c r="A85" s="87">
        <v>83</v>
      </c>
      <c r="B85" s="88" t="s">
        <v>29</v>
      </c>
      <c r="C85" s="87">
        <v>655</v>
      </c>
      <c r="D85" s="88">
        <v>84</v>
      </c>
      <c r="E85" s="89">
        <v>12.824427480916</v>
      </c>
      <c r="F85" s="88">
        <v>469</v>
      </c>
      <c r="G85" s="90">
        <v>71.6030534351145</v>
      </c>
      <c r="H85" s="87">
        <v>17</v>
      </c>
      <c r="I85" s="90">
        <v>2.59541984732824</v>
      </c>
      <c r="J85" s="87">
        <v>0</v>
      </c>
      <c r="K85" s="90">
        <v>0</v>
      </c>
      <c r="L85" s="87">
        <v>0</v>
      </c>
      <c r="M85" s="90">
        <v>0</v>
      </c>
      <c r="N85" s="87">
        <v>0</v>
      </c>
      <c r="O85" s="90">
        <v>0</v>
      </c>
      <c r="P85" s="87">
        <v>0</v>
      </c>
      <c r="Q85" s="90">
        <v>0</v>
      </c>
      <c r="R85" s="87">
        <v>23</v>
      </c>
      <c r="S85" s="90">
        <v>3.51145038167939</v>
      </c>
      <c r="T85" s="87">
        <v>1</v>
      </c>
      <c r="U85" s="90">
        <v>0.152671755725191</v>
      </c>
      <c r="V85" s="87">
        <v>0</v>
      </c>
      <c r="W85" s="90">
        <v>0</v>
      </c>
      <c r="X85" s="92">
        <v>61</v>
      </c>
      <c r="Y85" s="90">
        <v>9.31297709923664</v>
      </c>
      <c r="Z85" s="33" t="str">
        <f t="shared" si="4"/>
        <v>CONGRESSGAIN</v>
      </c>
      <c r="AA85" s="94">
        <f t="shared" si="6"/>
        <v>58.7786259541985</v>
      </c>
      <c r="AB85" s="33" t="str">
        <f t="shared" si="5"/>
        <v>VERYHIGHMARGIN</v>
      </c>
    </row>
    <row r="86" spans="1:28">
      <c r="A86" s="87">
        <v>84</v>
      </c>
      <c r="B86" s="88" t="s">
        <v>29</v>
      </c>
      <c r="C86" s="87">
        <v>530</v>
      </c>
      <c r="D86" s="88">
        <v>67</v>
      </c>
      <c r="E86" s="89">
        <v>12.6415094339623</v>
      </c>
      <c r="F86" s="88">
        <v>315</v>
      </c>
      <c r="G86" s="90">
        <v>59.4339622641509</v>
      </c>
      <c r="H86" s="87">
        <v>21</v>
      </c>
      <c r="I86" s="90">
        <v>3.9622641509434</v>
      </c>
      <c r="J86" s="87">
        <v>0</v>
      </c>
      <c r="K86" s="90">
        <v>0</v>
      </c>
      <c r="L86" s="87">
        <v>0</v>
      </c>
      <c r="M86" s="90">
        <v>0</v>
      </c>
      <c r="N86" s="87">
        <v>2</v>
      </c>
      <c r="O86" s="90">
        <v>0.377358490566038</v>
      </c>
      <c r="P86" s="87">
        <v>0</v>
      </c>
      <c r="Q86" s="90">
        <v>0</v>
      </c>
      <c r="R86" s="87">
        <v>29</v>
      </c>
      <c r="S86" s="90">
        <v>5.47169811320755</v>
      </c>
      <c r="T86" s="87">
        <v>1</v>
      </c>
      <c r="U86" s="90">
        <v>0.188679245283019</v>
      </c>
      <c r="V86" s="87">
        <v>0</v>
      </c>
      <c r="W86" s="90">
        <v>0</v>
      </c>
      <c r="X86" s="92">
        <v>95</v>
      </c>
      <c r="Y86" s="90">
        <v>17.9245283018868</v>
      </c>
      <c r="Z86" s="33" t="str">
        <f t="shared" si="4"/>
        <v>CONGRESSGAIN</v>
      </c>
      <c r="AA86" s="94">
        <f t="shared" si="6"/>
        <v>46.7924528301887</v>
      </c>
      <c r="AB86" s="95" t="str">
        <f t="shared" si="5"/>
        <v>HIGHMARGIN</v>
      </c>
    </row>
    <row r="87" spans="1:28">
      <c r="A87" s="87">
        <v>85</v>
      </c>
      <c r="B87" s="88" t="s">
        <v>29</v>
      </c>
      <c r="C87" s="87">
        <v>424</v>
      </c>
      <c r="D87" s="88">
        <v>48</v>
      </c>
      <c r="E87" s="89">
        <v>11.3207547169811</v>
      </c>
      <c r="F87" s="88">
        <v>245</v>
      </c>
      <c r="G87" s="90">
        <v>57.7830188679245</v>
      </c>
      <c r="H87" s="87">
        <v>12</v>
      </c>
      <c r="I87" s="90">
        <v>2.83018867924528</v>
      </c>
      <c r="J87" s="87">
        <v>0</v>
      </c>
      <c r="K87" s="90">
        <v>0</v>
      </c>
      <c r="L87" s="87">
        <v>0</v>
      </c>
      <c r="M87" s="90">
        <v>0</v>
      </c>
      <c r="N87" s="87">
        <v>0</v>
      </c>
      <c r="O87" s="90">
        <v>0</v>
      </c>
      <c r="P87" s="87">
        <v>0</v>
      </c>
      <c r="Q87" s="90">
        <v>0</v>
      </c>
      <c r="R87" s="87">
        <v>25</v>
      </c>
      <c r="S87" s="90">
        <v>5.89622641509434</v>
      </c>
      <c r="T87" s="87">
        <v>2</v>
      </c>
      <c r="U87" s="90">
        <v>0.471698113207547</v>
      </c>
      <c r="V87" s="87">
        <v>0</v>
      </c>
      <c r="W87" s="90">
        <v>0</v>
      </c>
      <c r="X87" s="92">
        <v>92</v>
      </c>
      <c r="Y87" s="90">
        <v>21.6981132075472</v>
      </c>
      <c r="Z87" s="33" t="str">
        <f t="shared" si="4"/>
        <v>CONGRESSGAIN</v>
      </c>
      <c r="AA87" s="94">
        <f t="shared" si="6"/>
        <v>46.4622641509434</v>
      </c>
      <c r="AB87" s="95" t="str">
        <f t="shared" si="5"/>
        <v>HIGHMARGIN</v>
      </c>
    </row>
    <row r="88" spans="1:28">
      <c r="A88" s="87">
        <v>86</v>
      </c>
      <c r="B88" s="88" t="s">
        <v>29</v>
      </c>
      <c r="C88" s="87">
        <v>501</v>
      </c>
      <c r="D88" s="88">
        <v>46</v>
      </c>
      <c r="E88" s="89">
        <v>9.18163672654691</v>
      </c>
      <c r="F88" s="88">
        <v>353</v>
      </c>
      <c r="G88" s="90">
        <v>70.4590818363273</v>
      </c>
      <c r="H88" s="87">
        <v>12</v>
      </c>
      <c r="I88" s="90">
        <v>2.39520958083832</v>
      </c>
      <c r="J88" s="87">
        <v>0</v>
      </c>
      <c r="K88" s="90">
        <v>0</v>
      </c>
      <c r="L88" s="87">
        <v>0</v>
      </c>
      <c r="M88" s="90">
        <v>0</v>
      </c>
      <c r="N88" s="87">
        <v>1</v>
      </c>
      <c r="O88" s="90">
        <v>0.199600798403194</v>
      </c>
      <c r="P88" s="87">
        <v>0</v>
      </c>
      <c r="Q88" s="90">
        <v>0</v>
      </c>
      <c r="R88" s="87">
        <v>13</v>
      </c>
      <c r="S88" s="90">
        <v>2.59481037924152</v>
      </c>
      <c r="T88" s="87">
        <v>1</v>
      </c>
      <c r="U88" s="90">
        <v>0.199600798403194</v>
      </c>
      <c r="V88" s="87">
        <v>0</v>
      </c>
      <c r="W88" s="90">
        <v>0</v>
      </c>
      <c r="X88" s="92">
        <v>75</v>
      </c>
      <c r="Y88" s="90">
        <v>14.9700598802395</v>
      </c>
      <c r="Z88" s="33" t="str">
        <f t="shared" si="4"/>
        <v>CONGRESSGAIN</v>
      </c>
      <c r="AA88" s="94">
        <f t="shared" si="6"/>
        <v>61.2774451097804</v>
      </c>
      <c r="AB88" s="33" t="str">
        <f t="shared" si="5"/>
        <v>VERYHIGHMARGIN</v>
      </c>
    </row>
    <row r="89" spans="1:28">
      <c r="A89" s="87">
        <v>87</v>
      </c>
      <c r="B89" s="88" t="s">
        <v>29</v>
      </c>
      <c r="C89" s="87">
        <v>629</v>
      </c>
      <c r="D89" s="88">
        <v>35</v>
      </c>
      <c r="E89" s="89">
        <v>5.56438791732909</v>
      </c>
      <c r="F89" s="88">
        <v>401</v>
      </c>
      <c r="G89" s="90">
        <v>63.751987281399</v>
      </c>
      <c r="H89" s="87">
        <v>10</v>
      </c>
      <c r="I89" s="90">
        <v>1.58982511923688</v>
      </c>
      <c r="J89" s="87">
        <v>0</v>
      </c>
      <c r="K89" s="90">
        <v>0</v>
      </c>
      <c r="L89" s="87">
        <v>0</v>
      </c>
      <c r="M89" s="90">
        <v>0</v>
      </c>
      <c r="N89" s="87">
        <v>2</v>
      </c>
      <c r="O89" s="90">
        <v>0.317965023847377</v>
      </c>
      <c r="P89" s="87">
        <v>0</v>
      </c>
      <c r="Q89" s="90">
        <v>0</v>
      </c>
      <c r="R89" s="87">
        <v>37</v>
      </c>
      <c r="S89" s="90">
        <v>5.88235294117647</v>
      </c>
      <c r="T89" s="87">
        <v>3</v>
      </c>
      <c r="U89" s="90">
        <v>0.476947535771065</v>
      </c>
      <c r="V89" s="87">
        <v>0</v>
      </c>
      <c r="W89" s="90">
        <v>0</v>
      </c>
      <c r="X89" s="92">
        <v>141</v>
      </c>
      <c r="Y89" s="90">
        <v>22.4165341812401</v>
      </c>
      <c r="Z89" s="33" t="str">
        <f t="shared" si="4"/>
        <v>CONGRESSGAIN</v>
      </c>
      <c r="AA89" s="94">
        <f t="shared" si="6"/>
        <v>58.18759936407</v>
      </c>
      <c r="AB89" s="33" t="str">
        <f t="shared" si="5"/>
        <v>VERYHIGHMARGIN</v>
      </c>
    </row>
    <row r="90" spans="1:28">
      <c r="A90" s="87">
        <v>88</v>
      </c>
      <c r="B90" s="88" t="s">
        <v>29</v>
      </c>
      <c r="C90" s="87">
        <v>604</v>
      </c>
      <c r="D90" s="88">
        <v>65</v>
      </c>
      <c r="E90" s="89">
        <v>10.7615894039735</v>
      </c>
      <c r="F90" s="88">
        <v>425</v>
      </c>
      <c r="G90" s="90">
        <v>70.364238410596</v>
      </c>
      <c r="H90" s="87">
        <v>21</v>
      </c>
      <c r="I90" s="90">
        <v>3.47682119205298</v>
      </c>
      <c r="J90" s="87">
        <v>0</v>
      </c>
      <c r="K90" s="90">
        <v>0</v>
      </c>
      <c r="L90" s="87">
        <v>0</v>
      </c>
      <c r="M90" s="90">
        <v>0</v>
      </c>
      <c r="N90" s="87">
        <v>0</v>
      </c>
      <c r="O90" s="90">
        <v>0</v>
      </c>
      <c r="P90" s="87">
        <v>0</v>
      </c>
      <c r="Q90" s="90">
        <v>0</v>
      </c>
      <c r="R90" s="87">
        <v>13</v>
      </c>
      <c r="S90" s="90">
        <v>2.1523178807947</v>
      </c>
      <c r="T90" s="87">
        <v>2</v>
      </c>
      <c r="U90" s="90">
        <v>0.33112582781457</v>
      </c>
      <c r="V90" s="87">
        <v>0</v>
      </c>
      <c r="W90" s="90">
        <v>0</v>
      </c>
      <c r="X90" s="92">
        <v>78</v>
      </c>
      <c r="Y90" s="90">
        <v>12.9139072847682</v>
      </c>
      <c r="Z90" s="33" t="str">
        <f t="shared" si="4"/>
        <v>CONGRESSGAIN</v>
      </c>
      <c r="AA90" s="94">
        <f t="shared" si="6"/>
        <v>59.6026490066225</v>
      </c>
      <c r="AB90" s="33" t="str">
        <f t="shared" si="5"/>
        <v>VERYHIGHMARGIN</v>
      </c>
    </row>
    <row r="91" spans="1:28">
      <c r="A91" s="87">
        <v>89</v>
      </c>
      <c r="B91" s="88" t="s">
        <v>29</v>
      </c>
      <c r="C91" s="87">
        <v>720</v>
      </c>
      <c r="D91" s="88">
        <v>489</v>
      </c>
      <c r="E91" s="89">
        <v>67.9166666666667</v>
      </c>
      <c r="F91" s="88">
        <v>193</v>
      </c>
      <c r="G91" s="90">
        <v>26.8055555555556</v>
      </c>
      <c r="H91" s="87">
        <v>7</v>
      </c>
      <c r="I91" s="90">
        <v>0.972222222222222</v>
      </c>
      <c r="J91" s="87">
        <v>0</v>
      </c>
      <c r="K91" s="90">
        <v>0</v>
      </c>
      <c r="L91" s="87">
        <v>0</v>
      </c>
      <c r="M91" s="90">
        <v>0</v>
      </c>
      <c r="N91" s="87">
        <v>0</v>
      </c>
      <c r="O91" s="90">
        <v>0</v>
      </c>
      <c r="P91" s="87">
        <v>0</v>
      </c>
      <c r="Q91" s="90">
        <v>0</v>
      </c>
      <c r="R91" s="87">
        <v>6</v>
      </c>
      <c r="S91" s="90">
        <v>0.833333333333333</v>
      </c>
      <c r="T91" s="87">
        <v>14</v>
      </c>
      <c r="U91" s="90">
        <v>1.94444444444444</v>
      </c>
      <c r="V91" s="87">
        <v>0</v>
      </c>
      <c r="W91" s="90">
        <v>0</v>
      </c>
      <c r="X91" s="92">
        <v>11</v>
      </c>
      <c r="Y91" s="90">
        <v>1.52777777777778</v>
      </c>
      <c r="Z91" s="46" t="str">
        <f t="shared" si="4"/>
        <v>BJP GAIN</v>
      </c>
      <c r="AA91" s="94">
        <f>E91-G91</f>
        <v>41.1111111111111</v>
      </c>
      <c r="AB91" s="95" t="str">
        <f t="shared" si="5"/>
        <v>HIGHMARGIN</v>
      </c>
    </row>
    <row r="92" spans="1:28">
      <c r="A92" s="87">
        <v>90</v>
      </c>
      <c r="B92" s="88" t="s">
        <v>29</v>
      </c>
      <c r="C92" s="87">
        <v>368</v>
      </c>
      <c r="D92" s="88">
        <v>157</v>
      </c>
      <c r="E92" s="89">
        <v>42.6630434782609</v>
      </c>
      <c r="F92" s="88">
        <v>193</v>
      </c>
      <c r="G92" s="90">
        <v>52.445652173913</v>
      </c>
      <c r="H92" s="87">
        <v>2</v>
      </c>
      <c r="I92" s="90">
        <v>0.543478260869565</v>
      </c>
      <c r="J92" s="87">
        <v>0</v>
      </c>
      <c r="K92" s="90">
        <v>0</v>
      </c>
      <c r="L92" s="87">
        <v>0</v>
      </c>
      <c r="M92" s="90">
        <v>0</v>
      </c>
      <c r="N92" s="87">
        <v>0</v>
      </c>
      <c r="O92" s="90">
        <v>0</v>
      </c>
      <c r="P92" s="87">
        <v>0</v>
      </c>
      <c r="Q92" s="90">
        <v>0</v>
      </c>
      <c r="R92" s="87">
        <v>4</v>
      </c>
      <c r="S92" s="90">
        <v>1.08695652173913</v>
      </c>
      <c r="T92" s="87">
        <v>1</v>
      </c>
      <c r="U92" s="90">
        <v>0.271739130434783</v>
      </c>
      <c r="V92" s="87">
        <v>0</v>
      </c>
      <c r="W92" s="90">
        <v>0</v>
      </c>
      <c r="X92" s="92">
        <v>11</v>
      </c>
      <c r="Y92" s="90">
        <v>2.98913043478261</v>
      </c>
      <c r="Z92" s="33" t="str">
        <f t="shared" si="4"/>
        <v>CONGRESSGAIN</v>
      </c>
      <c r="AA92" s="94">
        <f t="shared" si="6"/>
        <v>9.78260869565217</v>
      </c>
      <c r="AB92" s="34" t="str">
        <f t="shared" si="5"/>
        <v>NARROWMARGIN</v>
      </c>
    </row>
    <row r="93" spans="1:28">
      <c r="A93" s="87">
        <v>91</v>
      </c>
      <c r="B93" s="88" t="s">
        <v>29</v>
      </c>
      <c r="C93" s="87">
        <v>840</v>
      </c>
      <c r="D93" s="88">
        <v>552</v>
      </c>
      <c r="E93" s="89">
        <v>65.7142857142857</v>
      </c>
      <c r="F93" s="88">
        <v>216</v>
      </c>
      <c r="G93" s="90">
        <v>25.7142857142857</v>
      </c>
      <c r="H93" s="87">
        <v>6</v>
      </c>
      <c r="I93" s="90">
        <v>0.714285714285714</v>
      </c>
      <c r="J93" s="87">
        <v>0</v>
      </c>
      <c r="K93" s="90">
        <v>0</v>
      </c>
      <c r="L93" s="87">
        <v>0</v>
      </c>
      <c r="M93" s="90">
        <v>0</v>
      </c>
      <c r="N93" s="87">
        <v>0</v>
      </c>
      <c r="O93" s="90">
        <v>0</v>
      </c>
      <c r="P93" s="87">
        <v>0</v>
      </c>
      <c r="Q93" s="90">
        <v>0</v>
      </c>
      <c r="R93" s="87">
        <v>4</v>
      </c>
      <c r="S93" s="90">
        <v>0.476190476190476</v>
      </c>
      <c r="T93" s="87">
        <v>51</v>
      </c>
      <c r="U93" s="90">
        <v>6.07142857142857</v>
      </c>
      <c r="V93" s="87">
        <v>0</v>
      </c>
      <c r="W93" s="90">
        <v>0</v>
      </c>
      <c r="X93" s="92">
        <v>11</v>
      </c>
      <c r="Y93" s="90">
        <v>1.30952380952381</v>
      </c>
      <c r="Z93" s="46" t="str">
        <f t="shared" si="4"/>
        <v>BJP GAIN</v>
      </c>
      <c r="AA93" s="94">
        <f>E93-G93</f>
        <v>40</v>
      </c>
      <c r="AB93" s="95" t="str">
        <f t="shared" si="5"/>
        <v>HIGHMARGIN</v>
      </c>
    </row>
    <row r="94" spans="1:28">
      <c r="A94" s="87">
        <v>92</v>
      </c>
      <c r="B94" s="88" t="s">
        <v>29</v>
      </c>
      <c r="C94" s="87">
        <v>538</v>
      </c>
      <c r="D94" s="88">
        <v>178</v>
      </c>
      <c r="E94" s="89">
        <v>33.0855018587361</v>
      </c>
      <c r="F94" s="88">
        <v>332</v>
      </c>
      <c r="G94" s="90">
        <v>61.7100371747212</v>
      </c>
      <c r="H94" s="87">
        <v>6</v>
      </c>
      <c r="I94" s="90">
        <v>1.11524163568773</v>
      </c>
      <c r="J94" s="87">
        <v>0</v>
      </c>
      <c r="K94" s="90">
        <v>0</v>
      </c>
      <c r="L94" s="87">
        <v>0</v>
      </c>
      <c r="M94" s="90">
        <v>0</v>
      </c>
      <c r="N94" s="87">
        <v>0</v>
      </c>
      <c r="O94" s="90">
        <v>0</v>
      </c>
      <c r="P94" s="87">
        <v>0</v>
      </c>
      <c r="Q94" s="90">
        <v>0</v>
      </c>
      <c r="R94" s="87">
        <v>6</v>
      </c>
      <c r="S94" s="90">
        <v>1.11524163568773</v>
      </c>
      <c r="T94" s="87">
        <v>1</v>
      </c>
      <c r="U94" s="90">
        <v>0.185873605947955</v>
      </c>
      <c r="V94" s="87">
        <v>0</v>
      </c>
      <c r="W94" s="90">
        <v>0</v>
      </c>
      <c r="X94" s="92">
        <v>15</v>
      </c>
      <c r="Y94" s="90">
        <v>2.78810408921933</v>
      </c>
      <c r="Z94" s="33" t="str">
        <f t="shared" si="4"/>
        <v>CONGRESSGAIN</v>
      </c>
      <c r="AA94" s="94">
        <f t="shared" si="6"/>
        <v>28.6245353159851</v>
      </c>
      <c r="AB94" s="35" t="str">
        <f t="shared" si="5"/>
        <v>LOWMARGIN</v>
      </c>
    </row>
    <row r="95" spans="1:28">
      <c r="A95" s="87">
        <v>93</v>
      </c>
      <c r="B95" s="88" t="s">
        <v>29</v>
      </c>
      <c r="C95" s="87">
        <v>646</v>
      </c>
      <c r="D95" s="88">
        <v>121</v>
      </c>
      <c r="E95" s="89">
        <v>18.7306501547988</v>
      </c>
      <c r="F95" s="88">
        <v>446</v>
      </c>
      <c r="G95" s="90">
        <v>69.0402476780186</v>
      </c>
      <c r="H95" s="87">
        <v>30</v>
      </c>
      <c r="I95" s="90">
        <v>4.64396284829721</v>
      </c>
      <c r="J95" s="87">
        <v>0</v>
      </c>
      <c r="K95" s="90">
        <v>0</v>
      </c>
      <c r="L95" s="87">
        <v>0</v>
      </c>
      <c r="M95" s="90">
        <v>0</v>
      </c>
      <c r="N95" s="87">
        <v>0</v>
      </c>
      <c r="O95" s="90">
        <v>0</v>
      </c>
      <c r="P95" s="87">
        <v>0</v>
      </c>
      <c r="Q95" s="90">
        <v>0</v>
      </c>
      <c r="R95" s="87">
        <v>4</v>
      </c>
      <c r="S95" s="90">
        <v>0.619195046439629</v>
      </c>
      <c r="T95" s="87">
        <v>2</v>
      </c>
      <c r="U95" s="90">
        <v>0.309597523219814</v>
      </c>
      <c r="V95" s="87">
        <v>0</v>
      </c>
      <c r="W95" s="90">
        <v>0</v>
      </c>
      <c r="X95" s="92">
        <v>43</v>
      </c>
      <c r="Y95" s="90">
        <v>6.65634674922601</v>
      </c>
      <c r="Z95" s="33" t="str">
        <f t="shared" si="4"/>
        <v>CONGRESSGAIN</v>
      </c>
      <c r="AA95" s="94">
        <f t="shared" si="6"/>
        <v>50.3095975232198</v>
      </c>
      <c r="AB95" s="33" t="str">
        <f t="shared" si="5"/>
        <v>VERYHIGHMARGIN</v>
      </c>
    </row>
    <row r="96" spans="1:28">
      <c r="A96" s="87">
        <v>94</v>
      </c>
      <c r="B96" s="88" t="s">
        <v>29</v>
      </c>
      <c r="C96" s="87">
        <v>479</v>
      </c>
      <c r="D96" s="88">
        <v>74</v>
      </c>
      <c r="E96" s="89">
        <v>15.4488517745303</v>
      </c>
      <c r="F96" s="88">
        <v>363</v>
      </c>
      <c r="G96" s="90">
        <v>75.7828810020877</v>
      </c>
      <c r="H96" s="87">
        <v>14</v>
      </c>
      <c r="I96" s="90">
        <v>2.92275574112735</v>
      </c>
      <c r="J96" s="87">
        <v>0</v>
      </c>
      <c r="K96" s="90">
        <v>0</v>
      </c>
      <c r="L96" s="87">
        <v>0</v>
      </c>
      <c r="M96" s="90">
        <v>0</v>
      </c>
      <c r="N96" s="87">
        <v>0</v>
      </c>
      <c r="O96" s="90">
        <v>0</v>
      </c>
      <c r="P96" s="87">
        <v>0</v>
      </c>
      <c r="Q96" s="90">
        <v>0</v>
      </c>
      <c r="R96" s="87">
        <v>0</v>
      </c>
      <c r="S96" s="90">
        <v>0</v>
      </c>
      <c r="T96" s="87">
        <v>3</v>
      </c>
      <c r="U96" s="90">
        <v>0.626304801670146</v>
      </c>
      <c r="V96" s="87">
        <v>0</v>
      </c>
      <c r="W96" s="90">
        <v>0</v>
      </c>
      <c r="X96" s="92">
        <v>25</v>
      </c>
      <c r="Y96" s="90">
        <v>5.21920668058455</v>
      </c>
      <c r="Z96" s="33" t="str">
        <f t="shared" si="4"/>
        <v>CONGRESSGAIN</v>
      </c>
      <c r="AA96" s="94">
        <f t="shared" si="6"/>
        <v>60.3340292275574</v>
      </c>
      <c r="AB96" s="33" t="str">
        <f t="shared" si="5"/>
        <v>VERYHIGHMARGIN</v>
      </c>
    </row>
    <row r="97" spans="1:28">
      <c r="A97" s="87">
        <v>95</v>
      </c>
      <c r="B97" s="88" t="s">
        <v>29</v>
      </c>
      <c r="C97" s="87">
        <v>562</v>
      </c>
      <c r="D97" s="88">
        <v>164</v>
      </c>
      <c r="E97" s="89">
        <v>29.1814946619217</v>
      </c>
      <c r="F97" s="88">
        <v>333</v>
      </c>
      <c r="G97" s="90">
        <v>59.2526690391459</v>
      </c>
      <c r="H97" s="87">
        <v>23</v>
      </c>
      <c r="I97" s="90">
        <v>4.09252669039146</v>
      </c>
      <c r="J97" s="87">
        <v>0</v>
      </c>
      <c r="K97" s="90">
        <v>0</v>
      </c>
      <c r="L97" s="87">
        <v>0</v>
      </c>
      <c r="M97" s="90">
        <v>0</v>
      </c>
      <c r="N97" s="87">
        <v>0</v>
      </c>
      <c r="O97" s="90">
        <v>0</v>
      </c>
      <c r="P97" s="87">
        <v>0</v>
      </c>
      <c r="Q97" s="90">
        <v>0</v>
      </c>
      <c r="R97" s="87">
        <v>3</v>
      </c>
      <c r="S97" s="90">
        <v>0.533807829181495</v>
      </c>
      <c r="T97" s="87">
        <v>2</v>
      </c>
      <c r="U97" s="90">
        <v>0.355871886120996</v>
      </c>
      <c r="V97" s="87">
        <v>0</v>
      </c>
      <c r="W97" s="90">
        <v>0</v>
      </c>
      <c r="X97" s="92">
        <v>37</v>
      </c>
      <c r="Y97" s="90">
        <v>6.58362989323843</v>
      </c>
      <c r="Z97" s="33" t="str">
        <f t="shared" si="4"/>
        <v>CONGRESSGAIN</v>
      </c>
      <c r="AA97" s="94">
        <f t="shared" si="6"/>
        <v>30.0711743772242</v>
      </c>
      <c r="AB97" s="36" t="str">
        <f t="shared" si="5"/>
        <v>MEDIUMMARGIN</v>
      </c>
    </row>
    <row r="98" spans="1:28">
      <c r="A98" s="87">
        <v>96</v>
      </c>
      <c r="B98" s="88" t="s">
        <v>29</v>
      </c>
      <c r="C98" s="87">
        <v>641</v>
      </c>
      <c r="D98" s="88">
        <v>446</v>
      </c>
      <c r="E98" s="89">
        <v>69.578783151326</v>
      </c>
      <c r="F98" s="88">
        <v>181</v>
      </c>
      <c r="G98" s="90">
        <v>28.2371294851794</v>
      </c>
      <c r="H98" s="87">
        <v>7</v>
      </c>
      <c r="I98" s="90">
        <v>1.09204368174727</v>
      </c>
      <c r="J98" s="87">
        <v>0</v>
      </c>
      <c r="K98" s="90">
        <v>0</v>
      </c>
      <c r="L98" s="87">
        <v>0</v>
      </c>
      <c r="M98" s="90">
        <v>0</v>
      </c>
      <c r="N98" s="87">
        <v>0</v>
      </c>
      <c r="O98" s="90">
        <v>0</v>
      </c>
      <c r="P98" s="87">
        <v>0</v>
      </c>
      <c r="Q98" s="90">
        <v>0</v>
      </c>
      <c r="R98" s="87">
        <v>2</v>
      </c>
      <c r="S98" s="90">
        <v>0.31201248049922</v>
      </c>
      <c r="T98" s="87">
        <v>1</v>
      </c>
      <c r="U98" s="90">
        <v>0.15600624024961</v>
      </c>
      <c r="V98" s="87">
        <v>0</v>
      </c>
      <c r="W98" s="90">
        <v>0</v>
      </c>
      <c r="X98" s="92">
        <v>4</v>
      </c>
      <c r="Y98" s="90">
        <v>0.62402496099844</v>
      </c>
      <c r="Z98" s="46" t="str">
        <f t="shared" si="4"/>
        <v>BJP GAIN</v>
      </c>
      <c r="AA98" s="94">
        <f>E98-G98</f>
        <v>41.3416536661466</v>
      </c>
      <c r="AB98" s="95" t="str">
        <f t="shared" si="5"/>
        <v>HIGHMARGIN</v>
      </c>
    </row>
    <row r="99" spans="1:28">
      <c r="A99" s="87">
        <v>97</v>
      </c>
      <c r="B99" s="88" t="s">
        <v>29</v>
      </c>
      <c r="C99" s="87">
        <v>797</v>
      </c>
      <c r="D99" s="88">
        <v>162</v>
      </c>
      <c r="E99" s="89">
        <v>20.3262233375157</v>
      </c>
      <c r="F99" s="88">
        <v>541</v>
      </c>
      <c r="G99" s="90">
        <v>67.8795483061481</v>
      </c>
      <c r="H99" s="87">
        <v>28</v>
      </c>
      <c r="I99" s="90">
        <v>3.51317440401506</v>
      </c>
      <c r="J99" s="87">
        <v>0</v>
      </c>
      <c r="K99" s="90">
        <v>0</v>
      </c>
      <c r="L99" s="87">
        <v>0</v>
      </c>
      <c r="M99" s="90">
        <v>0</v>
      </c>
      <c r="N99" s="87">
        <v>0</v>
      </c>
      <c r="O99" s="90">
        <v>0</v>
      </c>
      <c r="P99" s="87">
        <v>0</v>
      </c>
      <c r="Q99" s="90">
        <v>0</v>
      </c>
      <c r="R99" s="87">
        <v>10</v>
      </c>
      <c r="S99" s="90">
        <v>1.25470514429109</v>
      </c>
      <c r="T99" s="87">
        <v>9</v>
      </c>
      <c r="U99" s="90">
        <v>1.12923462986198</v>
      </c>
      <c r="V99" s="87">
        <v>0</v>
      </c>
      <c r="W99" s="90">
        <v>0</v>
      </c>
      <c r="X99" s="92">
        <v>47</v>
      </c>
      <c r="Y99" s="90">
        <v>5.89711417816813</v>
      </c>
      <c r="Z99" s="33" t="str">
        <f t="shared" si="4"/>
        <v>CONGRESSGAIN</v>
      </c>
      <c r="AA99" s="94">
        <f t="shared" si="6"/>
        <v>47.5533249686324</v>
      </c>
      <c r="AB99" s="95" t="str">
        <f t="shared" si="5"/>
        <v>HIGHMARGIN</v>
      </c>
    </row>
    <row r="100" spans="1:28">
      <c r="A100" s="87">
        <v>98</v>
      </c>
      <c r="B100" s="88" t="s">
        <v>29</v>
      </c>
      <c r="C100" s="87">
        <v>399</v>
      </c>
      <c r="D100" s="88">
        <v>101</v>
      </c>
      <c r="E100" s="89">
        <v>25.31328320802</v>
      </c>
      <c r="F100" s="88">
        <v>268</v>
      </c>
      <c r="G100" s="90">
        <v>67.1679197994987</v>
      </c>
      <c r="H100" s="87">
        <v>11</v>
      </c>
      <c r="I100" s="90">
        <v>2.75689223057644</v>
      </c>
      <c r="J100" s="87">
        <v>0</v>
      </c>
      <c r="K100" s="90">
        <v>0</v>
      </c>
      <c r="L100" s="87">
        <v>0</v>
      </c>
      <c r="M100" s="90">
        <v>0</v>
      </c>
      <c r="N100" s="87">
        <v>0</v>
      </c>
      <c r="O100" s="90">
        <v>0</v>
      </c>
      <c r="P100" s="87">
        <v>0</v>
      </c>
      <c r="Q100" s="90">
        <v>0</v>
      </c>
      <c r="R100" s="87">
        <v>7</v>
      </c>
      <c r="S100" s="90">
        <v>1.75438596491228</v>
      </c>
      <c r="T100" s="87">
        <v>0</v>
      </c>
      <c r="U100" s="90">
        <v>0</v>
      </c>
      <c r="V100" s="87">
        <v>0</v>
      </c>
      <c r="W100" s="90">
        <v>0</v>
      </c>
      <c r="X100" s="92">
        <v>12</v>
      </c>
      <c r="Y100" s="90">
        <v>3.00751879699248</v>
      </c>
      <c r="Z100" s="33" t="str">
        <f t="shared" si="4"/>
        <v>CONGRESSGAIN</v>
      </c>
      <c r="AA100" s="94">
        <f t="shared" si="6"/>
        <v>41.8546365914787</v>
      </c>
      <c r="AB100" s="95" t="str">
        <f t="shared" si="5"/>
        <v>HIGHMARGIN</v>
      </c>
    </row>
    <row r="101" spans="1:28">
      <c r="A101" s="87">
        <v>99</v>
      </c>
      <c r="B101" s="88" t="s">
        <v>29</v>
      </c>
      <c r="C101" s="87">
        <v>342</v>
      </c>
      <c r="D101" s="88">
        <v>230</v>
      </c>
      <c r="E101" s="89">
        <v>67.2514619883041</v>
      </c>
      <c r="F101" s="88">
        <v>104</v>
      </c>
      <c r="G101" s="90">
        <v>30.4093567251462</v>
      </c>
      <c r="H101" s="87">
        <v>6</v>
      </c>
      <c r="I101" s="90">
        <v>1.75438596491228</v>
      </c>
      <c r="J101" s="87">
        <v>0</v>
      </c>
      <c r="K101" s="90">
        <v>0</v>
      </c>
      <c r="L101" s="87">
        <v>0</v>
      </c>
      <c r="M101" s="90">
        <v>0</v>
      </c>
      <c r="N101" s="87">
        <v>0</v>
      </c>
      <c r="O101" s="90">
        <v>0</v>
      </c>
      <c r="P101" s="87">
        <v>0</v>
      </c>
      <c r="Q101" s="90">
        <v>0</v>
      </c>
      <c r="R101" s="87">
        <v>0</v>
      </c>
      <c r="S101" s="90">
        <v>0</v>
      </c>
      <c r="T101" s="87">
        <v>1</v>
      </c>
      <c r="U101" s="90">
        <v>0.292397660818713</v>
      </c>
      <c r="V101" s="87">
        <v>0</v>
      </c>
      <c r="W101" s="90">
        <v>0</v>
      </c>
      <c r="X101" s="92">
        <v>1</v>
      </c>
      <c r="Y101" s="90">
        <v>0.292397660818713</v>
      </c>
      <c r="Z101" s="46" t="str">
        <f t="shared" si="4"/>
        <v>BJP GAIN</v>
      </c>
      <c r="AA101" s="94">
        <f>E101-G101</f>
        <v>36.8421052631579</v>
      </c>
      <c r="AB101" s="36" t="str">
        <f t="shared" si="5"/>
        <v>MEDIUMMARGIN</v>
      </c>
    </row>
    <row r="102" spans="1:28">
      <c r="A102" s="87">
        <v>100</v>
      </c>
      <c r="B102" s="88" t="s">
        <v>29</v>
      </c>
      <c r="C102" s="87">
        <v>614</v>
      </c>
      <c r="D102" s="88">
        <v>452</v>
      </c>
      <c r="E102" s="89">
        <v>73.6156351791531</v>
      </c>
      <c r="F102" s="88">
        <v>142</v>
      </c>
      <c r="G102" s="90">
        <v>23.1270358306189</v>
      </c>
      <c r="H102" s="87">
        <v>10</v>
      </c>
      <c r="I102" s="90">
        <v>1.62866449511401</v>
      </c>
      <c r="J102" s="87">
        <v>0</v>
      </c>
      <c r="K102" s="90">
        <v>0</v>
      </c>
      <c r="L102" s="87">
        <v>0</v>
      </c>
      <c r="M102" s="90">
        <v>0</v>
      </c>
      <c r="N102" s="87">
        <v>0</v>
      </c>
      <c r="O102" s="90">
        <v>0</v>
      </c>
      <c r="P102" s="87">
        <v>0</v>
      </c>
      <c r="Q102" s="90">
        <v>0</v>
      </c>
      <c r="R102" s="87">
        <v>4</v>
      </c>
      <c r="S102" s="90">
        <v>0.651465798045603</v>
      </c>
      <c r="T102" s="87">
        <v>1</v>
      </c>
      <c r="U102" s="90">
        <v>0.162866449511401</v>
      </c>
      <c r="V102" s="87">
        <v>0</v>
      </c>
      <c r="W102" s="90">
        <v>0</v>
      </c>
      <c r="X102" s="92">
        <v>5</v>
      </c>
      <c r="Y102" s="90">
        <v>0.814332247557003</v>
      </c>
      <c r="Z102" s="46" t="str">
        <f t="shared" si="4"/>
        <v>BJP GAIN</v>
      </c>
      <c r="AA102" s="94">
        <f>E102-G102</f>
        <v>50.4885993485342</v>
      </c>
      <c r="AB102" s="33" t="str">
        <f t="shared" si="5"/>
        <v>VERYHIGHMARGIN</v>
      </c>
    </row>
    <row r="103" spans="1:28">
      <c r="A103" s="87">
        <v>101</v>
      </c>
      <c r="B103" s="88" t="s">
        <v>29</v>
      </c>
      <c r="C103" s="87">
        <v>485</v>
      </c>
      <c r="D103" s="88">
        <v>154</v>
      </c>
      <c r="E103" s="89">
        <v>31.7525773195876</v>
      </c>
      <c r="F103" s="88">
        <v>297</v>
      </c>
      <c r="G103" s="90">
        <v>61.2371134020619</v>
      </c>
      <c r="H103" s="87">
        <v>9</v>
      </c>
      <c r="I103" s="90">
        <v>1.85567010309278</v>
      </c>
      <c r="J103" s="87">
        <v>0</v>
      </c>
      <c r="K103" s="90">
        <v>0</v>
      </c>
      <c r="L103" s="87">
        <v>0</v>
      </c>
      <c r="M103" s="90">
        <v>0</v>
      </c>
      <c r="N103" s="87">
        <v>0</v>
      </c>
      <c r="O103" s="90">
        <v>0</v>
      </c>
      <c r="P103" s="87">
        <v>0</v>
      </c>
      <c r="Q103" s="90">
        <v>0</v>
      </c>
      <c r="R103" s="87">
        <v>15</v>
      </c>
      <c r="S103" s="90">
        <v>3.09278350515464</v>
      </c>
      <c r="T103" s="87">
        <v>2</v>
      </c>
      <c r="U103" s="90">
        <v>0.412371134020619</v>
      </c>
      <c r="V103" s="87">
        <v>0</v>
      </c>
      <c r="W103" s="90">
        <v>0</v>
      </c>
      <c r="X103" s="92">
        <v>8</v>
      </c>
      <c r="Y103" s="90">
        <v>1.64948453608247</v>
      </c>
      <c r="Z103" s="33" t="str">
        <f t="shared" si="4"/>
        <v>CONGRESSGAIN</v>
      </c>
      <c r="AA103" s="94">
        <f t="shared" si="6"/>
        <v>29.4845360824742</v>
      </c>
      <c r="AB103" s="35" t="str">
        <f t="shared" si="5"/>
        <v>LOWMARGIN</v>
      </c>
    </row>
    <row r="104" spans="1:28">
      <c r="A104" s="87">
        <v>102</v>
      </c>
      <c r="B104" s="88" t="s">
        <v>29</v>
      </c>
      <c r="C104" s="87">
        <v>411</v>
      </c>
      <c r="D104" s="88">
        <v>184</v>
      </c>
      <c r="E104" s="89">
        <v>44.7688564476886</v>
      </c>
      <c r="F104" s="88">
        <v>201</v>
      </c>
      <c r="G104" s="90">
        <v>48.9051094890511</v>
      </c>
      <c r="H104" s="87">
        <v>11</v>
      </c>
      <c r="I104" s="90">
        <v>2.67639902676399</v>
      </c>
      <c r="J104" s="87">
        <v>0</v>
      </c>
      <c r="K104" s="90">
        <v>0</v>
      </c>
      <c r="L104" s="87">
        <v>0</v>
      </c>
      <c r="M104" s="90">
        <v>0</v>
      </c>
      <c r="N104" s="87">
        <v>0</v>
      </c>
      <c r="O104" s="90">
        <v>0</v>
      </c>
      <c r="P104" s="87">
        <v>0</v>
      </c>
      <c r="Q104" s="90">
        <v>0</v>
      </c>
      <c r="R104" s="87">
        <v>3</v>
      </c>
      <c r="S104" s="90">
        <v>0.72992700729927</v>
      </c>
      <c r="T104" s="87">
        <v>4</v>
      </c>
      <c r="U104" s="90">
        <v>0.97323600973236</v>
      </c>
      <c r="V104" s="87">
        <v>0</v>
      </c>
      <c r="W104" s="90">
        <v>0</v>
      </c>
      <c r="X104" s="92">
        <v>8</v>
      </c>
      <c r="Y104" s="90">
        <v>1.94647201946472</v>
      </c>
      <c r="Z104" s="33" t="str">
        <f t="shared" si="4"/>
        <v>CONGRESSGAIN</v>
      </c>
      <c r="AA104" s="94">
        <f t="shared" si="6"/>
        <v>4.13625304136253</v>
      </c>
      <c r="AB104" s="34" t="str">
        <f t="shared" si="5"/>
        <v>NARROWMARGIN</v>
      </c>
    </row>
    <row r="105" spans="1:28">
      <c r="A105" s="87">
        <v>103</v>
      </c>
      <c r="B105" s="88" t="s">
        <v>29</v>
      </c>
      <c r="C105" s="87">
        <v>424</v>
      </c>
      <c r="D105" s="88">
        <v>17</v>
      </c>
      <c r="E105" s="89">
        <v>4.00943396226415</v>
      </c>
      <c r="F105" s="88">
        <v>356</v>
      </c>
      <c r="G105" s="90">
        <v>83.9622641509434</v>
      </c>
      <c r="H105" s="87">
        <v>17</v>
      </c>
      <c r="I105" s="90">
        <v>4.00943396226415</v>
      </c>
      <c r="J105" s="87">
        <v>0</v>
      </c>
      <c r="K105" s="90">
        <v>0</v>
      </c>
      <c r="L105" s="87">
        <v>0</v>
      </c>
      <c r="M105" s="90">
        <v>0</v>
      </c>
      <c r="N105" s="87">
        <v>0</v>
      </c>
      <c r="O105" s="90">
        <v>0</v>
      </c>
      <c r="P105" s="87">
        <v>0</v>
      </c>
      <c r="Q105" s="90">
        <v>0</v>
      </c>
      <c r="R105" s="87">
        <v>6</v>
      </c>
      <c r="S105" s="90">
        <v>1.41509433962264</v>
      </c>
      <c r="T105" s="87">
        <v>0</v>
      </c>
      <c r="U105" s="90">
        <v>0</v>
      </c>
      <c r="V105" s="87">
        <v>0</v>
      </c>
      <c r="W105" s="90">
        <v>0</v>
      </c>
      <c r="X105" s="92">
        <v>28</v>
      </c>
      <c r="Y105" s="90">
        <v>6.60377358490566</v>
      </c>
      <c r="Z105" s="33" t="str">
        <f t="shared" si="4"/>
        <v>CONGRESSGAIN</v>
      </c>
      <c r="AA105" s="94">
        <f t="shared" si="6"/>
        <v>79.9528301886792</v>
      </c>
      <c r="AB105" s="33" t="str">
        <f t="shared" si="5"/>
        <v>VERYHIGHMARGIN</v>
      </c>
    </row>
    <row r="106" spans="1:28">
      <c r="A106" s="87">
        <v>104</v>
      </c>
      <c r="B106" s="88" t="s">
        <v>29</v>
      </c>
      <c r="C106" s="87">
        <v>650</v>
      </c>
      <c r="D106" s="88">
        <v>303</v>
      </c>
      <c r="E106" s="89">
        <v>46.6153846153846</v>
      </c>
      <c r="F106" s="88">
        <v>313</v>
      </c>
      <c r="G106" s="90">
        <v>48.1538461538462</v>
      </c>
      <c r="H106" s="87">
        <v>5</v>
      </c>
      <c r="I106" s="90">
        <v>0.769230769230769</v>
      </c>
      <c r="J106" s="87">
        <v>0</v>
      </c>
      <c r="K106" s="90">
        <v>0</v>
      </c>
      <c r="L106" s="87">
        <v>0</v>
      </c>
      <c r="M106" s="90">
        <v>0</v>
      </c>
      <c r="N106" s="87">
        <v>0</v>
      </c>
      <c r="O106" s="90">
        <v>0</v>
      </c>
      <c r="P106" s="87">
        <v>0</v>
      </c>
      <c r="Q106" s="90">
        <v>0</v>
      </c>
      <c r="R106" s="87">
        <v>2</v>
      </c>
      <c r="S106" s="90">
        <v>0.307692307692308</v>
      </c>
      <c r="T106" s="87">
        <v>5</v>
      </c>
      <c r="U106" s="90">
        <v>0.769230769230769</v>
      </c>
      <c r="V106" s="87">
        <v>0</v>
      </c>
      <c r="W106" s="90">
        <v>0</v>
      </c>
      <c r="X106" s="92">
        <v>22</v>
      </c>
      <c r="Y106" s="90">
        <v>3.38461538461538</v>
      </c>
      <c r="Z106" s="33" t="str">
        <f t="shared" si="4"/>
        <v>CONGRESSGAIN</v>
      </c>
      <c r="AA106" s="94">
        <f t="shared" si="6"/>
        <v>1.53846153846154</v>
      </c>
      <c r="AB106" s="34" t="str">
        <f t="shared" si="5"/>
        <v>NARROWMARGIN</v>
      </c>
    </row>
    <row r="107" spans="1:28">
      <c r="A107" s="87">
        <v>105</v>
      </c>
      <c r="B107" s="88" t="s">
        <v>29</v>
      </c>
      <c r="C107" s="87">
        <v>515</v>
      </c>
      <c r="D107" s="88">
        <v>96</v>
      </c>
      <c r="E107" s="89">
        <v>18.6407766990291</v>
      </c>
      <c r="F107" s="88">
        <v>389</v>
      </c>
      <c r="G107" s="90">
        <v>75.5339805825243</v>
      </c>
      <c r="H107" s="87">
        <v>0</v>
      </c>
      <c r="I107" s="90">
        <v>0</v>
      </c>
      <c r="J107" s="87">
        <v>0</v>
      </c>
      <c r="K107" s="90">
        <v>0</v>
      </c>
      <c r="L107" s="87">
        <v>0</v>
      </c>
      <c r="M107" s="90">
        <v>0</v>
      </c>
      <c r="N107" s="87">
        <v>1</v>
      </c>
      <c r="O107" s="90">
        <v>0.194174757281553</v>
      </c>
      <c r="P107" s="87">
        <v>0</v>
      </c>
      <c r="Q107" s="90">
        <v>0</v>
      </c>
      <c r="R107" s="87">
        <v>3</v>
      </c>
      <c r="S107" s="90">
        <v>0.58252427184466</v>
      </c>
      <c r="T107" s="87">
        <v>2</v>
      </c>
      <c r="U107" s="90">
        <v>0.388349514563107</v>
      </c>
      <c r="V107" s="87">
        <v>0</v>
      </c>
      <c r="W107" s="90">
        <v>0</v>
      </c>
      <c r="X107" s="92">
        <v>24</v>
      </c>
      <c r="Y107" s="90">
        <v>4.66019417475728</v>
      </c>
      <c r="Z107" s="33" t="str">
        <f t="shared" si="4"/>
        <v>CONGRESSGAIN</v>
      </c>
      <c r="AA107" s="94">
        <f t="shared" si="6"/>
        <v>56.8932038834951</v>
      </c>
      <c r="AB107" s="33" t="str">
        <f t="shared" si="5"/>
        <v>VERYHIGHMARGIN</v>
      </c>
    </row>
    <row r="108" spans="1:28">
      <c r="A108" s="87">
        <v>106</v>
      </c>
      <c r="B108" s="88" t="s">
        <v>29</v>
      </c>
      <c r="C108" s="87">
        <v>575</v>
      </c>
      <c r="D108" s="88">
        <v>12</v>
      </c>
      <c r="E108" s="89">
        <v>2.08695652173913</v>
      </c>
      <c r="F108" s="88">
        <v>519</v>
      </c>
      <c r="G108" s="90">
        <v>90.2608695652174</v>
      </c>
      <c r="H108" s="87">
        <v>6</v>
      </c>
      <c r="I108" s="90">
        <v>1.04347826086957</v>
      </c>
      <c r="J108" s="87">
        <v>0</v>
      </c>
      <c r="K108" s="90">
        <v>0</v>
      </c>
      <c r="L108" s="87">
        <v>0</v>
      </c>
      <c r="M108" s="90">
        <v>0</v>
      </c>
      <c r="N108" s="87">
        <v>0</v>
      </c>
      <c r="O108" s="90">
        <v>0</v>
      </c>
      <c r="P108" s="87">
        <v>0</v>
      </c>
      <c r="Q108" s="90">
        <v>0</v>
      </c>
      <c r="R108" s="87">
        <v>5</v>
      </c>
      <c r="S108" s="90">
        <v>0.869565217391304</v>
      </c>
      <c r="T108" s="87">
        <v>0</v>
      </c>
      <c r="U108" s="90">
        <v>0</v>
      </c>
      <c r="V108" s="87">
        <v>0</v>
      </c>
      <c r="W108" s="90">
        <v>0</v>
      </c>
      <c r="X108" s="92">
        <v>33</v>
      </c>
      <c r="Y108" s="90">
        <v>5.73913043478261</v>
      </c>
      <c r="Z108" s="33" t="str">
        <f t="shared" si="4"/>
        <v>CONGRESSGAIN</v>
      </c>
      <c r="AA108" s="94">
        <f t="shared" si="6"/>
        <v>88.1739130434783</v>
      </c>
      <c r="AB108" s="33" t="str">
        <f t="shared" si="5"/>
        <v>VERYHIGHMARGIN</v>
      </c>
    </row>
    <row r="109" spans="1:28">
      <c r="A109" s="87">
        <v>107</v>
      </c>
      <c r="B109" s="88" t="s">
        <v>29</v>
      </c>
      <c r="C109" s="87">
        <v>322</v>
      </c>
      <c r="D109" s="88">
        <v>169</v>
      </c>
      <c r="E109" s="89">
        <v>52.4844720496894</v>
      </c>
      <c r="F109" s="88">
        <v>142</v>
      </c>
      <c r="G109" s="90">
        <v>44.0993788819876</v>
      </c>
      <c r="H109" s="87">
        <v>2</v>
      </c>
      <c r="I109" s="90">
        <v>0.62111801242236</v>
      </c>
      <c r="J109" s="87">
        <v>0</v>
      </c>
      <c r="K109" s="90">
        <v>0</v>
      </c>
      <c r="L109" s="87">
        <v>0</v>
      </c>
      <c r="M109" s="90">
        <v>0</v>
      </c>
      <c r="N109" s="87">
        <v>3</v>
      </c>
      <c r="O109" s="90">
        <v>0.93167701863354</v>
      </c>
      <c r="P109" s="87">
        <v>0</v>
      </c>
      <c r="Q109" s="90">
        <v>0</v>
      </c>
      <c r="R109" s="87">
        <v>1</v>
      </c>
      <c r="S109" s="90">
        <v>0.31055900621118</v>
      </c>
      <c r="T109" s="87">
        <v>1</v>
      </c>
      <c r="U109" s="90">
        <v>0.31055900621118</v>
      </c>
      <c r="V109" s="87">
        <v>0</v>
      </c>
      <c r="W109" s="90">
        <v>0</v>
      </c>
      <c r="X109" s="92">
        <v>4</v>
      </c>
      <c r="Y109" s="90">
        <v>1.24223602484472</v>
      </c>
      <c r="Z109" s="46" t="str">
        <f t="shared" si="4"/>
        <v>BJP GAIN</v>
      </c>
      <c r="AA109" s="94">
        <f t="shared" ref="AA109:AA114" si="7">E109-G109</f>
        <v>8.38509316770186</v>
      </c>
      <c r="AB109" s="34" t="str">
        <f t="shared" si="5"/>
        <v>NARROWMARGIN</v>
      </c>
    </row>
    <row r="110" spans="1:28">
      <c r="A110" s="87">
        <v>108</v>
      </c>
      <c r="B110" s="88" t="s">
        <v>29</v>
      </c>
      <c r="C110" s="87">
        <v>574</v>
      </c>
      <c r="D110" s="88">
        <v>399</v>
      </c>
      <c r="E110" s="89">
        <v>69.5121951219512</v>
      </c>
      <c r="F110" s="88">
        <v>156</v>
      </c>
      <c r="G110" s="90">
        <v>27.1777003484321</v>
      </c>
      <c r="H110" s="87">
        <v>3</v>
      </c>
      <c r="I110" s="90">
        <v>0.522648083623693</v>
      </c>
      <c r="J110" s="87">
        <v>0</v>
      </c>
      <c r="K110" s="90">
        <v>0</v>
      </c>
      <c r="L110" s="87">
        <v>0</v>
      </c>
      <c r="M110" s="90">
        <v>0</v>
      </c>
      <c r="N110" s="87">
        <v>0</v>
      </c>
      <c r="O110" s="90">
        <v>0</v>
      </c>
      <c r="P110" s="87">
        <v>0</v>
      </c>
      <c r="Q110" s="90">
        <v>0</v>
      </c>
      <c r="R110" s="87">
        <v>5</v>
      </c>
      <c r="S110" s="90">
        <v>0.871080139372822</v>
      </c>
      <c r="T110" s="87">
        <v>2</v>
      </c>
      <c r="U110" s="90">
        <v>0.348432055749129</v>
      </c>
      <c r="V110" s="87">
        <v>0</v>
      </c>
      <c r="W110" s="90">
        <v>0</v>
      </c>
      <c r="X110" s="92">
        <v>9</v>
      </c>
      <c r="Y110" s="90">
        <v>1.56794425087108</v>
      </c>
      <c r="Z110" s="46" t="str">
        <f t="shared" si="4"/>
        <v>BJP GAIN</v>
      </c>
      <c r="AA110" s="94">
        <f t="shared" si="7"/>
        <v>42.3344947735192</v>
      </c>
      <c r="AB110" s="95" t="str">
        <f t="shared" si="5"/>
        <v>HIGHMARGIN</v>
      </c>
    </row>
    <row r="111" spans="1:28">
      <c r="A111" s="87">
        <v>109</v>
      </c>
      <c r="B111" s="88" t="s">
        <v>29</v>
      </c>
      <c r="C111" s="87">
        <v>543</v>
      </c>
      <c r="D111" s="88">
        <v>368</v>
      </c>
      <c r="E111" s="89">
        <v>67.7716390423573</v>
      </c>
      <c r="F111" s="88">
        <v>149</v>
      </c>
      <c r="G111" s="90">
        <v>27.4401473296501</v>
      </c>
      <c r="H111" s="87">
        <v>4</v>
      </c>
      <c r="I111" s="90">
        <v>0.736648250460405</v>
      </c>
      <c r="J111" s="87">
        <v>0</v>
      </c>
      <c r="K111" s="90">
        <v>0</v>
      </c>
      <c r="L111" s="87">
        <v>0</v>
      </c>
      <c r="M111" s="90">
        <v>0</v>
      </c>
      <c r="N111" s="87">
        <v>0</v>
      </c>
      <c r="O111" s="90">
        <v>0</v>
      </c>
      <c r="P111" s="87">
        <v>0</v>
      </c>
      <c r="Q111" s="90">
        <v>0</v>
      </c>
      <c r="R111" s="87">
        <v>13</v>
      </c>
      <c r="S111" s="90">
        <v>2.39410681399632</v>
      </c>
      <c r="T111" s="87">
        <v>1</v>
      </c>
      <c r="U111" s="90">
        <v>0.184162062615101</v>
      </c>
      <c r="V111" s="87">
        <v>0</v>
      </c>
      <c r="W111" s="90">
        <v>0</v>
      </c>
      <c r="X111" s="92">
        <v>8</v>
      </c>
      <c r="Y111" s="90">
        <v>1.47329650092081</v>
      </c>
      <c r="Z111" s="46" t="str">
        <f t="shared" si="4"/>
        <v>BJP GAIN</v>
      </c>
      <c r="AA111" s="94">
        <f t="shared" si="7"/>
        <v>40.3314917127072</v>
      </c>
      <c r="AB111" s="95" t="str">
        <f t="shared" si="5"/>
        <v>HIGHMARGIN</v>
      </c>
    </row>
    <row r="112" spans="1:28">
      <c r="A112" s="87">
        <v>110</v>
      </c>
      <c r="B112" s="88" t="s">
        <v>29</v>
      </c>
      <c r="C112" s="87">
        <v>677</v>
      </c>
      <c r="D112" s="88">
        <v>508</v>
      </c>
      <c r="E112" s="89">
        <v>75.0369276218612</v>
      </c>
      <c r="F112" s="88">
        <v>150</v>
      </c>
      <c r="G112" s="90">
        <v>22.1565731166913</v>
      </c>
      <c r="H112" s="87">
        <v>6</v>
      </c>
      <c r="I112" s="90">
        <v>0.886262924667651</v>
      </c>
      <c r="J112" s="87">
        <v>0</v>
      </c>
      <c r="K112" s="90">
        <v>0</v>
      </c>
      <c r="L112" s="87">
        <v>0</v>
      </c>
      <c r="M112" s="90">
        <v>0</v>
      </c>
      <c r="N112" s="87">
        <v>0</v>
      </c>
      <c r="O112" s="90">
        <v>0</v>
      </c>
      <c r="P112" s="87">
        <v>0</v>
      </c>
      <c r="Q112" s="90">
        <v>0</v>
      </c>
      <c r="R112" s="87">
        <v>4</v>
      </c>
      <c r="S112" s="90">
        <v>0.590841949778434</v>
      </c>
      <c r="T112" s="87">
        <v>2</v>
      </c>
      <c r="U112" s="90">
        <v>0.295420974889217</v>
      </c>
      <c r="V112" s="87">
        <v>0</v>
      </c>
      <c r="W112" s="90">
        <v>0</v>
      </c>
      <c r="X112" s="92">
        <v>7</v>
      </c>
      <c r="Y112" s="90">
        <v>1.03397341211226</v>
      </c>
      <c r="Z112" s="46" t="str">
        <f t="shared" si="4"/>
        <v>BJP GAIN</v>
      </c>
      <c r="AA112" s="94">
        <f t="shared" si="7"/>
        <v>52.8803545051699</v>
      </c>
      <c r="AB112" s="33" t="str">
        <f t="shared" si="5"/>
        <v>VERYHIGHMARGIN</v>
      </c>
    </row>
    <row r="113" spans="1:28">
      <c r="A113" s="87">
        <v>111</v>
      </c>
      <c r="B113" s="88" t="s">
        <v>29</v>
      </c>
      <c r="C113" s="87">
        <v>520</v>
      </c>
      <c r="D113" s="88">
        <v>383</v>
      </c>
      <c r="E113" s="89">
        <v>73.6538461538461</v>
      </c>
      <c r="F113" s="88">
        <v>123</v>
      </c>
      <c r="G113" s="90">
        <v>23.6538461538462</v>
      </c>
      <c r="H113" s="87">
        <v>1</v>
      </c>
      <c r="I113" s="90">
        <v>0.192307692307692</v>
      </c>
      <c r="J113" s="87">
        <v>0</v>
      </c>
      <c r="K113" s="90">
        <v>0</v>
      </c>
      <c r="L113" s="87">
        <v>0</v>
      </c>
      <c r="M113" s="90">
        <v>0</v>
      </c>
      <c r="N113" s="87">
        <v>1</v>
      </c>
      <c r="O113" s="90">
        <v>0.192307692307692</v>
      </c>
      <c r="P113" s="87">
        <v>0</v>
      </c>
      <c r="Q113" s="90">
        <v>0</v>
      </c>
      <c r="R113" s="87">
        <v>6</v>
      </c>
      <c r="S113" s="90">
        <v>1.15384615384615</v>
      </c>
      <c r="T113" s="87">
        <v>2</v>
      </c>
      <c r="U113" s="90">
        <v>0.384615384615385</v>
      </c>
      <c r="V113" s="87">
        <v>0</v>
      </c>
      <c r="W113" s="90">
        <v>0</v>
      </c>
      <c r="X113" s="92">
        <v>4</v>
      </c>
      <c r="Y113" s="90">
        <v>0.769230769230769</v>
      </c>
      <c r="Z113" s="46" t="str">
        <f t="shared" si="4"/>
        <v>BJP GAIN</v>
      </c>
      <c r="AA113" s="94">
        <f t="shared" si="7"/>
        <v>50</v>
      </c>
      <c r="AB113" s="33" t="str">
        <f t="shared" si="5"/>
        <v>VERYHIGHMARGIN</v>
      </c>
    </row>
    <row r="114" spans="1:28">
      <c r="A114" s="87">
        <v>112</v>
      </c>
      <c r="B114" s="88" t="s">
        <v>29</v>
      </c>
      <c r="C114" s="87">
        <v>498</v>
      </c>
      <c r="D114" s="88">
        <v>262</v>
      </c>
      <c r="E114" s="89">
        <v>52.6104417670683</v>
      </c>
      <c r="F114" s="88">
        <v>223</v>
      </c>
      <c r="G114" s="90">
        <v>44.7791164658635</v>
      </c>
      <c r="H114" s="87">
        <v>5</v>
      </c>
      <c r="I114" s="90">
        <v>1.00401606425703</v>
      </c>
      <c r="J114" s="87">
        <v>0</v>
      </c>
      <c r="K114" s="90">
        <v>0</v>
      </c>
      <c r="L114" s="87">
        <v>0</v>
      </c>
      <c r="M114" s="90">
        <v>0</v>
      </c>
      <c r="N114" s="87">
        <v>0</v>
      </c>
      <c r="O114" s="90">
        <v>0</v>
      </c>
      <c r="P114" s="87">
        <v>0</v>
      </c>
      <c r="Q114" s="90">
        <v>0</v>
      </c>
      <c r="R114" s="87">
        <v>3</v>
      </c>
      <c r="S114" s="90">
        <v>0.602409638554217</v>
      </c>
      <c r="T114" s="87">
        <v>1</v>
      </c>
      <c r="U114" s="90">
        <v>0.200803212851406</v>
      </c>
      <c r="V114" s="87">
        <v>0</v>
      </c>
      <c r="W114" s="90">
        <v>0</v>
      </c>
      <c r="X114" s="92">
        <v>4</v>
      </c>
      <c r="Y114" s="90">
        <v>0.803212851405622</v>
      </c>
      <c r="Z114" s="46" t="str">
        <f t="shared" si="4"/>
        <v>BJP GAIN</v>
      </c>
      <c r="AA114" s="94">
        <f t="shared" si="7"/>
        <v>7.83132530120481</v>
      </c>
      <c r="AB114" s="34" t="str">
        <f t="shared" si="5"/>
        <v>NARROWMARGIN</v>
      </c>
    </row>
    <row r="115" spans="1:28">
      <c r="A115" s="87">
        <v>113</v>
      </c>
      <c r="B115" s="88" t="s">
        <v>29</v>
      </c>
      <c r="C115" s="87">
        <v>480</v>
      </c>
      <c r="D115" s="88">
        <v>142</v>
      </c>
      <c r="E115" s="89">
        <v>29.5833333333333</v>
      </c>
      <c r="F115" s="88">
        <v>321</v>
      </c>
      <c r="G115" s="90">
        <v>66.875</v>
      </c>
      <c r="H115" s="87">
        <v>4</v>
      </c>
      <c r="I115" s="90">
        <v>0.833333333333333</v>
      </c>
      <c r="J115" s="87">
        <v>0</v>
      </c>
      <c r="K115" s="90">
        <v>0</v>
      </c>
      <c r="L115" s="87">
        <v>0</v>
      </c>
      <c r="M115" s="90">
        <v>0</v>
      </c>
      <c r="N115" s="87">
        <v>1</v>
      </c>
      <c r="O115" s="90">
        <v>0.208333333333333</v>
      </c>
      <c r="P115" s="87">
        <v>0</v>
      </c>
      <c r="Q115" s="90">
        <v>0</v>
      </c>
      <c r="R115" s="87">
        <v>2</v>
      </c>
      <c r="S115" s="90">
        <v>0.416666666666667</v>
      </c>
      <c r="T115" s="87">
        <v>3</v>
      </c>
      <c r="U115" s="90">
        <v>0.625</v>
      </c>
      <c r="V115" s="87">
        <v>0</v>
      </c>
      <c r="W115" s="90">
        <v>0</v>
      </c>
      <c r="X115" s="92">
        <v>7</v>
      </c>
      <c r="Y115" s="90">
        <v>1.45833333333333</v>
      </c>
      <c r="Z115" s="33" t="str">
        <f t="shared" si="4"/>
        <v>CONGRESSGAIN</v>
      </c>
      <c r="AA115" s="94">
        <f t="shared" si="6"/>
        <v>37.2916666666667</v>
      </c>
      <c r="AB115" s="36" t="str">
        <f t="shared" si="5"/>
        <v>MEDIUMMARGIN</v>
      </c>
    </row>
    <row r="116" spans="1:28">
      <c r="A116" s="87">
        <v>114</v>
      </c>
      <c r="B116" s="88" t="s">
        <v>29</v>
      </c>
      <c r="C116" s="87">
        <v>463</v>
      </c>
      <c r="D116" s="88">
        <v>213</v>
      </c>
      <c r="E116" s="89">
        <v>46.0043196544276</v>
      </c>
      <c r="F116" s="88">
        <v>230</v>
      </c>
      <c r="G116" s="90">
        <v>49.6760259179266</v>
      </c>
      <c r="H116" s="87">
        <v>3</v>
      </c>
      <c r="I116" s="90">
        <v>0.647948164146868</v>
      </c>
      <c r="J116" s="87">
        <v>0</v>
      </c>
      <c r="K116" s="90">
        <v>0</v>
      </c>
      <c r="L116" s="87">
        <v>0</v>
      </c>
      <c r="M116" s="90">
        <v>0</v>
      </c>
      <c r="N116" s="87">
        <v>0</v>
      </c>
      <c r="O116" s="90">
        <v>0</v>
      </c>
      <c r="P116" s="87">
        <v>0</v>
      </c>
      <c r="Q116" s="90">
        <v>0</v>
      </c>
      <c r="R116" s="87">
        <v>4</v>
      </c>
      <c r="S116" s="90">
        <v>0.863930885529158</v>
      </c>
      <c r="T116" s="87">
        <v>2</v>
      </c>
      <c r="U116" s="90">
        <v>0.431965442764579</v>
      </c>
      <c r="V116" s="87">
        <v>0</v>
      </c>
      <c r="W116" s="90">
        <v>0</v>
      </c>
      <c r="X116" s="92">
        <v>11</v>
      </c>
      <c r="Y116" s="90">
        <v>2.37580993520518</v>
      </c>
      <c r="Z116" s="33" t="str">
        <f t="shared" si="4"/>
        <v>CONGRESSGAIN</v>
      </c>
      <c r="AA116" s="94">
        <f t="shared" si="6"/>
        <v>3.67170626349892</v>
      </c>
      <c r="AB116" s="34" t="str">
        <f t="shared" si="5"/>
        <v>NARROWMARGIN</v>
      </c>
    </row>
    <row r="117" spans="1:28">
      <c r="A117" s="87">
        <v>115</v>
      </c>
      <c r="B117" s="88" t="s">
        <v>29</v>
      </c>
      <c r="C117" s="87">
        <v>499</v>
      </c>
      <c r="D117" s="88">
        <v>187</v>
      </c>
      <c r="E117" s="89">
        <v>37.4749498997996</v>
      </c>
      <c r="F117" s="88">
        <v>285</v>
      </c>
      <c r="G117" s="90">
        <v>57.1142284569138</v>
      </c>
      <c r="H117" s="87">
        <v>7</v>
      </c>
      <c r="I117" s="90">
        <v>1.40280561122244</v>
      </c>
      <c r="J117" s="87">
        <v>0</v>
      </c>
      <c r="K117" s="90">
        <v>0</v>
      </c>
      <c r="L117" s="87">
        <v>0</v>
      </c>
      <c r="M117" s="90">
        <v>0</v>
      </c>
      <c r="N117" s="87">
        <v>0</v>
      </c>
      <c r="O117" s="90">
        <v>0</v>
      </c>
      <c r="P117" s="87">
        <v>0</v>
      </c>
      <c r="Q117" s="90">
        <v>0</v>
      </c>
      <c r="R117" s="87">
        <v>16</v>
      </c>
      <c r="S117" s="90">
        <v>3.2064128256513</v>
      </c>
      <c r="T117" s="87">
        <v>0</v>
      </c>
      <c r="U117" s="90">
        <v>0</v>
      </c>
      <c r="V117" s="87">
        <v>0</v>
      </c>
      <c r="W117" s="90">
        <v>0</v>
      </c>
      <c r="X117" s="92">
        <v>4</v>
      </c>
      <c r="Y117" s="90">
        <v>0.801603206412826</v>
      </c>
      <c r="Z117" s="33" t="str">
        <f t="shared" si="4"/>
        <v>CONGRESSGAIN</v>
      </c>
      <c r="AA117" s="94">
        <f t="shared" si="6"/>
        <v>19.6392785571142</v>
      </c>
      <c r="AB117" s="35" t="str">
        <f t="shared" si="5"/>
        <v>LOWMARGIN</v>
      </c>
    </row>
    <row r="118" spans="1:28">
      <c r="A118" s="87">
        <v>116</v>
      </c>
      <c r="B118" s="88" t="s">
        <v>29</v>
      </c>
      <c r="C118" s="87">
        <v>595</v>
      </c>
      <c r="D118" s="88">
        <v>160</v>
      </c>
      <c r="E118" s="89">
        <v>26.890756302521</v>
      </c>
      <c r="F118" s="88">
        <v>414</v>
      </c>
      <c r="G118" s="90">
        <v>69.5798319327731</v>
      </c>
      <c r="H118" s="87">
        <v>8</v>
      </c>
      <c r="I118" s="90">
        <v>1.34453781512605</v>
      </c>
      <c r="J118" s="87">
        <v>0</v>
      </c>
      <c r="K118" s="90">
        <v>0</v>
      </c>
      <c r="L118" s="87">
        <v>0</v>
      </c>
      <c r="M118" s="90">
        <v>0</v>
      </c>
      <c r="N118" s="87">
        <v>1</v>
      </c>
      <c r="O118" s="90">
        <v>0.168067226890756</v>
      </c>
      <c r="P118" s="87">
        <v>0</v>
      </c>
      <c r="Q118" s="90">
        <v>0</v>
      </c>
      <c r="R118" s="87">
        <v>1</v>
      </c>
      <c r="S118" s="90">
        <v>0.168067226890756</v>
      </c>
      <c r="T118" s="87">
        <v>1</v>
      </c>
      <c r="U118" s="90">
        <v>0.168067226890756</v>
      </c>
      <c r="V118" s="87">
        <v>0</v>
      </c>
      <c r="W118" s="90">
        <v>0</v>
      </c>
      <c r="X118" s="92">
        <v>10</v>
      </c>
      <c r="Y118" s="90">
        <v>1.68067226890756</v>
      </c>
      <c r="Z118" s="33" t="str">
        <f t="shared" si="4"/>
        <v>CONGRESSGAIN</v>
      </c>
      <c r="AA118" s="94">
        <f t="shared" si="6"/>
        <v>42.6890756302521</v>
      </c>
      <c r="AB118" s="95" t="str">
        <f t="shared" si="5"/>
        <v>HIGHMARGIN</v>
      </c>
    </row>
    <row r="119" spans="1:28">
      <c r="A119" s="87">
        <v>117</v>
      </c>
      <c r="B119" s="88" t="s">
        <v>29</v>
      </c>
      <c r="C119" s="87">
        <v>771</v>
      </c>
      <c r="D119" s="88">
        <v>234</v>
      </c>
      <c r="E119" s="89">
        <v>30.3501945525292</v>
      </c>
      <c r="F119" s="88">
        <v>523</v>
      </c>
      <c r="G119" s="90">
        <v>67.8339818417639</v>
      </c>
      <c r="H119" s="87">
        <v>4</v>
      </c>
      <c r="I119" s="90">
        <v>0.518806744487678</v>
      </c>
      <c r="J119" s="87">
        <v>0</v>
      </c>
      <c r="K119" s="90">
        <v>0</v>
      </c>
      <c r="L119" s="87">
        <v>0</v>
      </c>
      <c r="M119" s="90">
        <v>0</v>
      </c>
      <c r="N119" s="87">
        <v>0</v>
      </c>
      <c r="O119" s="90">
        <v>0</v>
      </c>
      <c r="P119" s="87">
        <v>0</v>
      </c>
      <c r="Q119" s="90">
        <v>0</v>
      </c>
      <c r="R119" s="87">
        <v>2</v>
      </c>
      <c r="S119" s="90">
        <v>0.259403372243839</v>
      </c>
      <c r="T119" s="87">
        <v>3</v>
      </c>
      <c r="U119" s="90">
        <v>0.389105058365759</v>
      </c>
      <c r="V119" s="87">
        <v>0</v>
      </c>
      <c r="W119" s="90">
        <v>0</v>
      </c>
      <c r="X119" s="92">
        <v>5</v>
      </c>
      <c r="Y119" s="90">
        <v>0.648508430609598</v>
      </c>
      <c r="Z119" s="33" t="str">
        <f t="shared" si="4"/>
        <v>CONGRESSGAIN</v>
      </c>
      <c r="AA119" s="94">
        <f t="shared" si="6"/>
        <v>37.4837872892348</v>
      </c>
      <c r="AB119" s="36" t="str">
        <f t="shared" si="5"/>
        <v>MEDIUMMARGIN</v>
      </c>
    </row>
    <row r="120" spans="1:28">
      <c r="A120" s="87">
        <v>118</v>
      </c>
      <c r="B120" s="88" t="s">
        <v>29</v>
      </c>
      <c r="C120" s="87">
        <v>954</v>
      </c>
      <c r="D120" s="88">
        <v>224</v>
      </c>
      <c r="E120" s="89">
        <v>23.4800838574423</v>
      </c>
      <c r="F120" s="88">
        <v>687</v>
      </c>
      <c r="G120" s="90">
        <v>72.0125786163522</v>
      </c>
      <c r="H120" s="87">
        <v>14</v>
      </c>
      <c r="I120" s="90">
        <v>1.46750524109015</v>
      </c>
      <c r="J120" s="87">
        <v>0</v>
      </c>
      <c r="K120" s="90">
        <v>0</v>
      </c>
      <c r="L120" s="87">
        <v>0</v>
      </c>
      <c r="M120" s="90">
        <v>0</v>
      </c>
      <c r="N120" s="87">
        <v>3</v>
      </c>
      <c r="O120" s="90">
        <v>0.314465408805031</v>
      </c>
      <c r="P120" s="87">
        <v>0</v>
      </c>
      <c r="Q120" s="90">
        <v>0</v>
      </c>
      <c r="R120" s="87">
        <v>9</v>
      </c>
      <c r="S120" s="90">
        <v>0.943396226415094</v>
      </c>
      <c r="T120" s="87">
        <v>2</v>
      </c>
      <c r="U120" s="90">
        <v>0.209643605870021</v>
      </c>
      <c r="V120" s="87">
        <v>0</v>
      </c>
      <c r="W120" s="90">
        <v>0</v>
      </c>
      <c r="X120" s="92">
        <v>15</v>
      </c>
      <c r="Y120" s="90">
        <v>1.57232704402516</v>
      </c>
      <c r="Z120" s="33" t="str">
        <f t="shared" si="4"/>
        <v>CONGRESSGAIN</v>
      </c>
      <c r="AA120" s="94">
        <f t="shared" si="6"/>
        <v>48.5324947589098</v>
      </c>
      <c r="AB120" s="95" t="str">
        <f t="shared" si="5"/>
        <v>HIGHMARGIN</v>
      </c>
    </row>
    <row r="121" spans="1:28">
      <c r="A121" s="87">
        <v>119</v>
      </c>
      <c r="B121" s="88" t="s">
        <v>29</v>
      </c>
      <c r="C121" s="87">
        <v>476</v>
      </c>
      <c r="D121" s="88">
        <v>143</v>
      </c>
      <c r="E121" s="89">
        <v>30.0420168067227</v>
      </c>
      <c r="F121" s="88">
        <v>317</v>
      </c>
      <c r="G121" s="90">
        <v>66.5966386554622</v>
      </c>
      <c r="H121" s="87">
        <v>6</v>
      </c>
      <c r="I121" s="90">
        <v>1.26050420168067</v>
      </c>
      <c r="J121" s="87">
        <v>0</v>
      </c>
      <c r="K121" s="90">
        <v>0</v>
      </c>
      <c r="L121" s="87">
        <v>0</v>
      </c>
      <c r="M121" s="90">
        <v>0</v>
      </c>
      <c r="N121" s="87">
        <v>1</v>
      </c>
      <c r="O121" s="90">
        <v>0.210084033613445</v>
      </c>
      <c r="P121" s="87">
        <v>0</v>
      </c>
      <c r="Q121" s="90">
        <v>0</v>
      </c>
      <c r="R121" s="87">
        <v>5</v>
      </c>
      <c r="S121" s="90">
        <v>1.05042016806723</v>
      </c>
      <c r="T121" s="87">
        <v>2</v>
      </c>
      <c r="U121" s="90">
        <v>0.420168067226891</v>
      </c>
      <c r="V121" s="87">
        <v>0</v>
      </c>
      <c r="W121" s="90">
        <v>0</v>
      </c>
      <c r="X121" s="92">
        <v>2</v>
      </c>
      <c r="Y121" s="90">
        <v>0.420168067226891</v>
      </c>
      <c r="Z121" s="33" t="str">
        <f t="shared" si="4"/>
        <v>CONGRESSGAIN</v>
      </c>
      <c r="AA121" s="94">
        <f t="shared" si="6"/>
        <v>36.5546218487395</v>
      </c>
      <c r="AB121" s="36" t="str">
        <f t="shared" si="5"/>
        <v>MEDIUMMARGIN</v>
      </c>
    </row>
    <row r="122" spans="1:28">
      <c r="A122" s="87">
        <v>120</v>
      </c>
      <c r="B122" s="88" t="s">
        <v>29</v>
      </c>
      <c r="C122" s="87">
        <v>645</v>
      </c>
      <c r="D122" s="88">
        <v>183</v>
      </c>
      <c r="E122" s="89">
        <v>28.3720930232558</v>
      </c>
      <c r="F122" s="88">
        <v>440</v>
      </c>
      <c r="G122" s="90">
        <v>68.2170542635659</v>
      </c>
      <c r="H122" s="87">
        <v>4</v>
      </c>
      <c r="I122" s="90">
        <v>0.62015503875969</v>
      </c>
      <c r="J122" s="87">
        <v>0</v>
      </c>
      <c r="K122" s="90">
        <v>0</v>
      </c>
      <c r="L122" s="87">
        <v>0</v>
      </c>
      <c r="M122" s="90">
        <v>0</v>
      </c>
      <c r="N122" s="87">
        <v>2</v>
      </c>
      <c r="O122" s="90">
        <v>0.310077519379845</v>
      </c>
      <c r="P122" s="87">
        <v>0</v>
      </c>
      <c r="Q122" s="90">
        <v>0</v>
      </c>
      <c r="R122" s="87">
        <v>8</v>
      </c>
      <c r="S122" s="90">
        <v>1.24031007751938</v>
      </c>
      <c r="T122" s="87">
        <v>2</v>
      </c>
      <c r="U122" s="90">
        <v>0.310077519379845</v>
      </c>
      <c r="V122" s="87">
        <v>0</v>
      </c>
      <c r="W122" s="90">
        <v>0</v>
      </c>
      <c r="X122" s="92">
        <v>6</v>
      </c>
      <c r="Y122" s="90">
        <v>0.930232558139535</v>
      </c>
      <c r="Z122" s="33" t="str">
        <f t="shared" si="4"/>
        <v>CONGRESSGAIN</v>
      </c>
      <c r="AA122" s="94">
        <f t="shared" si="6"/>
        <v>39.8449612403101</v>
      </c>
      <c r="AB122" s="36" t="str">
        <f t="shared" si="5"/>
        <v>MEDIUMMARGIN</v>
      </c>
    </row>
    <row r="123" spans="1:28">
      <c r="A123" s="87">
        <v>121</v>
      </c>
      <c r="B123" s="88" t="s">
        <v>29</v>
      </c>
      <c r="C123" s="87">
        <v>570</v>
      </c>
      <c r="D123" s="88">
        <v>151</v>
      </c>
      <c r="E123" s="89">
        <v>26.4912280701754</v>
      </c>
      <c r="F123" s="88">
        <v>397</v>
      </c>
      <c r="G123" s="90">
        <v>69.6491228070175</v>
      </c>
      <c r="H123" s="87">
        <v>8</v>
      </c>
      <c r="I123" s="90">
        <v>1.40350877192982</v>
      </c>
      <c r="J123" s="87">
        <v>0</v>
      </c>
      <c r="K123" s="90">
        <v>0</v>
      </c>
      <c r="L123" s="87">
        <v>0</v>
      </c>
      <c r="M123" s="90">
        <v>0</v>
      </c>
      <c r="N123" s="87">
        <v>0</v>
      </c>
      <c r="O123" s="90">
        <v>0</v>
      </c>
      <c r="P123" s="87">
        <v>0</v>
      </c>
      <c r="Q123" s="90">
        <v>0</v>
      </c>
      <c r="R123" s="87">
        <v>4</v>
      </c>
      <c r="S123" s="90">
        <v>0.701754385964912</v>
      </c>
      <c r="T123" s="87">
        <v>1</v>
      </c>
      <c r="U123" s="90">
        <v>0.175438596491228</v>
      </c>
      <c r="V123" s="87">
        <v>0</v>
      </c>
      <c r="W123" s="90">
        <v>0</v>
      </c>
      <c r="X123" s="92">
        <v>9</v>
      </c>
      <c r="Y123" s="90">
        <v>1.57894736842105</v>
      </c>
      <c r="Z123" s="33" t="str">
        <f t="shared" si="4"/>
        <v>CONGRESSGAIN</v>
      </c>
      <c r="AA123" s="94">
        <f t="shared" si="6"/>
        <v>43.1578947368421</v>
      </c>
      <c r="AB123" s="95" t="str">
        <f t="shared" si="5"/>
        <v>HIGHMARGIN</v>
      </c>
    </row>
    <row r="124" spans="1:28">
      <c r="A124" s="87">
        <v>122</v>
      </c>
      <c r="B124" s="88" t="s">
        <v>29</v>
      </c>
      <c r="C124" s="87">
        <v>658</v>
      </c>
      <c r="D124" s="88">
        <v>414</v>
      </c>
      <c r="E124" s="89">
        <v>62.9179331306991</v>
      </c>
      <c r="F124" s="88">
        <v>213</v>
      </c>
      <c r="G124" s="90">
        <v>32.370820668693</v>
      </c>
      <c r="H124" s="87">
        <v>11</v>
      </c>
      <c r="I124" s="90">
        <v>1.67173252279635</v>
      </c>
      <c r="J124" s="87">
        <v>0</v>
      </c>
      <c r="K124" s="90">
        <v>0</v>
      </c>
      <c r="L124" s="87">
        <v>0</v>
      </c>
      <c r="M124" s="90">
        <v>0</v>
      </c>
      <c r="N124" s="87">
        <v>2</v>
      </c>
      <c r="O124" s="90">
        <v>0.303951367781155</v>
      </c>
      <c r="P124" s="87">
        <v>0</v>
      </c>
      <c r="Q124" s="90">
        <v>0</v>
      </c>
      <c r="R124" s="87">
        <v>9</v>
      </c>
      <c r="S124" s="90">
        <v>1.3677811550152</v>
      </c>
      <c r="T124" s="87">
        <v>0</v>
      </c>
      <c r="U124" s="90">
        <v>0</v>
      </c>
      <c r="V124" s="87">
        <v>0</v>
      </c>
      <c r="W124" s="90">
        <v>0</v>
      </c>
      <c r="X124" s="92">
        <v>9</v>
      </c>
      <c r="Y124" s="90">
        <v>1.3677811550152</v>
      </c>
      <c r="Z124" s="46" t="str">
        <f t="shared" si="4"/>
        <v>BJP GAIN</v>
      </c>
      <c r="AA124" s="94">
        <f>E124-G124</f>
        <v>30.5471124620061</v>
      </c>
      <c r="AB124" s="36" t="str">
        <f t="shared" si="5"/>
        <v>MEDIUMMARGIN</v>
      </c>
    </row>
    <row r="125" spans="1:28">
      <c r="A125" s="87">
        <v>123</v>
      </c>
      <c r="B125" s="88" t="s">
        <v>29</v>
      </c>
      <c r="C125" s="87">
        <v>810</v>
      </c>
      <c r="D125" s="88">
        <v>431</v>
      </c>
      <c r="E125" s="89">
        <v>53.2098765432099</v>
      </c>
      <c r="F125" s="88">
        <v>348</v>
      </c>
      <c r="G125" s="90">
        <v>42.962962962963</v>
      </c>
      <c r="H125" s="87">
        <v>6</v>
      </c>
      <c r="I125" s="90">
        <v>0.740740740740741</v>
      </c>
      <c r="J125" s="87">
        <v>0</v>
      </c>
      <c r="K125" s="90">
        <v>0</v>
      </c>
      <c r="L125" s="87">
        <v>0</v>
      </c>
      <c r="M125" s="90">
        <v>0</v>
      </c>
      <c r="N125" s="87">
        <v>1</v>
      </c>
      <c r="O125" s="90">
        <v>0.123456790123457</v>
      </c>
      <c r="P125" s="87">
        <v>0</v>
      </c>
      <c r="Q125" s="90">
        <v>0</v>
      </c>
      <c r="R125" s="87">
        <v>5</v>
      </c>
      <c r="S125" s="90">
        <v>0.617283950617284</v>
      </c>
      <c r="T125" s="87">
        <v>5</v>
      </c>
      <c r="U125" s="90">
        <v>0.617283950617284</v>
      </c>
      <c r="V125" s="87">
        <v>0</v>
      </c>
      <c r="W125" s="90">
        <v>0</v>
      </c>
      <c r="X125" s="92">
        <v>14</v>
      </c>
      <c r="Y125" s="90">
        <v>1.7283950617284</v>
      </c>
      <c r="Z125" s="46" t="str">
        <f t="shared" si="4"/>
        <v>BJP GAIN</v>
      </c>
      <c r="AA125" s="94">
        <f>E125-G125</f>
        <v>10.2469135802469</v>
      </c>
      <c r="AB125" s="35" t="str">
        <f t="shared" si="5"/>
        <v>LOWMARGIN</v>
      </c>
    </row>
    <row r="126" spans="1:28">
      <c r="A126" s="87">
        <v>124</v>
      </c>
      <c r="B126" s="88" t="s">
        <v>29</v>
      </c>
      <c r="C126" s="87">
        <v>562</v>
      </c>
      <c r="D126" s="88">
        <v>234</v>
      </c>
      <c r="E126" s="89">
        <v>41.6370106761566</v>
      </c>
      <c r="F126" s="88">
        <v>311</v>
      </c>
      <c r="G126" s="90">
        <v>55.3380782918149</v>
      </c>
      <c r="H126" s="87">
        <v>10</v>
      </c>
      <c r="I126" s="90">
        <v>1.77935943060498</v>
      </c>
      <c r="J126" s="87">
        <v>0</v>
      </c>
      <c r="K126" s="90">
        <v>0</v>
      </c>
      <c r="L126" s="87">
        <v>0</v>
      </c>
      <c r="M126" s="90">
        <v>0</v>
      </c>
      <c r="N126" s="87">
        <v>0</v>
      </c>
      <c r="O126" s="90">
        <v>0</v>
      </c>
      <c r="P126" s="87">
        <v>0</v>
      </c>
      <c r="Q126" s="90">
        <v>0</v>
      </c>
      <c r="R126" s="87">
        <v>3</v>
      </c>
      <c r="S126" s="90">
        <v>0.533807829181495</v>
      </c>
      <c r="T126" s="87">
        <v>3</v>
      </c>
      <c r="U126" s="90">
        <v>0.533807829181495</v>
      </c>
      <c r="V126" s="87">
        <v>0</v>
      </c>
      <c r="W126" s="90">
        <v>0</v>
      </c>
      <c r="X126" s="92">
        <v>1</v>
      </c>
      <c r="Y126" s="90">
        <v>0.177935943060498</v>
      </c>
      <c r="Z126" s="33" t="str">
        <f t="shared" si="4"/>
        <v>CONGRESSGAIN</v>
      </c>
      <c r="AA126" s="94">
        <f t="shared" si="6"/>
        <v>13.7010676156584</v>
      </c>
      <c r="AB126" s="35" t="str">
        <f t="shared" si="5"/>
        <v>LOWMARGIN</v>
      </c>
    </row>
    <row r="127" spans="1:28">
      <c r="A127" s="87">
        <v>125</v>
      </c>
      <c r="B127" s="88" t="s">
        <v>29</v>
      </c>
      <c r="C127" s="87">
        <v>492</v>
      </c>
      <c r="D127" s="88">
        <v>328</v>
      </c>
      <c r="E127" s="89">
        <v>66.6666666666667</v>
      </c>
      <c r="F127" s="88">
        <v>147</v>
      </c>
      <c r="G127" s="90">
        <v>29.8780487804878</v>
      </c>
      <c r="H127" s="87">
        <v>6</v>
      </c>
      <c r="I127" s="90">
        <v>1.21951219512195</v>
      </c>
      <c r="J127" s="87">
        <v>0</v>
      </c>
      <c r="K127" s="90">
        <v>0</v>
      </c>
      <c r="L127" s="87">
        <v>0</v>
      </c>
      <c r="M127" s="90">
        <v>0</v>
      </c>
      <c r="N127" s="87">
        <v>0</v>
      </c>
      <c r="O127" s="90">
        <v>0</v>
      </c>
      <c r="P127" s="87">
        <v>0</v>
      </c>
      <c r="Q127" s="90">
        <v>0</v>
      </c>
      <c r="R127" s="87">
        <v>3</v>
      </c>
      <c r="S127" s="90">
        <v>0.609756097560976</v>
      </c>
      <c r="T127" s="87">
        <v>8</v>
      </c>
      <c r="U127" s="90">
        <v>1.6260162601626</v>
      </c>
      <c r="V127" s="87">
        <v>0</v>
      </c>
      <c r="W127" s="90">
        <v>0</v>
      </c>
      <c r="X127" s="92">
        <v>0</v>
      </c>
      <c r="Y127" s="90">
        <v>0</v>
      </c>
      <c r="Z127" s="46" t="str">
        <f t="shared" si="4"/>
        <v>BJP GAIN</v>
      </c>
      <c r="AA127" s="94">
        <f>E127-G127</f>
        <v>36.7886178861789</v>
      </c>
      <c r="AB127" s="36" t="str">
        <f t="shared" si="5"/>
        <v>MEDIUMMARGIN</v>
      </c>
    </row>
    <row r="128" spans="1:28">
      <c r="A128" s="87">
        <v>126</v>
      </c>
      <c r="B128" s="88" t="s">
        <v>29</v>
      </c>
      <c r="C128" s="87">
        <v>720</v>
      </c>
      <c r="D128" s="88">
        <v>276</v>
      </c>
      <c r="E128" s="89">
        <v>38.3333333333333</v>
      </c>
      <c r="F128" s="88">
        <v>382</v>
      </c>
      <c r="G128" s="90">
        <v>53.0555555555556</v>
      </c>
      <c r="H128" s="87">
        <v>5</v>
      </c>
      <c r="I128" s="90">
        <v>0.694444444444444</v>
      </c>
      <c r="J128" s="87">
        <v>0</v>
      </c>
      <c r="K128" s="90">
        <v>0</v>
      </c>
      <c r="L128" s="87">
        <v>0</v>
      </c>
      <c r="M128" s="90">
        <v>0</v>
      </c>
      <c r="N128" s="87">
        <v>2</v>
      </c>
      <c r="O128" s="90">
        <v>0.277777777777778</v>
      </c>
      <c r="P128" s="87">
        <v>0</v>
      </c>
      <c r="Q128" s="90">
        <v>0</v>
      </c>
      <c r="R128" s="87">
        <v>33</v>
      </c>
      <c r="S128" s="90">
        <v>4.58333333333333</v>
      </c>
      <c r="T128" s="87">
        <v>2</v>
      </c>
      <c r="U128" s="90">
        <v>0.277777777777778</v>
      </c>
      <c r="V128" s="87">
        <v>0</v>
      </c>
      <c r="W128" s="90">
        <v>0</v>
      </c>
      <c r="X128" s="92">
        <v>20</v>
      </c>
      <c r="Y128" s="90">
        <v>2.77777777777778</v>
      </c>
      <c r="Z128" s="33" t="str">
        <f t="shared" si="4"/>
        <v>CONGRESSGAIN</v>
      </c>
      <c r="AA128" s="94">
        <f t="shared" si="6"/>
        <v>14.7222222222222</v>
      </c>
      <c r="AB128" s="35" t="str">
        <f t="shared" si="5"/>
        <v>LOWMARGIN</v>
      </c>
    </row>
    <row r="129" spans="1:28">
      <c r="A129" s="87">
        <v>127</v>
      </c>
      <c r="B129" s="88" t="s">
        <v>29</v>
      </c>
      <c r="C129" s="87">
        <v>781</v>
      </c>
      <c r="D129" s="88">
        <v>346</v>
      </c>
      <c r="E129" s="89">
        <v>44.3021766965429</v>
      </c>
      <c r="F129" s="88">
        <v>408</v>
      </c>
      <c r="G129" s="90">
        <v>52.2407170294494</v>
      </c>
      <c r="H129" s="87">
        <v>8</v>
      </c>
      <c r="I129" s="90">
        <v>1.02432778489117</v>
      </c>
      <c r="J129" s="87">
        <v>0</v>
      </c>
      <c r="K129" s="90">
        <v>0</v>
      </c>
      <c r="L129" s="87">
        <v>0</v>
      </c>
      <c r="M129" s="90">
        <v>0</v>
      </c>
      <c r="N129" s="87">
        <v>0</v>
      </c>
      <c r="O129" s="90">
        <v>0</v>
      </c>
      <c r="P129" s="87">
        <v>0</v>
      </c>
      <c r="Q129" s="90">
        <v>0</v>
      </c>
      <c r="R129" s="87">
        <v>2</v>
      </c>
      <c r="S129" s="90">
        <v>0.256081946222791</v>
      </c>
      <c r="T129" s="87">
        <v>1</v>
      </c>
      <c r="U129" s="90">
        <v>0.128040973111396</v>
      </c>
      <c r="V129" s="87">
        <v>0</v>
      </c>
      <c r="W129" s="90">
        <v>0</v>
      </c>
      <c r="X129" s="92">
        <v>16</v>
      </c>
      <c r="Y129" s="90">
        <v>2.04865556978233</v>
      </c>
      <c r="Z129" s="33" t="str">
        <f t="shared" si="4"/>
        <v>CONGRESSGAIN</v>
      </c>
      <c r="AA129" s="94">
        <f t="shared" si="6"/>
        <v>7.93854033290653</v>
      </c>
      <c r="AB129" s="34" t="str">
        <f t="shared" si="5"/>
        <v>NARROWMARGIN</v>
      </c>
    </row>
    <row r="130" spans="1:28">
      <c r="A130" s="87">
        <v>128</v>
      </c>
      <c r="B130" s="88" t="s">
        <v>29</v>
      </c>
      <c r="C130" s="87">
        <v>485</v>
      </c>
      <c r="D130" s="88">
        <v>205</v>
      </c>
      <c r="E130" s="89">
        <v>42.2680412371134</v>
      </c>
      <c r="F130" s="88">
        <v>266</v>
      </c>
      <c r="G130" s="90">
        <v>54.8453608247423</v>
      </c>
      <c r="H130" s="87">
        <v>1</v>
      </c>
      <c r="I130" s="90">
        <v>0.206185567010309</v>
      </c>
      <c r="J130" s="87">
        <v>0</v>
      </c>
      <c r="K130" s="90">
        <v>0</v>
      </c>
      <c r="L130" s="87">
        <v>0</v>
      </c>
      <c r="M130" s="90">
        <v>0</v>
      </c>
      <c r="N130" s="87">
        <v>0</v>
      </c>
      <c r="O130" s="90">
        <v>0</v>
      </c>
      <c r="P130" s="87">
        <v>0</v>
      </c>
      <c r="Q130" s="90">
        <v>0</v>
      </c>
      <c r="R130" s="87">
        <v>1</v>
      </c>
      <c r="S130" s="90">
        <v>0.206185567010309</v>
      </c>
      <c r="T130" s="87">
        <v>1</v>
      </c>
      <c r="U130" s="90">
        <v>0.206185567010309</v>
      </c>
      <c r="V130" s="87">
        <v>0</v>
      </c>
      <c r="W130" s="90">
        <v>0</v>
      </c>
      <c r="X130" s="92">
        <v>11</v>
      </c>
      <c r="Y130" s="90">
        <v>2.2680412371134</v>
      </c>
      <c r="Z130" s="33" t="str">
        <f t="shared" si="4"/>
        <v>CONGRESSGAIN</v>
      </c>
      <c r="AA130" s="94">
        <f t="shared" si="6"/>
        <v>12.5773195876289</v>
      </c>
      <c r="AB130" s="35" t="str">
        <f t="shared" si="5"/>
        <v>LOWMARGIN</v>
      </c>
    </row>
    <row r="131" spans="1:28">
      <c r="A131" s="87">
        <v>129</v>
      </c>
      <c r="B131" s="88" t="s">
        <v>29</v>
      </c>
      <c r="C131" s="87">
        <v>592</v>
      </c>
      <c r="D131" s="88">
        <v>258</v>
      </c>
      <c r="E131" s="89">
        <v>43.5810810810811</v>
      </c>
      <c r="F131" s="88">
        <v>313</v>
      </c>
      <c r="G131" s="90">
        <v>52.8716216216216</v>
      </c>
      <c r="H131" s="87">
        <v>4</v>
      </c>
      <c r="I131" s="90">
        <v>0.675675675675676</v>
      </c>
      <c r="J131" s="87">
        <v>0</v>
      </c>
      <c r="K131" s="90">
        <v>0</v>
      </c>
      <c r="L131" s="87">
        <v>0</v>
      </c>
      <c r="M131" s="90">
        <v>0</v>
      </c>
      <c r="N131" s="87">
        <v>0</v>
      </c>
      <c r="O131" s="90">
        <v>0</v>
      </c>
      <c r="P131" s="87">
        <v>0</v>
      </c>
      <c r="Q131" s="90">
        <v>0</v>
      </c>
      <c r="R131" s="87">
        <v>3</v>
      </c>
      <c r="S131" s="90">
        <v>0.506756756756757</v>
      </c>
      <c r="T131" s="87">
        <v>5</v>
      </c>
      <c r="U131" s="90">
        <v>0.844594594594595</v>
      </c>
      <c r="V131" s="87">
        <v>0</v>
      </c>
      <c r="W131" s="90">
        <v>0</v>
      </c>
      <c r="X131" s="92">
        <v>9</v>
      </c>
      <c r="Y131" s="90">
        <v>1.52027027027027</v>
      </c>
      <c r="Z131" s="33" t="str">
        <f t="shared" si="4"/>
        <v>CONGRESSGAIN</v>
      </c>
      <c r="AA131" s="94">
        <f t="shared" si="6"/>
        <v>9.29054054054054</v>
      </c>
      <c r="AB131" s="34" t="str">
        <f t="shared" si="5"/>
        <v>NARROWMARGIN</v>
      </c>
    </row>
    <row r="132" spans="1:28">
      <c r="A132" s="87">
        <v>130</v>
      </c>
      <c r="B132" s="88" t="s">
        <v>29</v>
      </c>
      <c r="C132" s="87">
        <v>530</v>
      </c>
      <c r="D132" s="88">
        <v>138</v>
      </c>
      <c r="E132" s="89">
        <v>26.0377358490566</v>
      </c>
      <c r="F132" s="88">
        <v>362</v>
      </c>
      <c r="G132" s="90">
        <v>68.3018867924528</v>
      </c>
      <c r="H132" s="87">
        <v>1</v>
      </c>
      <c r="I132" s="90">
        <v>0.188679245283019</v>
      </c>
      <c r="J132" s="87">
        <v>0</v>
      </c>
      <c r="K132" s="90">
        <v>0</v>
      </c>
      <c r="L132" s="87">
        <v>0</v>
      </c>
      <c r="M132" s="90">
        <v>0</v>
      </c>
      <c r="N132" s="87">
        <v>0</v>
      </c>
      <c r="O132" s="90">
        <v>0</v>
      </c>
      <c r="P132" s="87">
        <v>0</v>
      </c>
      <c r="Q132" s="90">
        <v>0</v>
      </c>
      <c r="R132" s="87">
        <v>4</v>
      </c>
      <c r="S132" s="90">
        <v>0.754716981132076</v>
      </c>
      <c r="T132" s="87">
        <v>4</v>
      </c>
      <c r="U132" s="90">
        <v>0.754716981132076</v>
      </c>
      <c r="V132" s="87">
        <v>0</v>
      </c>
      <c r="W132" s="90">
        <v>0</v>
      </c>
      <c r="X132" s="92">
        <v>21</v>
      </c>
      <c r="Y132" s="90">
        <v>3.9622641509434</v>
      </c>
      <c r="Z132" s="33" t="str">
        <f t="shared" ref="Z132:Z195" si="8">IF(E132&gt;G132,"BJP GAIN","CONGRESSGAIN")</f>
        <v>CONGRESSGAIN</v>
      </c>
      <c r="AA132" s="94">
        <f t="shared" si="6"/>
        <v>42.2641509433962</v>
      </c>
      <c r="AB132" s="95" t="str">
        <f t="shared" ref="AB132:AB194" si="9">IF(AA132&gt;=50,"VERYHIGHMARGIN",IF(AA132&gt;=40,"HIGHMARGIN",IF(AA132&gt;=30,"MEDIUMMARGIN",IF(AA132&gt;10,"LOWMARGIN",IF(AA132&gt;1,"NARROWMARGIN")))))</f>
        <v>HIGHMARGIN</v>
      </c>
    </row>
    <row r="133" spans="1:28">
      <c r="A133" s="87">
        <v>131</v>
      </c>
      <c r="B133" s="88" t="s">
        <v>29</v>
      </c>
      <c r="C133" s="87">
        <v>695</v>
      </c>
      <c r="D133" s="88">
        <v>140</v>
      </c>
      <c r="E133" s="89">
        <v>20.1438848920863</v>
      </c>
      <c r="F133" s="88">
        <v>490</v>
      </c>
      <c r="G133" s="90">
        <v>70.5035971223022</v>
      </c>
      <c r="H133" s="87">
        <v>4</v>
      </c>
      <c r="I133" s="90">
        <v>0.575539568345324</v>
      </c>
      <c r="J133" s="87">
        <v>0</v>
      </c>
      <c r="K133" s="90">
        <v>0</v>
      </c>
      <c r="L133" s="87">
        <v>0</v>
      </c>
      <c r="M133" s="90">
        <v>0</v>
      </c>
      <c r="N133" s="87">
        <v>0</v>
      </c>
      <c r="O133" s="90">
        <v>0</v>
      </c>
      <c r="P133" s="87">
        <v>0</v>
      </c>
      <c r="Q133" s="90">
        <v>0</v>
      </c>
      <c r="R133" s="87">
        <v>11</v>
      </c>
      <c r="S133" s="90">
        <v>1.58273381294964</v>
      </c>
      <c r="T133" s="87">
        <v>2</v>
      </c>
      <c r="U133" s="90">
        <v>0.287769784172662</v>
      </c>
      <c r="V133" s="87">
        <v>0</v>
      </c>
      <c r="W133" s="90">
        <v>0</v>
      </c>
      <c r="X133" s="92">
        <v>48</v>
      </c>
      <c r="Y133" s="90">
        <v>6.90647482014388</v>
      </c>
      <c r="Z133" s="33" t="str">
        <f t="shared" si="8"/>
        <v>CONGRESSGAIN</v>
      </c>
      <c r="AA133" s="94">
        <f t="shared" si="6"/>
        <v>50.3597122302158</v>
      </c>
      <c r="AB133" s="33" t="str">
        <f t="shared" si="9"/>
        <v>VERYHIGHMARGIN</v>
      </c>
    </row>
    <row r="134" spans="1:28">
      <c r="A134" s="87">
        <v>132</v>
      </c>
      <c r="B134" s="88" t="s">
        <v>29</v>
      </c>
      <c r="C134" s="87">
        <v>615</v>
      </c>
      <c r="D134" s="88">
        <v>233</v>
      </c>
      <c r="E134" s="89">
        <v>37.8861788617886</v>
      </c>
      <c r="F134" s="88">
        <v>352</v>
      </c>
      <c r="G134" s="90">
        <v>57.2357723577236</v>
      </c>
      <c r="H134" s="87">
        <v>11</v>
      </c>
      <c r="I134" s="90">
        <v>1.78861788617886</v>
      </c>
      <c r="J134" s="87">
        <v>0</v>
      </c>
      <c r="K134" s="90">
        <v>0</v>
      </c>
      <c r="L134" s="87">
        <v>0</v>
      </c>
      <c r="M134" s="90">
        <v>0</v>
      </c>
      <c r="N134" s="87">
        <v>1</v>
      </c>
      <c r="O134" s="90">
        <v>0.16260162601626</v>
      </c>
      <c r="P134" s="87">
        <v>0</v>
      </c>
      <c r="Q134" s="90">
        <v>0</v>
      </c>
      <c r="R134" s="87">
        <v>9</v>
      </c>
      <c r="S134" s="90">
        <v>1.46341463414634</v>
      </c>
      <c r="T134" s="87">
        <v>0</v>
      </c>
      <c r="U134" s="90">
        <v>0</v>
      </c>
      <c r="V134" s="87">
        <v>0</v>
      </c>
      <c r="W134" s="90">
        <v>0</v>
      </c>
      <c r="X134" s="92">
        <v>9</v>
      </c>
      <c r="Y134" s="90">
        <v>1.46341463414634</v>
      </c>
      <c r="Z134" s="33" t="str">
        <f t="shared" si="8"/>
        <v>CONGRESSGAIN</v>
      </c>
      <c r="AA134" s="94">
        <f t="shared" si="6"/>
        <v>19.349593495935</v>
      </c>
      <c r="AB134" s="35" t="str">
        <f t="shared" si="9"/>
        <v>LOWMARGIN</v>
      </c>
    </row>
    <row r="135" spans="1:28">
      <c r="A135" s="87">
        <v>133</v>
      </c>
      <c r="B135" s="88" t="s">
        <v>29</v>
      </c>
      <c r="C135" s="87">
        <v>545</v>
      </c>
      <c r="D135" s="88">
        <v>307</v>
      </c>
      <c r="E135" s="89">
        <v>56.3302752293578</v>
      </c>
      <c r="F135" s="88">
        <v>217</v>
      </c>
      <c r="G135" s="90">
        <v>39.8165137614679</v>
      </c>
      <c r="H135" s="87">
        <v>5</v>
      </c>
      <c r="I135" s="90">
        <v>0.91743119266055</v>
      </c>
      <c r="J135" s="87">
        <v>0</v>
      </c>
      <c r="K135" s="90">
        <v>0</v>
      </c>
      <c r="L135" s="87">
        <v>0</v>
      </c>
      <c r="M135" s="90">
        <v>0</v>
      </c>
      <c r="N135" s="87">
        <v>0</v>
      </c>
      <c r="O135" s="90">
        <v>0</v>
      </c>
      <c r="P135" s="87">
        <v>0</v>
      </c>
      <c r="Q135" s="90">
        <v>0</v>
      </c>
      <c r="R135" s="87">
        <v>8</v>
      </c>
      <c r="S135" s="90">
        <v>1.46788990825688</v>
      </c>
      <c r="T135" s="87">
        <v>4</v>
      </c>
      <c r="U135" s="90">
        <v>0.73394495412844</v>
      </c>
      <c r="V135" s="87">
        <v>0</v>
      </c>
      <c r="W135" s="90">
        <v>0</v>
      </c>
      <c r="X135" s="92">
        <v>4</v>
      </c>
      <c r="Y135" s="90">
        <v>0.73394495412844</v>
      </c>
      <c r="Z135" s="46" t="str">
        <f t="shared" si="8"/>
        <v>BJP GAIN</v>
      </c>
      <c r="AA135" s="94">
        <f>E135-G135</f>
        <v>16.5137614678899</v>
      </c>
      <c r="AB135" s="35" t="str">
        <f t="shared" si="9"/>
        <v>LOWMARGIN</v>
      </c>
    </row>
    <row r="136" spans="1:28">
      <c r="A136" s="87">
        <v>134</v>
      </c>
      <c r="B136" s="88" t="s">
        <v>29</v>
      </c>
      <c r="C136" s="87">
        <v>538</v>
      </c>
      <c r="D136" s="88">
        <v>253</v>
      </c>
      <c r="E136" s="89">
        <v>47.0260223048327</v>
      </c>
      <c r="F136" s="88">
        <v>258</v>
      </c>
      <c r="G136" s="90">
        <v>47.9553903345725</v>
      </c>
      <c r="H136" s="87">
        <v>7</v>
      </c>
      <c r="I136" s="90">
        <v>1.30111524163569</v>
      </c>
      <c r="J136" s="87">
        <v>0</v>
      </c>
      <c r="K136" s="90">
        <v>0</v>
      </c>
      <c r="L136" s="87">
        <v>0</v>
      </c>
      <c r="M136" s="90">
        <v>0</v>
      </c>
      <c r="N136" s="87">
        <v>1</v>
      </c>
      <c r="O136" s="90">
        <v>0.185873605947955</v>
      </c>
      <c r="P136" s="87">
        <v>0</v>
      </c>
      <c r="Q136" s="90">
        <v>0</v>
      </c>
      <c r="R136" s="87">
        <v>11</v>
      </c>
      <c r="S136" s="90">
        <v>2.04460966542751</v>
      </c>
      <c r="T136" s="87">
        <v>3</v>
      </c>
      <c r="U136" s="90">
        <v>0.557620817843866</v>
      </c>
      <c r="V136" s="87">
        <v>0</v>
      </c>
      <c r="W136" s="90">
        <v>0</v>
      </c>
      <c r="X136" s="92">
        <v>5</v>
      </c>
      <c r="Y136" s="90">
        <v>0.929368029739777</v>
      </c>
      <c r="Z136" s="33" t="str">
        <f t="shared" si="8"/>
        <v>CONGRESSGAIN</v>
      </c>
      <c r="AA136" s="94">
        <f t="shared" si="6"/>
        <v>0.929368029739777</v>
      </c>
      <c r="AB136" s="34" t="str">
        <f>IF(AA136&gt;=50,"VERYHIGHMARGIN",IF(AA136&gt;=40,"HIGHMARGIN",IF(AA136&gt;=30,"MEDIUMMARGIN",IF(AA136&gt;10,"LOWMARGIN",IF(AA136&lt;1,"NARROWMARGIN")))))</f>
        <v>NARROWMARGIN</v>
      </c>
    </row>
    <row r="137" spans="1:28">
      <c r="A137" s="87">
        <v>135</v>
      </c>
      <c r="B137" s="88" t="s">
        <v>29</v>
      </c>
      <c r="C137" s="87">
        <v>936</v>
      </c>
      <c r="D137" s="88">
        <v>391</v>
      </c>
      <c r="E137" s="89">
        <v>41.7735042735043</v>
      </c>
      <c r="F137" s="88">
        <v>498</v>
      </c>
      <c r="G137" s="90">
        <v>53.2051282051282</v>
      </c>
      <c r="H137" s="87">
        <v>7</v>
      </c>
      <c r="I137" s="90">
        <v>0.747863247863248</v>
      </c>
      <c r="J137" s="87">
        <v>0</v>
      </c>
      <c r="K137" s="90">
        <v>0</v>
      </c>
      <c r="L137" s="87">
        <v>0</v>
      </c>
      <c r="M137" s="90">
        <v>0</v>
      </c>
      <c r="N137" s="87">
        <v>0</v>
      </c>
      <c r="O137" s="90">
        <v>0</v>
      </c>
      <c r="P137" s="87">
        <v>0</v>
      </c>
      <c r="Q137" s="90">
        <v>0</v>
      </c>
      <c r="R137" s="87">
        <v>21</v>
      </c>
      <c r="S137" s="90">
        <v>2.24358974358974</v>
      </c>
      <c r="T137" s="87">
        <v>8</v>
      </c>
      <c r="U137" s="90">
        <v>0.854700854700855</v>
      </c>
      <c r="V137" s="87">
        <v>0</v>
      </c>
      <c r="W137" s="90">
        <v>0</v>
      </c>
      <c r="X137" s="92">
        <v>11</v>
      </c>
      <c r="Y137" s="90">
        <v>1.17521367521368</v>
      </c>
      <c r="Z137" s="33" t="str">
        <f t="shared" si="8"/>
        <v>CONGRESSGAIN</v>
      </c>
      <c r="AA137" s="94">
        <f t="shared" si="6"/>
        <v>11.4316239316239</v>
      </c>
      <c r="AB137" s="35" t="str">
        <f t="shared" si="9"/>
        <v>LOWMARGIN</v>
      </c>
    </row>
    <row r="138" spans="1:28">
      <c r="A138" s="87">
        <v>136</v>
      </c>
      <c r="B138" s="88" t="s">
        <v>29</v>
      </c>
      <c r="C138" s="87">
        <v>428</v>
      </c>
      <c r="D138" s="88">
        <v>129</v>
      </c>
      <c r="E138" s="89">
        <v>30.1401869158878</v>
      </c>
      <c r="F138" s="88">
        <v>279</v>
      </c>
      <c r="G138" s="90">
        <v>65.1869158878505</v>
      </c>
      <c r="H138" s="87">
        <v>5</v>
      </c>
      <c r="I138" s="90">
        <v>1.16822429906542</v>
      </c>
      <c r="J138" s="87">
        <v>0</v>
      </c>
      <c r="K138" s="90">
        <v>0</v>
      </c>
      <c r="L138" s="87">
        <v>0</v>
      </c>
      <c r="M138" s="90">
        <v>0</v>
      </c>
      <c r="N138" s="87">
        <v>1</v>
      </c>
      <c r="O138" s="90">
        <v>0.233644859813084</v>
      </c>
      <c r="P138" s="87">
        <v>0</v>
      </c>
      <c r="Q138" s="90">
        <v>0</v>
      </c>
      <c r="R138" s="87">
        <v>4</v>
      </c>
      <c r="S138" s="90">
        <v>0.934579439252336</v>
      </c>
      <c r="T138" s="87">
        <v>2</v>
      </c>
      <c r="U138" s="90">
        <v>0.467289719626168</v>
      </c>
      <c r="V138" s="87">
        <v>0</v>
      </c>
      <c r="W138" s="90">
        <v>0</v>
      </c>
      <c r="X138" s="92">
        <v>8</v>
      </c>
      <c r="Y138" s="90">
        <v>1.86915887850467</v>
      </c>
      <c r="Z138" s="33" t="str">
        <f t="shared" si="8"/>
        <v>CONGRESSGAIN</v>
      </c>
      <c r="AA138" s="94">
        <f t="shared" si="6"/>
        <v>35.0467289719626</v>
      </c>
      <c r="AB138" s="36" t="str">
        <f t="shared" si="9"/>
        <v>MEDIUMMARGIN</v>
      </c>
    </row>
    <row r="139" spans="1:28">
      <c r="A139" s="87">
        <v>137</v>
      </c>
      <c r="B139" s="88" t="s">
        <v>29</v>
      </c>
      <c r="C139" s="87">
        <v>829</v>
      </c>
      <c r="D139" s="88">
        <v>199</v>
      </c>
      <c r="E139" s="89">
        <v>24.0048250904704</v>
      </c>
      <c r="F139" s="88">
        <v>544</v>
      </c>
      <c r="G139" s="90">
        <v>65.62123039807</v>
      </c>
      <c r="H139" s="87">
        <v>34</v>
      </c>
      <c r="I139" s="90">
        <v>4.10132689987937</v>
      </c>
      <c r="J139" s="87">
        <v>0</v>
      </c>
      <c r="K139" s="90">
        <v>0</v>
      </c>
      <c r="L139" s="87">
        <v>0</v>
      </c>
      <c r="M139" s="90">
        <v>0</v>
      </c>
      <c r="N139" s="87">
        <v>3</v>
      </c>
      <c r="O139" s="90">
        <v>0.361881785283474</v>
      </c>
      <c r="P139" s="87">
        <v>0</v>
      </c>
      <c r="Q139" s="90">
        <v>0</v>
      </c>
      <c r="R139" s="87">
        <v>18</v>
      </c>
      <c r="S139" s="90">
        <v>2.17129071170084</v>
      </c>
      <c r="T139" s="87">
        <v>7</v>
      </c>
      <c r="U139" s="90">
        <v>0.844390832328106</v>
      </c>
      <c r="V139" s="87">
        <v>0</v>
      </c>
      <c r="W139" s="90">
        <v>0</v>
      </c>
      <c r="X139" s="92">
        <v>24</v>
      </c>
      <c r="Y139" s="90">
        <v>2.89505428226779</v>
      </c>
      <c r="Z139" s="33" t="str">
        <f t="shared" si="8"/>
        <v>CONGRESSGAIN</v>
      </c>
      <c r="AA139" s="94">
        <f t="shared" si="6"/>
        <v>41.6164053075995</v>
      </c>
      <c r="AB139" s="95" t="str">
        <f t="shared" si="9"/>
        <v>HIGHMARGIN</v>
      </c>
    </row>
    <row r="140" spans="1:28">
      <c r="A140" s="87">
        <v>138</v>
      </c>
      <c r="B140" s="88" t="s">
        <v>29</v>
      </c>
      <c r="C140" s="87">
        <v>624</v>
      </c>
      <c r="D140" s="88">
        <v>269</v>
      </c>
      <c r="E140" s="89">
        <v>43.1089743589744</v>
      </c>
      <c r="F140" s="88">
        <v>299</v>
      </c>
      <c r="G140" s="90">
        <v>47.9166666666667</v>
      </c>
      <c r="H140" s="87">
        <v>17</v>
      </c>
      <c r="I140" s="90">
        <v>2.72435897435897</v>
      </c>
      <c r="J140" s="87">
        <v>0</v>
      </c>
      <c r="K140" s="90">
        <v>0</v>
      </c>
      <c r="L140" s="87">
        <v>0</v>
      </c>
      <c r="M140" s="90">
        <v>0</v>
      </c>
      <c r="N140" s="87">
        <v>0</v>
      </c>
      <c r="O140" s="90">
        <v>0</v>
      </c>
      <c r="P140" s="87">
        <v>0</v>
      </c>
      <c r="Q140" s="90">
        <v>0</v>
      </c>
      <c r="R140" s="87">
        <v>26</v>
      </c>
      <c r="S140" s="90">
        <v>4.16666666666667</v>
      </c>
      <c r="T140" s="87">
        <v>2</v>
      </c>
      <c r="U140" s="90">
        <v>0.32051282051282</v>
      </c>
      <c r="V140" s="87">
        <v>0</v>
      </c>
      <c r="W140" s="90">
        <v>0</v>
      </c>
      <c r="X140" s="92">
        <v>11</v>
      </c>
      <c r="Y140" s="90">
        <v>1.76282051282051</v>
      </c>
      <c r="Z140" s="33" t="str">
        <f t="shared" si="8"/>
        <v>CONGRESSGAIN</v>
      </c>
      <c r="AA140" s="94">
        <f t="shared" si="6"/>
        <v>4.80769230769231</v>
      </c>
      <c r="AB140" s="34" t="str">
        <f t="shared" si="9"/>
        <v>NARROWMARGIN</v>
      </c>
    </row>
    <row r="141" spans="1:28">
      <c r="A141" s="87">
        <v>139</v>
      </c>
      <c r="B141" s="88" t="s">
        <v>29</v>
      </c>
      <c r="C141" s="87">
        <v>380</v>
      </c>
      <c r="D141" s="88">
        <v>17</v>
      </c>
      <c r="E141" s="89">
        <v>4.47368421052632</v>
      </c>
      <c r="F141" s="88">
        <v>355</v>
      </c>
      <c r="G141" s="90">
        <v>93.4210526315789</v>
      </c>
      <c r="H141" s="87">
        <v>5</v>
      </c>
      <c r="I141" s="90">
        <v>1.31578947368421</v>
      </c>
      <c r="J141" s="87">
        <v>0</v>
      </c>
      <c r="K141" s="90">
        <v>0</v>
      </c>
      <c r="L141" s="87">
        <v>0</v>
      </c>
      <c r="M141" s="90">
        <v>0</v>
      </c>
      <c r="N141" s="87">
        <v>0</v>
      </c>
      <c r="O141" s="90">
        <v>0</v>
      </c>
      <c r="P141" s="87">
        <v>0</v>
      </c>
      <c r="Q141" s="90">
        <v>0</v>
      </c>
      <c r="R141" s="87">
        <v>0</v>
      </c>
      <c r="S141" s="90">
        <v>0</v>
      </c>
      <c r="T141" s="87">
        <v>0</v>
      </c>
      <c r="U141" s="90">
        <v>0</v>
      </c>
      <c r="V141" s="87">
        <v>0</v>
      </c>
      <c r="W141" s="90">
        <v>0</v>
      </c>
      <c r="X141" s="92">
        <v>3</v>
      </c>
      <c r="Y141" s="90">
        <v>0.789473684210526</v>
      </c>
      <c r="Z141" s="33" t="str">
        <f t="shared" si="8"/>
        <v>CONGRESSGAIN</v>
      </c>
      <c r="AA141" s="94">
        <f t="shared" si="6"/>
        <v>88.9473684210526</v>
      </c>
      <c r="AB141" s="33" t="str">
        <f t="shared" si="9"/>
        <v>VERYHIGHMARGIN</v>
      </c>
    </row>
    <row r="142" spans="1:28">
      <c r="A142" s="87">
        <v>140</v>
      </c>
      <c r="B142" s="88" t="s">
        <v>29</v>
      </c>
      <c r="C142" s="87">
        <v>594</v>
      </c>
      <c r="D142" s="88">
        <v>30</v>
      </c>
      <c r="E142" s="89">
        <v>5.05050505050505</v>
      </c>
      <c r="F142" s="88">
        <v>517</v>
      </c>
      <c r="G142" s="90">
        <v>87.037037037037</v>
      </c>
      <c r="H142" s="87">
        <v>6</v>
      </c>
      <c r="I142" s="90">
        <v>1.01010101010101</v>
      </c>
      <c r="J142" s="87">
        <v>0</v>
      </c>
      <c r="K142" s="90">
        <v>0</v>
      </c>
      <c r="L142" s="87">
        <v>0</v>
      </c>
      <c r="M142" s="90">
        <v>0</v>
      </c>
      <c r="N142" s="87">
        <v>1</v>
      </c>
      <c r="O142" s="90">
        <v>0.168350168350168</v>
      </c>
      <c r="P142" s="87">
        <v>0</v>
      </c>
      <c r="Q142" s="90">
        <v>0</v>
      </c>
      <c r="R142" s="87">
        <v>5</v>
      </c>
      <c r="S142" s="90">
        <v>0.841750841750842</v>
      </c>
      <c r="T142" s="87">
        <v>5</v>
      </c>
      <c r="U142" s="90">
        <v>0.841750841750842</v>
      </c>
      <c r="V142" s="87">
        <v>0</v>
      </c>
      <c r="W142" s="90">
        <v>0</v>
      </c>
      <c r="X142" s="92">
        <v>30</v>
      </c>
      <c r="Y142" s="90">
        <v>5.05050505050505</v>
      </c>
      <c r="Z142" s="33" t="str">
        <f t="shared" si="8"/>
        <v>CONGRESSGAIN</v>
      </c>
      <c r="AA142" s="94">
        <f t="shared" ref="AA142:AA194" si="10">G142-E142</f>
        <v>81.986531986532</v>
      </c>
      <c r="AB142" s="33" t="str">
        <f t="shared" si="9"/>
        <v>VERYHIGHMARGIN</v>
      </c>
    </row>
    <row r="143" spans="1:28">
      <c r="A143" s="87">
        <v>141</v>
      </c>
      <c r="B143" s="88" t="s">
        <v>29</v>
      </c>
      <c r="C143" s="87">
        <v>438</v>
      </c>
      <c r="D143" s="88">
        <v>36</v>
      </c>
      <c r="E143" s="89">
        <v>8.21917808219178</v>
      </c>
      <c r="F143" s="88">
        <v>388</v>
      </c>
      <c r="G143" s="90">
        <v>88.5844748858448</v>
      </c>
      <c r="H143" s="87">
        <v>3</v>
      </c>
      <c r="I143" s="90">
        <v>0.684931506849315</v>
      </c>
      <c r="J143" s="87">
        <v>0</v>
      </c>
      <c r="K143" s="90">
        <v>0</v>
      </c>
      <c r="L143" s="87">
        <v>0</v>
      </c>
      <c r="M143" s="90">
        <v>0</v>
      </c>
      <c r="N143" s="87">
        <v>2</v>
      </c>
      <c r="O143" s="90">
        <v>0.45662100456621</v>
      </c>
      <c r="P143" s="87">
        <v>0</v>
      </c>
      <c r="Q143" s="90">
        <v>0</v>
      </c>
      <c r="R143" s="87">
        <v>1</v>
      </c>
      <c r="S143" s="90">
        <v>0.228310502283105</v>
      </c>
      <c r="T143" s="87">
        <v>2</v>
      </c>
      <c r="U143" s="90">
        <v>0.45662100456621</v>
      </c>
      <c r="V143" s="87">
        <v>0</v>
      </c>
      <c r="W143" s="90">
        <v>0</v>
      </c>
      <c r="X143" s="92">
        <v>6</v>
      </c>
      <c r="Y143" s="90">
        <v>1.36986301369863</v>
      </c>
      <c r="Z143" s="33" t="str">
        <f t="shared" si="8"/>
        <v>CONGRESSGAIN</v>
      </c>
      <c r="AA143" s="94">
        <f t="shared" si="10"/>
        <v>80.365296803653</v>
      </c>
      <c r="AB143" s="33" t="str">
        <f t="shared" si="9"/>
        <v>VERYHIGHMARGIN</v>
      </c>
    </row>
    <row r="144" spans="1:28">
      <c r="A144" s="87">
        <v>142</v>
      </c>
      <c r="B144" s="88" t="s">
        <v>29</v>
      </c>
      <c r="C144" s="87">
        <v>447</v>
      </c>
      <c r="D144" s="88">
        <v>27</v>
      </c>
      <c r="E144" s="89">
        <v>6.04026845637584</v>
      </c>
      <c r="F144" s="88">
        <v>389</v>
      </c>
      <c r="G144" s="90">
        <v>87.0246085011186</v>
      </c>
      <c r="H144" s="87">
        <v>6</v>
      </c>
      <c r="I144" s="90">
        <v>1.34228187919463</v>
      </c>
      <c r="J144" s="87">
        <v>0</v>
      </c>
      <c r="K144" s="90">
        <v>0</v>
      </c>
      <c r="L144" s="87">
        <v>0</v>
      </c>
      <c r="M144" s="90">
        <v>0</v>
      </c>
      <c r="N144" s="87">
        <v>1</v>
      </c>
      <c r="O144" s="90">
        <v>0.223713646532438</v>
      </c>
      <c r="P144" s="87">
        <v>0</v>
      </c>
      <c r="Q144" s="90">
        <v>0</v>
      </c>
      <c r="R144" s="87">
        <v>4</v>
      </c>
      <c r="S144" s="90">
        <v>0.894854586129754</v>
      </c>
      <c r="T144" s="87">
        <v>1</v>
      </c>
      <c r="U144" s="90">
        <v>0.223713646532438</v>
      </c>
      <c r="V144" s="87">
        <v>0</v>
      </c>
      <c r="W144" s="90">
        <v>0</v>
      </c>
      <c r="X144" s="92">
        <v>19</v>
      </c>
      <c r="Y144" s="90">
        <v>4.25055928411633</v>
      </c>
      <c r="Z144" s="33" t="str">
        <f t="shared" si="8"/>
        <v>CONGRESSGAIN</v>
      </c>
      <c r="AA144" s="94">
        <f t="shared" si="10"/>
        <v>80.9843400447427</v>
      </c>
      <c r="AB144" s="33" t="str">
        <f t="shared" si="9"/>
        <v>VERYHIGHMARGIN</v>
      </c>
    </row>
    <row r="145" spans="1:28">
      <c r="A145" s="87">
        <v>143</v>
      </c>
      <c r="B145" s="88" t="s">
        <v>29</v>
      </c>
      <c r="C145" s="87">
        <v>396</v>
      </c>
      <c r="D145" s="88">
        <v>56</v>
      </c>
      <c r="E145" s="89">
        <v>14.1414141414141</v>
      </c>
      <c r="F145" s="88">
        <v>329</v>
      </c>
      <c r="G145" s="90">
        <v>83.0808080808081</v>
      </c>
      <c r="H145" s="87">
        <v>3</v>
      </c>
      <c r="I145" s="90">
        <v>0.757575757575758</v>
      </c>
      <c r="J145" s="87">
        <v>0</v>
      </c>
      <c r="K145" s="90">
        <v>0</v>
      </c>
      <c r="L145" s="87">
        <v>0</v>
      </c>
      <c r="M145" s="90">
        <v>0</v>
      </c>
      <c r="N145" s="87">
        <v>0</v>
      </c>
      <c r="O145" s="90">
        <v>0</v>
      </c>
      <c r="P145" s="87">
        <v>0</v>
      </c>
      <c r="Q145" s="90">
        <v>0</v>
      </c>
      <c r="R145" s="87">
        <v>1</v>
      </c>
      <c r="S145" s="90">
        <v>0.252525252525253</v>
      </c>
      <c r="T145" s="87">
        <v>0</v>
      </c>
      <c r="U145" s="90">
        <v>0</v>
      </c>
      <c r="V145" s="87">
        <v>0</v>
      </c>
      <c r="W145" s="90">
        <v>0</v>
      </c>
      <c r="X145" s="92">
        <v>7</v>
      </c>
      <c r="Y145" s="90">
        <v>1.76767676767677</v>
      </c>
      <c r="Z145" s="33" t="str">
        <f t="shared" si="8"/>
        <v>CONGRESSGAIN</v>
      </c>
      <c r="AA145" s="94">
        <f t="shared" si="10"/>
        <v>68.9393939393939</v>
      </c>
      <c r="AB145" s="33" t="str">
        <f t="shared" si="9"/>
        <v>VERYHIGHMARGIN</v>
      </c>
    </row>
    <row r="146" spans="1:28">
      <c r="A146" s="87">
        <v>144</v>
      </c>
      <c r="B146" s="88" t="s">
        <v>29</v>
      </c>
      <c r="C146" s="87">
        <v>519</v>
      </c>
      <c r="D146" s="88">
        <v>75</v>
      </c>
      <c r="E146" s="89">
        <v>14.4508670520231</v>
      </c>
      <c r="F146" s="88">
        <v>426</v>
      </c>
      <c r="G146" s="90">
        <v>82.0809248554913</v>
      </c>
      <c r="H146" s="87">
        <v>2</v>
      </c>
      <c r="I146" s="90">
        <v>0.385356454720617</v>
      </c>
      <c r="J146" s="87">
        <v>0</v>
      </c>
      <c r="K146" s="90">
        <v>0</v>
      </c>
      <c r="L146" s="87">
        <v>0</v>
      </c>
      <c r="M146" s="90">
        <v>0</v>
      </c>
      <c r="N146" s="87">
        <v>1</v>
      </c>
      <c r="O146" s="90">
        <v>0.192678227360308</v>
      </c>
      <c r="P146" s="87">
        <v>0</v>
      </c>
      <c r="Q146" s="90">
        <v>0</v>
      </c>
      <c r="R146" s="87">
        <v>6</v>
      </c>
      <c r="S146" s="90">
        <v>1.15606936416185</v>
      </c>
      <c r="T146" s="87">
        <v>1</v>
      </c>
      <c r="U146" s="90">
        <v>0.192678227360308</v>
      </c>
      <c r="V146" s="87">
        <v>0</v>
      </c>
      <c r="W146" s="90">
        <v>0</v>
      </c>
      <c r="X146" s="92">
        <v>8</v>
      </c>
      <c r="Y146" s="90">
        <v>1.54142581888247</v>
      </c>
      <c r="Z146" s="33" t="str">
        <f t="shared" si="8"/>
        <v>CONGRESSGAIN</v>
      </c>
      <c r="AA146" s="94">
        <f t="shared" si="10"/>
        <v>67.6300578034682</v>
      </c>
      <c r="AB146" s="33" t="str">
        <f t="shared" si="9"/>
        <v>VERYHIGHMARGIN</v>
      </c>
    </row>
    <row r="147" spans="1:28">
      <c r="A147" s="87">
        <v>145</v>
      </c>
      <c r="B147" s="88" t="s">
        <v>29</v>
      </c>
      <c r="C147" s="87">
        <v>524</v>
      </c>
      <c r="D147" s="88">
        <v>149</v>
      </c>
      <c r="E147" s="89">
        <v>28.4351145038168</v>
      </c>
      <c r="F147" s="88">
        <v>347</v>
      </c>
      <c r="G147" s="90">
        <v>66.2213740458015</v>
      </c>
      <c r="H147" s="87">
        <v>3</v>
      </c>
      <c r="I147" s="90">
        <v>0.572519083969466</v>
      </c>
      <c r="J147" s="87">
        <v>0</v>
      </c>
      <c r="K147" s="90">
        <v>0</v>
      </c>
      <c r="L147" s="87">
        <v>0</v>
      </c>
      <c r="M147" s="90">
        <v>0</v>
      </c>
      <c r="N147" s="87">
        <v>1</v>
      </c>
      <c r="O147" s="90">
        <v>0.190839694656489</v>
      </c>
      <c r="P147" s="87">
        <v>0</v>
      </c>
      <c r="Q147" s="90">
        <v>0</v>
      </c>
      <c r="R147" s="87">
        <v>6</v>
      </c>
      <c r="S147" s="90">
        <v>1.14503816793893</v>
      </c>
      <c r="T147" s="87">
        <v>2</v>
      </c>
      <c r="U147" s="90">
        <v>0.381679389312977</v>
      </c>
      <c r="V147" s="87">
        <v>0</v>
      </c>
      <c r="W147" s="90">
        <v>0</v>
      </c>
      <c r="X147" s="92">
        <v>16</v>
      </c>
      <c r="Y147" s="90">
        <v>3.05343511450382</v>
      </c>
      <c r="Z147" s="33" t="str">
        <f t="shared" si="8"/>
        <v>CONGRESSGAIN</v>
      </c>
      <c r="AA147" s="94">
        <f t="shared" si="10"/>
        <v>37.7862595419847</v>
      </c>
      <c r="AB147" s="36" t="str">
        <f t="shared" si="9"/>
        <v>MEDIUMMARGIN</v>
      </c>
    </row>
    <row r="148" spans="1:28">
      <c r="A148" s="87">
        <v>146</v>
      </c>
      <c r="B148" s="88" t="s">
        <v>29</v>
      </c>
      <c r="C148" s="87">
        <v>566</v>
      </c>
      <c r="D148" s="88">
        <v>169</v>
      </c>
      <c r="E148" s="89">
        <v>29.8586572438163</v>
      </c>
      <c r="F148" s="88">
        <v>376</v>
      </c>
      <c r="G148" s="90">
        <v>66.4310954063604</v>
      </c>
      <c r="H148" s="87">
        <v>6</v>
      </c>
      <c r="I148" s="90">
        <v>1.06007067137809</v>
      </c>
      <c r="J148" s="87">
        <v>0</v>
      </c>
      <c r="K148" s="90">
        <v>0</v>
      </c>
      <c r="L148" s="87">
        <v>0</v>
      </c>
      <c r="M148" s="90">
        <v>0</v>
      </c>
      <c r="N148" s="87">
        <v>1</v>
      </c>
      <c r="O148" s="90">
        <v>0.176678445229682</v>
      </c>
      <c r="P148" s="87">
        <v>0</v>
      </c>
      <c r="Q148" s="90">
        <v>0</v>
      </c>
      <c r="R148" s="87">
        <v>2</v>
      </c>
      <c r="S148" s="90">
        <v>0.353356890459364</v>
      </c>
      <c r="T148" s="87">
        <v>4</v>
      </c>
      <c r="U148" s="90">
        <v>0.706713780918728</v>
      </c>
      <c r="V148" s="87">
        <v>0</v>
      </c>
      <c r="W148" s="90">
        <v>0</v>
      </c>
      <c r="X148" s="92">
        <v>8</v>
      </c>
      <c r="Y148" s="90">
        <v>1.41342756183746</v>
      </c>
      <c r="Z148" s="33" t="str">
        <f t="shared" si="8"/>
        <v>CONGRESSGAIN</v>
      </c>
      <c r="AA148" s="94">
        <f t="shared" si="10"/>
        <v>36.5724381625442</v>
      </c>
      <c r="AB148" s="36" t="str">
        <f t="shared" si="9"/>
        <v>MEDIUMMARGIN</v>
      </c>
    </row>
    <row r="149" spans="1:28">
      <c r="A149" s="87">
        <v>147</v>
      </c>
      <c r="B149" s="88" t="s">
        <v>29</v>
      </c>
      <c r="C149" s="87">
        <v>504</v>
      </c>
      <c r="D149" s="88">
        <v>123</v>
      </c>
      <c r="E149" s="89">
        <v>24.4047619047619</v>
      </c>
      <c r="F149" s="88">
        <v>369</v>
      </c>
      <c r="G149" s="90">
        <v>73.2142857142857</v>
      </c>
      <c r="H149" s="87">
        <v>2</v>
      </c>
      <c r="I149" s="90">
        <v>0.396825396825397</v>
      </c>
      <c r="J149" s="87">
        <v>0</v>
      </c>
      <c r="K149" s="90">
        <v>0</v>
      </c>
      <c r="L149" s="87">
        <v>0</v>
      </c>
      <c r="M149" s="90">
        <v>0</v>
      </c>
      <c r="N149" s="87">
        <v>0</v>
      </c>
      <c r="O149" s="90">
        <v>0</v>
      </c>
      <c r="P149" s="87">
        <v>0</v>
      </c>
      <c r="Q149" s="90">
        <v>0</v>
      </c>
      <c r="R149" s="87">
        <v>3</v>
      </c>
      <c r="S149" s="90">
        <v>0.595238095238095</v>
      </c>
      <c r="T149" s="87">
        <v>1</v>
      </c>
      <c r="U149" s="90">
        <v>0.198412698412698</v>
      </c>
      <c r="V149" s="87">
        <v>0</v>
      </c>
      <c r="W149" s="90">
        <v>0</v>
      </c>
      <c r="X149" s="92">
        <v>6</v>
      </c>
      <c r="Y149" s="90">
        <v>1.19047619047619</v>
      </c>
      <c r="Z149" s="33" t="str">
        <f t="shared" si="8"/>
        <v>CONGRESSGAIN</v>
      </c>
      <c r="AA149" s="94">
        <f t="shared" si="10"/>
        <v>48.8095238095238</v>
      </c>
      <c r="AB149" s="95" t="str">
        <f t="shared" si="9"/>
        <v>HIGHMARGIN</v>
      </c>
    </row>
    <row r="150" spans="1:28">
      <c r="A150" s="87">
        <v>148</v>
      </c>
      <c r="B150" s="88" t="s">
        <v>29</v>
      </c>
      <c r="C150" s="87">
        <v>458</v>
      </c>
      <c r="D150" s="88">
        <v>59</v>
      </c>
      <c r="E150" s="89">
        <v>12.882096069869</v>
      </c>
      <c r="F150" s="88">
        <v>387</v>
      </c>
      <c r="G150" s="90">
        <v>84.4978165938865</v>
      </c>
      <c r="H150" s="87">
        <v>1</v>
      </c>
      <c r="I150" s="90">
        <v>0.218340611353712</v>
      </c>
      <c r="J150" s="87">
        <v>0</v>
      </c>
      <c r="K150" s="90">
        <v>0</v>
      </c>
      <c r="L150" s="87">
        <v>0</v>
      </c>
      <c r="M150" s="90">
        <v>0</v>
      </c>
      <c r="N150" s="87">
        <v>0</v>
      </c>
      <c r="O150" s="90">
        <v>0</v>
      </c>
      <c r="P150" s="87">
        <v>0</v>
      </c>
      <c r="Q150" s="90">
        <v>0</v>
      </c>
      <c r="R150" s="87">
        <v>10</v>
      </c>
      <c r="S150" s="90">
        <v>2.18340611353712</v>
      </c>
      <c r="T150" s="87">
        <v>0</v>
      </c>
      <c r="U150" s="90">
        <v>0</v>
      </c>
      <c r="V150" s="87">
        <v>0</v>
      </c>
      <c r="W150" s="90">
        <v>0</v>
      </c>
      <c r="X150" s="92">
        <v>1</v>
      </c>
      <c r="Y150" s="90">
        <v>0.218340611353712</v>
      </c>
      <c r="Z150" s="33" t="str">
        <f t="shared" si="8"/>
        <v>CONGRESSGAIN</v>
      </c>
      <c r="AA150" s="94">
        <f t="shared" si="10"/>
        <v>71.6157205240175</v>
      </c>
      <c r="AB150" s="33" t="str">
        <f t="shared" si="9"/>
        <v>VERYHIGHMARGIN</v>
      </c>
    </row>
    <row r="151" spans="1:28">
      <c r="A151" s="87">
        <v>149</v>
      </c>
      <c r="B151" s="88" t="s">
        <v>29</v>
      </c>
      <c r="C151" s="87">
        <v>795</v>
      </c>
      <c r="D151" s="88">
        <v>246</v>
      </c>
      <c r="E151" s="89">
        <v>30.9433962264151</v>
      </c>
      <c r="F151" s="88">
        <v>522</v>
      </c>
      <c r="G151" s="90">
        <v>65.6603773584906</v>
      </c>
      <c r="H151" s="87">
        <v>4</v>
      </c>
      <c r="I151" s="90">
        <v>0.50314465408805</v>
      </c>
      <c r="J151" s="87">
        <v>0</v>
      </c>
      <c r="K151" s="90">
        <v>0</v>
      </c>
      <c r="L151" s="87">
        <v>0</v>
      </c>
      <c r="M151" s="90">
        <v>0</v>
      </c>
      <c r="N151" s="87">
        <v>1</v>
      </c>
      <c r="O151" s="90">
        <v>0.125786163522013</v>
      </c>
      <c r="P151" s="87">
        <v>0</v>
      </c>
      <c r="Q151" s="90">
        <v>0</v>
      </c>
      <c r="R151" s="87">
        <v>7</v>
      </c>
      <c r="S151" s="90">
        <v>0.880503144654088</v>
      </c>
      <c r="T151" s="87">
        <v>1</v>
      </c>
      <c r="U151" s="90">
        <v>0.125786163522013</v>
      </c>
      <c r="V151" s="87">
        <v>0</v>
      </c>
      <c r="W151" s="90">
        <v>0</v>
      </c>
      <c r="X151" s="92">
        <v>14</v>
      </c>
      <c r="Y151" s="90">
        <v>1.76100628930818</v>
      </c>
      <c r="Z151" s="33" t="str">
        <f t="shared" si="8"/>
        <v>CONGRESSGAIN</v>
      </c>
      <c r="AA151" s="94">
        <f t="shared" si="10"/>
        <v>34.7169811320755</v>
      </c>
      <c r="AB151" s="36" t="str">
        <f t="shared" si="9"/>
        <v>MEDIUMMARGIN</v>
      </c>
    </row>
    <row r="152" spans="1:28">
      <c r="A152" s="87">
        <v>150</v>
      </c>
      <c r="B152" s="88" t="s">
        <v>29</v>
      </c>
      <c r="C152" s="87">
        <v>751</v>
      </c>
      <c r="D152" s="88">
        <v>328</v>
      </c>
      <c r="E152" s="89">
        <v>43.6750998668442</v>
      </c>
      <c r="F152" s="88">
        <v>376</v>
      </c>
      <c r="G152" s="90">
        <v>50.0665778961385</v>
      </c>
      <c r="H152" s="87">
        <v>18</v>
      </c>
      <c r="I152" s="90">
        <v>2.39680426098535</v>
      </c>
      <c r="J152" s="87">
        <v>0</v>
      </c>
      <c r="K152" s="90">
        <v>0</v>
      </c>
      <c r="L152" s="87">
        <v>0</v>
      </c>
      <c r="M152" s="90">
        <v>0</v>
      </c>
      <c r="N152" s="87">
        <v>0</v>
      </c>
      <c r="O152" s="90">
        <v>0</v>
      </c>
      <c r="P152" s="87">
        <v>0</v>
      </c>
      <c r="Q152" s="90">
        <v>0</v>
      </c>
      <c r="R152" s="87">
        <v>15</v>
      </c>
      <c r="S152" s="90">
        <v>1.99733688415446</v>
      </c>
      <c r="T152" s="87">
        <v>4</v>
      </c>
      <c r="U152" s="90">
        <v>0.532623169107856</v>
      </c>
      <c r="V152" s="87">
        <v>0</v>
      </c>
      <c r="W152" s="90">
        <v>0</v>
      </c>
      <c r="X152" s="92">
        <v>10</v>
      </c>
      <c r="Y152" s="90">
        <v>1.33155792276964</v>
      </c>
      <c r="Z152" s="33" t="str">
        <f t="shared" si="8"/>
        <v>CONGRESSGAIN</v>
      </c>
      <c r="AA152" s="94">
        <f t="shared" si="10"/>
        <v>6.39147802929428</v>
      </c>
      <c r="AB152" s="34" t="str">
        <f t="shared" si="9"/>
        <v>NARROWMARGIN</v>
      </c>
    </row>
    <row r="153" spans="1:28">
      <c r="A153" s="87">
        <v>151</v>
      </c>
      <c r="B153" s="88" t="s">
        <v>29</v>
      </c>
      <c r="C153" s="87">
        <v>464</v>
      </c>
      <c r="D153" s="88">
        <v>172</v>
      </c>
      <c r="E153" s="89">
        <v>37.0689655172414</v>
      </c>
      <c r="F153" s="88">
        <v>274</v>
      </c>
      <c r="G153" s="90">
        <v>59.051724137931</v>
      </c>
      <c r="H153" s="87">
        <v>4</v>
      </c>
      <c r="I153" s="90">
        <v>0.862068965517241</v>
      </c>
      <c r="J153" s="87">
        <v>0</v>
      </c>
      <c r="K153" s="90">
        <v>0</v>
      </c>
      <c r="L153" s="87">
        <v>0</v>
      </c>
      <c r="M153" s="90">
        <v>0</v>
      </c>
      <c r="N153" s="87">
        <v>0</v>
      </c>
      <c r="O153" s="90">
        <v>0</v>
      </c>
      <c r="P153" s="87">
        <v>0</v>
      </c>
      <c r="Q153" s="90">
        <v>0</v>
      </c>
      <c r="R153" s="87">
        <v>11</v>
      </c>
      <c r="S153" s="90">
        <v>2.37068965517241</v>
      </c>
      <c r="T153" s="87">
        <v>0</v>
      </c>
      <c r="U153" s="90">
        <v>0</v>
      </c>
      <c r="V153" s="87">
        <v>0</v>
      </c>
      <c r="W153" s="90">
        <v>0</v>
      </c>
      <c r="X153" s="92">
        <v>3</v>
      </c>
      <c r="Y153" s="90">
        <v>0.646551724137931</v>
      </c>
      <c r="Z153" s="33" t="str">
        <f t="shared" si="8"/>
        <v>CONGRESSGAIN</v>
      </c>
      <c r="AA153" s="94">
        <f t="shared" si="10"/>
        <v>21.9827586206897</v>
      </c>
      <c r="AB153" s="35" t="str">
        <f t="shared" si="9"/>
        <v>LOWMARGIN</v>
      </c>
    </row>
    <row r="154" spans="1:28">
      <c r="A154" s="87">
        <v>152</v>
      </c>
      <c r="B154" s="88" t="s">
        <v>29</v>
      </c>
      <c r="C154" s="87">
        <v>462</v>
      </c>
      <c r="D154" s="88">
        <v>104</v>
      </c>
      <c r="E154" s="89">
        <v>22.5108225108225</v>
      </c>
      <c r="F154" s="88">
        <v>351</v>
      </c>
      <c r="G154" s="90">
        <v>75.974025974026</v>
      </c>
      <c r="H154" s="87">
        <v>5</v>
      </c>
      <c r="I154" s="90">
        <v>1.08225108225108</v>
      </c>
      <c r="J154" s="87">
        <v>0</v>
      </c>
      <c r="K154" s="90">
        <v>0</v>
      </c>
      <c r="L154" s="87">
        <v>0</v>
      </c>
      <c r="M154" s="90">
        <v>0</v>
      </c>
      <c r="N154" s="87">
        <v>0</v>
      </c>
      <c r="O154" s="90">
        <v>0</v>
      </c>
      <c r="P154" s="87">
        <v>0</v>
      </c>
      <c r="Q154" s="90">
        <v>0</v>
      </c>
      <c r="R154" s="87">
        <v>2</v>
      </c>
      <c r="S154" s="90">
        <v>0.432900432900433</v>
      </c>
      <c r="T154" s="87">
        <v>0</v>
      </c>
      <c r="U154" s="90">
        <v>0</v>
      </c>
      <c r="V154" s="87">
        <v>0</v>
      </c>
      <c r="W154" s="90">
        <v>0</v>
      </c>
      <c r="X154" s="92">
        <v>0</v>
      </c>
      <c r="Y154" s="90">
        <v>0</v>
      </c>
      <c r="Z154" s="33" t="str">
        <f t="shared" si="8"/>
        <v>CONGRESSGAIN</v>
      </c>
      <c r="AA154" s="94">
        <f t="shared" si="10"/>
        <v>53.4632034632035</v>
      </c>
      <c r="AB154" s="33" t="str">
        <f t="shared" si="9"/>
        <v>VERYHIGHMARGIN</v>
      </c>
    </row>
    <row r="155" spans="1:28">
      <c r="A155" s="87">
        <v>153</v>
      </c>
      <c r="B155" s="88" t="s">
        <v>29</v>
      </c>
      <c r="C155" s="87">
        <v>795</v>
      </c>
      <c r="D155" s="88">
        <v>310</v>
      </c>
      <c r="E155" s="89">
        <v>38.9937106918239</v>
      </c>
      <c r="F155" s="88">
        <v>453</v>
      </c>
      <c r="G155" s="90">
        <v>56.9811320754717</v>
      </c>
      <c r="H155" s="87">
        <v>9</v>
      </c>
      <c r="I155" s="90">
        <v>1.13207547169811</v>
      </c>
      <c r="J155" s="87">
        <v>0</v>
      </c>
      <c r="K155" s="90">
        <v>0</v>
      </c>
      <c r="L155" s="87">
        <v>0</v>
      </c>
      <c r="M155" s="90">
        <v>0</v>
      </c>
      <c r="N155" s="87">
        <v>0</v>
      </c>
      <c r="O155" s="90">
        <v>0</v>
      </c>
      <c r="P155" s="87">
        <v>0</v>
      </c>
      <c r="Q155" s="90">
        <v>0</v>
      </c>
      <c r="R155" s="87">
        <v>16</v>
      </c>
      <c r="S155" s="90">
        <v>2.0125786163522</v>
      </c>
      <c r="T155" s="87">
        <v>0</v>
      </c>
      <c r="U155" s="90">
        <v>0</v>
      </c>
      <c r="V155" s="87">
        <v>0</v>
      </c>
      <c r="W155" s="90">
        <v>0</v>
      </c>
      <c r="X155" s="92">
        <v>7</v>
      </c>
      <c r="Y155" s="90">
        <v>0.880503144654088</v>
      </c>
      <c r="Z155" s="33" t="str">
        <f t="shared" si="8"/>
        <v>CONGRESSGAIN</v>
      </c>
      <c r="AA155" s="94">
        <f t="shared" si="10"/>
        <v>17.9874213836478</v>
      </c>
      <c r="AB155" s="35" t="str">
        <f t="shared" si="9"/>
        <v>LOWMARGIN</v>
      </c>
    </row>
    <row r="156" spans="1:28">
      <c r="A156" s="87">
        <v>154</v>
      </c>
      <c r="B156" s="88" t="s">
        <v>29</v>
      </c>
      <c r="C156" s="87">
        <v>599</v>
      </c>
      <c r="D156" s="88">
        <v>264</v>
      </c>
      <c r="E156" s="89">
        <v>44.0734557595993</v>
      </c>
      <c r="F156" s="88">
        <v>313</v>
      </c>
      <c r="G156" s="90">
        <v>52.2537562604341</v>
      </c>
      <c r="H156" s="87">
        <v>6</v>
      </c>
      <c r="I156" s="90">
        <v>1.0016694490818</v>
      </c>
      <c r="J156" s="87">
        <v>0</v>
      </c>
      <c r="K156" s="90">
        <v>0</v>
      </c>
      <c r="L156" s="87">
        <v>0</v>
      </c>
      <c r="M156" s="90">
        <v>0</v>
      </c>
      <c r="N156" s="87">
        <v>0</v>
      </c>
      <c r="O156" s="90">
        <v>0</v>
      </c>
      <c r="P156" s="87">
        <v>0</v>
      </c>
      <c r="Q156" s="90">
        <v>0</v>
      </c>
      <c r="R156" s="87">
        <v>8</v>
      </c>
      <c r="S156" s="90">
        <v>1.3355592654424</v>
      </c>
      <c r="T156" s="87">
        <v>1</v>
      </c>
      <c r="U156" s="90">
        <v>0.1669449081803</v>
      </c>
      <c r="V156" s="87">
        <v>0</v>
      </c>
      <c r="W156" s="90">
        <v>0</v>
      </c>
      <c r="X156" s="92">
        <v>7</v>
      </c>
      <c r="Y156" s="90">
        <v>1.1686143572621</v>
      </c>
      <c r="Z156" s="33" t="str">
        <f t="shared" si="8"/>
        <v>CONGRESSGAIN</v>
      </c>
      <c r="AA156" s="94">
        <f t="shared" si="10"/>
        <v>8.18030050083472</v>
      </c>
      <c r="AB156" s="34" t="str">
        <f t="shared" si="9"/>
        <v>NARROWMARGIN</v>
      </c>
    </row>
    <row r="157" spans="1:28">
      <c r="A157" s="87">
        <v>155</v>
      </c>
      <c r="B157" s="88" t="s">
        <v>29</v>
      </c>
      <c r="C157" s="87">
        <v>865</v>
      </c>
      <c r="D157" s="88">
        <v>392</v>
      </c>
      <c r="E157" s="89">
        <v>45.3179190751445</v>
      </c>
      <c r="F157" s="88">
        <v>434</v>
      </c>
      <c r="G157" s="90">
        <v>50.1734104046243</v>
      </c>
      <c r="H157" s="87">
        <v>9</v>
      </c>
      <c r="I157" s="90">
        <v>1.04046242774566</v>
      </c>
      <c r="J157" s="87">
        <v>0</v>
      </c>
      <c r="K157" s="90">
        <v>0</v>
      </c>
      <c r="L157" s="87">
        <v>0</v>
      </c>
      <c r="M157" s="90">
        <v>0</v>
      </c>
      <c r="N157" s="87">
        <v>1</v>
      </c>
      <c r="O157" s="90">
        <v>0.115606936416185</v>
      </c>
      <c r="P157" s="87">
        <v>0</v>
      </c>
      <c r="Q157" s="90">
        <v>0</v>
      </c>
      <c r="R157" s="87">
        <v>10</v>
      </c>
      <c r="S157" s="90">
        <v>1.15606936416185</v>
      </c>
      <c r="T157" s="87">
        <v>2</v>
      </c>
      <c r="U157" s="90">
        <v>0.23121387283237</v>
      </c>
      <c r="V157" s="87">
        <v>0</v>
      </c>
      <c r="W157" s="90">
        <v>0</v>
      </c>
      <c r="X157" s="92">
        <v>17</v>
      </c>
      <c r="Y157" s="90">
        <v>1.96531791907514</v>
      </c>
      <c r="Z157" s="33" t="str">
        <f t="shared" si="8"/>
        <v>CONGRESSGAIN</v>
      </c>
      <c r="AA157" s="94">
        <f t="shared" si="10"/>
        <v>4.85549132947977</v>
      </c>
      <c r="AB157" s="34" t="str">
        <f t="shared" si="9"/>
        <v>NARROWMARGIN</v>
      </c>
    </row>
    <row r="158" spans="1:28">
      <c r="A158" s="87">
        <v>156</v>
      </c>
      <c r="B158" s="88" t="s">
        <v>29</v>
      </c>
      <c r="C158" s="87">
        <v>753</v>
      </c>
      <c r="D158" s="88">
        <v>292</v>
      </c>
      <c r="E158" s="89">
        <v>38.7782204515272</v>
      </c>
      <c r="F158" s="88">
        <v>395</v>
      </c>
      <c r="G158" s="90">
        <v>52.456839309429</v>
      </c>
      <c r="H158" s="87">
        <v>10</v>
      </c>
      <c r="I158" s="90">
        <v>1.32802124833997</v>
      </c>
      <c r="J158" s="87">
        <v>0</v>
      </c>
      <c r="K158" s="90">
        <v>0</v>
      </c>
      <c r="L158" s="87">
        <v>0</v>
      </c>
      <c r="M158" s="90">
        <v>0</v>
      </c>
      <c r="N158" s="87">
        <v>1</v>
      </c>
      <c r="O158" s="90">
        <v>0.132802124833997</v>
      </c>
      <c r="P158" s="87">
        <v>0</v>
      </c>
      <c r="Q158" s="90">
        <v>0</v>
      </c>
      <c r="R158" s="87">
        <v>27</v>
      </c>
      <c r="S158" s="90">
        <v>3.58565737051793</v>
      </c>
      <c r="T158" s="87">
        <v>2</v>
      </c>
      <c r="U158" s="90">
        <v>0.265604249667995</v>
      </c>
      <c r="V158" s="87">
        <v>0</v>
      </c>
      <c r="W158" s="90">
        <v>0</v>
      </c>
      <c r="X158" s="92">
        <v>26</v>
      </c>
      <c r="Y158" s="90">
        <v>3.45285524568393</v>
      </c>
      <c r="Z158" s="33" t="str">
        <f t="shared" si="8"/>
        <v>CONGRESSGAIN</v>
      </c>
      <c r="AA158" s="94">
        <f t="shared" si="10"/>
        <v>13.6786188579017</v>
      </c>
      <c r="AB158" s="35" t="str">
        <f t="shared" si="9"/>
        <v>LOWMARGIN</v>
      </c>
    </row>
    <row r="159" spans="1:28">
      <c r="A159" s="87">
        <v>157</v>
      </c>
      <c r="B159" s="88" t="s">
        <v>29</v>
      </c>
      <c r="C159" s="87">
        <v>1013</v>
      </c>
      <c r="D159" s="88">
        <v>357</v>
      </c>
      <c r="E159" s="89">
        <v>35.2418558736426</v>
      </c>
      <c r="F159" s="88">
        <v>544</v>
      </c>
      <c r="G159" s="90">
        <v>53.7018756169793</v>
      </c>
      <c r="H159" s="87">
        <v>13</v>
      </c>
      <c r="I159" s="90">
        <v>1.28331688055281</v>
      </c>
      <c r="J159" s="87">
        <v>0</v>
      </c>
      <c r="K159" s="90">
        <v>0</v>
      </c>
      <c r="L159" s="87">
        <v>0</v>
      </c>
      <c r="M159" s="90">
        <v>0</v>
      </c>
      <c r="N159" s="87">
        <v>1</v>
      </c>
      <c r="O159" s="90">
        <v>0.0987166831194472</v>
      </c>
      <c r="P159" s="87">
        <v>0</v>
      </c>
      <c r="Q159" s="90">
        <v>0</v>
      </c>
      <c r="R159" s="87">
        <v>70</v>
      </c>
      <c r="S159" s="90">
        <v>6.9101678183613</v>
      </c>
      <c r="T159" s="87">
        <v>1</v>
      </c>
      <c r="U159" s="90">
        <v>0.0987166831194472</v>
      </c>
      <c r="V159" s="87">
        <v>0</v>
      </c>
      <c r="W159" s="90">
        <v>0</v>
      </c>
      <c r="X159" s="92">
        <v>27</v>
      </c>
      <c r="Y159" s="90">
        <v>2.66535044422507</v>
      </c>
      <c r="Z159" s="33" t="str">
        <f t="shared" si="8"/>
        <v>CONGRESSGAIN</v>
      </c>
      <c r="AA159" s="94">
        <f t="shared" si="10"/>
        <v>18.4600197433366</v>
      </c>
      <c r="AB159" s="35" t="str">
        <f t="shared" si="9"/>
        <v>LOWMARGIN</v>
      </c>
    </row>
    <row r="160" spans="1:28">
      <c r="A160" s="87">
        <v>158</v>
      </c>
      <c r="B160" s="88" t="s">
        <v>29</v>
      </c>
      <c r="C160" s="87">
        <v>803</v>
      </c>
      <c r="D160" s="88">
        <v>443</v>
      </c>
      <c r="E160" s="89">
        <v>55.1681195516812</v>
      </c>
      <c r="F160" s="88">
        <v>322</v>
      </c>
      <c r="G160" s="90">
        <v>40.0996264009963</v>
      </c>
      <c r="H160" s="87">
        <v>6</v>
      </c>
      <c r="I160" s="90">
        <v>0.74719800747198</v>
      </c>
      <c r="J160" s="87">
        <v>0</v>
      </c>
      <c r="K160" s="90">
        <v>0</v>
      </c>
      <c r="L160" s="87">
        <v>0</v>
      </c>
      <c r="M160" s="90">
        <v>0</v>
      </c>
      <c r="N160" s="87">
        <v>0</v>
      </c>
      <c r="O160" s="90">
        <v>0</v>
      </c>
      <c r="P160" s="87">
        <v>0</v>
      </c>
      <c r="Q160" s="90">
        <v>0</v>
      </c>
      <c r="R160" s="87">
        <v>21</v>
      </c>
      <c r="S160" s="90">
        <v>2.61519302615193</v>
      </c>
      <c r="T160" s="87">
        <v>2</v>
      </c>
      <c r="U160" s="90">
        <v>0.24906600249066</v>
      </c>
      <c r="V160" s="87">
        <v>0</v>
      </c>
      <c r="W160" s="90">
        <v>0</v>
      </c>
      <c r="X160" s="92">
        <v>9</v>
      </c>
      <c r="Y160" s="90">
        <v>1.12079701120797</v>
      </c>
      <c r="Z160" s="46" t="str">
        <f t="shared" si="8"/>
        <v>BJP GAIN</v>
      </c>
      <c r="AA160" s="94">
        <f>E160-G160</f>
        <v>15.0684931506849</v>
      </c>
      <c r="AB160" s="35" t="str">
        <f t="shared" si="9"/>
        <v>LOWMARGIN</v>
      </c>
    </row>
    <row r="161" spans="1:28">
      <c r="A161" s="87">
        <v>159</v>
      </c>
      <c r="B161" s="88" t="s">
        <v>29</v>
      </c>
      <c r="C161" s="87">
        <v>723</v>
      </c>
      <c r="D161" s="88">
        <v>375</v>
      </c>
      <c r="E161" s="89">
        <v>51.8672199170124</v>
      </c>
      <c r="F161" s="88">
        <v>325</v>
      </c>
      <c r="G161" s="90">
        <v>44.9515905947441</v>
      </c>
      <c r="H161" s="87">
        <v>9</v>
      </c>
      <c r="I161" s="90">
        <v>1.2448132780083</v>
      </c>
      <c r="J161" s="87">
        <v>0</v>
      </c>
      <c r="K161" s="90">
        <v>0</v>
      </c>
      <c r="L161" s="87">
        <v>0</v>
      </c>
      <c r="M161" s="90">
        <v>0</v>
      </c>
      <c r="N161" s="87">
        <v>0</v>
      </c>
      <c r="O161" s="90">
        <v>0</v>
      </c>
      <c r="P161" s="87">
        <v>0</v>
      </c>
      <c r="Q161" s="90">
        <v>0</v>
      </c>
      <c r="R161" s="87">
        <v>8</v>
      </c>
      <c r="S161" s="90">
        <v>1.10650069156293</v>
      </c>
      <c r="T161" s="87">
        <v>3</v>
      </c>
      <c r="U161" s="90">
        <v>0.4149377593361</v>
      </c>
      <c r="V161" s="87">
        <v>0</v>
      </c>
      <c r="W161" s="90">
        <v>0</v>
      </c>
      <c r="X161" s="92">
        <v>3</v>
      </c>
      <c r="Y161" s="90">
        <v>0.4149377593361</v>
      </c>
      <c r="Z161" s="46" t="str">
        <f t="shared" si="8"/>
        <v>BJP GAIN</v>
      </c>
      <c r="AA161" s="94">
        <f t="shared" ref="AA161:AA165" si="11">E161-G161</f>
        <v>6.91562932226833</v>
      </c>
      <c r="AB161" s="34" t="str">
        <f t="shared" si="9"/>
        <v>NARROWMARGIN</v>
      </c>
    </row>
    <row r="162" spans="1:28">
      <c r="A162" s="87">
        <v>160</v>
      </c>
      <c r="B162" s="88" t="s">
        <v>29</v>
      </c>
      <c r="C162" s="87">
        <v>852</v>
      </c>
      <c r="D162" s="88">
        <v>410</v>
      </c>
      <c r="E162" s="89">
        <v>48.1220657276995</v>
      </c>
      <c r="F162" s="88">
        <v>381</v>
      </c>
      <c r="G162" s="90">
        <v>44.7183098591549</v>
      </c>
      <c r="H162" s="87">
        <v>12</v>
      </c>
      <c r="I162" s="90">
        <v>1.40845070422535</v>
      </c>
      <c r="J162" s="87">
        <v>0</v>
      </c>
      <c r="K162" s="90">
        <v>0</v>
      </c>
      <c r="L162" s="87">
        <v>0</v>
      </c>
      <c r="M162" s="90">
        <v>0</v>
      </c>
      <c r="N162" s="87">
        <v>1</v>
      </c>
      <c r="O162" s="90">
        <v>0.117370892018779</v>
      </c>
      <c r="P162" s="87">
        <v>0</v>
      </c>
      <c r="Q162" s="90">
        <v>0</v>
      </c>
      <c r="R162" s="87">
        <v>20</v>
      </c>
      <c r="S162" s="90">
        <v>2.34741784037559</v>
      </c>
      <c r="T162" s="87">
        <v>8</v>
      </c>
      <c r="U162" s="90">
        <v>0.938967136150235</v>
      </c>
      <c r="V162" s="87">
        <v>0</v>
      </c>
      <c r="W162" s="90">
        <v>0</v>
      </c>
      <c r="X162" s="92">
        <v>20</v>
      </c>
      <c r="Y162" s="90">
        <v>2.34741784037559</v>
      </c>
      <c r="Z162" s="46" t="str">
        <f t="shared" si="8"/>
        <v>BJP GAIN</v>
      </c>
      <c r="AA162" s="94">
        <f t="shared" si="11"/>
        <v>3.4037558685446</v>
      </c>
      <c r="AB162" s="34" t="str">
        <f t="shared" si="9"/>
        <v>NARROWMARGIN</v>
      </c>
    </row>
    <row r="163" spans="1:28">
      <c r="A163" s="87">
        <v>161</v>
      </c>
      <c r="B163" s="88" t="s">
        <v>29</v>
      </c>
      <c r="C163" s="87">
        <v>453</v>
      </c>
      <c r="D163" s="88">
        <v>257</v>
      </c>
      <c r="E163" s="89">
        <v>56.7328918322296</v>
      </c>
      <c r="F163" s="88">
        <v>159</v>
      </c>
      <c r="G163" s="90">
        <v>35.0993377483444</v>
      </c>
      <c r="H163" s="87">
        <v>5</v>
      </c>
      <c r="I163" s="90">
        <v>1.1037527593819</v>
      </c>
      <c r="J163" s="87">
        <v>0</v>
      </c>
      <c r="K163" s="90">
        <v>0</v>
      </c>
      <c r="L163" s="87">
        <v>0</v>
      </c>
      <c r="M163" s="90">
        <v>0</v>
      </c>
      <c r="N163" s="87">
        <v>1</v>
      </c>
      <c r="O163" s="90">
        <v>0.22075055187638</v>
      </c>
      <c r="P163" s="87">
        <v>0</v>
      </c>
      <c r="Q163" s="90">
        <v>0</v>
      </c>
      <c r="R163" s="87">
        <v>18</v>
      </c>
      <c r="S163" s="90">
        <v>3.97350993377483</v>
      </c>
      <c r="T163" s="87">
        <v>3</v>
      </c>
      <c r="U163" s="90">
        <v>0.662251655629139</v>
      </c>
      <c r="V163" s="87">
        <v>0</v>
      </c>
      <c r="W163" s="90">
        <v>0</v>
      </c>
      <c r="X163" s="92">
        <v>10</v>
      </c>
      <c r="Y163" s="90">
        <v>2.2075055187638</v>
      </c>
      <c r="Z163" s="46" t="str">
        <f t="shared" si="8"/>
        <v>BJP GAIN</v>
      </c>
      <c r="AA163" s="94">
        <f t="shared" si="11"/>
        <v>21.6335540838852</v>
      </c>
      <c r="AB163" s="35" t="str">
        <f t="shared" si="9"/>
        <v>LOWMARGIN</v>
      </c>
    </row>
    <row r="164" spans="1:28">
      <c r="A164" s="87">
        <v>162</v>
      </c>
      <c r="B164" s="88" t="s">
        <v>29</v>
      </c>
      <c r="C164" s="87">
        <v>616</v>
      </c>
      <c r="D164" s="88">
        <v>385</v>
      </c>
      <c r="E164" s="89">
        <v>62.5</v>
      </c>
      <c r="F164" s="88">
        <v>201</v>
      </c>
      <c r="G164" s="90">
        <v>32.6298701298701</v>
      </c>
      <c r="H164" s="87">
        <v>2</v>
      </c>
      <c r="I164" s="90">
        <v>0.324675324675325</v>
      </c>
      <c r="J164" s="87">
        <v>0</v>
      </c>
      <c r="K164" s="90">
        <v>0</v>
      </c>
      <c r="L164" s="87">
        <v>0</v>
      </c>
      <c r="M164" s="90">
        <v>0</v>
      </c>
      <c r="N164" s="87">
        <v>0</v>
      </c>
      <c r="O164" s="90">
        <v>0</v>
      </c>
      <c r="P164" s="87">
        <v>0</v>
      </c>
      <c r="Q164" s="90">
        <v>0</v>
      </c>
      <c r="R164" s="87">
        <v>16</v>
      </c>
      <c r="S164" s="90">
        <v>2.5974025974026</v>
      </c>
      <c r="T164" s="87">
        <v>1</v>
      </c>
      <c r="U164" s="90">
        <v>0.162337662337662</v>
      </c>
      <c r="V164" s="87">
        <v>0</v>
      </c>
      <c r="W164" s="90">
        <v>0</v>
      </c>
      <c r="X164" s="92">
        <v>11</v>
      </c>
      <c r="Y164" s="90">
        <v>1.78571428571429</v>
      </c>
      <c r="Z164" s="46" t="str">
        <f t="shared" si="8"/>
        <v>BJP GAIN</v>
      </c>
      <c r="AA164" s="94">
        <f t="shared" si="11"/>
        <v>29.8701298701299</v>
      </c>
      <c r="AB164" s="35" t="str">
        <f t="shared" si="9"/>
        <v>LOWMARGIN</v>
      </c>
    </row>
    <row r="165" spans="1:28">
      <c r="A165" s="87">
        <v>163</v>
      </c>
      <c r="B165" s="88" t="s">
        <v>29</v>
      </c>
      <c r="C165" s="87">
        <v>568</v>
      </c>
      <c r="D165" s="88">
        <v>284</v>
      </c>
      <c r="E165" s="89">
        <v>50</v>
      </c>
      <c r="F165" s="88">
        <v>265</v>
      </c>
      <c r="G165" s="90">
        <v>46.6549295774648</v>
      </c>
      <c r="H165" s="87">
        <v>7</v>
      </c>
      <c r="I165" s="90">
        <v>1.23239436619718</v>
      </c>
      <c r="J165" s="87">
        <v>0</v>
      </c>
      <c r="K165" s="90">
        <v>0</v>
      </c>
      <c r="L165" s="87">
        <v>0</v>
      </c>
      <c r="M165" s="90">
        <v>0</v>
      </c>
      <c r="N165" s="87">
        <v>1</v>
      </c>
      <c r="O165" s="90">
        <v>0.176056338028169</v>
      </c>
      <c r="P165" s="87">
        <v>0</v>
      </c>
      <c r="Q165" s="90">
        <v>0</v>
      </c>
      <c r="R165" s="87">
        <v>6</v>
      </c>
      <c r="S165" s="90">
        <v>1.05633802816901</v>
      </c>
      <c r="T165" s="87">
        <v>0</v>
      </c>
      <c r="U165" s="90">
        <v>0</v>
      </c>
      <c r="V165" s="87">
        <v>0</v>
      </c>
      <c r="W165" s="90">
        <v>0</v>
      </c>
      <c r="X165" s="92">
        <v>5</v>
      </c>
      <c r="Y165" s="90">
        <v>0.880281690140845</v>
      </c>
      <c r="Z165" s="46" t="str">
        <f t="shared" si="8"/>
        <v>BJP GAIN</v>
      </c>
      <c r="AA165" s="94">
        <f t="shared" si="11"/>
        <v>3.34507042253521</v>
      </c>
      <c r="AB165" s="34" t="str">
        <f t="shared" si="9"/>
        <v>NARROWMARGIN</v>
      </c>
    </row>
    <row r="166" spans="1:28">
      <c r="A166" s="87">
        <v>164</v>
      </c>
      <c r="B166" s="88" t="s">
        <v>29</v>
      </c>
      <c r="C166" s="87">
        <v>932</v>
      </c>
      <c r="D166" s="88">
        <v>379</v>
      </c>
      <c r="E166" s="89">
        <v>40.6652360515021</v>
      </c>
      <c r="F166" s="88">
        <v>527</v>
      </c>
      <c r="G166" s="90">
        <v>56.5450643776824</v>
      </c>
      <c r="H166" s="87">
        <v>6</v>
      </c>
      <c r="I166" s="90">
        <v>0.643776824034335</v>
      </c>
      <c r="J166" s="87">
        <v>0</v>
      </c>
      <c r="K166" s="90">
        <v>0</v>
      </c>
      <c r="L166" s="87">
        <v>0</v>
      </c>
      <c r="M166" s="90">
        <v>0</v>
      </c>
      <c r="N166" s="87">
        <v>0</v>
      </c>
      <c r="O166" s="90">
        <v>0</v>
      </c>
      <c r="P166" s="87">
        <v>0</v>
      </c>
      <c r="Q166" s="90">
        <v>0</v>
      </c>
      <c r="R166" s="87">
        <v>7</v>
      </c>
      <c r="S166" s="90">
        <v>0.751072961373391</v>
      </c>
      <c r="T166" s="87">
        <v>2</v>
      </c>
      <c r="U166" s="90">
        <v>0.214592274678112</v>
      </c>
      <c r="V166" s="87">
        <v>0</v>
      </c>
      <c r="W166" s="90">
        <v>0</v>
      </c>
      <c r="X166" s="92">
        <v>11</v>
      </c>
      <c r="Y166" s="90">
        <v>1.18025751072961</v>
      </c>
      <c r="Z166" s="33" t="str">
        <f t="shared" si="8"/>
        <v>CONGRESSGAIN</v>
      </c>
      <c r="AA166" s="94">
        <f t="shared" si="10"/>
        <v>15.8798283261803</v>
      </c>
      <c r="AB166" s="35" t="str">
        <f t="shared" si="9"/>
        <v>LOWMARGIN</v>
      </c>
    </row>
    <row r="167" spans="1:28">
      <c r="A167" s="87">
        <v>165</v>
      </c>
      <c r="B167" s="88" t="s">
        <v>29</v>
      </c>
      <c r="C167" s="87">
        <v>571</v>
      </c>
      <c r="D167" s="88">
        <v>216</v>
      </c>
      <c r="E167" s="89">
        <v>37.8283712784588</v>
      </c>
      <c r="F167" s="88">
        <v>333</v>
      </c>
      <c r="G167" s="90">
        <v>58.3187390542907</v>
      </c>
      <c r="H167" s="87">
        <v>9</v>
      </c>
      <c r="I167" s="90">
        <v>1.57618213660245</v>
      </c>
      <c r="J167" s="87">
        <v>0</v>
      </c>
      <c r="K167" s="90">
        <v>0</v>
      </c>
      <c r="L167" s="87">
        <v>0</v>
      </c>
      <c r="M167" s="90">
        <v>0</v>
      </c>
      <c r="N167" s="87">
        <v>0</v>
      </c>
      <c r="O167" s="90">
        <v>0</v>
      </c>
      <c r="P167" s="87">
        <v>0</v>
      </c>
      <c r="Q167" s="90">
        <v>0</v>
      </c>
      <c r="R167" s="87">
        <v>3</v>
      </c>
      <c r="S167" s="90">
        <v>0.525394045534151</v>
      </c>
      <c r="T167" s="87">
        <v>8</v>
      </c>
      <c r="U167" s="90">
        <v>1.40105078809107</v>
      </c>
      <c r="V167" s="87">
        <v>0</v>
      </c>
      <c r="W167" s="90">
        <v>0</v>
      </c>
      <c r="X167" s="92">
        <v>2</v>
      </c>
      <c r="Y167" s="90">
        <v>0.350262697022767</v>
      </c>
      <c r="Z167" s="33" t="str">
        <f t="shared" si="8"/>
        <v>CONGRESSGAIN</v>
      </c>
      <c r="AA167" s="94">
        <f t="shared" si="10"/>
        <v>20.4903677758319</v>
      </c>
      <c r="AB167" s="35" t="str">
        <f t="shared" si="9"/>
        <v>LOWMARGIN</v>
      </c>
    </row>
    <row r="168" spans="1:28">
      <c r="A168" s="87">
        <v>166</v>
      </c>
      <c r="B168" s="88" t="s">
        <v>29</v>
      </c>
      <c r="C168" s="87">
        <v>478</v>
      </c>
      <c r="D168" s="88">
        <v>145</v>
      </c>
      <c r="E168" s="89">
        <v>30.3347280334728</v>
      </c>
      <c r="F168" s="88">
        <v>313</v>
      </c>
      <c r="G168" s="90">
        <v>65.4811715481171</v>
      </c>
      <c r="H168" s="87">
        <v>6</v>
      </c>
      <c r="I168" s="90">
        <v>1.25523012552301</v>
      </c>
      <c r="J168" s="87">
        <v>0</v>
      </c>
      <c r="K168" s="90">
        <v>0</v>
      </c>
      <c r="L168" s="87">
        <v>0</v>
      </c>
      <c r="M168" s="90">
        <v>0</v>
      </c>
      <c r="N168" s="87">
        <v>0</v>
      </c>
      <c r="O168" s="90">
        <v>0</v>
      </c>
      <c r="P168" s="87">
        <v>0</v>
      </c>
      <c r="Q168" s="90">
        <v>0</v>
      </c>
      <c r="R168" s="87">
        <v>9</v>
      </c>
      <c r="S168" s="90">
        <v>1.88284518828452</v>
      </c>
      <c r="T168" s="87">
        <v>1</v>
      </c>
      <c r="U168" s="90">
        <v>0.209205020920502</v>
      </c>
      <c r="V168" s="87">
        <v>0</v>
      </c>
      <c r="W168" s="90">
        <v>0</v>
      </c>
      <c r="X168" s="92">
        <v>4</v>
      </c>
      <c r="Y168" s="90">
        <v>0.836820083682008</v>
      </c>
      <c r="Z168" s="33" t="str">
        <f t="shared" si="8"/>
        <v>CONGRESSGAIN</v>
      </c>
      <c r="AA168" s="94">
        <f t="shared" si="10"/>
        <v>35.1464435146443</v>
      </c>
      <c r="AB168" s="36" t="str">
        <f t="shared" si="9"/>
        <v>MEDIUMMARGIN</v>
      </c>
    </row>
    <row r="169" spans="1:28">
      <c r="A169" s="87">
        <v>167</v>
      </c>
      <c r="B169" s="88" t="s">
        <v>29</v>
      </c>
      <c r="C169" s="87">
        <v>1013</v>
      </c>
      <c r="D169" s="88">
        <v>674</v>
      </c>
      <c r="E169" s="89">
        <v>66.5350444225074</v>
      </c>
      <c r="F169" s="88">
        <v>273</v>
      </c>
      <c r="G169" s="90">
        <v>26.9496544916091</v>
      </c>
      <c r="H169" s="87">
        <v>8</v>
      </c>
      <c r="I169" s="90">
        <v>0.789733464955577</v>
      </c>
      <c r="J169" s="87">
        <v>0</v>
      </c>
      <c r="K169" s="90">
        <v>0</v>
      </c>
      <c r="L169" s="87">
        <v>0</v>
      </c>
      <c r="M169" s="90">
        <v>0</v>
      </c>
      <c r="N169" s="87">
        <v>2</v>
      </c>
      <c r="O169" s="90">
        <v>0.197433366238894</v>
      </c>
      <c r="P169" s="87">
        <v>0</v>
      </c>
      <c r="Q169" s="90">
        <v>0</v>
      </c>
      <c r="R169" s="87">
        <v>31</v>
      </c>
      <c r="S169" s="90">
        <v>3.06021717670286</v>
      </c>
      <c r="T169" s="87">
        <v>3</v>
      </c>
      <c r="U169" s="90">
        <v>0.296150049358342</v>
      </c>
      <c r="V169" s="87">
        <v>0</v>
      </c>
      <c r="W169" s="90">
        <v>0</v>
      </c>
      <c r="X169" s="92">
        <v>22</v>
      </c>
      <c r="Y169" s="90">
        <v>2.17176702862784</v>
      </c>
      <c r="Z169" s="46" t="str">
        <f t="shared" si="8"/>
        <v>BJP GAIN</v>
      </c>
      <c r="AA169" s="94">
        <f t="shared" ref="AA169:AA170" si="12">E169-G169</f>
        <v>39.5853899308983</v>
      </c>
      <c r="AB169" s="36" t="str">
        <f t="shared" si="9"/>
        <v>MEDIUMMARGIN</v>
      </c>
    </row>
    <row r="170" spans="1:28">
      <c r="A170" s="87">
        <v>168</v>
      </c>
      <c r="B170" s="88" t="s">
        <v>29</v>
      </c>
      <c r="C170" s="87">
        <v>717</v>
      </c>
      <c r="D170" s="88">
        <v>364</v>
      </c>
      <c r="E170" s="89">
        <v>50.7670850767085</v>
      </c>
      <c r="F170" s="88">
        <v>294</v>
      </c>
      <c r="G170" s="90">
        <v>41.0041841004184</v>
      </c>
      <c r="H170" s="87">
        <v>5</v>
      </c>
      <c r="I170" s="90">
        <v>0.697350069735007</v>
      </c>
      <c r="J170" s="87">
        <v>0</v>
      </c>
      <c r="K170" s="90">
        <v>0</v>
      </c>
      <c r="L170" s="87">
        <v>0</v>
      </c>
      <c r="M170" s="90">
        <v>0</v>
      </c>
      <c r="N170" s="87">
        <v>0</v>
      </c>
      <c r="O170" s="90">
        <v>0</v>
      </c>
      <c r="P170" s="87">
        <v>0</v>
      </c>
      <c r="Q170" s="90">
        <v>0</v>
      </c>
      <c r="R170" s="87">
        <v>24</v>
      </c>
      <c r="S170" s="90">
        <v>3.34728033472803</v>
      </c>
      <c r="T170" s="87">
        <v>3</v>
      </c>
      <c r="U170" s="90">
        <v>0.418410041841004</v>
      </c>
      <c r="V170" s="87">
        <v>0</v>
      </c>
      <c r="W170" s="90">
        <v>0</v>
      </c>
      <c r="X170" s="92">
        <v>27</v>
      </c>
      <c r="Y170" s="90">
        <v>3.76569037656904</v>
      </c>
      <c r="Z170" s="46" t="str">
        <f t="shared" si="8"/>
        <v>BJP GAIN</v>
      </c>
      <c r="AA170" s="94">
        <f t="shared" si="12"/>
        <v>9.7629009762901</v>
      </c>
      <c r="AB170" s="34" t="str">
        <f t="shared" si="9"/>
        <v>NARROWMARGIN</v>
      </c>
    </row>
    <row r="171" spans="1:28">
      <c r="A171" s="87">
        <v>169</v>
      </c>
      <c r="B171" s="88" t="s">
        <v>29</v>
      </c>
      <c r="C171" s="87">
        <v>806</v>
      </c>
      <c r="D171" s="88">
        <v>66</v>
      </c>
      <c r="E171" s="89">
        <v>8.18858560794045</v>
      </c>
      <c r="F171" s="88">
        <v>501</v>
      </c>
      <c r="G171" s="90">
        <v>62.1588089330025</v>
      </c>
      <c r="H171" s="87">
        <v>4</v>
      </c>
      <c r="I171" s="90">
        <v>0.496277915632754</v>
      </c>
      <c r="J171" s="87">
        <v>0</v>
      </c>
      <c r="K171" s="90">
        <v>0</v>
      </c>
      <c r="L171" s="87">
        <v>0</v>
      </c>
      <c r="M171" s="90">
        <v>0</v>
      </c>
      <c r="N171" s="87">
        <v>0</v>
      </c>
      <c r="O171" s="90">
        <v>0</v>
      </c>
      <c r="P171" s="87">
        <v>0</v>
      </c>
      <c r="Q171" s="90">
        <v>0</v>
      </c>
      <c r="R171" s="87">
        <v>75</v>
      </c>
      <c r="S171" s="90">
        <v>9.30521091811414</v>
      </c>
      <c r="T171" s="87">
        <v>0</v>
      </c>
      <c r="U171" s="90">
        <v>0</v>
      </c>
      <c r="V171" s="87">
        <v>0</v>
      </c>
      <c r="W171" s="90">
        <v>0</v>
      </c>
      <c r="X171" s="92">
        <v>160</v>
      </c>
      <c r="Y171" s="90">
        <v>19.8511166253102</v>
      </c>
      <c r="Z171" s="33" t="str">
        <f t="shared" si="8"/>
        <v>CONGRESSGAIN</v>
      </c>
      <c r="AA171" s="94">
        <f t="shared" si="10"/>
        <v>53.970223325062</v>
      </c>
      <c r="AB171" s="33" t="str">
        <f t="shared" si="9"/>
        <v>VERYHIGHMARGIN</v>
      </c>
    </row>
    <row r="172" spans="1:28">
      <c r="A172" s="87">
        <v>170</v>
      </c>
      <c r="B172" s="88" t="s">
        <v>29</v>
      </c>
      <c r="C172" s="87">
        <v>719</v>
      </c>
      <c r="D172" s="88">
        <v>242</v>
      </c>
      <c r="E172" s="89">
        <v>33.6578581363004</v>
      </c>
      <c r="F172" s="88">
        <v>445</v>
      </c>
      <c r="G172" s="90">
        <v>61.8915159944367</v>
      </c>
      <c r="H172" s="87">
        <v>9</v>
      </c>
      <c r="I172" s="90">
        <v>1.25173852573018</v>
      </c>
      <c r="J172" s="87">
        <v>0</v>
      </c>
      <c r="K172" s="90">
        <v>0</v>
      </c>
      <c r="L172" s="87">
        <v>0</v>
      </c>
      <c r="M172" s="90">
        <v>0</v>
      </c>
      <c r="N172" s="87">
        <v>2</v>
      </c>
      <c r="O172" s="90">
        <v>0.278164116828929</v>
      </c>
      <c r="P172" s="87">
        <v>0</v>
      </c>
      <c r="Q172" s="90">
        <v>0</v>
      </c>
      <c r="R172" s="87">
        <v>12</v>
      </c>
      <c r="S172" s="90">
        <v>1.66898470097357</v>
      </c>
      <c r="T172" s="87">
        <v>4</v>
      </c>
      <c r="U172" s="90">
        <v>0.556328233657858</v>
      </c>
      <c r="V172" s="87">
        <v>0</v>
      </c>
      <c r="W172" s="90">
        <v>0</v>
      </c>
      <c r="X172" s="92">
        <v>5</v>
      </c>
      <c r="Y172" s="90">
        <v>0.695410292072323</v>
      </c>
      <c r="Z172" s="33" t="str">
        <f t="shared" si="8"/>
        <v>CONGRESSGAIN</v>
      </c>
      <c r="AA172" s="94">
        <f t="shared" si="10"/>
        <v>28.2336578581363</v>
      </c>
      <c r="AB172" s="35" t="str">
        <f t="shared" si="9"/>
        <v>LOWMARGIN</v>
      </c>
    </row>
    <row r="173" spans="1:28">
      <c r="A173" s="87">
        <v>171</v>
      </c>
      <c r="B173" s="88" t="s">
        <v>29</v>
      </c>
      <c r="C173" s="87">
        <v>816</v>
      </c>
      <c r="D173" s="88">
        <v>74</v>
      </c>
      <c r="E173" s="89">
        <v>9.06862745098039</v>
      </c>
      <c r="F173" s="88">
        <v>529</v>
      </c>
      <c r="G173" s="90">
        <v>64.828431372549</v>
      </c>
      <c r="H173" s="87">
        <v>12</v>
      </c>
      <c r="I173" s="90">
        <v>1.47058823529412</v>
      </c>
      <c r="J173" s="87">
        <v>0</v>
      </c>
      <c r="K173" s="90">
        <v>0</v>
      </c>
      <c r="L173" s="87">
        <v>0</v>
      </c>
      <c r="M173" s="90">
        <v>0</v>
      </c>
      <c r="N173" s="87">
        <v>1</v>
      </c>
      <c r="O173" s="90">
        <v>0.122549019607843</v>
      </c>
      <c r="P173" s="87">
        <v>0</v>
      </c>
      <c r="Q173" s="90">
        <v>0</v>
      </c>
      <c r="R173" s="87">
        <v>68</v>
      </c>
      <c r="S173" s="90">
        <v>8.33333333333333</v>
      </c>
      <c r="T173" s="87">
        <v>3</v>
      </c>
      <c r="U173" s="90">
        <v>0.367647058823529</v>
      </c>
      <c r="V173" s="87">
        <v>0</v>
      </c>
      <c r="W173" s="90">
        <v>0</v>
      </c>
      <c r="X173" s="92">
        <v>129</v>
      </c>
      <c r="Y173" s="90">
        <v>15.8088235294118</v>
      </c>
      <c r="Z173" s="33" t="str">
        <f t="shared" si="8"/>
        <v>CONGRESSGAIN</v>
      </c>
      <c r="AA173" s="94">
        <f t="shared" si="10"/>
        <v>55.7598039215686</v>
      </c>
      <c r="AB173" s="33" t="str">
        <f t="shared" si="9"/>
        <v>VERYHIGHMARGIN</v>
      </c>
    </row>
    <row r="174" spans="1:28">
      <c r="A174" s="87">
        <v>172</v>
      </c>
      <c r="B174" s="88" t="s">
        <v>29</v>
      </c>
      <c r="C174" s="87">
        <v>535</v>
      </c>
      <c r="D174" s="88">
        <v>300</v>
      </c>
      <c r="E174" s="89">
        <v>56.0747663551402</v>
      </c>
      <c r="F174" s="88">
        <v>147</v>
      </c>
      <c r="G174" s="90">
        <v>27.4766355140187</v>
      </c>
      <c r="H174" s="87">
        <v>5</v>
      </c>
      <c r="I174" s="90">
        <v>0.934579439252337</v>
      </c>
      <c r="J174" s="87">
        <v>0</v>
      </c>
      <c r="K174" s="90">
        <v>0</v>
      </c>
      <c r="L174" s="87">
        <v>0</v>
      </c>
      <c r="M174" s="90">
        <v>0</v>
      </c>
      <c r="N174" s="87">
        <v>1</v>
      </c>
      <c r="O174" s="90">
        <v>0.186915887850467</v>
      </c>
      <c r="P174" s="87">
        <v>0</v>
      </c>
      <c r="Q174" s="90">
        <v>0</v>
      </c>
      <c r="R174" s="87">
        <v>60</v>
      </c>
      <c r="S174" s="90">
        <v>11.214953271028</v>
      </c>
      <c r="T174" s="87">
        <v>1</v>
      </c>
      <c r="U174" s="90">
        <v>0.186915887850467</v>
      </c>
      <c r="V174" s="87">
        <v>0</v>
      </c>
      <c r="W174" s="90">
        <v>0</v>
      </c>
      <c r="X174" s="92">
        <v>21</v>
      </c>
      <c r="Y174" s="90">
        <v>3.92523364485981</v>
      </c>
      <c r="Z174" s="46" t="str">
        <f t="shared" si="8"/>
        <v>BJP GAIN</v>
      </c>
      <c r="AA174" s="94">
        <f t="shared" ref="AA174" si="13">E174-G174</f>
        <v>28.5981308411215</v>
      </c>
      <c r="AB174" s="35" t="str">
        <f t="shared" si="9"/>
        <v>LOWMARGIN</v>
      </c>
    </row>
    <row r="175" spans="1:28">
      <c r="A175" s="87">
        <v>173</v>
      </c>
      <c r="B175" s="88" t="s">
        <v>29</v>
      </c>
      <c r="C175" s="87">
        <v>724</v>
      </c>
      <c r="D175" s="88">
        <v>66</v>
      </c>
      <c r="E175" s="89">
        <v>9.11602209944751</v>
      </c>
      <c r="F175" s="88">
        <v>558</v>
      </c>
      <c r="G175" s="90">
        <v>77.0718232044199</v>
      </c>
      <c r="H175" s="87">
        <v>11</v>
      </c>
      <c r="I175" s="90">
        <v>1.51933701657459</v>
      </c>
      <c r="J175" s="87">
        <v>0</v>
      </c>
      <c r="K175" s="90">
        <v>0</v>
      </c>
      <c r="L175" s="87">
        <v>0</v>
      </c>
      <c r="M175" s="90">
        <v>0</v>
      </c>
      <c r="N175" s="87">
        <v>0</v>
      </c>
      <c r="O175" s="90">
        <v>0</v>
      </c>
      <c r="P175" s="87">
        <v>0</v>
      </c>
      <c r="Q175" s="90">
        <v>0</v>
      </c>
      <c r="R175" s="87">
        <v>19</v>
      </c>
      <c r="S175" s="90">
        <v>2.62430939226519</v>
      </c>
      <c r="T175" s="87">
        <v>1</v>
      </c>
      <c r="U175" s="90">
        <v>0.138121546961326</v>
      </c>
      <c r="V175" s="87">
        <v>0</v>
      </c>
      <c r="W175" s="90">
        <v>0</v>
      </c>
      <c r="X175" s="92">
        <v>69</v>
      </c>
      <c r="Y175" s="90">
        <v>9.53038674033149</v>
      </c>
      <c r="Z175" s="33" t="str">
        <f t="shared" si="8"/>
        <v>CONGRESSGAIN</v>
      </c>
      <c r="AA175" s="94">
        <f t="shared" si="10"/>
        <v>67.9558011049724</v>
      </c>
      <c r="AB175" s="33" t="str">
        <f t="shared" si="9"/>
        <v>VERYHIGHMARGIN</v>
      </c>
    </row>
    <row r="176" spans="1:28">
      <c r="A176" s="87">
        <v>174</v>
      </c>
      <c r="B176" s="88" t="s">
        <v>29</v>
      </c>
      <c r="C176" s="87">
        <v>788</v>
      </c>
      <c r="D176" s="88">
        <v>202</v>
      </c>
      <c r="E176" s="89">
        <v>25.6345177664975</v>
      </c>
      <c r="F176" s="88">
        <v>471</v>
      </c>
      <c r="G176" s="90">
        <v>59.7715736040609</v>
      </c>
      <c r="H176" s="87">
        <v>29</v>
      </c>
      <c r="I176" s="90">
        <v>3.68020304568528</v>
      </c>
      <c r="J176" s="87">
        <v>0</v>
      </c>
      <c r="K176" s="90">
        <v>0</v>
      </c>
      <c r="L176" s="87">
        <v>0</v>
      </c>
      <c r="M176" s="90">
        <v>0</v>
      </c>
      <c r="N176" s="87">
        <v>0</v>
      </c>
      <c r="O176" s="90">
        <v>0</v>
      </c>
      <c r="P176" s="87">
        <v>0</v>
      </c>
      <c r="Q176" s="90">
        <v>0</v>
      </c>
      <c r="R176" s="87">
        <v>18</v>
      </c>
      <c r="S176" s="90">
        <v>2.28426395939086</v>
      </c>
      <c r="T176" s="87">
        <v>0</v>
      </c>
      <c r="U176" s="90">
        <v>0</v>
      </c>
      <c r="V176" s="87">
        <v>0</v>
      </c>
      <c r="W176" s="90">
        <v>0</v>
      </c>
      <c r="X176" s="92">
        <v>68</v>
      </c>
      <c r="Y176" s="90">
        <v>8.62944162436548</v>
      </c>
      <c r="Z176" s="33" t="str">
        <f t="shared" si="8"/>
        <v>CONGRESSGAIN</v>
      </c>
      <c r="AA176" s="94">
        <f t="shared" si="10"/>
        <v>34.1370558375635</v>
      </c>
      <c r="AB176" s="36" t="str">
        <f t="shared" si="9"/>
        <v>MEDIUMMARGIN</v>
      </c>
    </row>
    <row r="177" spans="1:28">
      <c r="A177" s="87">
        <v>175</v>
      </c>
      <c r="B177" s="88" t="s">
        <v>29</v>
      </c>
      <c r="C177" s="87">
        <v>744</v>
      </c>
      <c r="D177" s="88">
        <v>128</v>
      </c>
      <c r="E177" s="89">
        <v>17.2043010752688</v>
      </c>
      <c r="F177" s="88">
        <v>419</v>
      </c>
      <c r="G177" s="90">
        <v>56.3172043010753</v>
      </c>
      <c r="H177" s="87">
        <v>73</v>
      </c>
      <c r="I177" s="90">
        <v>9.81182795698925</v>
      </c>
      <c r="J177" s="87">
        <v>0</v>
      </c>
      <c r="K177" s="90">
        <v>0</v>
      </c>
      <c r="L177" s="87">
        <v>0</v>
      </c>
      <c r="M177" s="90">
        <v>0</v>
      </c>
      <c r="N177" s="87">
        <v>0</v>
      </c>
      <c r="O177" s="90">
        <v>0</v>
      </c>
      <c r="P177" s="87">
        <v>0</v>
      </c>
      <c r="Q177" s="90">
        <v>0</v>
      </c>
      <c r="R177" s="87">
        <v>52</v>
      </c>
      <c r="S177" s="90">
        <v>6.98924731182796</v>
      </c>
      <c r="T177" s="87">
        <v>3</v>
      </c>
      <c r="U177" s="90">
        <v>0.403225806451613</v>
      </c>
      <c r="V177" s="87">
        <v>0</v>
      </c>
      <c r="W177" s="90">
        <v>0</v>
      </c>
      <c r="X177" s="92">
        <v>69</v>
      </c>
      <c r="Y177" s="90">
        <v>9.2741935483871</v>
      </c>
      <c r="Z177" s="33" t="str">
        <f t="shared" si="8"/>
        <v>CONGRESSGAIN</v>
      </c>
      <c r="AA177" s="94">
        <f t="shared" si="10"/>
        <v>39.1129032258064</v>
      </c>
      <c r="AB177" s="36" t="str">
        <f t="shared" si="9"/>
        <v>MEDIUMMARGIN</v>
      </c>
    </row>
    <row r="178" spans="1:28">
      <c r="A178" s="87">
        <v>176</v>
      </c>
      <c r="B178" s="88" t="s">
        <v>29</v>
      </c>
      <c r="C178" s="87">
        <v>615</v>
      </c>
      <c r="D178" s="88">
        <v>312</v>
      </c>
      <c r="E178" s="89">
        <v>50.7317073170732</v>
      </c>
      <c r="F178" s="88">
        <v>234</v>
      </c>
      <c r="G178" s="90">
        <v>38.0487804878049</v>
      </c>
      <c r="H178" s="87">
        <v>10</v>
      </c>
      <c r="I178" s="90">
        <v>1.6260162601626</v>
      </c>
      <c r="J178" s="87">
        <v>0</v>
      </c>
      <c r="K178" s="90">
        <v>0</v>
      </c>
      <c r="L178" s="87">
        <v>0</v>
      </c>
      <c r="M178" s="90">
        <v>0</v>
      </c>
      <c r="N178" s="87">
        <v>0</v>
      </c>
      <c r="O178" s="90">
        <v>0</v>
      </c>
      <c r="P178" s="87">
        <v>0</v>
      </c>
      <c r="Q178" s="90">
        <v>0</v>
      </c>
      <c r="R178" s="87">
        <v>44</v>
      </c>
      <c r="S178" s="90">
        <v>7.15447154471545</v>
      </c>
      <c r="T178" s="87">
        <v>2</v>
      </c>
      <c r="U178" s="90">
        <v>0.32520325203252</v>
      </c>
      <c r="V178" s="87">
        <v>0</v>
      </c>
      <c r="W178" s="90">
        <v>0</v>
      </c>
      <c r="X178" s="92">
        <v>13</v>
      </c>
      <c r="Y178" s="90">
        <v>2.11382113821138</v>
      </c>
      <c r="Z178" s="46" t="str">
        <f t="shared" si="8"/>
        <v>BJP GAIN</v>
      </c>
      <c r="AA178" s="94">
        <f t="shared" ref="AA178" si="14">E178-G178</f>
        <v>12.6829268292683</v>
      </c>
      <c r="AB178" s="35" t="str">
        <f t="shared" si="9"/>
        <v>LOWMARGIN</v>
      </c>
    </row>
    <row r="179" spans="1:28">
      <c r="A179" s="87">
        <v>177</v>
      </c>
      <c r="B179" s="88" t="s">
        <v>29</v>
      </c>
      <c r="C179" s="87">
        <v>922</v>
      </c>
      <c r="D179" s="88">
        <v>307</v>
      </c>
      <c r="E179" s="89">
        <v>33.2971800433839</v>
      </c>
      <c r="F179" s="88">
        <v>403</v>
      </c>
      <c r="G179" s="90">
        <v>43.7093275488069</v>
      </c>
      <c r="H179" s="87">
        <v>30</v>
      </c>
      <c r="I179" s="90">
        <v>3.25379609544469</v>
      </c>
      <c r="J179" s="87">
        <v>0</v>
      </c>
      <c r="K179" s="90">
        <v>0</v>
      </c>
      <c r="L179" s="87">
        <v>0</v>
      </c>
      <c r="M179" s="90">
        <v>0</v>
      </c>
      <c r="N179" s="87">
        <v>0</v>
      </c>
      <c r="O179" s="90">
        <v>0</v>
      </c>
      <c r="P179" s="87">
        <v>0</v>
      </c>
      <c r="Q179" s="90">
        <v>0</v>
      </c>
      <c r="R179" s="87">
        <v>94</v>
      </c>
      <c r="S179" s="90">
        <v>10.1952277657267</v>
      </c>
      <c r="T179" s="87">
        <v>6</v>
      </c>
      <c r="U179" s="90">
        <v>0.650759219088937</v>
      </c>
      <c r="V179" s="87">
        <v>0</v>
      </c>
      <c r="W179" s="90">
        <v>0</v>
      </c>
      <c r="X179" s="92">
        <v>82</v>
      </c>
      <c r="Y179" s="90">
        <v>8.89370932754881</v>
      </c>
      <c r="Z179" s="33" t="str">
        <f t="shared" si="8"/>
        <v>CONGRESSGAIN</v>
      </c>
      <c r="AA179" s="94">
        <f t="shared" si="10"/>
        <v>10.412147505423</v>
      </c>
      <c r="AB179" s="35" t="str">
        <f t="shared" si="9"/>
        <v>LOWMARGIN</v>
      </c>
    </row>
    <row r="180" spans="1:28">
      <c r="A180" s="87">
        <v>178</v>
      </c>
      <c r="B180" s="88" t="s">
        <v>29</v>
      </c>
      <c r="C180" s="87">
        <v>565</v>
      </c>
      <c r="D180" s="88">
        <v>237</v>
      </c>
      <c r="E180" s="89">
        <v>41.9469026548673</v>
      </c>
      <c r="F180" s="88">
        <v>227</v>
      </c>
      <c r="G180" s="90">
        <v>40.1769911504425</v>
      </c>
      <c r="H180" s="87">
        <v>10</v>
      </c>
      <c r="I180" s="90">
        <v>1.76991150442478</v>
      </c>
      <c r="J180" s="87">
        <v>0</v>
      </c>
      <c r="K180" s="90">
        <v>0</v>
      </c>
      <c r="L180" s="87">
        <v>0</v>
      </c>
      <c r="M180" s="90">
        <v>0</v>
      </c>
      <c r="N180" s="87">
        <v>2</v>
      </c>
      <c r="O180" s="90">
        <v>0.353982300884956</v>
      </c>
      <c r="P180" s="87">
        <v>0</v>
      </c>
      <c r="Q180" s="90">
        <v>0</v>
      </c>
      <c r="R180" s="87">
        <v>73</v>
      </c>
      <c r="S180" s="90">
        <v>12.9203539823009</v>
      </c>
      <c r="T180" s="87">
        <v>0</v>
      </c>
      <c r="U180" s="90">
        <v>0</v>
      </c>
      <c r="V180" s="87">
        <v>0</v>
      </c>
      <c r="W180" s="90">
        <v>0</v>
      </c>
      <c r="X180" s="92">
        <v>16</v>
      </c>
      <c r="Y180" s="90">
        <v>2.83185840707965</v>
      </c>
      <c r="Z180" s="46" t="str">
        <f t="shared" si="8"/>
        <v>BJP GAIN</v>
      </c>
      <c r="AA180" s="94">
        <f t="shared" ref="AA180" si="15">E180-G180</f>
        <v>1.76991150442478</v>
      </c>
      <c r="AB180" s="34" t="str">
        <f t="shared" si="9"/>
        <v>NARROWMARGIN</v>
      </c>
    </row>
    <row r="181" spans="1:28">
      <c r="A181" s="87">
        <v>179</v>
      </c>
      <c r="B181" s="88" t="s">
        <v>29</v>
      </c>
      <c r="C181" s="87">
        <v>435</v>
      </c>
      <c r="D181" s="88">
        <v>189</v>
      </c>
      <c r="E181" s="89">
        <v>43.448275862069</v>
      </c>
      <c r="F181" s="88">
        <v>199</v>
      </c>
      <c r="G181" s="90">
        <v>45.7471264367816</v>
      </c>
      <c r="H181" s="87">
        <v>2</v>
      </c>
      <c r="I181" s="90">
        <v>0.459770114942529</v>
      </c>
      <c r="J181" s="87">
        <v>0</v>
      </c>
      <c r="K181" s="90">
        <v>0</v>
      </c>
      <c r="L181" s="87">
        <v>0</v>
      </c>
      <c r="M181" s="90">
        <v>0</v>
      </c>
      <c r="N181" s="87">
        <v>0</v>
      </c>
      <c r="O181" s="90">
        <v>0</v>
      </c>
      <c r="P181" s="87">
        <v>0</v>
      </c>
      <c r="Q181" s="90">
        <v>0</v>
      </c>
      <c r="R181" s="87">
        <v>42</v>
      </c>
      <c r="S181" s="90">
        <v>9.6551724137931</v>
      </c>
      <c r="T181" s="87">
        <v>1</v>
      </c>
      <c r="U181" s="90">
        <v>0.229885057471264</v>
      </c>
      <c r="V181" s="87">
        <v>0</v>
      </c>
      <c r="W181" s="90">
        <v>0</v>
      </c>
      <c r="X181" s="92">
        <v>2</v>
      </c>
      <c r="Y181" s="90">
        <v>0.459770114942529</v>
      </c>
      <c r="Z181" s="33" t="str">
        <f t="shared" si="8"/>
        <v>CONGRESSGAIN</v>
      </c>
      <c r="AA181" s="94">
        <f t="shared" si="10"/>
        <v>2.29885057471265</v>
      </c>
      <c r="AB181" s="34" t="str">
        <f t="shared" si="9"/>
        <v>NARROWMARGIN</v>
      </c>
    </row>
    <row r="182" spans="1:28">
      <c r="A182" s="87">
        <v>180</v>
      </c>
      <c r="B182" s="88" t="s">
        <v>29</v>
      </c>
      <c r="C182" s="87">
        <v>936</v>
      </c>
      <c r="D182" s="88">
        <v>380</v>
      </c>
      <c r="E182" s="89">
        <v>40.5982905982906</v>
      </c>
      <c r="F182" s="88">
        <v>442</v>
      </c>
      <c r="G182" s="90">
        <v>47.2222222222222</v>
      </c>
      <c r="H182" s="87">
        <v>5</v>
      </c>
      <c r="I182" s="90">
        <v>0.534188034188034</v>
      </c>
      <c r="J182" s="87">
        <v>0</v>
      </c>
      <c r="K182" s="90">
        <v>0</v>
      </c>
      <c r="L182" s="87">
        <v>0</v>
      </c>
      <c r="M182" s="90">
        <v>0</v>
      </c>
      <c r="N182" s="87">
        <v>0</v>
      </c>
      <c r="O182" s="90">
        <v>0</v>
      </c>
      <c r="P182" s="87">
        <v>0</v>
      </c>
      <c r="Q182" s="90">
        <v>0</v>
      </c>
      <c r="R182" s="87">
        <v>93</v>
      </c>
      <c r="S182" s="90">
        <v>9.93589743589744</v>
      </c>
      <c r="T182" s="87">
        <v>3</v>
      </c>
      <c r="U182" s="90">
        <v>0.320512820512821</v>
      </c>
      <c r="V182" s="87">
        <v>0</v>
      </c>
      <c r="W182" s="90">
        <v>0</v>
      </c>
      <c r="X182" s="92">
        <v>13</v>
      </c>
      <c r="Y182" s="90">
        <v>1.38888888888889</v>
      </c>
      <c r="Z182" s="33" t="str">
        <f t="shared" si="8"/>
        <v>CONGRESSGAIN</v>
      </c>
      <c r="AA182" s="94">
        <f t="shared" si="10"/>
        <v>6.62393162393163</v>
      </c>
      <c r="AB182" s="34" t="str">
        <f t="shared" si="9"/>
        <v>NARROWMARGIN</v>
      </c>
    </row>
    <row r="183" spans="1:28">
      <c r="A183" s="87">
        <v>181</v>
      </c>
      <c r="B183" s="88" t="s">
        <v>29</v>
      </c>
      <c r="C183" s="87">
        <v>858</v>
      </c>
      <c r="D183" s="88">
        <v>399</v>
      </c>
      <c r="E183" s="89">
        <v>46.5034965034965</v>
      </c>
      <c r="F183" s="88">
        <v>348</v>
      </c>
      <c r="G183" s="90">
        <v>40.5594405594406</v>
      </c>
      <c r="H183" s="87">
        <v>10</v>
      </c>
      <c r="I183" s="90">
        <v>1.16550116550117</v>
      </c>
      <c r="J183" s="87">
        <v>0</v>
      </c>
      <c r="K183" s="90">
        <v>0</v>
      </c>
      <c r="L183" s="87">
        <v>0</v>
      </c>
      <c r="M183" s="90">
        <v>0</v>
      </c>
      <c r="N183" s="87">
        <v>2</v>
      </c>
      <c r="O183" s="90">
        <v>0.233100233100233</v>
      </c>
      <c r="P183" s="87">
        <v>0</v>
      </c>
      <c r="Q183" s="90">
        <v>0</v>
      </c>
      <c r="R183" s="87">
        <v>76</v>
      </c>
      <c r="S183" s="90">
        <v>8.85780885780886</v>
      </c>
      <c r="T183" s="87">
        <v>0</v>
      </c>
      <c r="U183" s="90">
        <v>0</v>
      </c>
      <c r="V183" s="87">
        <v>0</v>
      </c>
      <c r="W183" s="90">
        <v>0</v>
      </c>
      <c r="X183" s="92">
        <v>23</v>
      </c>
      <c r="Y183" s="90">
        <v>2.68065268065268</v>
      </c>
      <c r="Z183" s="46" t="str">
        <f t="shared" si="8"/>
        <v>BJP GAIN</v>
      </c>
      <c r="AA183" s="94">
        <f t="shared" ref="AA183:AA185" si="16">E183-G183</f>
        <v>5.94405594405594</v>
      </c>
      <c r="AB183" s="34" t="str">
        <f t="shared" si="9"/>
        <v>NARROWMARGIN</v>
      </c>
    </row>
    <row r="184" spans="1:28">
      <c r="A184" s="87">
        <v>182</v>
      </c>
      <c r="B184" s="88" t="s">
        <v>29</v>
      </c>
      <c r="C184" s="87">
        <v>785</v>
      </c>
      <c r="D184" s="88">
        <v>407</v>
      </c>
      <c r="E184" s="89">
        <v>51.8471337579618</v>
      </c>
      <c r="F184" s="88">
        <v>285</v>
      </c>
      <c r="G184" s="90">
        <v>36.3057324840764</v>
      </c>
      <c r="H184" s="87">
        <v>11</v>
      </c>
      <c r="I184" s="90">
        <v>1.40127388535032</v>
      </c>
      <c r="J184" s="87">
        <v>0</v>
      </c>
      <c r="K184" s="90">
        <v>0</v>
      </c>
      <c r="L184" s="87">
        <v>0</v>
      </c>
      <c r="M184" s="90">
        <v>0</v>
      </c>
      <c r="N184" s="87">
        <v>0</v>
      </c>
      <c r="O184" s="90">
        <v>0</v>
      </c>
      <c r="P184" s="87">
        <v>0</v>
      </c>
      <c r="Q184" s="90">
        <v>0</v>
      </c>
      <c r="R184" s="87">
        <v>63</v>
      </c>
      <c r="S184" s="90">
        <v>8.02547770700637</v>
      </c>
      <c r="T184" s="87">
        <v>7</v>
      </c>
      <c r="U184" s="90">
        <v>0.89171974522293</v>
      </c>
      <c r="V184" s="87">
        <v>0</v>
      </c>
      <c r="W184" s="90">
        <v>0</v>
      </c>
      <c r="X184" s="92">
        <v>12</v>
      </c>
      <c r="Y184" s="90">
        <v>1.52866242038217</v>
      </c>
      <c r="Z184" s="46" t="str">
        <f t="shared" si="8"/>
        <v>BJP GAIN</v>
      </c>
      <c r="AA184" s="94">
        <f t="shared" si="16"/>
        <v>15.5414012738853</v>
      </c>
      <c r="AB184" s="35" t="str">
        <f t="shared" si="9"/>
        <v>LOWMARGIN</v>
      </c>
    </row>
    <row r="185" spans="1:28">
      <c r="A185" s="87">
        <v>183</v>
      </c>
      <c r="B185" s="88" t="s">
        <v>29</v>
      </c>
      <c r="C185" s="87">
        <v>900</v>
      </c>
      <c r="D185" s="88">
        <v>489</v>
      </c>
      <c r="E185" s="89">
        <v>54.3333333333333</v>
      </c>
      <c r="F185" s="88">
        <v>298</v>
      </c>
      <c r="G185" s="90">
        <v>33.1111111111111</v>
      </c>
      <c r="H185" s="87">
        <v>15</v>
      </c>
      <c r="I185" s="90">
        <v>1.66666666666667</v>
      </c>
      <c r="J185" s="87">
        <v>0</v>
      </c>
      <c r="K185" s="90">
        <v>0</v>
      </c>
      <c r="L185" s="87">
        <v>0</v>
      </c>
      <c r="M185" s="90">
        <v>0</v>
      </c>
      <c r="N185" s="87">
        <v>0</v>
      </c>
      <c r="O185" s="90">
        <v>0</v>
      </c>
      <c r="P185" s="87">
        <v>0</v>
      </c>
      <c r="Q185" s="90">
        <v>0</v>
      </c>
      <c r="R185" s="87">
        <v>77</v>
      </c>
      <c r="S185" s="90">
        <v>8.55555555555556</v>
      </c>
      <c r="T185" s="87">
        <v>1</v>
      </c>
      <c r="U185" s="90">
        <v>0.111111111111111</v>
      </c>
      <c r="V185" s="87">
        <v>0</v>
      </c>
      <c r="W185" s="90">
        <v>0</v>
      </c>
      <c r="X185" s="92">
        <v>20</v>
      </c>
      <c r="Y185" s="90">
        <v>2.22222222222222</v>
      </c>
      <c r="Z185" s="46" t="str">
        <f t="shared" si="8"/>
        <v>BJP GAIN</v>
      </c>
      <c r="AA185" s="94">
        <f t="shared" si="16"/>
        <v>21.2222222222222</v>
      </c>
      <c r="AB185" s="35" t="str">
        <f t="shared" si="9"/>
        <v>LOWMARGIN</v>
      </c>
    </row>
    <row r="186" spans="1:28">
      <c r="A186" s="87">
        <v>184</v>
      </c>
      <c r="B186" s="88" t="s">
        <v>29</v>
      </c>
      <c r="C186" s="87">
        <v>889</v>
      </c>
      <c r="D186" s="88">
        <v>403</v>
      </c>
      <c r="E186" s="89">
        <v>45.3318335208099</v>
      </c>
      <c r="F186" s="88">
        <v>419</v>
      </c>
      <c r="G186" s="90">
        <v>47.1316085489314</v>
      </c>
      <c r="H186" s="87">
        <v>8</v>
      </c>
      <c r="I186" s="90">
        <v>0.899887514060742</v>
      </c>
      <c r="J186" s="87">
        <v>0</v>
      </c>
      <c r="K186" s="90">
        <v>0</v>
      </c>
      <c r="L186" s="87">
        <v>0</v>
      </c>
      <c r="M186" s="90">
        <v>0</v>
      </c>
      <c r="N186" s="87">
        <v>0</v>
      </c>
      <c r="O186" s="90">
        <v>0</v>
      </c>
      <c r="P186" s="87">
        <v>0</v>
      </c>
      <c r="Q186" s="90">
        <v>0</v>
      </c>
      <c r="R186" s="87">
        <v>32</v>
      </c>
      <c r="S186" s="90">
        <v>3.59955005624297</v>
      </c>
      <c r="T186" s="87">
        <v>5</v>
      </c>
      <c r="U186" s="90">
        <v>0.562429696287964</v>
      </c>
      <c r="V186" s="87">
        <v>0</v>
      </c>
      <c r="W186" s="90">
        <v>0</v>
      </c>
      <c r="X186" s="92">
        <v>22</v>
      </c>
      <c r="Y186" s="90">
        <v>2.47469066366704</v>
      </c>
      <c r="Z186" s="33" t="str">
        <f t="shared" si="8"/>
        <v>CONGRESSGAIN</v>
      </c>
      <c r="AA186" s="94">
        <f t="shared" si="10"/>
        <v>1.79977502812149</v>
      </c>
      <c r="AB186" s="34" t="str">
        <f t="shared" si="9"/>
        <v>NARROWMARGIN</v>
      </c>
    </row>
    <row r="187" spans="1:28">
      <c r="A187" s="87">
        <v>185</v>
      </c>
      <c r="B187" s="88" t="s">
        <v>29</v>
      </c>
      <c r="C187" s="87">
        <v>835</v>
      </c>
      <c r="D187" s="88">
        <v>233</v>
      </c>
      <c r="E187" s="89">
        <v>27.9041916167665</v>
      </c>
      <c r="F187" s="88">
        <v>526</v>
      </c>
      <c r="G187" s="90">
        <v>62.9940119760479</v>
      </c>
      <c r="H187" s="87">
        <v>27</v>
      </c>
      <c r="I187" s="90">
        <v>3.23353293413174</v>
      </c>
      <c r="J187" s="87">
        <v>0</v>
      </c>
      <c r="K187" s="90">
        <v>0</v>
      </c>
      <c r="L187" s="87">
        <v>0</v>
      </c>
      <c r="M187" s="90">
        <v>0</v>
      </c>
      <c r="N187" s="87">
        <v>0</v>
      </c>
      <c r="O187" s="90">
        <v>0</v>
      </c>
      <c r="P187" s="87">
        <v>0</v>
      </c>
      <c r="Q187" s="90">
        <v>0</v>
      </c>
      <c r="R187" s="87">
        <v>21</v>
      </c>
      <c r="S187" s="90">
        <v>2.51497005988024</v>
      </c>
      <c r="T187" s="87">
        <v>8</v>
      </c>
      <c r="U187" s="90">
        <v>0.958083832335329</v>
      </c>
      <c r="V187" s="87">
        <v>0</v>
      </c>
      <c r="W187" s="90">
        <v>0</v>
      </c>
      <c r="X187" s="92">
        <v>20</v>
      </c>
      <c r="Y187" s="90">
        <v>2.39520958083832</v>
      </c>
      <c r="Z187" s="33" t="str">
        <f t="shared" si="8"/>
        <v>CONGRESSGAIN</v>
      </c>
      <c r="AA187" s="94">
        <f t="shared" si="10"/>
        <v>35.0898203592814</v>
      </c>
      <c r="AB187" s="36" t="str">
        <f t="shared" si="9"/>
        <v>MEDIUMMARGIN</v>
      </c>
    </row>
    <row r="188" spans="1:28">
      <c r="A188" s="87">
        <v>186</v>
      </c>
      <c r="B188" s="88" t="s">
        <v>29</v>
      </c>
      <c r="C188" s="87">
        <v>437</v>
      </c>
      <c r="D188" s="88">
        <v>164</v>
      </c>
      <c r="E188" s="89">
        <v>37.5286041189931</v>
      </c>
      <c r="F188" s="88">
        <v>240</v>
      </c>
      <c r="G188" s="90">
        <v>54.9199084668192</v>
      </c>
      <c r="H188" s="87">
        <v>2</v>
      </c>
      <c r="I188" s="90">
        <v>0.45766590389016</v>
      </c>
      <c r="J188" s="87">
        <v>0</v>
      </c>
      <c r="K188" s="90">
        <v>0</v>
      </c>
      <c r="L188" s="87">
        <v>0</v>
      </c>
      <c r="M188" s="90">
        <v>0</v>
      </c>
      <c r="N188" s="87">
        <v>0</v>
      </c>
      <c r="O188" s="90">
        <v>0</v>
      </c>
      <c r="P188" s="87">
        <v>0</v>
      </c>
      <c r="Q188" s="90">
        <v>0</v>
      </c>
      <c r="R188" s="87">
        <v>8</v>
      </c>
      <c r="S188" s="90">
        <v>1.83066361556064</v>
      </c>
      <c r="T188" s="87">
        <v>0</v>
      </c>
      <c r="U188" s="90">
        <v>0</v>
      </c>
      <c r="V188" s="87">
        <v>0</v>
      </c>
      <c r="W188" s="90">
        <v>0</v>
      </c>
      <c r="X188" s="92">
        <v>23</v>
      </c>
      <c r="Y188" s="90">
        <v>5.26315789473684</v>
      </c>
      <c r="Z188" s="33" t="str">
        <f t="shared" si="8"/>
        <v>CONGRESSGAIN</v>
      </c>
      <c r="AA188" s="94">
        <f t="shared" si="10"/>
        <v>17.3913043478261</v>
      </c>
      <c r="AB188" s="35" t="str">
        <f t="shared" si="9"/>
        <v>LOWMARGIN</v>
      </c>
    </row>
    <row r="189" spans="1:28">
      <c r="A189" s="87">
        <v>187</v>
      </c>
      <c r="B189" s="88" t="s">
        <v>29</v>
      </c>
      <c r="C189" s="87">
        <v>552</v>
      </c>
      <c r="D189" s="88">
        <v>188</v>
      </c>
      <c r="E189" s="89">
        <v>34.0579710144928</v>
      </c>
      <c r="F189" s="88">
        <v>326</v>
      </c>
      <c r="G189" s="90">
        <v>59.0579710144928</v>
      </c>
      <c r="H189" s="87">
        <v>13</v>
      </c>
      <c r="I189" s="90">
        <v>2.35507246376812</v>
      </c>
      <c r="J189" s="87">
        <v>0</v>
      </c>
      <c r="K189" s="90">
        <v>0</v>
      </c>
      <c r="L189" s="87">
        <v>0</v>
      </c>
      <c r="M189" s="90">
        <v>0</v>
      </c>
      <c r="N189" s="87">
        <v>0</v>
      </c>
      <c r="O189" s="90">
        <v>0</v>
      </c>
      <c r="P189" s="87">
        <v>0</v>
      </c>
      <c r="Q189" s="90">
        <v>0</v>
      </c>
      <c r="R189" s="87">
        <v>6</v>
      </c>
      <c r="S189" s="90">
        <v>1.08695652173913</v>
      </c>
      <c r="T189" s="87">
        <v>3</v>
      </c>
      <c r="U189" s="90">
        <v>0.543478260869565</v>
      </c>
      <c r="V189" s="87">
        <v>0</v>
      </c>
      <c r="W189" s="90">
        <v>0</v>
      </c>
      <c r="X189" s="92">
        <v>16</v>
      </c>
      <c r="Y189" s="90">
        <v>2.89855072463768</v>
      </c>
      <c r="Z189" s="33" t="str">
        <f t="shared" si="8"/>
        <v>CONGRESSGAIN</v>
      </c>
      <c r="AA189" s="94">
        <f t="shared" si="10"/>
        <v>25</v>
      </c>
      <c r="AB189" s="35" t="str">
        <f t="shared" si="9"/>
        <v>LOWMARGIN</v>
      </c>
    </row>
    <row r="190" spans="1:28">
      <c r="A190" s="87">
        <v>188</v>
      </c>
      <c r="B190" s="88" t="s">
        <v>29</v>
      </c>
      <c r="C190" s="87">
        <v>442</v>
      </c>
      <c r="D190" s="88">
        <v>158</v>
      </c>
      <c r="E190" s="89">
        <v>35.7466063348416</v>
      </c>
      <c r="F190" s="88">
        <v>261</v>
      </c>
      <c r="G190" s="90">
        <v>59.0497737556561</v>
      </c>
      <c r="H190" s="87">
        <v>3</v>
      </c>
      <c r="I190" s="90">
        <v>0.678733031674208</v>
      </c>
      <c r="J190" s="87">
        <v>0</v>
      </c>
      <c r="K190" s="90">
        <v>0</v>
      </c>
      <c r="L190" s="87">
        <v>0</v>
      </c>
      <c r="M190" s="90">
        <v>0</v>
      </c>
      <c r="N190" s="87">
        <v>0</v>
      </c>
      <c r="O190" s="90">
        <v>0</v>
      </c>
      <c r="P190" s="87">
        <v>0</v>
      </c>
      <c r="Q190" s="90">
        <v>0</v>
      </c>
      <c r="R190" s="87">
        <v>8</v>
      </c>
      <c r="S190" s="90">
        <v>1.80995475113122</v>
      </c>
      <c r="T190" s="87">
        <v>0</v>
      </c>
      <c r="U190" s="90">
        <v>0</v>
      </c>
      <c r="V190" s="87">
        <v>0</v>
      </c>
      <c r="W190" s="90">
        <v>0</v>
      </c>
      <c r="X190" s="92">
        <v>12</v>
      </c>
      <c r="Y190" s="90">
        <v>2.71493212669683</v>
      </c>
      <c r="Z190" s="33" t="str">
        <f t="shared" si="8"/>
        <v>CONGRESSGAIN</v>
      </c>
      <c r="AA190" s="94">
        <f t="shared" si="10"/>
        <v>23.3031674208145</v>
      </c>
      <c r="AB190" s="35" t="str">
        <f t="shared" si="9"/>
        <v>LOWMARGIN</v>
      </c>
    </row>
    <row r="191" spans="1:28">
      <c r="A191" s="87">
        <v>189</v>
      </c>
      <c r="B191" s="88" t="s">
        <v>29</v>
      </c>
      <c r="C191" s="87">
        <v>528</v>
      </c>
      <c r="D191" s="88">
        <v>274</v>
      </c>
      <c r="E191" s="89">
        <v>51.8939393939394</v>
      </c>
      <c r="F191" s="88">
        <v>235</v>
      </c>
      <c r="G191" s="90">
        <v>44.5075757575758</v>
      </c>
      <c r="H191" s="87">
        <v>6</v>
      </c>
      <c r="I191" s="90">
        <v>1.13636363636364</v>
      </c>
      <c r="J191" s="87">
        <v>0</v>
      </c>
      <c r="K191" s="90">
        <v>0</v>
      </c>
      <c r="L191" s="87">
        <v>0</v>
      </c>
      <c r="M191" s="90">
        <v>0</v>
      </c>
      <c r="N191" s="87">
        <v>0</v>
      </c>
      <c r="O191" s="90">
        <v>0</v>
      </c>
      <c r="P191" s="87">
        <v>0</v>
      </c>
      <c r="Q191" s="90">
        <v>0</v>
      </c>
      <c r="R191" s="87">
        <v>6</v>
      </c>
      <c r="S191" s="90">
        <v>1.13636363636364</v>
      </c>
      <c r="T191" s="87">
        <v>2</v>
      </c>
      <c r="U191" s="90">
        <v>0.378787878787879</v>
      </c>
      <c r="V191" s="87">
        <v>0</v>
      </c>
      <c r="W191" s="90">
        <v>0</v>
      </c>
      <c r="X191" s="92">
        <v>5</v>
      </c>
      <c r="Y191" s="90">
        <v>0.946969696969697</v>
      </c>
      <c r="Z191" s="46" t="str">
        <f t="shared" si="8"/>
        <v>BJP GAIN</v>
      </c>
      <c r="AA191" s="94">
        <f t="shared" ref="AA191" si="17">E191-G191</f>
        <v>7.38636363636363</v>
      </c>
      <c r="AB191" s="34" t="str">
        <f t="shared" si="9"/>
        <v>NARROWMARGIN</v>
      </c>
    </row>
    <row r="192" spans="1:28">
      <c r="A192" s="87">
        <v>190</v>
      </c>
      <c r="B192" s="88" t="s">
        <v>29</v>
      </c>
      <c r="C192" s="87">
        <v>686</v>
      </c>
      <c r="D192" s="88">
        <v>259</v>
      </c>
      <c r="E192" s="89">
        <v>37.7551020408163</v>
      </c>
      <c r="F192" s="88">
        <v>394</v>
      </c>
      <c r="G192" s="90">
        <v>57.4344023323615</v>
      </c>
      <c r="H192" s="87">
        <v>7</v>
      </c>
      <c r="I192" s="90">
        <v>1.02040816326531</v>
      </c>
      <c r="J192" s="87">
        <v>0</v>
      </c>
      <c r="K192" s="90">
        <v>0</v>
      </c>
      <c r="L192" s="87">
        <v>0</v>
      </c>
      <c r="M192" s="90">
        <v>0</v>
      </c>
      <c r="N192" s="87">
        <v>2</v>
      </c>
      <c r="O192" s="90">
        <v>0.291545189504373</v>
      </c>
      <c r="P192" s="87">
        <v>0</v>
      </c>
      <c r="Q192" s="90">
        <v>0</v>
      </c>
      <c r="R192" s="87">
        <v>7</v>
      </c>
      <c r="S192" s="90">
        <v>1.02040816326531</v>
      </c>
      <c r="T192" s="87">
        <v>4</v>
      </c>
      <c r="U192" s="90">
        <v>0.583090379008746</v>
      </c>
      <c r="V192" s="87">
        <v>0</v>
      </c>
      <c r="W192" s="90">
        <v>0</v>
      </c>
      <c r="X192" s="92">
        <v>13</v>
      </c>
      <c r="Y192" s="90">
        <v>1.89504373177843</v>
      </c>
      <c r="Z192" s="33" t="str">
        <f t="shared" si="8"/>
        <v>CONGRESSGAIN</v>
      </c>
      <c r="AA192" s="94">
        <f t="shared" si="10"/>
        <v>19.6793002915452</v>
      </c>
      <c r="AB192" s="35" t="str">
        <f t="shared" si="9"/>
        <v>LOWMARGIN</v>
      </c>
    </row>
    <row r="193" spans="1:28">
      <c r="A193" s="87">
        <v>191</v>
      </c>
      <c r="B193" s="88" t="s">
        <v>29</v>
      </c>
      <c r="C193" s="87">
        <v>656</v>
      </c>
      <c r="D193" s="88">
        <v>368</v>
      </c>
      <c r="E193" s="89">
        <v>56.0975609756098</v>
      </c>
      <c r="F193" s="88">
        <v>256</v>
      </c>
      <c r="G193" s="90">
        <v>39.0243902439024</v>
      </c>
      <c r="H193" s="87">
        <v>13</v>
      </c>
      <c r="I193" s="90">
        <v>1.98170731707317</v>
      </c>
      <c r="J193" s="87">
        <v>0</v>
      </c>
      <c r="K193" s="90">
        <v>0</v>
      </c>
      <c r="L193" s="87">
        <v>0</v>
      </c>
      <c r="M193" s="90">
        <v>0</v>
      </c>
      <c r="N193" s="87">
        <v>0</v>
      </c>
      <c r="O193" s="90">
        <v>0</v>
      </c>
      <c r="P193" s="87">
        <v>0</v>
      </c>
      <c r="Q193" s="90">
        <v>0</v>
      </c>
      <c r="R193" s="87">
        <v>7</v>
      </c>
      <c r="S193" s="90">
        <v>1.06707317073171</v>
      </c>
      <c r="T193" s="87">
        <v>2</v>
      </c>
      <c r="U193" s="90">
        <v>0.304878048780488</v>
      </c>
      <c r="V193" s="87">
        <v>0</v>
      </c>
      <c r="W193" s="90">
        <v>0</v>
      </c>
      <c r="X193" s="92">
        <v>10</v>
      </c>
      <c r="Y193" s="90">
        <v>1.52439024390244</v>
      </c>
      <c r="Z193" s="46" t="str">
        <f t="shared" si="8"/>
        <v>BJP GAIN</v>
      </c>
      <c r="AA193" s="94">
        <f t="shared" ref="AA193" si="18">E193-G193</f>
        <v>17.0731707317073</v>
      </c>
      <c r="AB193" s="35" t="str">
        <f t="shared" si="9"/>
        <v>LOWMARGIN</v>
      </c>
    </row>
    <row r="194" spans="1:28">
      <c r="A194" s="87">
        <v>192</v>
      </c>
      <c r="B194" s="88" t="s">
        <v>29</v>
      </c>
      <c r="C194" s="87">
        <v>500</v>
      </c>
      <c r="D194" s="88">
        <v>205</v>
      </c>
      <c r="E194" s="89">
        <v>41</v>
      </c>
      <c r="F194" s="88">
        <v>279</v>
      </c>
      <c r="G194" s="90">
        <v>55.8</v>
      </c>
      <c r="H194" s="87">
        <v>3</v>
      </c>
      <c r="I194" s="90">
        <v>0.6</v>
      </c>
      <c r="J194" s="87">
        <v>0</v>
      </c>
      <c r="K194" s="90">
        <v>0</v>
      </c>
      <c r="L194" s="87">
        <v>0</v>
      </c>
      <c r="M194" s="90">
        <v>0</v>
      </c>
      <c r="N194" s="87">
        <v>0</v>
      </c>
      <c r="O194" s="90">
        <v>0</v>
      </c>
      <c r="P194" s="87">
        <v>0</v>
      </c>
      <c r="Q194" s="90">
        <v>0</v>
      </c>
      <c r="R194" s="87">
        <v>5</v>
      </c>
      <c r="S194" s="90">
        <v>1</v>
      </c>
      <c r="T194" s="87">
        <v>3</v>
      </c>
      <c r="U194" s="90">
        <v>0.6</v>
      </c>
      <c r="V194" s="87">
        <v>0</v>
      </c>
      <c r="W194" s="90">
        <v>0</v>
      </c>
      <c r="X194" s="92">
        <v>5</v>
      </c>
      <c r="Y194" s="90">
        <v>1</v>
      </c>
      <c r="Z194" s="33" t="str">
        <f t="shared" si="8"/>
        <v>CONGRESSGAIN</v>
      </c>
      <c r="AA194" s="94">
        <f t="shared" si="10"/>
        <v>14.8</v>
      </c>
      <c r="AB194" s="35" t="str">
        <f t="shared" si="9"/>
        <v>LOWMARGIN</v>
      </c>
    </row>
    <row r="195" spans="1:28">
      <c r="A195" s="87">
        <v>193</v>
      </c>
      <c r="B195" s="88" t="s">
        <v>29</v>
      </c>
      <c r="C195" s="87">
        <v>662</v>
      </c>
      <c r="D195" s="88">
        <v>318</v>
      </c>
      <c r="E195" s="89">
        <v>48.036253776435</v>
      </c>
      <c r="F195" s="88">
        <v>314</v>
      </c>
      <c r="G195" s="90">
        <v>47.4320241691843</v>
      </c>
      <c r="H195" s="87">
        <v>7</v>
      </c>
      <c r="I195" s="90">
        <v>1.05740181268882</v>
      </c>
      <c r="J195" s="87">
        <v>0</v>
      </c>
      <c r="K195" s="90">
        <v>0</v>
      </c>
      <c r="L195" s="87">
        <v>0</v>
      </c>
      <c r="M195" s="90">
        <v>0</v>
      </c>
      <c r="N195" s="87">
        <v>0</v>
      </c>
      <c r="O195" s="90">
        <v>0</v>
      </c>
      <c r="P195" s="87">
        <v>0</v>
      </c>
      <c r="Q195" s="90">
        <v>0</v>
      </c>
      <c r="R195" s="87">
        <v>14</v>
      </c>
      <c r="S195" s="90">
        <v>2.11480362537764</v>
      </c>
      <c r="T195" s="87">
        <v>0</v>
      </c>
      <c r="U195" s="90">
        <v>0</v>
      </c>
      <c r="V195" s="87">
        <v>0</v>
      </c>
      <c r="W195" s="90">
        <v>0</v>
      </c>
      <c r="X195" s="92">
        <v>9</v>
      </c>
      <c r="Y195" s="90">
        <v>1.3595166163142</v>
      </c>
      <c r="Z195" s="46" t="str">
        <f t="shared" si="8"/>
        <v>BJP GAIN</v>
      </c>
      <c r="AA195" s="94">
        <f t="shared" ref="AA195" si="19">E195-G195</f>
        <v>0.604229607250758</v>
      </c>
      <c r="AB195" s="34" t="str">
        <f>IF(AA195&gt;=50,"VERYHIGHMARGIN",IF(AA195&gt;=40,"HIGHMARGIN",IF(AA195&gt;=30,"MEDIUMMARGIN",IF(AA195&gt;10,"LOWMARGIN",IF(AA195&lt;1,"NARROWMARGIN")))))</f>
        <v>NARROWMARGIN</v>
      </c>
    </row>
    <row r="196" spans="1:28">
      <c r="A196" s="87">
        <v>194</v>
      </c>
      <c r="B196" s="88" t="s">
        <v>29</v>
      </c>
      <c r="C196" s="87">
        <v>701</v>
      </c>
      <c r="D196" s="88">
        <v>243</v>
      </c>
      <c r="E196" s="89">
        <v>34.6647646219686</v>
      </c>
      <c r="F196" s="88">
        <v>417</v>
      </c>
      <c r="G196" s="90">
        <v>59.4864479315264</v>
      </c>
      <c r="H196" s="87">
        <v>5</v>
      </c>
      <c r="I196" s="90">
        <v>0.713266761768902</v>
      </c>
      <c r="J196" s="87">
        <v>0</v>
      </c>
      <c r="K196" s="90">
        <v>0</v>
      </c>
      <c r="L196" s="87">
        <v>0</v>
      </c>
      <c r="M196" s="90">
        <v>0</v>
      </c>
      <c r="N196" s="87">
        <v>0</v>
      </c>
      <c r="O196" s="90">
        <v>0</v>
      </c>
      <c r="P196" s="87">
        <v>0</v>
      </c>
      <c r="Q196" s="90">
        <v>0</v>
      </c>
      <c r="R196" s="87">
        <v>12</v>
      </c>
      <c r="S196" s="90">
        <v>1.71184022824536</v>
      </c>
      <c r="T196" s="87">
        <v>0</v>
      </c>
      <c r="U196" s="90">
        <v>0</v>
      </c>
      <c r="V196" s="87">
        <v>0</v>
      </c>
      <c r="W196" s="90">
        <v>0</v>
      </c>
      <c r="X196" s="92">
        <v>24</v>
      </c>
      <c r="Y196" s="90">
        <v>3.42368045649073</v>
      </c>
      <c r="Z196" s="33" t="str">
        <f t="shared" ref="Z196:Z210" si="20">IF(E196&gt;G196,"BJP GAIN","CONGRESSGAIN")</f>
        <v>CONGRESSGAIN</v>
      </c>
      <c r="AA196" s="94">
        <f t="shared" ref="AA196:AA210" si="21">G196-E196</f>
        <v>24.8216833095578</v>
      </c>
      <c r="AB196" s="35" t="str">
        <f t="shared" ref="AB196:AB210" si="22">IF(AA196&gt;=50,"VERYHIGHMARGIN",IF(AA196&gt;=40,"HIGHMARGIN",IF(AA196&gt;=30,"MEDIUMMARGIN",IF(AA196&gt;10,"LOWMARGIN",IF(AA196&gt;1,"NARROWMARGIN")))))</f>
        <v>LOWMARGIN</v>
      </c>
    </row>
    <row r="197" spans="1:28">
      <c r="A197" s="87">
        <v>195</v>
      </c>
      <c r="B197" s="88" t="s">
        <v>29</v>
      </c>
      <c r="C197" s="87">
        <v>764</v>
      </c>
      <c r="D197" s="88">
        <v>395</v>
      </c>
      <c r="E197" s="89">
        <v>51.7015706806283</v>
      </c>
      <c r="F197" s="88">
        <v>323</v>
      </c>
      <c r="G197" s="90">
        <v>42.2774869109948</v>
      </c>
      <c r="H197" s="87">
        <v>4</v>
      </c>
      <c r="I197" s="90">
        <v>0.523560209424084</v>
      </c>
      <c r="J197" s="87">
        <v>0</v>
      </c>
      <c r="K197" s="90">
        <v>0</v>
      </c>
      <c r="L197" s="87">
        <v>0</v>
      </c>
      <c r="M197" s="90">
        <v>0</v>
      </c>
      <c r="N197" s="87">
        <v>0</v>
      </c>
      <c r="O197" s="90">
        <v>0</v>
      </c>
      <c r="P197" s="87">
        <v>0</v>
      </c>
      <c r="Q197" s="90">
        <v>0</v>
      </c>
      <c r="R197" s="87">
        <v>31</v>
      </c>
      <c r="S197" s="90">
        <v>4.05759162303665</v>
      </c>
      <c r="T197" s="87">
        <v>4</v>
      </c>
      <c r="U197" s="90">
        <v>0.523560209424084</v>
      </c>
      <c r="V197" s="87">
        <v>0</v>
      </c>
      <c r="W197" s="90">
        <v>0</v>
      </c>
      <c r="X197" s="92">
        <v>7</v>
      </c>
      <c r="Y197" s="90">
        <v>0.916230366492147</v>
      </c>
      <c r="Z197" s="46" t="str">
        <f t="shared" si="20"/>
        <v>BJP GAIN</v>
      </c>
      <c r="AA197" s="94">
        <f t="shared" ref="AA197" si="23">E197-G197</f>
        <v>9.4240837696335</v>
      </c>
      <c r="AB197" s="34" t="str">
        <f t="shared" si="22"/>
        <v>NARROWMARGIN</v>
      </c>
    </row>
    <row r="198" spans="1:28">
      <c r="A198" s="87">
        <v>196</v>
      </c>
      <c r="B198" s="88" t="s">
        <v>29</v>
      </c>
      <c r="C198" s="87">
        <v>767</v>
      </c>
      <c r="D198" s="88">
        <v>330</v>
      </c>
      <c r="E198" s="89">
        <v>43.0247718383312</v>
      </c>
      <c r="F198" s="88">
        <v>409</v>
      </c>
      <c r="G198" s="90">
        <v>53.3246414602347</v>
      </c>
      <c r="H198" s="87">
        <v>6</v>
      </c>
      <c r="I198" s="90">
        <v>0.782268578878748</v>
      </c>
      <c r="J198" s="87">
        <v>0</v>
      </c>
      <c r="K198" s="90">
        <v>0</v>
      </c>
      <c r="L198" s="87">
        <v>0</v>
      </c>
      <c r="M198" s="90">
        <v>0</v>
      </c>
      <c r="N198" s="87">
        <v>0</v>
      </c>
      <c r="O198" s="90">
        <v>0</v>
      </c>
      <c r="P198" s="87">
        <v>0</v>
      </c>
      <c r="Q198" s="90">
        <v>0</v>
      </c>
      <c r="R198" s="87">
        <v>8</v>
      </c>
      <c r="S198" s="90">
        <v>1.04302477183833</v>
      </c>
      <c r="T198" s="87">
        <v>3</v>
      </c>
      <c r="U198" s="90">
        <v>0.391134289439374</v>
      </c>
      <c r="V198" s="87">
        <v>0</v>
      </c>
      <c r="W198" s="90">
        <v>0</v>
      </c>
      <c r="X198" s="92">
        <v>11</v>
      </c>
      <c r="Y198" s="90">
        <v>1.43415906127771</v>
      </c>
      <c r="Z198" s="33" t="str">
        <f t="shared" si="20"/>
        <v>CONGRESSGAIN</v>
      </c>
      <c r="AA198" s="94">
        <f t="shared" si="21"/>
        <v>10.2998696219035</v>
      </c>
      <c r="AB198" s="35" t="str">
        <f t="shared" si="22"/>
        <v>LOWMARGIN</v>
      </c>
    </row>
    <row r="199" spans="1:28">
      <c r="A199" s="87">
        <v>197</v>
      </c>
      <c r="B199" s="88" t="s">
        <v>29</v>
      </c>
      <c r="C199" s="87">
        <v>700</v>
      </c>
      <c r="D199" s="88">
        <v>362</v>
      </c>
      <c r="E199" s="89">
        <v>51.7142857142857</v>
      </c>
      <c r="F199" s="88">
        <v>308</v>
      </c>
      <c r="G199" s="90">
        <v>44</v>
      </c>
      <c r="H199" s="87">
        <v>5</v>
      </c>
      <c r="I199" s="90">
        <v>0.714285714285714</v>
      </c>
      <c r="J199" s="87">
        <v>0</v>
      </c>
      <c r="K199" s="90">
        <v>0</v>
      </c>
      <c r="L199" s="87">
        <v>0</v>
      </c>
      <c r="M199" s="90">
        <v>0</v>
      </c>
      <c r="N199" s="87">
        <v>0</v>
      </c>
      <c r="O199" s="90">
        <v>0</v>
      </c>
      <c r="P199" s="87">
        <v>0</v>
      </c>
      <c r="Q199" s="90">
        <v>0</v>
      </c>
      <c r="R199" s="87">
        <v>4</v>
      </c>
      <c r="S199" s="90">
        <v>0.571428571428571</v>
      </c>
      <c r="T199" s="87">
        <v>7</v>
      </c>
      <c r="U199" s="90">
        <v>1</v>
      </c>
      <c r="V199" s="87">
        <v>0</v>
      </c>
      <c r="W199" s="90">
        <v>0</v>
      </c>
      <c r="X199" s="92">
        <v>14</v>
      </c>
      <c r="Y199" s="90">
        <v>2</v>
      </c>
      <c r="Z199" s="46" t="str">
        <f t="shared" si="20"/>
        <v>BJP GAIN</v>
      </c>
      <c r="AA199" s="94">
        <f t="shared" ref="AA199:AA205" si="24">E199-G199</f>
        <v>7.71428571428572</v>
      </c>
      <c r="AB199" s="34" t="str">
        <f t="shared" si="22"/>
        <v>NARROWMARGIN</v>
      </c>
    </row>
    <row r="200" spans="1:28">
      <c r="A200" s="87">
        <v>198</v>
      </c>
      <c r="B200" s="88" t="s">
        <v>29</v>
      </c>
      <c r="C200" s="87">
        <v>511</v>
      </c>
      <c r="D200" s="88">
        <v>246</v>
      </c>
      <c r="E200" s="89">
        <v>48.1409001956947</v>
      </c>
      <c r="F200" s="88">
        <v>241</v>
      </c>
      <c r="G200" s="90">
        <v>47.1624266144814</v>
      </c>
      <c r="H200" s="87">
        <v>5</v>
      </c>
      <c r="I200" s="90">
        <v>0.978473581213307</v>
      </c>
      <c r="J200" s="87">
        <v>0</v>
      </c>
      <c r="K200" s="90">
        <v>0</v>
      </c>
      <c r="L200" s="87">
        <v>0</v>
      </c>
      <c r="M200" s="90">
        <v>0</v>
      </c>
      <c r="N200" s="87">
        <v>0</v>
      </c>
      <c r="O200" s="90">
        <v>0</v>
      </c>
      <c r="P200" s="87">
        <v>0</v>
      </c>
      <c r="Q200" s="90">
        <v>0</v>
      </c>
      <c r="R200" s="87">
        <v>6</v>
      </c>
      <c r="S200" s="90">
        <v>1.17416829745597</v>
      </c>
      <c r="T200" s="87">
        <v>1</v>
      </c>
      <c r="U200" s="90">
        <v>0.195694716242661</v>
      </c>
      <c r="V200" s="87">
        <v>0</v>
      </c>
      <c r="W200" s="90">
        <v>0</v>
      </c>
      <c r="X200" s="92">
        <v>12</v>
      </c>
      <c r="Y200" s="90">
        <v>2.34833659491194</v>
      </c>
      <c r="Z200" s="46" t="str">
        <f t="shared" si="20"/>
        <v>BJP GAIN</v>
      </c>
      <c r="AA200" s="94">
        <f t="shared" si="24"/>
        <v>0.978473581213308</v>
      </c>
      <c r="AB200" s="34" t="str">
        <f>IF(AA200&gt;=50,"VERYHIGHMARGIN",IF(AA200&gt;=40,"HIGHMARGIN",IF(AA200&gt;=30,"MEDIUMMARGIN",IF(AA200&gt;10,"LOWMARGIN",IF(AA200&lt;1,"NARROWMARGIN")))))</f>
        <v>NARROWMARGIN</v>
      </c>
    </row>
    <row r="201" spans="1:28">
      <c r="A201" s="87">
        <v>199</v>
      </c>
      <c r="B201" s="88" t="s">
        <v>29</v>
      </c>
      <c r="C201" s="87">
        <v>720</v>
      </c>
      <c r="D201" s="88">
        <v>403</v>
      </c>
      <c r="E201" s="89">
        <v>55.9722222222222</v>
      </c>
      <c r="F201" s="88">
        <v>268</v>
      </c>
      <c r="G201" s="90">
        <v>37.2222222222222</v>
      </c>
      <c r="H201" s="87">
        <v>9</v>
      </c>
      <c r="I201" s="90">
        <v>1.25</v>
      </c>
      <c r="J201" s="87">
        <v>0</v>
      </c>
      <c r="K201" s="90">
        <v>0</v>
      </c>
      <c r="L201" s="87">
        <v>0</v>
      </c>
      <c r="M201" s="90">
        <v>0</v>
      </c>
      <c r="N201" s="87">
        <v>0</v>
      </c>
      <c r="O201" s="90">
        <v>0</v>
      </c>
      <c r="P201" s="87">
        <v>0</v>
      </c>
      <c r="Q201" s="90">
        <v>0</v>
      </c>
      <c r="R201" s="87">
        <v>30</v>
      </c>
      <c r="S201" s="90">
        <v>4.16666666666667</v>
      </c>
      <c r="T201" s="87">
        <v>1</v>
      </c>
      <c r="U201" s="90">
        <v>0.138888888888889</v>
      </c>
      <c r="V201" s="87">
        <v>0</v>
      </c>
      <c r="W201" s="90">
        <v>0</v>
      </c>
      <c r="X201" s="92">
        <v>9</v>
      </c>
      <c r="Y201" s="90">
        <v>1.25</v>
      </c>
      <c r="Z201" s="46" t="str">
        <f t="shared" si="20"/>
        <v>BJP GAIN</v>
      </c>
      <c r="AA201" s="94">
        <f t="shared" si="24"/>
        <v>18.75</v>
      </c>
      <c r="AB201" s="35" t="str">
        <f t="shared" si="22"/>
        <v>LOWMARGIN</v>
      </c>
    </row>
    <row r="202" spans="1:28">
      <c r="A202" s="87">
        <v>200</v>
      </c>
      <c r="B202" s="88" t="s">
        <v>29</v>
      </c>
      <c r="C202" s="87">
        <v>552</v>
      </c>
      <c r="D202" s="88">
        <v>278</v>
      </c>
      <c r="E202" s="89">
        <v>50.3623188405797</v>
      </c>
      <c r="F202" s="88">
        <v>248</v>
      </c>
      <c r="G202" s="90">
        <v>44.9275362318841</v>
      </c>
      <c r="H202" s="87">
        <v>7</v>
      </c>
      <c r="I202" s="90">
        <v>1.26811594202899</v>
      </c>
      <c r="J202" s="87">
        <v>0</v>
      </c>
      <c r="K202" s="90">
        <v>0</v>
      </c>
      <c r="L202" s="87">
        <v>0</v>
      </c>
      <c r="M202" s="90">
        <v>0</v>
      </c>
      <c r="N202" s="87">
        <v>1</v>
      </c>
      <c r="O202" s="90">
        <v>0.181159420289855</v>
      </c>
      <c r="P202" s="87">
        <v>0</v>
      </c>
      <c r="Q202" s="90">
        <v>0</v>
      </c>
      <c r="R202" s="87">
        <v>7</v>
      </c>
      <c r="S202" s="90">
        <v>1.26811594202899</v>
      </c>
      <c r="T202" s="87">
        <v>5</v>
      </c>
      <c r="U202" s="90">
        <v>0.905797101449275</v>
      </c>
      <c r="V202" s="87">
        <v>0</v>
      </c>
      <c r="W202" s="90">
        <v>0</v>
      </c>
      <c r="X202" s="92">
        <v>6</v>
      </c>
      <c r="Y202" s="90">
        <v>1.08695652173913</v>
      </c>
      <c r="Z202" s="46" t="str">
        <f t="shared" si="20"/>
        <v>BJP GAIN</v>
      </c>
      <c r="AA202" s="94">
        <f t="shared" si="24"/>
        <v>5.43478260869565</v>
      </c>
      <c r="AB202" s="34" t="str">
        <f t="shared" si="22"/>
        <v>NARROWMARGIN</v>
      </c>
    </row>
    <row r="203" spans="1:28">
      <c r="A203" s="87">
        <v>201</v>
      </c>
      <c r="B203" s="88" t="s">
        <v>29</v>
      </c>
      <c r="C203" s="87">
        <v>711</v>
      </c>
      <c r="D203" s="88">
        <v>351</v>
      </c>
      <c r="E203" s="89">
        <v>49.3670886075949</v>
      </c>
      <c r="F203" s="88">
        <v>321</v>
      </c>
      <c r="G203" s="90">
        <v>45.1476793248945</v>
      </c>
      <c r="H203" s="87">
        <v>2</v>
      </c>
      <c r="I203" s="90">
        <v>0.281293952180028</v>
      </c>
      <c r="J203" s="87">
        <v>0</v>
      </c>
      <c r="K203" s="90">
        <v>0</v>
      </c>
      <c r="L203" s="87">
        <v>0</v>
      </c>
      <c r="M203" s="90">
        <v>0</v>
      </c>
      <c r="N203" s="87">
        <v>0</v>
      </c>
      <c r="O203" s="90">
        <v>0</v>
      </c>
      <c r="P203" s="87">
        <v>0</v>
      </c>
      <c r="Q203" s="90">
        <v>0</v>
      </c>
      <c r="R203" s="87">
        <v>16</v>
      </c>
      <c r="S203" s="90">
        <v>2.25035161744022</v>
      </c>
      <c r="T203" s="87">
        <v>9</v>
      </c>
      <c r="U203" s="90">
        <v>1.26582278481013</v>
      </c>
      <c r="V203" s="87">
        <v>0</v>
      </c>
      <c r="W203" s="90">
        <v>0</v>
      </c>
      <c r="X203" s="92">
        <v>12</v>
      </c>
      <c r="Y203" s="90">
        <v>1.68776371308017</v>
      </c>
      <c r="Z203" s="46" t="str">
        <f t="shared" si="20"/>
        <v>BJP GAIN</v>
      </c>
      <c r="AA203" s="94">
        <f t="shared" si="24"/>
        <v>4.21940928270043</v>
      </c>
      <c r="AB203" s="34" t="str">
        <f t="shared" si="22"/>
        <v>NARROWMARGIN</v>
      </c>
    </row>
    <row r="204" spans="1:28">
      <c r="A204" s="87">
        <v>202</v>
      </c>
      <c r="B204" s="88" t="s">
        <v>29</v>
      </c>
      <c r="C204" s="87">
        <v>682</v>
      </c>
      <c r="D204" s="88">
        <v>294</v>
      </c>
      <c r="E204" s="89">
        <v>43.108504398827</v>
      </c>
      <c r="F204" s="88">
        <v>353</v>
      </c>
      <c r="G204" s="90">
        <v>51.7595307917889</v>
      </c>
      <c r="H204" s="87">
        <v>6</v>
      </c>
      <c r="I204" s="90">
        <v>0.879765395894428</v>
      </c>
      <c r="J204" s="87">
        <v>0</v>
      </c>
      <c r="K204" s="90">
        <v>0</v>
      </c>
      <c r="L204" s="87">
        <v>0</v>
      </c>
      <c r="M204" s="90">
        <v>0</v>
      </c>
      <c r="N204" s="87">
        <v>0</v>
      </c>
      <c r="O204" s="90">
        <v>0</v>
      </c>
      <c r="P204" s="87">
        <v>0</v>
      </c>
      <c r="Q204" s="90">
        <v>0</v>
      </c>
      <c r="R204" s="87">
        <v>17</v>
      </c>
      <c r="S204" s="90">
        <v>2.49266862170088</v>
      </c>
      <c r="T204" s="87">
        <v>0</v>
      </c>
      <c r="U204" s="90">
        <v>0</v>
      </c>
      <c r="V204" s="87">
        <v>0</v>
      </c>
      <c r="W204" s="90">
        <v>0</v>
      </c>
      <c r="X204" s="92">
        <v>12</v>
      </c>
      <c r="Y204" s="90">
        <v>1.75953079178886</v>
      </c>
      <c r="Z204" s="33" t="str">
        <f t="shared" si="20"/>
        <v>CONGRESSGAIN</v>
      </c>
      <c r="AA204" s="94">
        <f t="shared" si="21"/>
        <v>8.65102639296187</v>
      </c>
      <c r="AB204" s="34" t="str">
        <f t="shared" si="22"/>
        <v>NARROWMARGIN</v>
      </c>
    </row>
    <row r="205" spans="1:28">
      <c r="A205" s="87">
        <v>203</v>
      </c>
      <c r="B205" s="88" t="s">
        <v>29</v>
      </c>
      <c r="C205" s="87">
        <v>651</v>
      </c>
      <c r="D205" s="88">
        <v>341</v>
      </c>
      <c r="E205" s="89">
        <v>52.3809523809524</v>
      </c>
      <c r="F205" s="88">
        <v>277</v>
      </c>
      <c r="G205" s="90">
        <v>42.5499231950845</v>
      </c>
      <c r="H205" s="87">
        <v>3</v>
      </c>
      <c r="I205" s="90">
        <v>0.460829493087558</v>
      </c>
      <c r="J205" s="87">
        <v>0</v>
      </c>
      <c r="K205" s="90">
        <v>0</v>
      </c>
      <c r="L205" s="87">
        <v>0</v>
      </c>
      <c r="M205" s="90">
        <v>0</v>
      </c>
      <c r="N205" s="87">
        <v>0</v>
      </c>
      <c r="O205" s="90">
        <v>0</v>
      </c>
      <c r="P205" s="87">
        <v>0</v>
      </c>
      <c r="Q205" s="90">
        <v>0</v>
      </c>
      <c r="R205" s="87">
        <v>12</v>
      </c>
      <c r="S205" s="90">
        <v>1.84331797235023</v>
      </c>
      <c r="T205" s="87">
        <v>5</v>
      </c>
      <c r="U205" s="90">
        <v>0.768049155145929</v>
      </c>
      <c r="V205" s="87">
        <v>0</v>
      </c>
      <c r="W205" s="90">
        <v>0</v>
      </c>
      <c r="X205" s="92">
        <v>13</v>
      </c>
      <c r="Y205" s="90">
        <v>1.99692780337942</v>
      </c>
      <c r="Z205" s="46" t="str">
        <f t="shared" si="20"/>
        <v>BJP GAIN</v>
      </c>
      <c r="AA205" s="94">
        <f t="shared" si="24"/>
        <v>9.83102918586789</v>
      </c>
      <c r="AB205" s="34" t="str">
        <f t="shared" si="22"/>
        <v>NARROWMARGIN</v>
      </c>
    </row>
    <row r="206" spans="1:28">
      <c r="A206" s="87">
        <v>204</v>
      </c>
      <c r="B206" s="88" t="s">
        <v>29</v>
      </c>
      <c r="C206" s="87">
        <v>664</v>
      </c>
      <c r="D206" s="88">
        <v>242</v>
      </c>
      <c r="E206" s="89">
        <v>36.4457831325301</v>
      </c>
      <c r="F206" s="88">
        <v>378</v>
      </c>
      <c r="G206" s="90">
        <v>56.9277108433735</v>
      </c>
      <c r="H206" s="87">
        <v>5</v>
      </c>
      <c r="I206" s="90">
        <v>0.753012048192771</v>
      </c>
      <c r="J206" s="87">
        <v>0</v>
      </c>
      <c r="K206" s="90">
        <v>0</v>
      </c>
      <c r="L206" s="87">
        <v>0</v>
      </c>
      <c r="M206" s="90">
        <v>0</v>
      </c>
      <c r="N206" s="87">
        <v>0</v>
      </c>
      <c r="O206" s="90">
        <v>0</v>
      </c>
      <c r="P206" s="87">
        <v>0</v>
      </c>
      <c r="Q206" s="90">
        <v>0</v>
      </c>
      <c r="R206" s="87">
        <v>20</v>
      </c>
      <c r="S206" s="90">
        <v>3.01204819277108</v>
      </c>
      <c r="T206" s="87">
        <v>0</v>
      </c>
      <c r="U206" s="90">
        <v>0</v>
      </c>
      <c r="V206" s="87">
        <v>0</v>
      </c>
      <c r="W206" s="90">
        <v>0</v>
      </c>
      <c r="X206" s="92">
        <v>19</v>
      </c>
      <c r="Y206" s="90">
        <v>2.86144578313253</v>
      </c>
      <c r="Z206" s="33" t="str">
        <f t="shared" si="20"/>
        <v>CONGRESSGAIN</v>
      </c>
      <c r="AA206" s="94">
        <f t="shared" si="21"/>
        <v>20.4819277108434</v>
      </c>
      <c r="AB206" s="35" t="str">
        <f t="shared" si="22"/>
        <v>LOWMARGIN</v>
      </c>
    </row>
    <row r="207" spans="1:28">
      <c r="A207" s="87">
        <v>205</v>
      </c>
      <c r="B207" s="88" t="s">
        <v>29</v>
      </c>
      <c r="C207" s="87">
        <v>540</v>
      </c>
      <c r="D207" s="88">
        <v>147</v>
      </c>
      <c r="E207" s="89">
        <v>27.2222222222222</v>
      </c>
      <c r="F207" s="88">
        <v>373</v>
      </c>
      <c r="G207" s="90">
        <v>69.0740740740741</v>
      </c>
      <c r="H207" s="87">
        <v>7</v>
      </c>
      <c r="I207" s="90">
        <v>1.2962962962963</v>
      </c>
      <c r="J207" s="87">
        <v>0</v>
      </c>
      <c r="K207" s="90">
        <v>0</v>
      </c>
      <c r="L207" s="87">
        <v>0</v>
      </c>
      <c r="M207" s="90">
        <v>0</v>
      </c>
      <c r="N207" s="87">
        <v>0</v>
      </c>
      <c r="O207" s="90">
        <v>0</v>
      </c>
      <c r="P207" s="87">
        <v>0</v>
      </c>
      <c r="Q207" s="90">
        <v>0</v>
      </c>
      <c r="R207" s="87">
        <v>3</v>
      </c>
      <c r="S207" s="90">
        <v>0.555555555555555</v>
      </c>
      <c r="T207" s="87">
        <v>1</v>
      </c>
      <c r="U207" s="90">
        <v>0.185185185185185</v>
      </c>
      <c r="V207" s="87">
        <v>0</v>
      </c>
      <c r="W207" s="90">
        <v>0</v>
      </c>
      <c r="X207" s="92">
        <v>9</v>
      </c>
      <c r="Y207" s="90">
        <v>1.66666666666667</v>
      </c>
      <c r="Z207" s="33" t="str">
        <f t="shared" si="20"/>
        <v>CONGRESSGAIN</v>
      </c>
      <c r="AA207" s="94">
        <f t="shared" si="21"/>
        <v>41.8518518518519</v>
      </c>
      <c r="AB207" s="95" t="str">
        <f t="shared" si="22"/>
        <v>HIGHMARGIN</v>
      </c>
    </row>
    <row r="208" spans="1:28">
      <c r="A208" s="87">
        <v>206</v>
      </c>
      <c r="B208" s="88" t="s">
        <v>29</v>
      </c>
      <c r="C208" s="87">
        <v>580</v>
      </c>
      <c r="D208" s="88">
        <v>82</v>
      </c>
      <c r="E208" s="89">
        <v>14.1379310344828</v>
      </c>
      <c r="F208" s="88">
        <v>440</v>
      </c>
      <c r="G208" s="90">
        <v>75.8620689655172</v>
      </c>
      <c r="H208" s="87">
        <v>7</v>
      </c>
      <c r="I208" s="90">
        <v>1.20689655172414</v>
      </c>
      <c r="J208" s="87">
        <v>0</v>
      </c>
      <c r="K208" s="90">
        <v>0</v>
      </c>
      <c r="L208" s="87">
        <v>0</v>
      </c>
      <c r="M208" s="90">
        <v>0</v>
      </c>
      <c r="N208" s="87">
        <v>0</v>
      </c>
      <c r="O208" s="90">
        <v>0</v>
      </c>
      <c r="P208" s="87">
        <v>0</v>
      </c>
      <c r="Q208" s="90">
        <v>0</v>
      </c>
      <c r="R208" s="87">
        <v>4</v>
      </c>
      <c r="S208" s="90">
        <v>0.689655172413793</v>
      </c>
      <c r="T208" s="87">
        <v>1</v>
      </c>
      <c r="U208" s="90">
        <v>0.172413793103448</v>
      </c>
      <c r="V208" s="87">
        <v>0</v>
      </c>
      <c r="W208" s="90">
        <v>0</v>
      </c>
      <c r="X208" s="92">
        <v>46</v>
      </c>
      <c r="Y208" s="90">
        <v>7.93103448275862</v>
      </c>
      <c r="Z208" s="33" t="str">
        <f t="shared" si="20"/>
        <v>CONGRESSGAIN</v>
      </c>
      <c r="AA208" s="94">
        <f t="shared" si="21"/>
        <v>61.7241379310345</v>
      </c>
      <c r="AB208" s="33" t="str">
        <f t="shared" si="22"/>
        <v>VERYHIGHMARGIN</v>
      </c>
    </row>
    <row r="209" spans="1:28">
      <c r="A209" s="87">
        <v>207</v>
      </c>
      <c r="B209" s="88" t="s">
        <v>29</v>
      </c>
      <c r="C209" s="87">
        <v>616</v>
      </c>
      <c r="D209" s="88">
        <v>290</v>
      </c>
      <c r="E209" s="89">
        <v>47.0779220779221</v>
      </c>
      <c r="F209" s="88">
        <v>267</v>
      </c>
      <c r="G209" s="90">
        <v>43.3441558441558</v>
      </c>
      <c r="H209" s="87">
        <v>5</v>
      </c>
      <c r="I209" s="90">
        <v>0.811688311688312</v>
      </c>
      <c r="J209" s="87">
        <v>0</v>
      </c>
      <c r="K209" s="90">
        <v>0</v>
      </c>
      <c r="L209" s="87">
        <v>0</v>
      </c>
      <c r="M209" s="90">
        <v>0</v>
      </c>
      <c r="N209" s="87">
        <v>0</v>
      </c>
      <c r="O209" s="90">
        <v>0</v>
      </c>
      <c r="P209" s="87">
        <v>0</v>
      </c>
      <c r="Q209" s="90">
        <v>0</v>
      </c>
      <c r="R209" s="87">
        <v>13</v>
      </c>
      <c r="S209" s="90">
        <v>2.11038961038961</v>
      </c>
      <c r="T209" s="87">
        <v>7</v>
      </c>
      <c r="U209" s="90">
        <v>1.13636363636364</v>
      </c>
      <c r="V209" s="87">
        <v>0</v>
      </c>
      <c r="W209" s="90">
        <v>0</v>
      </c>
      <c r="X209" s="92">
        <v>34</v>
      </c>
      <c r="Y209" s="90">
        <v>5.51948051948052</v>
      </c>
      <c r="Z209" s="46" t="str">
        <f t="shared" si="20"/>
        <v>BJP GAIN</v>
      </c>
      <c r="AA209" s="94">
        <f t="shared" ref="AA209" si="25">E209-G209</f>
        <v>3.73376623376623</v>
      </c>
      <c r="AB209" s="34" t="str">
        <f t="shared" si="22"/>
        <v>NARROWMARGIN</v>
      </c>
    </row>
    <row r="210" spans="1:28">
      <c r="A210" s="87">
        <v>208</v>
      </c>
      <c r="B210" s="88" t="s">
        <v>29</v>
      </c>
      <c r="C210" s="87">
        <v>448</v>
      </c>
      <c r="D210" s="88">
        <v>21</v>
      </c>
      <c r="E210" s="89">
        <v>4.6875</v>
      </c>
      <c r="F210" s="88">
        <v>416</v>
      </c>
      <c r="G210" s="90">
        <v>92.8571428571428</v>
      </c>
      <c r="H210" s="87">
        <v>2</v>
      </c>
      <c r="I210" s="90">
        <v>0.446428571428571</v>
      </c>
      <c r="J210" s="87">
        <v>0</v>
      </c>
      <c r="K210" s="90">
        <v>0</v>
      </c>
      <c r="L210" s="87">
        <v>0</v>
      </c>
      <c r="M210" s="90">
        <v>0</v>
      </c>
      <c r="N210" s="87">
        <v>0</v>
      </c>
      <c r="O210" s="90">
        <v>0</v>
      </c>
      <c r="P210" s="87">
        <v>0</v>
      </c>
      <c r="Q210" s="90">
        <v>0</v>
      </c>
      <c r="R210" s="87">
        <v>4</v>
      </c>
      <c r="S210" s="90">
        <v>0.892857142857143</v>
      </c>
      <c r="T210" s="87">
        <v>2</v>
      </c>
      <c r="U210" s="90">
        <v>0.446428571428571</v>
      </c>
      <c r="V210" s="87">
        <v>0</v>
      </c>
      <c r="W210" s="90">
        <v>0</v>
      </c>
      <c r="X210" s="92">
        <v>3</v>
      </c>
      <c r="Y210" s="90">
        <v>0.669642857142857</v>
      </c>
      <c r="Z210" s="33" t="str">
        <f t="shared" si="20"/>
        <v>CONGRESSGAIN</v>
      </c>
      <c r="AA210" s="94">
        <f t="shared" si="21"/>
        <v>88.1696428571428</v>
      </c>
      <c r="AB210" s="33" t="str">
        <f t="shared" si="22"/>
        <v>VERYHIGHMARGIN</v>
      </c>
    </row>
    <row r="211" ht="15.75" spans="1:25">
      <c r="A211" s="96" t="s">
        <v>30</v>
      </c>
      <c r="B211" s="96"/>
      <c r="C211" s="18">
        <f>SUM(C3:C210)</f>
        <v>131867</v>
      </c>
      <c r="D211" s="18">
        <f t="shared" ref="D211:Y211" si="26">SUM(D3:D210)</f>
        <v>55321</v>
      </c>
      <c r="E211" s="18">
        <f t="shared" si="26"/>
        <v>8637.5698315752</v>
      </c>
      <c r="F211" s="18">
        <f t="shared" si="26"/>
        <v>67628</v>
      </c>
      <c r="G211" s="18">
        <f t="shared" si="26"/>
        <v>10794.1520861172</v>
      </c>
      <c r="H211" s="18">
        <f t="shared" si="26"/>
        <v>1665</v>
      </c>
      <c r="I211" s="18">
        <f t="shared" si="26"/>
        <v>262.918085716168</v>
      </c>
      <c r="J211" s="18">
        <f t="shared" si="26"/>
        <v>0</v>
      </c>
      <c r="K211" s="18">
        <f t="shared" si="26"/>
        <v>0</v>
      </c>
      <c r="L211" s="18">
        <f t="shared" si="26"/>
        <v>0</v>
      </c>
      <c r="M211" s="18">
        <f t="shared" si="26"/>
        <v>0</v>
      </c>
      <c r="N211" s="18">
        <f t="shared" si="26"/>
        <v>94</v>
      </c>
      <c r="O211" s="18">
        <f t="shared" si="26"/>
        <v>14.7630825781926</v>
      </c>
      <c r="P211" s="18">
        <f t="shared" si="26"/>
        <v>0</v>
      </c>
      <c r="Q211" s="18">
        <f t="shared" si="26"/>
        <v>0</v>
      </c>
      <c r="R211" s="18">
        <f t="shared" si="26"/>
        <v>3015</v>
      </c>
      <c r="S211" s="18">
        <f t="shared" si="26"/>
        <v>443.947984742509</v>
      </c>
      <c r="T211" s="18">
        <f t="shared" si="26"/>
        <v>655</v>
      </c>
      <c r="U211" s="18">
        <f t="shared" si="26"/>
        <v>100.382908892754</v>
      </c>
      <c r="V211" s="18">
        <f t="shared" si="26"/>
        <v>0</v>
      </c>
      <c r="W211" s="18">
        <f t="shared" si="26"/>
        <v>0</v>
      </c>
      <c r="X211" s="18">
        <f t="shared" si="26"/>
        <v>3489</v>
      </c>
      <c r="Y211" s="18">
        <f t="shared" si="26"/>
        <v>546.266020377979</v>
      </c>
    </row>
    <row r="212" spans="26:29">
      <c r="Z212" s="97" t="s">
        <v>4</v>
      </c>
      <c r="AA212" s="98">
        <f>COUNTIF(Z3:Z210,"BJP GAIN")</f>
        <v>77</v>
      </c>
      <c r="AB212" s="99" t="s">
        <v>31</v>
      </c>
      <c r="AC212" s="73">
        <f>COUNTIF(AB3:AB210,"NARROWMARGIN")</f>
        <v>63</v>
      </c>
    </row>
    <row r="213" spans="26:29">
      <c r="Z213" s="100" t="s">
        <v>32</v>
      </c>
      <c r="AA213" s="101">
        <f>COUNTIF(Z3:Z210,"CONGRESSGAIN")</f>
        <v>131</v>
      </c>
      <c r="AB213" s="102" t="s">
        <v>33</v>
      </c>
      <c r="AC213" s="74">
        <f>COUNTIF(AB3:AB210,"LOWMARGIN")</f>
        <v>68</v>
      </c>
    </row>
    <row r="214" spans="28:29">
      <c r="AB214" s="103" t="s">
        <v>34</v>
      </c>
      <c r="AC214" s="75">
        <f>COUNTIF(AB3:AB210,"MEDIUMMARGIN")</f>
        <v>27</v>
      </c>
    </row>
    <row r="215" spans="28:29">
      <c r="AB215" s="104" t="s">
        <v>35</v>
      </c>
      <c r="AC215" s="76">
        <f>COUNTIF(AB3:AB210,"HIGHMARGIN")</f>
        <v>22</v>
      </c>
    </row>
    <row r="216" spans="28:29">
      <c r="AB216" s="100" t="s">
        <v>36</v>
      </c>
      <c r="AC216" s="77">
        <f>COUNTIF(AB3:AB210,"VERYHIGHMARGIN")</f>
        <v>28</v>
      </c>
    </row>
  </sheetData>
  <mergeCells count="2">
    <mergeCell ref="A1:AB1"/>
    <mergeCell ref="A211:B21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9"/>
  <sheetViews>
    <sheetView tabSelected="1" workbookViewId="0">
      <selection activeCell="F15" sqref="F15"/>
    </sheetView>
  </sheetViews>
  <sheetFormatPr defaultColWidth="9" defaultRowHeight="15"/>
  <cols>
    <col min="1" max="1" width="10.1428571428571" style="1" customWidth="1"/>
    <col min="2" max="2" width="13.5714285714286" style="1" customWidth="1"/>
    <col min="3" max="3" width="20.2857142857143" style="1" customWidth="1"/>
    <col min="4" max="4" width="12.1428571428571" style="1" customWidth="1"/>
    <col min="5" max="6" width="29.7142857142857" style="1" customWidth="1"/>
    <col min="7" max="7" width="19.7142857142857" style="1" customWidth="1"/>
    <col min="8" max="9" width="17.1428571428571" style="1" customWidth="1"/>
    <col min="10" max="10" width="16.8571428571429" style="1" customWidth="1"/>
    <col min="11" max="12" width="14.7142857142857" style="1" customWidth="1"/>
    <col min="13" max="13" width="12" style="1" customWidth="1"/>
    <col min="14" max="14" width="17.1428571428571" style="1" customWidth="1"/>
    <col min="15" max="15" width="17.5714285714286" style="1" customWidth="1"/>
    <col min="16" max="17" width="14.7142857142857" style="1" customWidth="1"/>
    <col min="18" max="19" width="12" style="1" customWidth="1"/>
    <col min="20" max="20" width="15" style="1" customWidth="1"/>
    <col min="21" max="21" width="19.1428571428571" style="1" customWidth="1"/>
    <col min="22" max="22" width="18.8571428571429" style="1" customWidth="1"/>
    <col min="23" max="24" width="17.5714285714286" style="1" customWidth="1"/>
    <col min="25" max="16384" width="9.14285714285714" style="1"/>
  </cols>
  <sheetData>
    <row r="1" ht="46.5" spans="1:24">
      <c r="A1" s="58" t="s">
        <v>37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</row>
    <row r="2" spans="1:24">
      <c r="A2" s="2" t="s">
        <v>38</v>
      </c>
      <c r="B2" s="2" t="s">
        <v>39</v>
      </c>
      <c r="C2" s="2" t="s">
        <v>40</v>
      </c>
      <c r="D2" s="13" t="s">
        <v>41</v>
      </c>
      <c r="E2" s="2" t="s">
        <v>42</v>
      </c>
      <c r="F2" s="59" t="s">
        <v>43</v>
      </c>
      <c r="G2" s="12" t="s">
        <v>44</v>
      </c>
      <c r="H2" s="60"/>
      <c r="I2" s="2" t="s">
        <v>44</v>
      </c>
      <c r="J2" s="2"/>
      <c r="K2" s="2"/>
      <c r="L2" s="25" t="s">
        <v>4</v>
      </c>
      <c r="M2" s="26"/>
      <c r="N2" s="26"/>
      <c r="O2" s="26"/>
      <c r="P2" s="27"/>
      <c r="Q2" s="28" t="s">
        <v>32</v>
      </c>
      <c r="R2" s="29"/>
      <c r="S2" s="29"/>
      <c r="T2" s="29"/>
      <c r="U2" s="32"/>
      <c r="V2" s="13" t="s">
        <v>45</v>
      </c>
      <c r="W2" s="13" t="s">
        <v>27</v>
      </c>
      <c r="X2" s="13" t="s">
        <v>46</v>
      </c>
    </row>
    <row r="3" ht="30" spans="1:24">
      <c r="A3" s="2"/>
      <c r="B3" s="2"/>
      <c r="C3" s="2"/>
      <c r="D3" s="13"/>
      <c r="E3" s="2"/>
      <c r="F3" s="61"/>
      <c r="G3" s="16"/>
      <c r="H3" s="62" t="s">
        <v>47</v>
      </c>
      <c r="I3" s="13" t="s">
        <v>48</v>
      </c>
      <c r="J3" s="13" t="s">
        <v>49</v>
      </c>
      <c r="K3" s="13" t="s">
        <v>50</v>
      </c>
      <c r="L3" s="13" t="s">
        <v>51</v>
      </c>
      <c r="M3" s="13" t="s">
        <v>48</v>
      </c>
      <c r="N3" s="13" t="s">
        <v>52</v>
      </c>
      <c r="O3" s="13" t="s">
        <v>49</v>
      </c>
      <c r="P3" s="13" t="s">
        <v>50</v>
      </c>
      <c r="Q3" s="13" t="s">
        <v>51</v>
      </c>
      <c r="R3" s="13" t="s">
        <v>48</v>
      </c>
      <c r="S3" s="13" t="s">
        <v>52</v>
      </c>
      <c r="T3" s="13" t="s">
        <v>49</v>
      </c>
      <c r="U3" s="13" t="s">
        <v>50</v>
      </c>
      <c r="V3" s="13"/>
      <c r="W3" s="13"/>
      <c r="X3" s="13"/>
    </row>
    <row r="4" spans="1:24">
      <c r="A4" s="4">
        <v>1</v>
      </c>
      <c r="B4" s="4">
        <v>21</v>
      </c>
      <c r="C4" s="3" t="s">
        <v>53</v>
      </c>
      <c r="D4" s="4">
        <v>6</v>
      </c>
      <c r="E4" s="4" t="s">
        <v>54</v>
      </c>
      <c r="F4" s="4">
        <v>6566</v>
      </c>
      <c r="G4" s="4">
        <v>4261</v>
      </c>
      <c r="H4" s="17">
        <f>G4/F4*100</f>
        <v>64.8949131891563</v>
      </c>
      <c r="I4" s="17">
        <v>710.166666666667</v>
      </c>
      <c r="J4" s="17">
        <v>174.553159683678</v>
      </c>
      <c r="K4" s="17">
        <v>30468.8055555556</v>
      </c>
      <c r="L4" s="30">
        <v>1900</v>
      </c>
      <c r="M4" s="17">
        <v>316.666666666667</v>
      </c>
      <c r="N4" s="17">
        <f>(M4/I4)*100</f>
        <v>44.5904717202535</v>
      </c>
      <c r="O4" s="17">
        <v>117.231489891676</v>
      </c>
      <c r="P4" s="17">
        <v>13743.2222222222</v>
      </c>
      <c r="Q4" s="31">
        <v>2116</v>
      </c>
      <c r="R4" s="17">
        <v>352.666666666667</v>
      </c>
      <c r="S4" s="17">
        <f t="shared" ref="S4:S41" si="0">(R4/I4)*100</f>
        <v>49.6597042947665</v>
      </c>
      <c r="T4" s="17">
        <v>96.7981863925605</v>
      </c>
      <c r="U4" s="17">
        <v>9369.88888888889</v>
      </c>
      <c r="V4" s="33" t="str">
        <f t="shared" ref="V4:V41" si="1">IF(M4&gt;R4,"BJP GAIN","CONGRESS GAIN")</f>
        <v>CONGRESS GAIN</v>
      </c>
      <c r="W4" s="17">
        <f>((R4-M4)/I4)*100</f>
        <v>5.06923257451303</v>
      </c>
      <c r="X4" s="34" t="str">
        <f>IF(W4&gt;=50,"VERYHIGHMARGIN",IF(W4&gt;=40,"HIGHMARGIN",IF(W4&gt;=30,"MEDIUMMARGIN",IF(W4&gt;10,"LOWMARGIN",IF(W4&gt;1,"NARROWMARGIN")))))</f>
        <v>NARROWMARGIN</v>
      </c>
    </row>
    <row r="5" spans="1:24">
      <c r="A5" s="4">
        <v>2</v>
      </c>
      <c r="B5" s="4">
        <v>24</v>
      </c>
      <c r="C5" s="3" t="s">
        <v>55</v>
      </c>
      <c r="D5" s="4">
        <v>6</v>
      </c>
      <c r="E5" s="4" t="s">
        <v>56</v>
      </c>
      <c r="F5" s="4">
        <v>5709</v>
      </c>
      <c r="G5" s="4">
        <v>3247</v>
      </c>
      <c r="H5" s="17"/>
      <c r="I5" s="17">
        <v>541.166666666667</v>
      </c>
      <c r="J5" s="17">
        <v>177.682691584996</v>
      </c>
      <c r="K5" s="17">
        <v>31571.1388888889</v>
      </c>
      <c r="L5" s="31">
        <v>1422</v>
      </c>
      <c r="M5" s="17">
        <v>237</v>
      </c>
      <c r="N5" s="17">
        <f t="shared" ref="N5:N41" si="2">(M5/I5)*100</f>
        <v>43.7942716353557</v>
      </c>
      <c r="O5" s="17">
        <v>61.6495471732491</v>
      </c>
      <c r="P5" s="17">
        <v>3800.66666666667</v>
      </c>
      <c r="Q5" s="31">
        <v>1679</v>
      </c>
      <c r="R5" s="17">
        <v>279.833333333333</v>
      </c>
      <c r="S5" s="17">
        <f t="shared" si="0"/>
        <v>51.7092700954727</v>
      </c>
      <c r="T5" s="17">
        <v>115.06145700837</v>
      </c>
      <c r="U5" s="17">
        <v>13239.1388888889</v>
      </c>
      <c r="V5" s="33" t="str">
        <f t="shared" si="1"/>
        <v>CONGRESS GAIN</v>
      </c>
      <c r="W5" s="17">
        <f>((R5-M5)/I5)*100</f>
        <v>7.91499846011703</v>
      </c>
      <c r="X5" s="34" t="str">
        <f t="shared" ref="X5:X41" si="3">IF(W5&gt;=50,"VERYHIGHMARGIN",IF(W5&gt;=40,"HIGHMARGIN",IF(W5&gt;=30,"MEDIUMMARGIN",IF(W5&gt;10,"LOWMARGIN",IF(W5&gt;1,"NARROWMARGIN")))))</f>
        <v>NARROWMARGIN</v>
      </c>
    </row>
    <row r="6" spans="1:24">
      <c r="A6" s="4">
        <v>3</v>
      </c>
      <c r="B6" s="4">
        <v>25</v>
      </c>
      <c r="C6" s="3" t="s">
        <v>57</v>
      </c>
      <c r="D6" s="4">
        <v>6</v>
      </c>
      <c r="E6" s="4" t="s">
        <v>58</v>
      </c>
      <c r="F6" s="4">
        <v>6060</v>
      </c>
      <c r="G6" s="4">
        <v>3895</v>
      </c>
      <c r="H6" s="17"/>
      <c r="I6" s="17">
        <v>649.166666666667</v>
      </c>
      <c r="J6" s="17">
        <v>147.527869306861</v>
      </c>
      <c r="K6" s="17">
        <v>21764.4722222222</v>
      </c>
      <c r="L6" s="31">
        <v>1612</v>
      </c>
      <c r="M6" s="17">
        <v>268.666666666667</v>
      </c>
      <c r="N6" s="17">
        <f t="shared" si="2"/>
        <v>41.3863928112965</v>
      </c>
      <c r="O6" s="17">
        <v>34.9698282650757</v>
      </c>
      <c r="P6" s="17">
        <v>1222.88888888889</v>
      </c>
      <c r="Q6" s="31">
        <v>1936</v>
      </c>
      <c r="R6" s="17">
        <v>322.666666666667</v>
      </c>
      <c r="S6" s="17">
        <f t="shared" si="0"/>
        <v>49.7047496790757</v>
      </c>
      <c r="T6" s="17">
        <v>101.022549737945</v>
      </c>
      <c r="U6" s="17">
        <v>10205.5555555556</v>
      </c>
      <c r="V6" s="33" t="str">
        <f t="shared" si="1"/>
        <v>CONGRESS GAIN</v>
      </c>
      <c r="W6" s="17">
        <f>((R6-M6)/I6)*100</f>
        <v>8.3183568677792</v>
      </c>
      <c r="X6" s="34" t="str">
        <f t="shared" si="3"/>
        <v>NARROWMARGIN</v>
      </c>
    </row>
    <row r="7" spans="1:24">
      <c r="A7" s="4">
        <v>4</v>
      </c>
      <c r="B7" s="4">
        <v>26</v>
      </c>
      <c r="C7" s="3" t="s">
        <v>59</v>
      </c>
      <c r="D7" s="4">
        <v>7</v>
      </c>
      <c r="E7" s="5" t="s">
        <v>60</v>
      </c>
      <c r="F7" s="5">
        <v>7898</v>
      </c>
      <c r="G7" s="5">
        <v>5771</v>
      </c>
      <c r="H7" s="17"/>
      <c r="I7" s="17">
        <v>721.375</v>
      </c>
      <c r="J7" s="17">
        <v>179.960368901044</v>
      </c>
      <c r="K7" s="17">
        <v>32385.734375</v>
      </c>
      <c r="L7" s="31">
        <v>2863</v>
      </c>
      <c r="M7" s="17">
        <v>357.875</v>
      </c>
      <c r="N7" s="17">
        <f t="shared" si="2"/>
        <v>49.6101195633339</v>
      </c>
      <c r="O7" s="17">
        <v>119.96815983835</v>
      </c>
      <c r="P7" s="17">
        <v>14392.359375</v>
      </c>
      <c r="Q7" s="31">
        <v>2648</v>
      </c>
      <c r="R7" s="17">
        <v>331</v>
      </c>
      <c r="S7" s="17">
        <f t="shared" si="0"/>
        <v>45.8845953907468</v>
      </c>
      <c r="T7" s="17">
        <v>71.3827710305505</v>
      </c>
      <c r="U7" s="17">
        <v>5095.5</v>
      </c>
      <c r="V7" s="46" t="str">
        <f t="shared" si="1"/>
        <v>BJP GAIN</v>
      </c>
      <c r="W7" s="17">
        <f>((M7-R7)/I7)*100</f>
        <v>3.72552417258707</v>
      </c>
      <c r="X7" s="34" t="str">
        <f t="shared" si="3"/>
        <v>NARROWMARGIN</v>
      </c>
    </row>
    <row r="8" spans="1:24">
      <c r="A8" s="4">
        <v>5</v>
      </c>
      <c r="B8" s="4">
        <v>27</v>
      </c>
      <c r="C8" s="3" t="s">
        <v>61</v>
      </c>
      <c r="D8" s="4">
        <v>6</v>
      </c>
      <c r="E8" s="5" t="s">
        <v>62</v>
      </c>
      <c r="F8" s="5">
        <v>5908</v>
      </c>
      <c r="G8" s="5">
        <v>4046</v>
      </c>
      <c r="H8" s="17"/>
      <c r="I8" s="17">
        <v>674.333333333333</v>
      </c>
      <c r="J8" s="17">
        <v>127.83670138979</v>
      </c>
      <c r="K8" s="17">
        <v>16342.2222222222</v>
      </c>
      <c r="L8" s="31">
        <v>1984</v>
      </c>
      <c r="M8" s="17">
        <v>330.666666666667</v>
      </c>
      <c r="N8" s="17">
        <f t="shared" si="2"/>
        <v>49.0360850222442</v>
      </c>
      <c r="O8" s="17">
        <v>132.933149448218</v>
      </c>
      <c r="P8" s="17">
        <v>17671.2222222222</v>
      </c>
      <c r="Q8" s="31">
        <v>1823</v>
      </c>
      <c r="R8" s="17">
        <v>303.833333333333</v>
      </c>
      <c r="S8" s="17">
        <f t="shared" si="0"/>
        <v>45.0568462679189</v>
      </c>
      <c r="T8" s="17">
        <v>108.378067686943</v>
      </c>
      <c r="U8" s="17">
        <v>11745.8055555556</v>
      </c>
      <c r="V8" s="46" t="str">
        <f t="shared" si="1"/>
        <v>BJP GAIN</v>
      </c>
      <c r="W8" s="17">
        <f>((M8-R8)/I8)*100</f>
        <v>3.97923875432526</v>
      </c>
      <c r="X8" s="34" t="str">
        <f t="shared" si="3"/>
        <v>NARROWMARGIN</v>
      </c>
    </row>
    <row r="9" spans="1:24">
      <c r="A9" s="4">
        <v>6</v>
      </c>
      <c r="B9" s="4">
        <v>28</v>
      </c>
      <c r="C9" s="3" t="s">
        <v>63</v>
      </c>
      <c r="D9" s="4">
        <v>4</v>
      </c>
      <c r="E9" s="5" t="s">
        <v>64</v>
      </c>
      <c r="F9" s="5">
        <v>4537</v>
      </c>
      <c r="G9" s="5">
        <v>2883</v>
      </c>
      <c r="H9" s="17"/>
      <c r="I9" s="17">
        <v>720.75</v>
      </c>
      <c r="J9" s="17">
        <v>115.636012989034</v>
      </c>
      <c r="K9" s="17">
        <v>13371.6875</v>
      </c>
      <c r="L9" s="31">
        <v>1833</v>
      </c>
      <c r="M9" s="17">
        <v>458.25</v>
      </c>
      <c r="N9" s="17">
        <f t="shared" si="2"/>
        <v>63.579604578564</v>
      </c>
      <c r="O9" s="17">
        <v>74.72073005532</v>
      </c>
      <c r="P9" s="17">
        <v>5583.1875</v>
      </c>
      <c r="Q9" s="31">
        <v>915</v>
      </c>
      <c r="R9" s="17">
        <v>228.75</v>
      </c>
      <c r="S9" s="17">
        <f t="shared" si="0"/>
        <v>31.7377731529657</v>
      </c>
      <c r="T9" s="17">
        <v>34.3465791600852</v>
      </c>
      <c r="U9" s="17">
        <v>1179.6875</v>
      </c>
      <c r="V9" s="46" t="str">
        <f t="shared" si="1"/>
        <v>BJP GAIN</v>
      </c>
      <c r="W9" s="17">
        <f>((M9-R9)/I9)*100</f>
        <v>31.8418314255983</v>
      </c>
      <c r="X9" s="36" t="str">
        <f t="shared" si="3"/>
        <v>MEDIUMMARGIN</v>
      </c>
    </row>
    <row r="10" spans="1:24">
      <c r="A10" s="4">
        <v>7</v>
      </c>
      <c r="B10" s="4">
        <v>29</v>
      </c>
      <c r="C10" s="3" t="s">
        <v>65</v>
      </c>
      <c r="D10" s="4">
        <v>4</v>
      </c>
      <c r="E10" s="5" t="s">
        <v>66</v>
      </c>
      <c r="F10" s="5">
        <v>4395</v>
      </c>
      <c r="G10" s="5">
        <v>2366</v>
      </c>
      <c r="H10" s="17"/>
      <c r="I10" s="17">
        <v>591.5</v>
      </c>
      <c r="J10" s="17">
        <v>108.67497412008</v>
      </c>
      <c r="K10" s="17">
        <v>11810.25</v>
      </c>
      <c r="L10" s="31">
        <v>1556</v>
      </c>
      <c r="M10" s="17">
        <v>389</v>
      </c>
      <c r="N10" s="17">
        <f t="shared" si="2"/>
        <v>65.7650042265427</v>
      </c>
      <c r="O10" s="17">
        <v>102.791050194071</v>
      </c>
      <c r="P10" s="17">
        <v>10566</v>
      </c>
      <c r="Q10" s="31">
        <v>708</v>
      </c>
      <c r="R10" s="17">
        <v>177</v>
      </c>
      <c r="S10" s="17">
        <f t="shared" si="0"/>
        <v>29.9239222316145</v>
      </c>
      <c r="T10" s="17">
        <v>34.6049129459966</v>
      </c>
      <c r="U10" s="17">
        <v>1197.5</v>
      </c>
      <c r="V10" s="46" t="str">
        <f t="shared" si="1"/>
        <v>BJP GAIN</v>
      </c>
      <c r="W10" s="17">
        <f>((M10-R10)/I10)*100</f>
        <v>35.8410819949281</v>
      </c>
      <c r="X10" s="36" t="str">
        <f t="shared" si="3"/>
        <v>MEDIUMMARGIN</v>
      </c>
    </row>
    <row r="11" spans="1:24">
      <c r="A11" s="4">
        <v>8</v>
      </c>
      <c r="B11" s="4">
        <v>30</v>
      </c>
      <c r="C11" s="3" t="s">
        <v>67</v>
      </c>
      <c r="D11" s="4">
        <v>5</v>
      </c>
      <c r="E11" s="5" t="s">
        <v>68</v>
      </c>
      <c r="F11" s="5">
        <v>5549</v>
      </c>
      <c r="G11" s="5">
        <v>3150</v>
      </c>
      <c r="H11" s="17"/>
      <c r="I11" s="17">
        <v>630</v>
      </c>
      <c r="J11" s="17">
        <v>113.952621733771</v>
      </c>
      <c r="K11" s="17">
        <v>12985.2</v>
      </c>
      <c r="L11" s="31">
        <v>1522</v>
      </c>
      <c r="M11" s="17">
        <v>304.4</v>
      </c>
      <c r="N11" s="17">
        <f t="shared" si="2"/>
        <v>48.3174603174603</v>
      </c>
      <c r="O11" s="17">
        <v>71.4411646041692</v>
      </c>
      <c r="P11" s="17">
        <v>5103.84</v>
      </c>
      <c r="Q11" s="31">
        <v>1496</v>
      </c>
      <c r="R11" s="17">
        <v>299.2</v>
      </c>
      <c r="S11" s="17">
        <f t="shared" si="0"/>
        <v>47.4920634920635</v>
      </c>
      <c r="T11" s="17">
        <v>43.199074064151</v>
      </c>
      <c r="U11" s="17">
        <v>1866.16</v>
      </c>
      <c r="V11" s="46" t="str">
        <f t="shared" si="1"/>
        <v>BJP GAIN</v>
      </c>
      <c r="W11" s="17">
        <f>((M11-R11)/I11)*100</f>
        <v>0.825396825396824</v>
      </c>
      <c r="X11" s="34" t="str">
        <f>IF(W11&gt;=50,"VERYHIGHMARGIN",IF(W11&gt;=40,"HIGHMARGIN",IF(W11&gt;=30,"MEDIUMMARGIN",IF(W11&gt;10,"LOWMARGIN",IF(W11&lt;1,"NARROWMARGIN")))))</f>
        <v>NARROWMARGIN</v>
      </c>
    </row>
    <row r="12" spans="1:24">
      <c r="A12" s="4">
        <v>9</v>
      </c>
      <c r="B12" s="4">
        <v>31</v>
      </c>
      <c r="C12" s="3" t="s">
        <v>69</v>
      </c>
      <c r="D12" s="4">
        <v>6</v>
      </c>
      <c r="E12" s="5" t="s">
        <v>70</v>
      </c>
      <c r="F12" s="5">
        <v>6175</v>
      </c>
      <c r="G12" s="5">
        <v>3532</v>
      </c>
      <c r="H12" s="17"/>
      <c r="I12" s="17">
        <v>588.666666666667</v>
      </c>
      <c r="J12" s="17">
        <v>97.931381873001</v>
      </c>
      <c r="K12" s="17">
        <v>9590.55555555555</v>
      </c>
      <c r="L12" s="31">
        <v>1459</v>
      </c>
      <c r="M12" s="17">
        <v>243.166666666667</v>
      </c>
      <c r="N12" s="17">
        <f t="shared" si="2"/>
        <v>41.3080407701019</v>
      </c>
      <c r="O12" s="17">
        <v>47.9979744943009</v>
      </c>
      <c r="P12" s="17">
        <v>2303.80555555556</v>
      </c>
      <c r="Q12" s="31">
        <v>1903</v>
      </c>
      <c r="R12" s="17">
        <v>317.166666666667</v>
      </c>
      <c r="S12" s="17">
        <f t="shared" si="0"/>
        <v>53.8788221970555</v>
      </c>
      <c r="T12" s="17">
        <v>49.4247463883787</v>
      </c>
      <c r="U12" s="17">
        <v>2442.80555555556</v>
      </c>
      <c r="V12" s="33" t="str">
        <f t="shared" si="1"/>
        <v>CONGRESS GAIN</v>
      </c>
      <c r="W12" s="17">
        <f>((R12-M12)/I12)*100</f>
        <v>12.5707814269536</v>
      </c>
      <c r="X12" s="35" t="str">
        <f t="shared" si="3"/>
        <v>LOWMARGIN</v>
      </c>
    </row>
    <row r="13" spans="1:24">
      <c r="A13" s="4">
        <v>10</v>
      </c>
      <c r="B13" s="4">
        <v>32</v>
      </c>
      <c r="C13" s="3" t="s">
        <v>71</v>
      </c>
      <c r="D13" s="4">
        <v>5</v>
      </c>
      <c r="E13" s="5" t="s">
        <v>72</v>
      </c>
      <c r="F13" s="5">
        <v>4832</v>
      </c>
      <c r="G13" s="5">
        <v>3086</v>
      </c>
      <c r="H13" s="17"/>
      <c r="I13" s="17">
        <v>617.2</v>
      </c>
      <c r="J13" s="17">
        <v>162.556328698701</v>
      </c>
      <c r="K13" s="17">
        <v>26424.56</v>
      </c>
      <c r="L13" s="31">
        <v>1537</v>
      </c>
      <c r="M13" s="17">
        <v>307.4</v>
      </c>
      <c r="N13" s="17">
        <f t="shared" si="2"/>
        <v>49.8055735580039</v>
      </c>
      <c r="O13" s="17">
        <v>83.2504654641642</v>
      </c>
      <c r="P13" s="17">
        <v>6930.64</v>
      </c>
      <c r="Q13" s="31">
        <v>1301</v>
      </c>
      <c r="R13" s="17">
        <v>260.2</v>
      </c>
      <c r="S13" s="17">
        <f t="shared" si="0"/>
        <v>42.1581335061568</v>
      </c>
      <c r="T13" s="17">
        <v>78.1470408908744</v>
      </c>
      <c r="U13" s="17">
        <v>6106.96</v>
      </c>
      <c r="V13" s="46" t="str">
        <f t="shared" si="1"/>
        <v>BJP GAIN</v>
      </c>
      <c r="W13" s="17">
        <f>((M13-R13)/I13)*100</f>
        <v>7.64744005184705</v>
      </c>
      <c r="X13" s="34" t="str">
        <f t="shared" si="3"/>
        <v>NARROWMARGIN</v>
      </c>
    </row>
    <row r="14" spans="1:24">
      <c r="A14" s="4">
        <v>11</v>
      </c>
      <c r="B14" s="4">
        <v>33</v>
      </c>
      <c r="C14" s="3" t="s">
        <v>73</v>
      </c>
      <c r="D14" s="4">
        <v>4</v>
      </c>
      <c r="E14" s="5" t="s">
        <v>74</v>
      </c>
      <c r="F14" s="5">
        <v>4291</v>
      </c>
      <c r="G14" s="5">
        <v>2543</v>
      </c>
      <c r="H14" s="17"/>
      <c r="I14" s="17">
        <v>635.75</v>
      </c>
      <c r="J14" s="17">
        <v>55.2556558191105</v>
      </c>
      <c r="K14" s="17">
        <v>3053.1875</v>
      </c>
      <c r="L14" s="31">
        <v>1319</v>
      </c>
      <c r="M14" s="17">
        <v>329.75</v>
      </c>
      <c r="N14" s="17">
        <f t="shared" si="2"/>
        <v>51.8678725914274</v>
      </c>
      <c r="O14" s="17">
        <v>59.1031936531352</v>
      </c>
      <c r="P14" s="17">
        <v>3493.1875</v>
      </c>
      <c r="Q14" s="31">
        <v>1151</v>
      </c>
      <c r="R14" s="17">
        <v>287.75</v>
      </c>
      <c r="S14" s="17">
        <f t="shared" si="0"/>
        <v>45.2615021627998</v>
      </c>
      <c r="T14" s="17">
        <v>100.355306287211</v>
      </c>
      <c r="U14" s="17">
        <v>10071.1875</v>
      </c>
      <c r="V14" s="46" t="str">
        <f t="shared" si="1"/>
        <v>BJP GAIN</v>
      </c>
      <c r="W14" s="17">
        <f>((M14-R14)/I14)*100</f>
        <v>6.6063704286276</v>
      </c>
      <c r="X14" s="34" t="str">
        <f t="shared" si="3"/>
        <v>NARROWMARGIN</v>
      </c>
    </row>
    <row r="15" spans="1:24">
      <c r="A15" s="4">
        <v>12</v>
      </c>
      <c r="B15" s="4">
        <v>34</v>
      </c>
      <c r="C15" s="3" t="s">
        <v>75</v>
      </c>
      <c r="D15" s="4">
        <v>5</v>
      </c>
      <c r="E15" s="5" t="s">
        <v>76</v>
      </c>
      <c r="F15" s="5"/>
      <c r="G15" s="5">
        <v>3374</v>
      </c>
      <c r="H15" s="17"/>
      <c r="I15" s="17">
        <v>674.8</v>
      </c>
      <c r="J15" s="17">
        <v>121.087406446748</v>
      </c>
      <c r="K15" s="17">
        <v>14662.16</v>
      </c>
      <c r="L15" s="31">
        <v>1273</v>
      </c>
      <c r="M15" s="17">
        <v>254.6</v>
      </c>
      <c r="N15" s="17">
        <f t="shared" si="2"/>
        <v>37.7296976882039</v>
      </c>
      <c r="O15" s="17">
        <v>103.240689652869</v>
      </c>
      <c r="P15" s="17">
        <v>10658.64</v>
      </c>
      <c r="Q15" s="31">
        <v>1972</v>
      </c>
      <c r="R15" s="17">
        <v>394.4</v>
      </c>
      <c r="S15" s="17">
        <f t="shared" si="0"/>
        <v>58.4469472436277</v>
      </c>
      <c r="T15" s="17">
        <v>102.050183733299</v>
      </c>
      <c r="U15" s="17">
        <v>10414.24</v>
      </c>
      <c r="V15" s="33" t="str">
        <f t="shared" si="1"/>
        <v>CONGRESS GAIN</v>
      </c>
      <c r="W15" s="17">
        <f t="shared" ref="W15:W21" si="4">((R15-M15)/I15)*100</f>
        <v>20.7172495554238</v>
      </c>
      <c r="X15" s="35" t="str">
        <f t="shared" si="3"/>
        <v>LOWMARGIN</v>
      </c>
    </row>
    <row r="16" spans="1:24">
      <c r="A16" s="4">
        <v>13</v>
      </c>
      <c r="B16" s="4">
        <v>35</v>
      </c>
      <c r="C16" s="3" t="s">
        <v>77</v>
      </c>
      <c r="D16" s="4">
        <v>7</v>
      </c>
      <c r="E16" s="5" t="s">
        <v>78</v>
      </c>
      <c r="F16" s="5"/>
      <c r="G16" s="5">
        <v>4819</v>
      </c>
      <c r="H16" s="17"/>
      <c r="I16" s="17">
        <v>688.428571428571</v>
      </c>
      <c r="J16" s="17">
        <v>106.870892927411</v>
      </c>
      <c r="K16" s="17">
        <v>11421.387755102</v>
      </c>
      <c r="L16" s="31">
        <v>1840</v>
      </c>
      <c r="M16" s="17">
        <v>262.857142857143</v>
      </c>
      <c r="N16" s="17">
        <f t="shared" si="2"/>
        <v>38.1821954762399</v>
      </c>
      <c r="O16" s="17">
        <v>54.6166603870718</v>
      </c>
      <c r="P16" s="17">
        <v>2982.97959183673</v>
      </c>
      <c r="Q16" s="31">
        <v>2730</v>
      </c>
      <c r="R16" s="17">
        <v>390</v>
      </c>
      <c r="S16" s="17">
        <f t="shared" si="0"/>
        <v>56.6507574185516</v>
      </c>
      <c r="T16" s="17">
        <v>91.6140974803707</v>
      </c>
      <c r="U16" s="17">
        <v>8393.14285714286</v>
      </c>
      <c r="V16" s="33" t="str">
        <f t="shared" si="1"/>
        <v>CONGRESS GAIN</v>
      </c>
      <c r="W16" s="17">
        <f t="shared" si="4"/>
        <v>18.4685619423117</v>
      </c>
      <c r="X16" s="35" t="str">
        <f t="shared" si="3"/>
        <v>LOWMARGIN</v>
      </c>
    </row>
    <row r="17" spans="1:24">
      <c r="A17" s="4">
        <v>14</v>
      </c>
      <c r="B17" s="4">
        <v>36</v>
      </c>
      <c r="C17" s="3" t="s">
        <v>79</v>
      </c>
      <c r="D17" s="4">
        <v>3</v>
      </c>
      <c r="E17" s="5" t="s">
        <v>80</v>
      </c>
      <c r="F17" s="5"/>
      <c r="G17" s="5">
        <v>2103</v>
      </c>
      <c r="H17" s="17"/>
      <c r="I17" s="17">
        <v>701</v>
      </c>
      <c r="J17" s="17">
        <v>83.9682479671135</v>
      </c>
      <c r="K17" s="17">
        <v>7050.66666666667</v>
      </c>
      <c r="L17" s="31">
        <v>674</v>
      </c>
      <c r="M17" s="17">
        <v>224.666666666667</v>
      </c>
      <c r="N17" s="17">
        <f t="shared" si="2"/>
        <v>32.0494531621493</v>
      </c>
      <c r="O17" s="17">
        <v>10.4986771653491</v>
      </c>
      <c r="P17" s="17">
        <v>110.222222222222</v>
      </c>
      <c r="Q17" s="31">
        <v>1303</v>
      </c>
      <c r="R17" s="17">
        <v>434.333333333333</v>
      </c>
      <c r="S17" s="17">
        <f t="shared" si="0"/>
        <v>61.9591060389919</v>
      </c>
      <c r="T17" s="17">
        <v>83.3479987095604</v>
      </c>
      <c r="U17" s="17">
        <v>6946.88888888889</v>
      </c>
      <c r="V17" s="33" t="str">
        <f t="shared" si="1"/>
        <v>CONGRESS GAIN</v>
      </c>
      <c r="W17" s="17">
        <f t="shared" si="4"/>
        <v>29.9096528768426</v>
      </c>
      <c r="X17" s="35" t="str">
        <f t="shared" si="3"/>
        <v>LOWMARGIN</v>
      </c>
    </row>
    <row r="18" spans="1:24">
      <c r="A18" s="4">
        <v>15</v>
      </c>
      <c r="B18" s="4">
        <v>37</v>
      </c>
      <c r="C18" s="3" t="s">
        <v>81</v>
      </c>
      <c r="D18" s="4">
        <v>6</v>
      </c>
      <c r="E18" s="5" t="s">
        <v>82</v>
      </c>
      <c r="F18" s="5"/>
      <c r="G18" s="5">
        <v>3746</v>
      </c>
      <c r="H18" s="17"/>
      <c r="I18" s="17">
        <v>624.333333333333</v>
      </c>
      <c r="J18" s="17">
        <v>143.567250985577</v>
      </c>
      <c r="K18" s="17">
        <v>20611.5555555556</v>
      </c>
      <c r="L18" s="31">
        <v>1505</v>
      </c>
      <c r="M18" s="17">
        <v>250.833333333333</v>
      </c>
      <c r="N18" s="17">
        <f t="shared" si="2"/>
        <v>40.1761879337961</v>
      </c>
      <c r="O18" s="17">
        <v>41.3900820111399</v>
      </c>
      <c r="P18" s="17">
        <v>1713.13888888889</v>
      </c>
      <c r="Q18" s="31">
        <v>2049</v>
      </c>
      <c r="R18" s="17">
        <v>341.5</v>
      </c>
      <c r="S18" s="17">
        <f t="shared" si="0"/>
        <v>54.698344901228</v>
      </c>
      <c r="T18" s="17">
        <v>135.872182583485</v>
      </c>
      <c r="U18" s="17">
        <v>18461.25</v>
      </c>
      <c r="V18" s="33" t="str">
        <f t="shared" si="1"/>
        <v>CONGRESS GAIN</v>
      </c>
      <c r="W18" s="17">
        <f t="shared" si="4"/>
        <v>14.5221569674319</v>
      </c>
      <c r="X18" s="35" t="str">
        <f t="shared" si="3"/>
        <v>LOWMARGIN</v>
      </c>
    </row>
    <row r="19" spans="1:24">
      <c r="A19" s="4">
        <v>16</v>
      </c>
      <c r="B19" s="4">
        <v>38</v>
      </c>
      <c r="C19" s="3" t="s">
        <v>83</v>
      </c>
      <c r="D19" s="4">
        <v>7</v>
      </c>
      <c r="E19" s="5" t="s">
        <v>84</v>
      </c>
      <c r="F19" s="5"/>
      <c r="G19" s="5">
        <v>4993</v>
      </c>
      <c r="H19" s="17"/>
      <c r="I19" s="17">
        <v>713.285714285714</v>
      </c>
      <c r="J19" s="17">
        <v>153.875380269428</v>
      </c>
      <c r="K19" s="17">
        <v>23677.6326530612</v>
      </c>
      <c r="L19" s="31">
        <v>1721</v>
      </c>
      <c r="M19" s="17">
        <v>245.857142857143</v>
      </c>
      <c r="N19" s="17">
        <f t="shared" si="2"/>
        <v>34.4682555577809</v>
      </c>
      <c r="O19" s="17">
        <v>98.6051702084467</v>
      </c>
      <c r="P19" s="17">
        <v>9722.97959183673</v>
      </c>
      <c r="Q19" s="31">
        <v>3096</v>
      </c>
      <c r="R19" s="17">
        <v>442.285714285714</v>
      </c>
      <c r="S19" s="17">
        <f t="shared" si="0"/>
        <v>62.0068095333467</v>
      </c>
      <c r="T19" s="17">
        <v>144.288118791846</v>
      </c>
      <c r="U19" s="17">
        <v>20819.0612244898</v>
      </c>
      <c r="V19" s="33" t="str">
        <f t="shared" si="1"/>
        <v>CONGRESS GAIN</v>
      </c>
      <c r="W19" s="17">
        <f t="shared" si="4"/>
        <v>27.5385539755658</v>
      </c>
      <c r="X19" s="35" t="str">
        <f t="shared" si="3"/>
        <v>LOWMARGIN</v>
      </c>
    </row>
    <row r="20" spans="1:24">
      <c r="A20" s="4">
        <v>17</v>
      </c>
      <c r="B20" s="4">
        <v>39</v>
      </c>
      <c r="C20" s="3" t="s">
        <v>85</v>
      </c>
      <c r="D20" s="4">
        <v>6</v>
      </c>
      <c r="E20" s="5" t="s">
        <v>86</v>
      </c>
      <c r="F20" s="5"/>
      <c r="G20" s="5">
        <v>3577</v>
      </c>
      <c r="H20" s="17"/>
      <c r="I20" s="17">
        <v>596.166666666667</v>
      </c>
      <c r="J20" s="17">
        <v>124.396431710167</v>
      </c>
      <c r="K20" s="17">
        <v>15474.4722222222</v>
      </c>
      <c r="L20" s="31">
        <v>1172</v>
      </c>
      <c r="M20" s="17">
        <v>195.333333333333</v>
      </c>
      <c r="N20" s="17">
        <f t="shared" si="2"/>
        <v>32.7648867766285</v>
      </c>
      <c r="O20" s="17">
        <v>104.83744030111</v>
      </c>
      <c r="P20" s="17">
        <v>10990.8888888889</v>
      </c>
      <c r="Q20" s="31">
        <v>2265</v>
      </c>
      <c r="R20" s="17">
        <v>377.5</v>
      </c>
      <c r="S20" s="17">
        <f t="shared" si="0"/>
        <v>63.3212188985183</v>
      </c>
      <c r="T20" s="17">
        <v>42.2482741264855</v>
      </c>
      <c r="U20" s="17">
        <v>1784.91666666667</v>
      </c>
      <c r="V20" s="33" t="str">
        <f t="shared" si="1"/>
        <v>CONGRESS GAIN</v>
      </c>
      <c r="W20" s="17">
        <f t="shared" si="4"/>
        <v>30.5563321218899</v>
      </c>
      <c r="X20" s="36" t="str">
        <f t="shared" si="3"/>
        <v>MEDIUMMARGIN</v>
      </c>
    </row>
    <row r="21" spans="1:24">
      <c r="A21" s="4">
        <v>18</v>
      </c>
      <c r="B21" s="4">
        <v>40</v>
      </c>
      <c r="C21" s="3" t="s">
        <v>87</v>
      </c>
      <c r="D21" s="4">
        <v>5</v>
      </c>
      <c r="E21" s="5" t="s">
        <v>88</v>
      </c>
      <c r="F21" s="5"/>
      <c r="G21" s="5">
        <v>2679</v>
      </c>
      <c r="H21" s="17"/>
      <c r="I21" s="17">
        <v>535.8</v>
      </c>
      <c r="J21" s="17">
        <v>51.673590933861</v>
      </c>
      <c r="K21" s="17">
        <v>2670.16</v>
      </c>
      <c r="L21" s="31">
        <v>956</v>
      </c>
      <c r="M21" s="17">
        <v>191.2</v>
      </c>
      <c r="N21" s="17">
        <f t="shared" si="2"/>
        <v>35.6849570735349</v>
      </c>
      <c r="O21" s="17">
        <v>41.8540320638287</v>
      </c>
      <c r="P21" s="17">
        <v>1751.76</v>
      </c>
      <c r="Q21" s="31">
        <v>1604</v>
      </c>
      <c r="R21" s="17">
        <v>320.8</v>
      </c>
      <c r="S21" s="17">
        <f t="shared" si="0"/>
        <v>59.873086972751</v>
      </c>
      <c r="T21" s="17">
        <v>63.1993670854384</v>
      </c>
      <c r="U21" s="17">
        <v>3994.16</v>
      </c>
      <c r="V21" s="33" t="str">
        <f t="shared" si="1"/>
        <v>CONGRESS GAIN</v>
      </c>
      <c r="W21" s="17">
        <f t="shared" si="4"/>
        <v>24.1881298992161</v>
      </c>
      <c r="X21" s="35" t="str">
        <f t="shared" si="3"/>
        <v>LOWMARGIN</v>
      </c>
    </row>
    <row r="22" spans="1:24">
      <c r="A22" s="4">
        <v>19</v>
      </c>
      <c r="B22" s="4">
        <v>41</v>
      </c>
      <c r="C22" s="3" t="s">
        <v>89</v>
      </c>
      <c r="D22" s="4">
        <v>5</v>
      </c>
      <c r="E22" s="5" t="s">
        <v>90</v>
      </c>
      <c r="F22" s="5"/>
      <c r="G22" s="5">
        <v>2718</v>
      </c>
      <c r="H22" s="17"/>
      <c r="I22" s="17">
        <v>543.6</v>
      </c>
      <c r="J22" s="17">
        <v>69.9674209900579</v>
      </c>
      <c r="K22" s="17">
        <v>4895.44</v>
      </c>
      <c r="L22" s="31">
        <v>1663</v>
      </c>
      <c r="M22" s="17">
        <v>332.6</v>
      </c>
      <c r="N22" s="17">
        <f t="shared" si="2"/>
        <v>61.1846946284032</v>
      </c>
      <c r="O22" s="17">
        <v>123.183765164083</v>
      </c>
      <c r="P22" s="17">
        <v>15174.24</v>
      </c>
      <c r="Q22" s="31">
        <v>966</v>
      </c>
      <c r="R22" s="17">
        <v>193.2</v>
      </c>
      <c r="S22" s="17">
        <f t="shared" si="0"/>
        <v>35.5408388520971</v>
      </c>
      <c r="T22" s="17">
        <v>72.0677459061958</v>
      </c>
      <c r="U22" s="17">
        <v>5193.76</v>
      </c>
      <c r="V22" s="46" t="str">
        <f t="shared" si="1"/>
        <v>BJP GAIN</v>
      </c>
      <c r="W22" s="17">
        <f>((M22-R22)/I22)*100</f>
        <v>25.6438557763061</v>
      </c>
      <c r="X22" s="35" t="str">
        <f t="shared" si="3"/>
        <v>LOWMARGIN</v>
      </c>
    </row>
    <row r="23" spans="1:24">
      <c r="A23" s="4">
        <v>20</v>
      </c>
      <c r="B23" s="4">
        <v>42</v>
      </c>
      <c r="C23" s="3" t="s">
        <v>91</v>
      </c>
      <c r="D23" s="4">
        <v>7</v>
      </c>
      <c r="E23" s="4" t="s">
        <v>92</v>
      </c>
      <c r="F23" s="4"/>
      <c r="G23" s="4">
        <v>3883</v>
      </c>
      <c r="H23" s="17"/>
      <c r="I23" s="17">
        <v>554.714285714286</v>
      </c>
      <c r="J23" s="17">
        <v>127.285634118942</v>
      </c>
      <c r="K23" s="17">
        <v>16201.6326530612</v>
      </c>
      <c r="L23" s="31">
        <v>2194</v>
      </c>
      <c r="M23" s="17">
        <v>313.428571428571</v>
      </c>
      <c r="N23" s="17">
        <f t="shared" si="2"/>
        <v>56.5027040947721</v>
      </c>
      <c r="O23" s="17">
        <v>190.506735646094</v>
      </c>
      <c r="P23" s="17">
        <v>36292.8163265306</v>
      </c>
      <c r="Q23" s="31">
        <v>1474</v>
      </c>
      <c r="R23" s="17">
        <v>210.571428571429</v>
      </c>
      <c r="S23" s="17">
        <f t="shared" si="0"/>
        <v>37.9603399433428</v>
      </c>
      <c r="T23" s="17">
        <v>73.4960779184016</v>
      </c>
      <c r="U23" s="17">
        <v>5401.67346938776</v>
      </c>
      <c r="V23" s="46" t="str">
        <f t="shared" si="1"/>
        <v>BJP GAIN</v>
      </c>
      <c r="W23" s="17">
        <f>((M23-R23)/I23)*100</f>
        <v>18.5423641514293</v>
      </c>
      <c r="X23" s="35" t="str">
        <f t="shared" si="3"/>
        <v>LOWMARGIN</v>
      </c>
    </row>
    <row r="24" spans="1:24">
      <c r="A24" s="4">
        <v>21</v>
      </c>
      <c r="B24" s="4">
        <v>43</v>
      </c>
      <c r="C24" s="3" t="s">
        <v>93</v>
      </c>
      <c r="D24" s="4">
        <v>5</v>
      </c>
      <c r="E24" s="4" t="s">
        <v>94</v>
      </c>
      <c r="F24" s="4"/>
      <c r="G24" s="4">
        <v>2821</v>
      </c>
      <c r="H24" s="17"/>
      <c r="I24" s="17">
        <v>564.2</v>
      </c>
      <c r="J24" s="17">
        <v>152.794502518906</v>
      </c>
      <c r="K24" s="17">
        <v>23346.16</v>
      </c>
      <c r="L24" s="31">
        <v>1076</v>
      </c>
      <c r="M24" s="17">
        <v>215.2</v>
      </c>
      <c r="N24" s="17">
        <f t="shared" si="2"/>
        <v>38.1425026586317</v>
      </c>
      <c r="O24" s="17">
        <v>125.6</v>
      </c>
      <c r="P24" s="17">
        <v>15775.36</v>
      </c>
      <c r="Q24" s="31">
        <v>1522</v>
      </c>
      <c r="R24" s="17">
        <v>304.4</v>
      </c>
      <c r="S24" s="17">
        <f t="shared" si="0"/>
        <v>53.9524991137894</v>
      </c>
      <c r="T24" s="17">
        <v>152.065249153118</v>
      </c>
      <c r="U24" s="17">
        <v>23123.84</v>
      </c>
      <c r="V24" s="33" t="str">
        <f t="shared" si="1"/>
        <v>CONGRESS GAIN</v>
      </c>
      <c r="W24" s="17">
        <f t="shared" ref="W24:W29" si="5">((R24-M24)/I24)*100</f>
        <v>15.8099964551577</v>
      </c>
      <c r="X24" s="35" t="str">
        <f t="shared" si="3"/>
        <v>LOWMARGIN</v>
      </c>
    </row>
    <row r="25" spans="1:24">
      <c r="A25" s="4">
        <v>22</v>
      </c>
      <c r="B25" s="4">
        <v>44</v>
      </c>
      <c r="C25" s="3" t="s">
        <v>95</v>
      </c>
      <c r="D25" s="4">
        <v>6</v>
      </c>
      <c r="E25" s="4" t="s">
        <v>96</v>
      </c>
      <c r="F25" s="4"/>
      <c r="G25" s="4">
        <v>3149</v>
      </c>
      <c r="H25" s="17"/>
      <c r="I25" s="17">
        <v>524.833333333333</v>
      </c>
      <c r="J25" s="17">
        <v>103.003910389633</v>
      </c>
      <c r="K25" s="17">
        <v>10609.8055555556</v>
      </c>
      <c r="L25" s="31">
        <v>1405</v>
      </c>
      <c r="M25" s="17">
        <v>234.166666666667</v>
      </c>
      <c r="N25" s="17">
        <f t="shared" si="2"/>
        <v>44.6173388377263</v>
      </c>
      <c r="O25" s="17">
        <v>135.308803195587</v>
      </c>
      <c r="P25" s="17">
        <v>18308.4722222222</v>
      </c>
      <c r="Q25" s="31">
        <v>1576</v>
      </c>
      <c r="R25" s="17">
        <v>262.666666666667</v>
      </c>
      <c r="S25" s="17">
        <f t="shared" si="0"/>
        <v>50.0476341695776</v>
      </c>
      <c r="T25" s="17">
        <v>134.336228256648</v>
      </c>
      <c r="U25" s="17">
        <v>18046.2222222222</v>
      </c>
      <c r="V25" s="33" t="str">
        <f t="shared" si="1"/>
        <v>CONGRESS GAIN</v>
      </c>
      <c r="W25" s="17">
        <f t="shared" si="5"/>
        <v>5.43029533185139</v>
      </c>
      <c r="X25" s="34" t="str">
        <f t="shared" si="3"/>
        <v>NARROWMARGIN</v>
      </c>
    </row>
    <row r="26" spans="1:24">
      <c r="A26" s="4">
        <v>23</v>
      </c>
      <c r="B26" s="4">
        <v>45</v>
      </c>
      <c r="C26" s="3" t="s">
        <v>97</v>
      </c>
      <c r="D26" s="4">
        <v>6</v>
      </c>
      <c r="E26" s="4" t="s">
        <v>98</v>
      </c>
      <c r="F26" s="4"/>
      <c r="G26" s="4">
        <v>2507</v>
      </c>
      <c r="H26" s="17"/>
      <c r="I26" s="17">
        <v>626.75</v>
      </c>
      <c r="J26" s="17">
        <v>207.211697304954</v>
      </c>
      <c r="K26" s="17">
        <v>42936.6875</v>
      </c>
      <c r="L26" s="31">
        <v>681</v>
      </c>
      <c r="M26" s="17">
        <v>170.25</v>
      </c>
      <c r="N26" s="17">
        <f t="shared" si="2"/>
        <v>27.1639409652972</v>
      </c>
      <c r="O26" s="17">
        <v>135.667562445855</v>
      </c>
      <c r="P26" s="17">
        <v>18405.6875</v>
      </c>
      <c r="Q26" s="31">
        <v>1683</v>
      </c>
      <c r="R26" s="17">
        <v>420.75</v>
      </c>
      <c r="S26" s="17">
        <f t="shared" si="0"/>
        <v>67.1320303151177</v>
      </c>
      <c r="T26" s="17">
        <v>87.8617522019678</v>
      </c>
      <c r="U26" s="17">
        <v>7719.6875</v>
      </c>
      <c r="V26" s="33" t="str">
        <f t="shared" si="1"/>
        <v>CONGRESS GAIN</v>
      </c>
      <c r="W26" s="17">
        <f t="shared" si="5"/>
        <v>39.9680893498205</v>
      </c>
      <c r="X26" s="36" t="str">
        <f t="shared" si="3"/>
        <v>MEDIUMMARGIN</v>
      </c>
    </row>
    <row r="27" spans="1:24">
      <c r="A27" s="4">
        <v>24</v>
      </c>
      <c r="B27" s="4">
        <v>46</v>
      </c>
      <c r="C27" s="3" t="s">
        <v>99</v>
      </c>
      <c r="D27" s="4">
        <v>5</v>
      </c>
      <c r="E27" s="4" t="s">
        <v>100</v>
      </c>
      <c r="F27" s="4"/>
      <c r="G27" s="4">
        <v>2966</v>
      </c>
      <c r="H27" s="17"/>
      <c r="I27" s="17">
        <v>593.2</v>
      </c>
      <c r="J27" s="17">
        <v>126.766557103993</v>
      </c>
      <c r="K27" s="17">
        <v>16069.76</v>
      </c>
      <c r="L27" s="31">
        <v>1272</v>
      </c>
      <c r="M27" s="17">
        <v>254.4</v>
      </c>
      <c r="N27" s="17">
        <f t="shared" si="2"/>
        <v>42.8860418071477</v>
      </c>
      <c r="O27" s="17">
        <v>53.2</v>
      </c>
      <c r="P27" s="17">
        <v>2830.24</v>
      </c>
      <c r="Q27" s="31">
        <v>1526</v>
      </c>
      <c r="R27" s="17">
        <v>305.2</v>
      </c>
      <c r="S27" s="17">
        <f t="shared" si="0"/>
        <v>51.4497639919083</v>
      </c>
      <c r="T27" s="17">
        <v>136.790935372195</v>
      </c>
      <c r="U27" s="17">
        <v>18711.76</v>
      </c>
      <c r="V27" s="33" t="str">
        <f t="shared" si="1"/>
        <v>CONGRESS GAIN</v>
      </c>
      <c r="W27" s="17">
        <f t="shared" si="5"/>
        <v>8.56372218476062</v>
      </c>
      <c r="X27" s="34" t="str">
        <f t="shared" si="3"/>
        <v>NARROWMARGIN</v>
      </c>
    </row>
    <row r="28" spans="1:24">
      <c r="A28" s="4">
        <v>25</v>
      </c>
      <c r="B28" s="4">
        <v>47</v>
      </c>
      <c r="C28" s="3" t="s">
        <v>101</v>
      </c>
      <c r="D28" s="4">
        <v>5</v>
      </c>
      <c r="E28" s="4" t="s">
        <v>102</v>
      </c>
      <c r="F28" s="4"/>
      <c r="G28" s="4">
        <v>3178</v>
      </c>
      <c r="H28" s="17"/>
      <c r="I28" s="17">
        <v>635.6</v>
      </c>
      <c r="J28" s="17">
        <v>142.242890859262</v>
      </c>
      <c r="K28" s="17">
        <v>20233.04</v>
      </c>
      <c r="L28" s="31">
        <v>1226</v>
      </c>
      <c r="M28" s="17">
        <v>245.2</v>
      </c>
      <c r="N28" s="17">
        <f t="shared" si="2"/>
        <v>38.5777218376337</v>
      </c>
      <c r="O28" s="17">
        <v>93.0169876957967</v>
      </c>
      <c r="P28" s="17">
        <v>8652.16</v>
      </c>
      <c r="Q28" s="31">
        <v>1791</v>
      </c>
      <c r="R28" s="17">
        <v>358.2</v>
      </c>
      <c r="S28" s="17">
        <f t="shared" si="0"/>
        <v>56.3561988672121</v>
      </c>
      <c r="T28" s="17">
        <v>45.8362302114823</v>
      </c>
      <c r="U28" s="17">
        <v>2100.96</v>
      </c>
      <c r="V28" s="33" t="str">
        <f t="shared" si="1"/>
        <v>CONGRESS GAIN</v>
      </c>
      <c r="W28" s="17">
        <f t="shared" si="5"/>
        <v>17.7784770295784</v>
      </c>
      <c r="X28" s="35" t="str">
        <f t="shared" si="3"/>
        <v>LOWMARGIN</v>
      </c>
    </row>
    <row r="29" spans="1:24">
      <c r="A29" s="4">
        <v>26</v>
      </c>
      <c r="B29" s="4">
        <v>48</v>
      </c>
      <c r="C29" s="3" t="s">
        <v>103</v>
      </c>
      <c r="D29" s="4">
        <v>6</v>
      </c>
      <c r="E29" s="4" t="s">
        <v>104</v>
      </c>
      <c r="F29" s="4"/>
      <c r="G29" s="4">
        <v>4355</v>
      </c>
      <c r="H29" s="17"/>
      <c r="I29" s="17">
        <v>725.833333333333</v>
      </c>
      <c r="J29" s="17">
        <v>154.891808118513</v>
      </c>
      <c r="K29" s="17">
        <v>23991.4722222222</v>
      </c>
      <c r="L29" s="31">
        <v>1642</v>
      </c>
      <c r="M29" s="17">
        <v>273.666666666667</v>
      </c>
      <c r="N29" s="17">
        <f t="shared" si="2"/>
        <v>37.7037887485649</v>
      </c>
      <c r="O29" s="17">
        <v>102.100712806305</v>
      </c>
      <c r="P29" s="17">
        <v>10424.5555555556</v>
      </c>
      <c r="Q29" s="31">
        <v>2431</v>
      </c>
      <c r="R29" s="17">
        <v>405.166666666667</v>
      </c>
      <c r="S29" s="17">
        <f t="shared" si="0"/>
        <v>55.8208955223881</v>
      </c>
      <c r="T29" s="17">
        <v>73.9175591828867</v>
      </c>
      <c r="U29" s="17">
        <v>5463.80555555556</v>
      </c>
      <c r="V29" s="33" t="str">
        <f t="shared" si="1"/>
        <v>CONGRESS GAIN</v>
      </c>
      <c r="W29" s="17">
        <f t="shared" si="5"/>
        <v>18.1171067738232</v>
      </c>
      <c r="X29" s="35" t="str">
        <f t="shared" si="3"/>
        <v>LOWMARGIN</v>
      </c>
    </row>
    <row r="30" spans="1:24">
      <c r="A30" s="4">
        <v>27</v>
      </c>
      <c r="B30" s="4">
        <v>49</v>
      </c>
      <c r="C30" s="3" t="s">
        <v>105</v>
      </c>
      <c r="D30" s="4">
        <v>6</v>
      </c>
      <c r="E30" s="4" t="s">
        <v>106</v>
      </c>
      <c r="F30" s="4"/>
      <c r="G30" s="4">
        <v>4831</v>
      </c>
      <c r="H30" s="17"/>
      <c r="I30" s="17">
        <v>805.166666666667</v>
      </c>
      <c r="J30" s="17">
        <v>217.921558262499</v>
      </c>
      <c r="K30" s="17">
        <v>47489.8055555556</v>
      </c>
      <c r="L30" s="31">
        <v>2361</v>
      </c>
      <c r="M30" s="17">
        <v>393.5</v>
      </c>
      <c r="N30" s="17">
        <f t="shared" si="2"/>
        <v>48.871869178224</v>
      </c>
      <c r="O30" s="17">
        <v>136.086675811166</v>
      </c>
      <c r="P30" s="17">
        <v>18519.5833333333</v>
      </c>
      <c r="Q30" s="31">
        <v>2149</v>
      </c>
      <c r="R30" s="17">
        <v>358.166666666667</v>
      </c>
      <c r="S30" s="17">
        <f t="shared" si="0"/>
        <v>44.4835437797557</v>
      </c>
      <c r="T30" s="17">
        <v>140.926005012875</v>
      </c>
      <c r="U30" s="17">
        <v>19860.1388888889</v>
      </c>
      <c r="V30" s="46" t="str">
        <f t="shared" si="1"/>
        <v>BJP GAIN</v>
      </c>
      <c r="W30" s="17">
        <f>((M30-R30)/I30)*100</f>
        <v>4.38832539846822</v>
      </c>
      <c r="X30" s="34" t="str">
        <f t="shared" si="3"/>
        <v>NARROWMARGIN</v>
      </c>
    </row>
    <row r="31" spans="1:24">
      <c r="A31" s="4">
        <v>28</v>
      </c>
      <c r="B31" s="4">
        <v>50</v>
      </c>
      <c r="C31" s="3" t="s">
        <v>107</v>
      </c>
      <c r="D31" s="4">
        <v>8</v>
      </c>
      <c r="E31" s="4" t="s">
        <v>108</v>
      </c>
      <c r="F31" s="4"/>
      <c r="G31" s="4">
        <v>5603</v>
      </c>
      <c r="H31" s="17"/>
      <c r="I31" s="17">
        <v>700.375</v>
      </c>
      <c r="J31" s="17">
        <v>154.456253920002</v>
      </c>
      <c r="K31" s="17">
        <v>23856.734375</v>
      </c>
      <c r="L31" s="31">
        <v>2392</v>
      </c>
      <c r="M31" s="17">
        <v>299</v>
      </c>
      <c r="N31" s="17">
        <f t="shared" si="2"/>
        <v>42.6914153132251</v>
      </c>
      <c r="O31" s="17">
        <v>170.693438655386</v>
      </c>
      <c r="P31" s="17">
        <v>29136.25</v>
      </c>
      <c r="Q31" s="31">
        <v>2711</v>
      </c>
      <c r="R31" s="17">
        <v>338.875</v>
      </c>
      <c r="S31" s="17">
        <f t="shared" si="0"/>
        <v>48.3847938604319</v>
      </c>
      <c r="T31" s="17">
        <v>90.3236368565837</v>
      </c>
      <c r="U31" s="17">
        <v>8158.359375</v>
      </c>
      <c r="V31" s="33" t="str">
        <f t="shared" si="1"/>
        <v>CONGRESS GAIN</v>
      </c>
      <c r="W31" s="17">
        <f t="shared" ref="W31:W36" si="6">((R31-M31)/I31)*100</f>
        <v>5.69337854720685</v>
      </c>
      <c r="X31" s="34" t="str">
        <f t="shared" si="3"/>
        <v>NARROWMARGIN</v>
      </c>
    </row>
    <row r="32" spans="1:24">
      <c r="A32" s="4">
        <v>29</v>
      </c>
      <c r="B32" s="4">
        <v>51</v>
      </c>
      <c r="C32" s="3" t="s">
        <v>109</v>
      </c>
      <c r="D32" s="4">
        <v>8</v>
      </c>
      <c r="E32" s="4" t="s">
        <v>110</v>
      </c>
      <c r="F32" s="4"/>
      <c r="G32" s="4">
        <v>4463</v>
      </c>
      <c r="H32" s="17"/>
      <c r="I32" s="17">
        <v>637.571428571429</v>
      </c>
      <c r="J32" s="17">
        <v>133.235406215419</v>
      </c>
      <c r="K32" s="17">
        <v>17751.6734693878</v>
      </c>
      <c r="L32" s="31">
        <v>1335</v>
      </c>
      <c r="M32" s="17">
        <v>190.714285714286</v>
      </c>
      <c r="N32" s="17">
        <f t="shared" si="2"/>
        <v>29.9126148330719</v>
      </c>
      <c r="O32" s="17">
        <v>84.4422275636921</v>
      </c>
      <c r="P32" s="17">
        <v>7130.48979591837</v>
      </c>
      <c r="Q32" s="31">
        <v>2491</v>
      </c>
      <c r="R32" s="17">
        <v>355.857142857143</v>
      </c>
      <c r="S32" s="17">
        <f t="shared" si="0"/>
        <v>55.8144745686758</v>
      </c>
      <c r="T32" s="17">
        <v>151.629650861592</v>
      </c>
      <c r="U32" s="17">
        <v>22991.5510204082</v>
      </c>
      <c r="V32" s="33" t="str">
        <f t="shared" si="1"/>
        <v>CONGRESS GAIN</v>
      </c>
      <c r="W32" s="17">
        <f t="shared" si="6"/>
        <v>25.9018597356038</v>
      </c>
      <c r="X32" s="35" t="str">
        <f t="shared" si="3"/>
        <v>LOWMARGIN</v>
      </c>
    </row>
    <row r="33" spans="1:24">
      <c r="A33" s="4">
        <v>30</v>
      </c>
      <c r="B33" s="4">
        <v>52</v>
      </c>
      <c r="C33" s="3" t="s">
        <v>111</v>
      </c>
      <c r="D33" s="4">
        <v>6</v>
      </c>
      <c r="E33" s="4" t="s">
        <v>112</v>
      </c>
      <c r="F33" s="4"/>
      <c r="G33" s="4">
        <v>4640</v>
      </c>
      <c r="H33" s="17"/>
      <c r="I33" s="17">
        <v>773.333333333333</v>
      </c>
      <c r="J33" s="17">
        <v>144.374128183996</v>
      </c>
      <c r="K33" s="17">
        <v>20843.8888888889</v>
      </c>
      <c r="L33" s="31">
        <v>1763</v>
      </c>
      <c r="M33" s="17">
        <v>293.833333333333</v>
      </c>
      <c r="N33" s="17">
        <f t="shared" si="2"/>
        <v>37.9956896551724</v>
      </c>
      <c r="O33" s="17">
        <v>91.0300621894889</v>
      </c>
      <c r="P33" s="17">
        <v>8286.47222222222</v>
      </c>
      <c r="Q33" s="31">
        <v>2073</v>
      </c>
      <c r="R33" s="17">
        <v>345.5</v>
      </c>
      <c r="S33" s="17">
        <f t="shared" si="0"/>
        <v>44.676724137931</v>
      </c>
      <c r="T33" s="17">
        <v>86.1215226680687</v>
      </c>
      <c r="U33" s="17">
        <v>7416.91666666667</v>
      </c>
      <c r="V33" s="33" t="str">
        <f t="shared" si="1"/>
        <v>CONGRESS GAIN</v>
      </c>
      <c r="W33" s="17">
        <f t="shared" si="6"/>
        <v>6.68103448275862</v>
      </c>
      <c r="X33" s="34" t="str">
        <f t="shared" si="3"/>
        <v>NARROWMARGIN</v>
      </c>
    </row>
    <row r="34" spans="1:24">
      <c r="A34" s="4">
        <v>31</v>
      </c>
      <c r="B34" s="4">
        <v>53</v>
      </c>
      <c r="C34" s="3" t="s">
        <v>113</v>
      </c>
      <c r="D34" s="4">
        <v>7</v>
      </c>
      <c r="E34" s="4" t="s">
        <v>114</v>
      </c>
      <c r="F34" s="4"/>
      <c r="G34" s="4">
        <v>4852</v>
      </c>
      <c r="H34" s="17"/>
      <c r="I34" s="17">
        <v>693.142857142857</v>
      </c>
      <c r="J34" s="17">
        <v>136.70450778588</v>
      </c>
      <c r="K34" s="17">
        <v>18688.1224489796</v>
      </c>
      <c r="L34" s="31">
        <v>1860</v>
      </c>
      <c r="M34" s="17">
        <v>265.714285714286</v>
      </c>
      <c r="N34" s="17">
        <f t="shared" si="2"/>
        <v>38.3347073371805</v>
      </c>
      <c r="O34" s="17">
        <v>139.154296977661</v>
      </c>
      <c r="P34" s="17">
        <v>19363.9183673469</v>
      </c>
      <c r="Q34" s="31">
        <v>2447</v>
      </c>
      <c r="R34" s="17">
        <v>349.571428571429</v>
      </c>
      <c r="S34" s="17">
        <f t="shared" si="0"/>
        <v>50.4328112118714</v>
      </c>
      <c r="T34" s="17">
        <v>155.522030724963</v>
      </c>
      <c r="U34" s="17">
        <v>24187.1020408163</v>
      </c>
      <c r="V34" s="33" t="str">
        <f t="shared" si="1"/>
        <v>CONGRESS GAIN</v>
      </c>
      <c r="W34" s="17">
        <f t="shared" si="6"/>
        <v>12.0981038746908</v>
      </c>
      <c r="X34" s="35" t="str">
        <f t="shared" si="3"/>
        <v>LOWMARGIN</v>
      </c>
    </row>
    <row r="35" spans="1:24">
      <c r="A35" s="4">
        <v>32</v>
      </c>
      <c r="B35" s="4">
        <v>54</v>
      </c>
      <c r="C35" s="3" t="s">
        <v>115</v>
      </c>
      <c r="D35" s="4">
        <v>5</v>
      </c>
      <c r="E35" s="4" t="s">
        <v>116</v>
      </c>
      <c r="F35" s="4"/>
      <c r="G35" s="4">
        <v>2627</v>
      </c>
      <c r="H35" s="17"/>
      <c r="I35" s="17">
        <v>656.75</v>
      </c>
      <c r="J35" s="17">
        <v>97.5432596338671</v>
      </c>
      <c r="K35" s="17">
        <v>9514.6875</v>
      </c>
      <c r="L35" s="31">
        <v>1161</v>
      </c>
      <c r="M35" s="17">
        <v>290.25</v>
      </c>
      <c r="N35" s="17">
        <f t="shared" si="2"/>
        <v>44.1948991244766</v>
      </c>
      <c r="O35" s="17">
        <v>72.8744639774455</v>
      </c>
      <c r="P35" s="17">
        <v>5310.6875</v>
      </c>
      <c r="Q35" s="31">
        <v>1333</v>
      </c>
      <c r="R35" s="17">
        <v>333.25</v>
      </c>
      <c r="S35" s="17">
        <f t="shared" si="0"/>
        <v>50.742291587362</v>
      </c>
      <c r="T35" s="17">
        <v>51.0704170729004</v>
      </c>
      <c r="U35" s="17">
        <v>2608.1875</v>
      </c>
      <c r="V35" s="33" t="str">
        <f t="shared" si="1"/>
        <v>CONGRESS GAIN</v>
      </c>
      <c r="W35" s="17">
        <f t="shared" si="6"/>
        <v>6.54739246288542</v>
      </c>
      <c r="X35" s="34" t="str">
        <f t="shared" si="3"/>
        <v>NARROWMARGIN</v>
      </c>
    </row>
    <row r="36" spans="1:24">
      <c r="A36" s="4">
        <v>33</v>
      </c>
      <c r="B36" s="4">
        <v>55</v>
      </c>
      <c r="C36" s="3" t="s">
        <v>117</v>
      </c>
      <c r="D36" s="4">
        <v>8</v>
      </c>
      <c r="E36" s="4" t="s">
        <v>118</v>
      </c>
      <c r="F36" s="4"/>
      <c r="G36" s="4">
        <v>4081</v>
      </c>
      <c r="H36" s="17"/>
      <c r="I36" s="17">
        <v>510.125</v>
      </c>
      <c r="J36" s="17">
        <v>217.662834161002</v>
      </c>
      <c r="K36" s="17">
        <v>47377.109375</v>
      </c>
      <c r="L36" s="31">
        <v>1605</v>
      </c>
      <c r="M36" s="17">
        <v>200.625</v>
      </c>
      <c r="N36" s="17">
        <f t="shared" si="2"/>
        <v>39.3285959323695</v>
      </c>
      <c r="O36" s="17">
        <v>151.162112895395</v>
      </c>
      <c r="P36" s="17">
        <v>22849.984375</v>
      </c>
      <c r="Q36" s="31">
        <v>2236</v>
      </c>
      <c r="R36" s="17">
        <v>279.5</v>
      </c>
      <c r="S36" s="17">
        <f t="shared" si="0"/>
        <v>54.7904925263416</v>
      </c>
      <c r="T36" s="17">
        <v>134.176190138191</v>
      </c>
      <c r="U36" s="17">
        <v>18003.25</v>
      </c>
      <c r="V36" s="33" t="str">
        <f t="shared" si="1"/>
        <v>CONGRESS GAIN</v>
      </c>
      <c r="W36" s="17">
        <f t="shared" si="6"/>
        <v>15.4618965939721</v>
      </c>
      <c r="X36" s="35" t="str">
        <f t="shared" si="3"/>
        <v>LOWMARGIN</v>
      </c>
    </row>
    <row r="37" spans="1:24">
      <c r="A37" s="4">
        <v>34</v>
      </c>
      <c r="B37" s="4">
        <v>56</v>
      </c>
      <c r="C37" s="3" t="s">
        <v>119</v>
      </c>
      <c r="D37" s="4">
        <v>5</v>
      </c>
      <c r="E37" s="4" t="s">
        <v>120</v>
      </c>
      <c r="F37" s="4"/>
      <c r="G37" s="4">
        <v>3269</v>
      </c>
      <c r="H37" s="17"/>
      <c r="I37" s="17">
        <v>653.8</v>
      </c>
      <c r="J37" s="17">
        <v>55.9514074889989</v>
      </c>
      <c r="K37" s="17">
        <v>3130.56</v>
      </c>
      <c r="L37" s="31">
        <v>1558</v>
      </c>
      <c r="M37" s="17">
        <v>311.6</v>
      </c>
      <c r="N37" s="17">
        <f t="shared" si="2"/>
        <v>47.6598348118691</v>
      </c>
      <c r="O37" s="17">
        <v>55.6797988502114</v>
      </c>
      <c r="P37" s="17">
        <v>3100.24</v>
      </c>
      <c r="Q37" s="31">
        <v>1524</v>
      </c>
      <c r="R37" s="17">
        <v>304.8</v>
      </c>
      <c r="S37" s="17">
        <f t="shared" si="0"/>
        <v>46.619761394922</v>
      </c>
      <c r="T37" s="17">
        <v>51.0583979380474</v>
      </c>
      <c r="U37" s="17">
        <v>2606.96</v>
      </c>
      <c r="V37" s="46" t="str">
        <f t="shared" si="1"/>
        <v>BJP GAIN</v>
      </c>
      <c r="W37" s="17">
        <f>((M37-R37)/I37)*100</f>
        <v>1.04007341694708</v>
      </c>
      <c r="X37" s="34" t="str">
        <f t="shared" si="3"/>
        <v>NARROWMARGIN</v>
      </c>
    </row>
    <row r="38" spans="1:24">
      <c r="A38" s="4">
        <v>35</v>
      </c>
      <c r="B38" s="4">
        <v>57</v>
      </c>
      <c r="C38" s="3" t="s">
        <v>121</v>
      </c>
      <c r="D38" s="4">
        <v>5</v>
      </c>
      <c r="E38" s="4" t="s">
        <v>122</v>
      </c>
      <c r="F38" s="4"/>
      <c r="G38" s="4">
        <v>1196</v>
      </c>
      <c r="H38" s="17"/>
      <c r="I38" s="17">
        <v>598</v>
      </c>
      <c r="J38" s="17">
        <v>18</v>
      </c>
      <c r="K38" s="17">
        <v>324</v>
      </c>
      <c r="L38" s="31">
        <v>372</v>
      </c>
      <c r="M38" s="17">
        <v>186</v>
      </c>
      <c r="N38" s="17">
        <f t="shared" si="2"/>
        <v>31.1036789297659</v>
      </c>
      <c r="O38" s="17">
        <v>104</v>
      </c>
      <c r="P38" s="17">
        <v>10816</v>
      </c>
      <c r="Q38" s="31">
        <v>707</v>
      </c>
      <c r="R38" s="17">
        <v>353.5</v>
      </c>
      <c r="S38" s="17">
        <f t="shared" si="0"/>
        <v>59.1137123745819</v>
      </c>
      <c r="T38" s="17">
        <v>86.5</v>
      </c>
      <c r="U38" s="17">
        <v>7482.25</v>
      </c>
      <c r="V38" s="33" t="str">
        <f t="shared" si="1"/>
        <v>CONGRESS GAIN</v>
      </c>
      <c r="W38" s="17">
        <f>((R38-M38)/I38)*100</f>
        <v>28.0100334448161</v>
      </c>
      <c r="X38" s="35" t="str">
        <f t="shared" si="3"/>
        <v>LOWMARGIN</v>
      </c>
    </row>
    <row r="39" spans="1:24">
      <c r="A39" s="4">
        <v>36</v>
      </c>
      <c r="B39" s="4">
        <v>58</v>
      </c>
      <c r="C39" s="3" t="s">
        <v>61</v>
      </c>
      <c r="D39" s="4">
        <v>4</v>
      </c>
      <c r="E39" s="4" t="s">
        <v>123</v>
      </c>
      <c r="F39" s="4"/>
      <c r="G39" s="4">
        <v>1251</v>
      </c>
      <c r="H39" s="17"/>
      <c r="I39" s="17">
        <v>312.75</v>
      </c>
      <c r="J39" s="17">
        <v>318.539930777917</v>
      </c>
      <c r="K39" s="17">
        <v>101467.6875</v>
      </c>
      <c r="L39" s="31">
        <v>498</v>
      </c>
      <c r="M39" s="17">
        <v>124.5</v>
      </c>
      <c r="N39" s="17">
        <f t="shared" si="2"/>
        <v>39.8081534772182</v>
      </c>
      <c r="O39" s="17">
        <v>143.88276477744</v>
      </c>
      <c r="P39" s="17">
        <v>20702.25</v>
      </c>
      <c r="Q39" s="31">
        <v>694</v>
      </c>
      <c r="R39" s="17">
        <v>173.5</v>
      </c>
      <c r="S39" s="17">
        <f t="shared" si="0"/>
        <v>55.4756195043965</v>
      </c>
      <c r="T39" s="17">
        <v>174.471344352017</v>
      </c>
      <c r="U39" s="17">
        <v>30440.25</v>
      </c>
      <c r="V39" s="33" t="str">
        <f t="shared" si="1"/>
        <v>CONGRESS GAIN</v>
      </c>
      <c r="W39" s="17">
        <f>((R39-M39)/I39)*100</f>
        <v>15.6674660271783</v>
      </c>
      <c r="X39" s="35" t="str">
        <f t="shared" si="3"/>
        <v>LOWMARGIN</v>
      </c>
    </row>
    <row r="40" spans="1:24">
      <c r="A40" s="4">
        <v>37</v>
      </c>
      <c r="B40" s="4">
        <v>59</v>
      </c>
      <c r="C40" s="3" t="s">
        <v>124</v>
      </c>
      <c r="D40" s="4">
        <v>6</v>
      </c>
      <c r="E40" s="4" t="s">
        <v>125</v>
      </c>
      <c r="F40" s="4"/>
      <c r="G40" s="4">
        <v>2048</v>
      </c>
      <c r="H40" s="17"/>
      <c r="I40" s="17">
        <v>512</v>
      </c>
      <c r="J40" s="17">
        <v>148.477270987852</v>
      </c>
      <c r="K40" s="17">
        <v>22045.5</v>
      </c>
      <c r="L40" s="31">
        <v>449</v>
      </c>
      <c r="M40" s="17">
        <v>112.25</v>
      </c>
      <c r="N40" s="17">
        <f t="shared" si="2"/>
        <v>21.923828125</v>
      </c>
      <c r="O40" s="17">
        <v>126.155410109912</v>
      </c>
      <c r="P40" s="17">
        <v>15915.1875</v>
      </c>
      <c r="Q40" s="31">
        <v>1515</v>
      </c>
      <c r="R40" s="17">
        <v>378.75</v>
      </c>
      <c r="S40" s="17">
        <f t="shared" si="0"/>
        <v>73.974609375</v>
      </c>
      <c r="T40" s="17">
        <v>29.9196841560869</v>
      </c>
      <c r="U40" s="17">
        <v>895.1875</v>
      </c>
      <c r="V40" s="33" t="str">
        <f t="shared" si="1"/>
        <v>CONGRESS GAIN</v>
      </c>
      <c r="W40" s="17">
        <f>((R40-M40)/I40)*100</f>
        <v>52.05078125</v>
      </c>
      <c r="X40" s="37" t="str">
        <f t="shared" si="3"/>
        <v>VERYHIGHMARGIN</v>
      </c>
    </row>
    <row r="41" spans="1:24">
      <c r="A41" s="4">
        <v>38</v>
      </c>
      <c r="B41" s="4">
        <v>60</v>
      </c>
      <c r="C41" s="3" t="s">
        <v>126</v>
      </c>
      <c r="D41" s="4">
        <v>7</v>
      </c>
      <c r="E41" s="4" t="s">
        <v>127</v>
      </c>
      <c r="F41" s="4"/>
      <c r="G41" s="4">
        <v>4601</v>
      </c>
      <c r="H41" s="17"/>
      <c r="I41" s="17">
        <v>657.285714285714</v>
      </c>
      <c r="J41" s="17">
        <v>184.365874039108</v>
      </c>
      <c r="K41" s="17">
        <v>33990.7755102041</v>
      </c>
      <c r="L41" s="31">
        <v>1588</v>
      </c>
      <c r="M41" s="17">
        <v>226.857142857143</v>
      </c>
      <c r="N41" s="17">
        <f t="shared" si="2"/>
        <v>34.5142360356444</v>
      </c>
      <c r="O41" s="17">
        <v>172.991683178642</v>
      </c>
      <c r="P41" s="17">
        <v>29926.1224489796</v>
      </c>
      <c r="Q41" s="31">
        <v>2407</v>
      </c>
      <c r="R41" s="17">
        <v>343.857142857143</v>
      </c>
      <c r="S41" s="17">
        <f t="shared" si="0"/>
        <v>52.3147141925668</v>
      </c>
      <c r="T41" s="17">
        <v>111.480207815979</v>
      </c>
      <c r="U41" s="17">
        <v>12427.8367346939</v>
      </c>
      <c r="V41" s="33" t="str">
        <f t="shared" si="1"/>
        <v>CONGRESS GAIN</v>
      </c>
      <c r="W41" s="17">
        <f>((R41-M41)/I41)*100</f>
        <v>17.8004781569224</v>
      </c>
      <c r="X41" s="35" t="str">
        <f t="shared" si="3"/>
        <v>LOWMARGIN</v>
      </c>
    </row>
    <row r="42" ht="18.75" spans="1:24">
      <c r="A42" s="6" t="s">
        <v>30</v>
      </c>
      <c r="B42" s="6"/>
      <c r="C42" s="6"/>
      <c r="D42" s="63"/>
      <c r="E42" s="63"/>
      <c r="F42" s="63"/>
      <c r="G42" s="64">
        <f>SUM(G4:G41)</f>
        <v>133110</v>
      </c>
      <c r="H42" s="63"/>
      <c r="I42" s="63"/>
      <c r="J42" s="63"/>
      <c r="K42" s="63"/>
      <c r="L42" s="49">
        <f>SUM(L4:L41)</f>
        <v>56249</v>
      </c>
      <c r="M42" s="63"/>
      <c r="N42" s="63"/>
      <c r="O42" s="63"/>
      <c r="P42" s="63"/>
      <c r="Q42" s="66">
        <f>SUM(Q4:Q41)</f>
        <v>67951</v>
      </c>
      <c r="R42" s="63"/>
      <c r="S42" s="63"/>
      <c r="T42" s="63"/>
      <c r="U42" s="63"/>
      <c r="V42" s="63"/>
      <c r="W42" s="63"/>
      <c r="X42" s="63"/>
    </row>
    <row r="43" ht="18.75" spans="1:24">
      <c r="A43" s="6" t="s">
        <v>128</v>
      </c>
      <c r="B43" s="6"/>
      <c r="C43" s="6"/>
      <c r="D43" s="4"/>
      <c r="E43" s="4"/>
      <c r="F43" s="4"/>
      <c r="G43" s="4"/>
      <c r="H43" s="64"/>
      <c r="I43" s="64">
        <f>AVERAGE(I4:I41)</f>
        <v>628.761058897243</v>
      </c>
      <c r="J43" s="4"/>
      <c r="K43" s="4"/>
      <c r="L43" s="4"/>
      <c r="M43" s="49">
        <f>AVERAGE(M4:M41)</f>
        <v>265.840664160401</v>
      </c>
      <c r="N43" s="49">
        <f>(M43/I43)*100</f>
        <v>42.2800776858935</v>
      </c>
      <c r="O43" s="4"/>
      <c r="P43" s="4"/>
      <c r="Q43" s="4"/>
      <c r="R43" s="66">
        <f>AVERAGE(R4:R41)</f>
        <v>322.004417293233</v>
      </c>
      <c r="S43" s="66">
        <f>(R43/I43)*100</f>
        <v>51.2125254477405</v>
      </c>
      <c r="T43" s="4"/>
      <c r="U43" s="67" t="s">
        <v>129</v>
      </c>
      <c r="V43" s="67">
        <f>COUNTIF(V4:V41,"BJP GAIN")</f>
        <v>11</v>
      </c>
      <c r="W43" s="68" t="s">
        <v>46</v>
      </c>
      <c r="X43" s="68"/>
    </row>
    <row r="44" customHeight="1" spans="1:2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69" t="s">
        <v>130</v>
      </c>
      <c r="V44" s="70">
        <f>COUNTIF(V4:V41,"CONGRESS GAIN")</f>
        <v>27</v>
      </c>
      <c r="W44" s="71"/>
      <c r="X44" s="71"/>
    </row>
    <row r="45" customHeight="1" spans="1:24">
      <c r="A45" s="8" t="s">
        <v>131</v>
      </c>
      <c r="B45" s="8"/>
      <c r="C45" s="8"/>
      <c r="D45" s="8"/>
      <c r="E45" s="8"/>
      <c r="F45" s="8"/>
      <c r="G45" s="8"/>
      <c r="H45" s="65"/>
      <c r="I45" s="65"/>
      <c r="J45" s="65"/>
      <c r="K45" s="65"/>
      <c r="L45" s="65"/>
      <c r="M45" s="65"/>
      <c r="N45" s="65"/>
      <c r="O45" s="7"/>
      <c r="P45" s="7"/>
      <c r="Q45" s="7"/>
      <c r="R45" s="7"/>
      <c r="S45" s="7"/>
      <c r="T45" s="7"/>
      <c r="U45" s="72"/>
      <c r="V45" s="72"/>
      <c r="W45" s="73" t="s">
        <v>132</v>
      </c>
      <c r="X45" s="73">
        <f>COUNTIF(X4:X41,"NARROWMARGIN")</f>
        <v>15</v>
      </c>
    </row>
    <row r="46" customHeight="1" spans="1:24">
      <c r="A46" s="8"/>
      <c r="B46" s="8"/>
      <c r="C46" s="8"/>
      <c r="D46" s="8"/>
      <c r="E46" s="8"/>
      <c r="F46" s="8"/>
      <c r="G46" s="8"/>
      <c r="H46" s="65"/>
      <c r="I46" s="65"/>
      <c r="J46" s="65"/>
      <c r="K46" s="65"/>
      <c r="L46" s="65"/>
      <c r="M46" s="65"/>
      <c r="N46" s="65"/>
      <c r="O46" s="7"/>
      <c r="P46" s="7"/>
      <c r="Q46" s="7"/>
      <c r="R46" s="7"/>
      <c r="S46" s="7"/>
      <c r="T46" s="7"/>
      <c r="U46" s="72"/>
      <c r="V46" s="72"/>
      <c r="W46" s="74" t="s">
        <v>33</v>
      </c>
      <c r="X46" s="74">
        <f>COUNTIF(X4:X41,"LOWMARGIN")</f>
        <v>18</v>
      </c>
    </row>
    <row r="47" spans="1:2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2"/>
      <c r="V47" s="72"/>
      <c r="W47" s="75" t="s">
        <v>34</v>
      </c>
      <c r="X47" s="75">
        <f>COUNTIF(X4:X41,"MEDIUMMARGIN")</f>
        <v>4</v>
      </c>
    </row>
    <row r="48" spans="1:2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6" t="s">
        <v>35</v>
      </c>
      <c r="X48" s="76">
        <f>COUNTIF(X5:X42,"HIGHMARGIN")</f>
        <v>0</v>
      </c>
    </row>
    <row r="49" spans="1:2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7" t="s">
        <v>36</v>
      </c>
      <c r="X49" s="77">
        <f>COUNTIF(X6:X45,"VERYHIGHMARGIN")</f>
        <v>1</v>
      </c>
    </row>
    <row r="50" spans="1:2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8" t="s">
        <v>46</v>
      </c>
      <c r="X50" s="78" t="s">
        <v>33</v>
      </c>
    </row>
    <row r="59" spans="5:5">
      <c r="E59" s="1" t="s">
        <v>133</v>
      </c>
    </row>
  </sheetData>
  <mergeCells count="18">
    <mergeCell ref="A1:X1"/>
    <mergeCell ref="I2:K2"/>
    <mergeCell ref="L2:P2"/>
    <mergeCell ref="Q2:U2"/>
    <mergeCell ref="A42:C42"/>
    <mergeCell ref="A43:C43"/>
    <mergeCell ref="A2:A3"/>
    <mergeCell ref="B2:B3"/>
    <mergeCell ref="C2:C3"/>
    <mergeCell ref="D2:D3"/>
    <mergeCell ref="E2:E3"/>
    <mergeCell ref="F2:F3"/>
    <mergeCell ref="G2:G3"/>
    <mergeCell ref="V2:V3"/>
    <mergeCell ref="W2:W3"/>
    <mergeCell ref="X2:X3"/>
    <mergeCell ref="W43:X44"/>
    <mergeCell ref="A45:G46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topLeftCell="A3" workbookViewId="0">
      <selection activeCell="D23" sqref="D23"/>
    </sheetView>
  </sheetViews>
  <sheetFormatPr defaultColWidth="9" defaultRowHeight="15"/>
  <cols>
    <col min="1" max="1" width="16.2857142857143" style="44" customWidth="1"/>
    <col min="2" max="2" width="25.4285714285714" style="44" customWidth="1"/>
    <col min="3" max="3" width="12.7142857142857" style="44" customWidth="1"/>
    <col min="4" max="4" width="20.8571428571429" style="44" customWidth="1"/>
    <col min="5" max="5" width="9.85714285714286" style="44" customWidth="1"/>
    <col min="6" max="6" width="12.7142857142857" style="44" customWidth="1"/>
    <col min="7" max="7" width="16.8571428571429" style="44" customWidth="1"/>
    <col min="8" max="8" width="17.8571428571429" style="44" customWidth="1"/>
    <col min="9" max="9" width="22.1428571428571" style="44" customWidth="1"/>
    <col min="10" max="10" width="16.7142857142857" style="44" customWidth="1"/>
    <col min="11" max="11" width="22" style="44" customWidth="1"/>
    <col min="12" max="13" width="17.5714285714286" style="44" customWidth="1"/>
    <col min="14" max="15" width="9.14285714285714" style="44"/>
    <col min="16" max="16" width="17.5714285714286" style="44" customWidth="1"/>
    <col min="17" max="16384" width="9.14285714285714" style="44"/>
  </cols>
  <sheetData>
    <row r="1" customHeight="1" spans="4:8">
      <c r="D1" s="49" t="s">
        <v>4</v>
      </c>
      <c r="E1" s="49"/>
      <c r="F1" s="49"/>
      <c r="G1" s="49"/>
      <c r="H1" s="49"/>
    </row>
    <row r="2" customHeight="1" spans="4:8">
      <c r="D2" s="49"/>
      <c r="E2" s="49"/>
      <c r="F2" s="49"/>
      <c r="G2" s="49"/>
      <c r="H2" s="49"/>
    </row>
    <row r="3" spans="1:11">
      <c r="A3" s="33" t="s">
        <v>134</v>
      </c>
      <c r="B3" s="33"/>
      <c r="C3" s="33"/>
      <c r="D3" s="33"/>
      <c r="H3" s="35" t="s">
        <v>135</v>
      </c>
      <c r="I3" s="35"/>
      <c r="J3" s="35"/>
      <c r="K3" s="35"/>
    </row>
    <row r="4" customHeight="1" spans="1:12">
      <c r="A4" s="33"/>
      <c r="B4" s="33"/>
      <c r="C4" s="33"/>
      <c r="D4" s="33"/>
      <c r="E4" s="7"/>
      <c r="F4" s="7"/>
      <c r="H4" s="35"/>
      <c r="I4" s="35"/>
      <c r="J4" s="35"/>
      <c r="K4" s="35"/>
      <c r="L4" s="7"/>
    </row>
    <row r="5" customHeight="1" spans="1:12">
      <c r="A5" s="50" t="s">
        <v>136</v>
      </c>
      <c r="B5" s="51" t="s">
        <v>137</v>
      </c>
      <c r="C5" s="51" t="s">
        <v>27</v>
      </c>
      <c r="D5" s="51" t="s">
        <v>138</v>
      </c>
      <c r="E5" s="7"/>
      <c r="F5" s="7"/>
      <c r="H5" s="51" t="s">
        <v>136</v>
      </c>
      <c r="I5" s="51" t="s">
        <v>137</v>
      </c>
      <c r="J5" s="51" t="s">
        <v>139</v>
      </c>
      <c r="K5" s="51" t="s">
        <v>138</v>
      </c>
      <c r="L5" s="7"/>
    </row>
    <row r="6" spans="1:11">
      <c r="A6" s="4">
        <v>1</v>
      </c>
      <c r="B6" s="4">
        <v>26</v>
      </c>
      <c r="C6" s="17">
        <v>3.72552417258707</v>
      </c>
      <c r="D6" s="34" t="s">
        <v>140</v>
      </c>
      <c r="H6" s="4">
        <v>1</v>
      </c>
      <c r="I6" s="4">
        <v>21</v>
      </c>
      <c r="J6" s="17">
        <v>5.06923257451303</v>
      </c>
      <c r="K6" s="34" t="s">
        <v>140</v>
      </c>
    </row>
    <row r="7" spans="1:11">
      <c r="A7" s="4">
        <v>2</v>
      </c>
      <c r="B7" s="4">
        <v>27</v>
      </c>
      <c r="C7" s="17">
        <v>3.97923875432526</v>
      </c>
      <c r="D7" s="34" t="s">
        <v>140</v>
      </c>
      <c r="H7" s="4">
        <v>2</v>
      </c>
      <c r="I7" s="4">
        <v>24</v>
      </c>
      <c r="J7" s="17">
        <v>7.91499846011703</v>
      </c>
      <c r="K7" s="34" t="s">
        <v>140</v>
      </c>
    </row>
    <row r="8" spans="1:11">
      <c r="A8" s="4">
        <v>3</v>
      </c>
      <c r="B8" s="4">
        <v>28</v>
      </c>
      <c r="C8" s="17">
        <v>31.8418314255983</v>
      </c>
      <c r="D8" s="36" t="s">
        <v>141</v>
      </c>
      <c r="H8" s="4">
        <v>3</v>
      </c>
      <c r="I8" s="4">
        <v>25</v>
      </c>
      <c r="J8" s="17">
        <v>8.3183568677792</v>
      </c>
      <c r="K8" s="34" t="s">
        <v>140</v>
      </c>
    </row>
    <row r="9" spans="1:11">
      <c r="A9" s="4">
        <v>4</v>
      </c>
      <c r="B9" s="4">
        <v>29</v>
      </c>
      <c r="C9" s="17">
        <v>35.8410819949281</v>
      </c>
      <c r="D9" s="36" t="s">
        <v>141</v>
      </c>
      <c r="H9" s="4">
        <v>4</v>
      </c>
      <c r="I9" s="4">
        <v>31</v>
      </c>
      <c r="J9" s="17">
        <v>12.5707814269536</v>
      </c>
      <c r="K9" s="35" t="s">
        <v>142</v>
      </c>
    </row>
    <row r="10" spans="1:11">
      <c r="A10" s="4">
        <v>5</v>
      </c>
      <c r="B10" s="4">
        <v>30</v>
      </c>
      <c r="C10" s="17">
        <v>0.825396825396824</v>
      </c>
      <c r="D10" s="34" t="s">
        <v>140</v>
      </c>
      <c r="H10" s="4">
        <v>5</v>
      </c>
      <c r="I10" s="4">
        <v>34</v>
      </c>
      <c r="J10" s="17">
        <v>20.7172495554238</v>
      </c>
      <c r="K10" s="35" t="s">
        <v>142</v>
      </c>
    </row>
    <row r="11" spans="1:11">
      <c r="A11" s="4">
        <v>6</v>
      </c>
      <c r="B11" s="4">
        <v>32</v>
      </c>
      <c r="C11" s="17">
        <v>7.64744005184705</v>
      </c>
      <c r="D11" s="34" t="s">
        <v>140</v>
      </c>
      <c r="H11" s="4">
        <v>6</v>
      </c>
      <c r="I11" s="4">
        <v>35</v>
      </c>
      <c r="J11" s="17">
        <v>18.4685619423117</v>
      </c>
      <c r="K11" s="35" t="s">
        <v>142</v>
      </c>
    </row>
    <row r="12" spans="1:11">
      <c r="A12" s="4">
        <v>7</v>
      </c>
      <c r="B12" s="4">
        <v>33</v>
      </c>
      <c r="C12" s="17">
        <v>6.6063704286276</v>
      </c>
      <c r="D12" s="34" t="s">
        <v>140</v>
      </c>
      <c r="H12" s="4">
        <v>7</v>
      </c>
      <c r="I12" s="4">
        <v>36</v>
      </c>
      <c r="J12" s="17">
        <v>29.9096528768426</v>
      </c>
      <c r="K12" s="35" t="s">
        <v>142</v>
      </c>
    </row>
    <row r="13" spans="1:11">
      <c r="A13" s="4">
        <v>8</v>
      </c>
      <c r="B13" s="4">
        <v>41</v>
      </c>
      <c r="C13" s="17">
        <v>25.6438557763061</v>
      </c>
      <c r="D13" s="35" t="s">
        <v>142</v>
      </c>
      <c r="H13" s="4">
        <v>8</v>
      </c>
      <c r="I13" s="4">
        <v>37</v>
      </c>
      <c r="J13" s="17">
        <v>14.5221569674319</v>
      </c>
      <c r="K13" s="35" t="s">
        <v>142</v>
      </c>
    </row>
    <row r="14" spans="1:11">
      <c r="A14" s="4">
        <v>9</v>
      </c>
      <c r="B14" s="4">
        <v>42</v>
      </c>
      <c r="C14" s="17">
        <v>18.5423641514293</v>
      </c>
      <c r="D14" s="35" t="s">
        <v>142</v>
      </c>
      <c r="H14" s="4">
        <v>9</v>
      </c>
      <c r="I14" s="4">
        <v>38</v>
      </c>
      <c r="J14" s="17">
        <v>27.5385539755658</v>
      </c>
      <c r="K14" s="35" t="s">
        <v>142</v>
      </c>
    </row>
    <row r="15" spans="1:11">
      <c r="A15" s="4">
        <v>10</v>
      </c>
      <c r="B15" s="4">
        <v>49</v>
      </c>
      <c r="C15" s="17">
        <v>4.38832539846822</v>
      </c>
      <c r="D15" s="34" t="s">
        <v>140</v>
      </c>
      <c r="H15" s="4">
        <v>10</v>
      </c>
      <c r="I15" s="4">
        <v>39</v>
      </c>
      <c r="J15" s="17">
        <v>30.5563321218899</v>
      </c>
      <c r="K15" s="36" t="s">
        <v>141</v>
      </c>
    </row>
    <row r="16" spans="1:11">
      <c r="A16" s="4">
        <v>11</v>
      </c>
      <c r="B16" s="4">
        <v>56</v>
      </c>
      <c r="C16" s="17">
        <v>1.04007341694708</v>
      </c>
      <c r="D16" s="34" t="s">
        <v>140</v>
      </c>
      <c r="H16" s="4">
        <v>11</v>
      </c>
      <c r="I16" s="4">
        <v>40</v>
      </c>
      <c r="J16" s="17">
        <v>24.1881298992161</v>
      </c>
      <c r="K16" s="35" t="s">
        <v>142</v>
      </c>
    </row>
    <row r="17" spans="8:11">
      <c r="H17" s="4">
        <v>12</v>
      </c>
      <c r="I17" s="4">
        <v>43</v>
      </c>
      <c r="J17" s="17">
        <v>15.8099964551577</v>
      </c>
      <c r="K17" s="35" t="s">
        <v>142</v>
      </c>
    </row>
    <row r="18" spans="1:11">
      <c r="A18" s="13" t="s">
        <v>143</v>
      </c>
      <c r="B18" s="13"/>
      <c r="H18" s="4">
        <v>13</v>
      </c>
      <c r="I18" s="4">
        <v>44</v>
      </c>
      <c r="J18" s="17">
        <v>5.43029533185139</v>
      </c>
      <c r="K18" s="34" t="s">
        <v>140</v>
      </c>
    </row>
    <row r="19" spans="1:11">
      <c r="A19" s="13"/>
      <c r="B19" s="13"/>
      <c r="H19" s="4">
        <v>14</v>
      </c>
      <c r="I19" s="4">
        <v>45</v>
      </c>
      <c r="J19" s="17">
        <v>39.9680893498205</v>
      </c>
      <c r="K19" s="36" t="s">
        <v>141</v>
      </c>
    </row>
    <row r="20" spans="1:11">
      <c r="A20" s="34" t="s">
        <v>132</v>
      </c>
      <c r="B20" s="34">
        <f>COUNTIF(D6:D16,"NARROWMARGIN")</f>
        <v>7</v>
      </c>
      <c r="E20" s="7"/>
      <c r="F20" s="7"/>
      <c r="G20" s="7"/>
      <c r="H20" s="4">
        <v>15</v>
      </c>
      <c r="I20" s="4">
        <v>46</v>
      </c>
      <c r="J20" s="17">
        <v>8.56372218476062</v>
      </c>
      <c r="K20" s="34" t="s">
        <v>140</v>
      </c>
    </row>
    <row r="21" spans="1:11">
      <c r="A21" s="35" t="s">
        <v>33</v>
      </c>
      <c r="B21" s="35">
        <f>COUNTIF(D6:D16,"LOWMARGIN")</f>
        <v>2</v>
      </c>
      <c r="E21" s="7"/>
      <c r="F21" s="7"/>
      <c r="G21" s="7"/>
      <c r="H21" s="4">
        <v>16</v>
      </c>
      <c r="I21" s="4">
        <v>47</v>
      </c>
      <c r="J21" s="17">
        <v>17.7784770295784</v>
      </c>
      <c r="K21" s="35" t="s">
        <v>142</v>
      </c>
    </row>
    <row r="22" spans="1:11">
      <c r="A22" s="36" t="s">
        <v>34</v>
      </c>
      <c r="B22" s="36">
        <f>COUNTIF(D6:D16,"MEDIUMMARGIN")</f>
        <v>2</v>
      </c>
      <c r="E22" s="7"/>
      <c r="F22" s="7"/>
      <c r="G22" s="7"/>
      <c r="H22" s="4">
        <v>17</v>
      </c>
      <c r="I22" s="4">
        <v>48</v>
      </c>
      <c r="J22" s="17">
        <v>18.1171067738232</v>
      </c>
      <c r="K22" s="35" t="s">
        <v>142</v>
      </c>
    </row>
    <row r="23" spans="1:11">
      <c r="A23" s="52" t="s">
        <v>144</v>
      </c>
      <c r="B23" s="52">
        <f>COUNTIF(D6:D16,"HIGHMARGIN")</f>
        <v>0</v>
      </c>
      <c r="E23" s="7"/>
      <c r="F23" s="7"/>
      <c r="G23" s="7"/>
      <c r="H23" s="4">
        <v>18</v>
      </c>
      <c r="I23" s="4">
        <v>50</v>
      </c>
      <c r="J23" s="17">
        <v>5.69337854720685</v>
      </c>
      <c r="K23" s="34" t="s">
        <v>140</v>
      </c>
    </row>
    <row r="24" spans="1:11">
      <c r="A24" s="37" t="s">
        <v>145</v>
      </c>
      <c r="B24" s="53">
        <f>COUNTIF(D6:D16,"VERYHIGHMARGIN")</f>
        <v>0</v>
      </c>
      <c r="E24" s="7"/>
      <c r="F24" s="7"/>
      <c r="G24" s="7"/>
      <c r="H24" s="4">
        <v>19</v>
      </c>
      <c r="I24" s="4">
        <v>51</v>
      </c>
      <c r="J24" s="17">
        <v>25.9018597356038</v>
      </c>
      <c r="K24" s="35" t="s">
        <v>142</v>
      </c>
    </row>
    <row r="25" spans="5:11">
      <c r="E25" s="7"/>
      <c r="F25" s="7"/>
      <c r="G25" s="7"/>
      <c r="H25" s="4">
        <v>20</v>
      </c>
      <c r="I25" s="4">
        <v>52</v>
      </c>
      <c r="J25" s="17">
        <v>6.68103448275862</v>
      </c>
      <c r="K25" s="34" t="s">
        <v>140</v>
      </c>
    </row>
    <row r="26" ht="14.25" customHeight="1" spans="5:11">
      <c r="E26" s="7"/>
      <c r="F26" s="7"/>
      <c r="G26" s="7"/>
      <c r="H26" s="4">
        <v>21</v>
      </c>
      <c r="I26" s="4">
        <v>53</v>
      </c>
      <c r="J26" s="17">
        <v>12.0981038746908</v>
      </c>
      <c r="K26" s="35" t="s">
        <v>142</v>
      </c>
    </row>
    <row r="27" spans="5:11">
      <c r="E27" s="7"/>
      <c r="F27" s="7"/>
      <c r="G27" s="7"/>
      <c r="H27" s="4">
        <v>22</v>
      </c>
      <c r="I27" s="4">
        <v>54</v>
      </c>
      <c r="J27" s="17">
        <v>6.54739246288542</v>
      </c>
      <c r="K27" s="34" t="s">
        <v>140</v>
      </c>
    </row>
    <row r="28" spans="5:11">
      <c r="E28" s="7"/>
      <c r="F28" s="7"/>
      <c r="G28" s="7"/>
      <c r="H28" s="4">
        <v>23</v>
      </c>
      <c r="I28" s="4">
        <v>55</v>
      </c>
      <c r="J28" s="17">
        <v>15.4618965939721</v>
      </c>
      <c r="K28" s="35" t="s">
        <v>142</v>
      </c>
    </row>
    <row r="29" spans="5:11">
      <c r="E29" s="7"/>
      <c r="F29" s="7"/>
      <c r="G29" s="7"/>
      <c r="H29" s="4">
        <v>24</v>
      </c>
      <c r="I29" s="4">
        <v>57</v>
      </c>
      <c r="J29" s="17">
        <v>28.0100334448161</v>
      </c>
      <c r="K29" s="35" t="s">
        <v>142</v>
      </c>
    </row>
    <row r="30" spans="5:11">
      <c r="E30" s="7"/>
      <c r="F30" s="7"/>
      <c r="G30" s="7"/>
      <c r="H30" s="4">
        <v>25</v>
      </c>
      <c r="I30" s="4">
        <v>58</v>
      </c>
      <c r="J30" s="17">
        <v>15.6674660271783</v>
      </c>
      <c r="K30" s="35" t="s">
        <v>142</v>
      </c>
    </row>
    <row r="31" spans="5:11">
      <c r="E31" s="7"/>
      <c r="F31" s="7"/>
      <c r="G31" s="7"/>
      <c r="H31" s="4">
        <v>26</v>
      </c>
      <c r="I31" s="4">
        <v>59</v>
      </c>
      <c r="J31" s="17">
        <v>52.05078125</v>
      </c>
      <c r="K31" s="37" t="s">
        <v>145</v>
      </c>
    </row>
    <row r="32" spans="6:11">
      <c r="F32" s="7"/>
      <c r="G32" s="7"/>
      <c r="H32" s="4">
        <v>27</v>
      </c>
      <c r="I32" s="4">
        <v>60</v>
      </c>
      <c r="J32" s="17">
        <v>17.8004781569224</v>
      </c>
      <c r="K32" s="35" t="s">
        <v>142</v>
      </c>
    </row>
    <row r="33" spans="6:9">
      <c r="F33" s="7"/>
      <c r="G33" s="7"/>
      <c r="H33" s="7"/>
      <c r="I33" s="7"/>
    </row>
    <row r="34" spans="6:9">
      <c r="F34" s="7"/>
      <c r="G34" s="7"/>
      <c r="H34" s="54" t="s">
        <v>146</v>
      </c>
      <c r="I34" s="56"/>
    </row>
    <row r="35" spans="6:9">
      <c r="F35" s="7"/>
      <c r="G35" s="7"/>
      <c r="H35" s="55"/>
      <c r="I35" s="57"/>
    </row>
    <row r="36" spans="8:9">
      <c r="H36" s="34" t="s">
        <v>132</v>
      </c>
      <c r="I36" s="34">
        <f>COUNTIF(K6:K32,"NARROWMARGIN")</f>
        <v>8</v>
      </c>
    </row>
    <row r="37" spans="8:9">
      <c r="H37" s="35" t="s">
        <v>33</v>
      </c>
      <c r="I37" s="35">
        <f>COUNTIF(K6:K32,"LOWMARGIN")</f>
        <v>16</v>
      </c>
    </row>
    <row r="38" spans="8:9">
      <c r="H38" s="36" t="s">
        <v>34</v>
      </c>
      <c r="I38" s="36">
        <f>COUNTIF(K6:K32,"MEDIUMMARGIN")</f>
        <v>2</v>
      </c>
    </row>
    <row r="39" spans="8:9">
      <c r="H39" s="52" t="s">
        <v>144</v>
      </c>
      <c r="I39" s="52">
        <f>COUNTIF(K22:K32,"HIGHMARGIN")</f>
        <v>0</v>
      </c>
    </row>
    <row r="40" spans="8:9">
      <c r="H40" s="37" t="s">
        <v>145</v>
      </c>
      <c r="I40" s="53">
        <f>COUNTIF(K6:K32,"VERYHIGHMARGIN")</f>
        <v>1</v>
      </c>
    </row>
  </sheetData>
  <mergeCells count="5">
    <mergeCell ref="D1:H2"/>
    <mergeCell ref="A18:B19"/>
    <mergeCell ref="H34:I35"/>
    <mergeCell ref="A3:D4"/>
    <mergeCell ref="H3:K4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1"/>
  <sheetViews>
    <sheetView workbookViewId="0">
      <selection activeCell="F14" sqref="F14:F15"/>
    </sheetView>
  </sheetViews>
  <sheetFormatPr defaultColWidth="9" defaultRowHeight="15"/>
  <cols>
    <col min="1" max="1" width="9.14285714285714" style="7"/>
    <col min="2" max="2" width="10.5714285714286" style="7" customWidth="1"/>
    <col min="3" max="3" width="20.2857142857143" style="7" customWidth="1"/>
    <col min="4" max="4" width="13.5714285714286" style="7" customWidth="1"/>
    <col min="5" max="5" width="24.4285714285714" style="7" customWidth="1"/>
    <col min="6" max="6" width="15.5714285714286" style="7" customWidth="1"/>
    <col min="7" max="8" width="16.8571428571429" style="7" customWidth="1"/>
    <col min="9" max="17" width="12" style="7" customWidth="1"/>
    <col min="18" max="18" width="14" style="7" customWidth="1"/>
    <col min="19" max="19" width="13.2857142857143" style="7" customWidth="1"/>
    <col min="20" max="20" width="16.8571428571429" style="7" customWidth="1"/>
    <col min="21" max="21" width="9.14285714285714" style="7"/>
    <col min="22" max="22" width="16.8571428571429" style="7" customWidth="1"/>
    <col min="23" max="16384" width="9.14285714285714" style="7"/>
  </cols>
  <sheetData>
    <row r="1" ht="28.5" spans="1:22">
      <c r="A1" s="10" t="s">
        <v>147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ht="26.25" spans="1:22">
      <c r="A2" s="11" t="s">
        <v>132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>
      <c r="A3" s="2" t="s">
        <v>38</v>
      </c>
      <c r="B3" s="2" t="s">
        <v>39</v>
      </c>
      <c r="C3" s="2" t="s">
        <v>40</v>
      </c>
      <c r="D3" s="13" t="s">
        <v>41</v>
      </c>
      <c r="E3" s="2" t="s">
        <v>42</v>
      </c>
      <c r="F3" s="12" t="s">
        <v>44</v>
      </c>
      <c r="G3" s="2" t="s">
        <v>44</v>
      </c>
      <c r="H3" s="2"/>
      <c r="I3" s="2"/>
      <c r="J3" s="25" t="s">
        <v>4</v>
      </c>
      <c r="K3" s="26"/>
      <c r="L3" s="26"/>
      <c r="M3" s="26"/>
      <c r="N3" s="27"/>
      <c r="O3" s="28" t="s">
        <v>32</v>
      </c>
      <c r="P3" s="29"/>
      <c r="Q3" s="29"/>
      <c r="R3" s="29"/>
      <c r="S3" s="32"/>
      <c r="T3" s="13" t="s">
        <v>45</v>
      </c>
      <c r="U3" s="13" t="s">
        <v>27</v>
      </c>
      <c r="V3" s="13" t="s">
        <v>46</v>
      </c>
    </row>
    <row r="4" ht="30" spans="1:22">
      <c r="A4" s="2"/>
      <c r="B4" s="2"/>
      <c r="C4" s="2"/>
      <c r="D4" s="13"/>
      <c r="E4" s="2"/>
      <c r="F4" s="16"/>
      <c r="G4" s="13" t="s">
        <v>48</v>
      </c>
      <c r="H4" s="13" t="s">
        <v>49</v>
      </c>
      <c r="I4" s="13" t="s">
        <v>50</v>
      </c>
      <c r="J4" s="13" t="s">
        <v>51</v>
      </c>
      <c r="K4" s="13" t="s">
        <v>48</v>
      </c>
      <c r="L4" s="13" t="s">
        <v>52</v>
      </c>
      <c r="M4" s="13" t="s">
        <v>49</v>
      </c>
      <c r="N4" s="13" t="s">
        <v>50</v>
      </c>
      <c r="O4" s="13" t="s">
        <v>51</v>
      </c>
      <c r="P4" s="13" t="s">
        <v>48</v>
      </c>
      <c r="Q4" s="13" t="s">
        <v>52</v>
      </c>
      <c r="R4" s="13" t="s">
        <v>49</v>
      </c>
      <c r="S4" s="13" t="s">
        <v>50</v>
      </c>
      <c r="T4" s="13"/>
      <c r="U4" s="13"/>
      <c r="V4" s="13"/>
    </row>
    <row r="5" spans="1:22">
      <c r="A5" s="4">
        <v>1</v>
      </c>
      <c r="B5" s="4">
        <v>26</v>
      </c>
      <c r="C5" s="3" t="s">
        <v>59</v>
      </c>
      <c r="D5" s="4">
        <v>7</v>
      </c>
      <c r="E5" s="5" t="s">
        <v>60</v>
      </c>
      <c r="F5" s="5">
        <v>5771</v>
      </c>
      <c r="G5" s="17">
        <v>721.375</v>
      </c>
      <c r="H5" s="17">
        <v>179.960368901044</v>
      </c>
      <c r="I5" s="17">
        <v>32385.734375</v>
      </c>
      <c r="J5" s="31">
        <v>2863</v>
      </c>
      <c r="K5" s="17">
        <v>357.875</v>
      </c>
      <c r="L5" s="17">
        <v>49.6101195633339</v>
      </c>
      <c r="M5" s="17">
        <v>119.96815983835</v>
      </c>
      <c r="N5" s="17">
        <v>14392.359375</v>
      </c>
      <c r="O5" s="31">
        <v>2648</v>
      </c>
      <c r="P5" s="17">
        <v>331</v>
      </c>
      <c r="Q5" s="17">
        <v>45.8845953907468</v>
      </c>
      <c r="R5" s="17">
        <v>71.3827710305505</v>
      </c>
      <c r="S5" s="17">
        <v>5095.5</v>
      </c>
      <c r="T5" s="46" t="s">
        <v>148</v>
      </c>
      <c r="U5" s="17">
        <v>3.72552417258707</v>
      </c>
      <c r="V5" s="34" t="s">
        <v>140</v>
      </c>
    </row>
    <row r="6" spans="1:22">
      <c r="A6" s="4">
        <v>2</v>
      </c>
      <c r="B6" s="4">
        <v>27</v>
      </c>
      <c r="C6" s="3" t="s">
        <v>61</v>
      </c>
      <c r="D6" s="4">
        <v>6</v>
      </c>
      <c r="E6" s="5" t="s">
        <v>62</v>
      </c>
      <c r="F6" s="5">
        <v>4046</v>
      </c>
      <c r="G6" s="17">
        <v>674.333333333333</v>
      </c>
      <c r="H6" s="17">
        <v>127.83670138979</v>
      </c>
      <c r="I6" s="17">
        <v>16342.2222222222</v>
      </c>
      <c r="J6" s="31">
        <v>1984</v>
      </c>
      <c r="K6" s="17">
        <v>330.666666666667</v>
      </c>
      <c r="L6" s="17">
        <v>49.0360850222442</v>
      </c>
      <c r="M6" s="17">
        <v>132.933149448218</v>
      </c>
      <c r="N6" s="17">
        <v>17671.2222222222</v>
      </c>
      <c r="O6" s="31">
        <v>1823</v>
      </c>
      <c r="P6" s="17">
        <v>303.833333333333</v>
      </c>
      <c r="Q6" s="17">
        <v>45.0568462679189</v>
      </c>
      <c r="R6" s="17">
        <v>108.378067686943</v>
      </c>
      <c r="S6" s="17">
        <v>11745.8055555556</v>
      </c>
      <c r="T6" s="46" t="s">
        <v>148</v>
      </c>
      <c r="U6" s="17">
        <v>3.97923875432526</v>
      </c>
      <c r="V6" s="34" t="s">
        <v>140</v>
      </c>
    </row>
    <row r="7" spans="1:22">
      <c r="A7" s="4">
        <v>3</v>
      </c>
      <c r="B7" s="4">
        <v>30</v>
      </c>
      <c r="C7" s="3" t="s">
        <v>67</v>
      </c>
      <c r="D7" s="4">
        <v>5</v>
      </c>
      <c r="E7" s="5" t="s">
        <v>68</v>
      </c>
      <c r="F7" s="5">
        <v>3150</v>
      </c>
      <c r="G7" s="17">
        <v>630</v>
      </c>
      <c r="H7" s="17">
        <v>113.952621733771</v>
      </c>
      <c r="I7" s="17">
        <v>12985.2</v>
      </c>
      <c r="J7" s="31">
        <v>1522</v>
      </c>
      <c r="K7" s="17">
        <v>304.4</v>
      </c>
      <c r="L7" s="17">
        <v>48.3174603174603</v>
      </c>
      <c r="M7" s="17">
        <v>71.4411646041692</v>
      </c>
      <c r="N7" s="17">
        <v>5103.84</v>
      </c>
      <c r="O7" s="31">
        <v>1496</v>
      </c>
      <c r="P7" s="17">
        <v>299.2</v>
      </c>
      <c r="Q7" s="17">
        <v>47.4920634920635</v>
      </c>
      <c r="R7" s="17">
        <v>43.199074064151</v>
      </c>
      <c r="S7" s="17">
        <v>1866.16</v>
      </c>
      <c r="T7" s="46" t="s">
        <v>148</v>
      </c>
      <c r="U7" s="17">
        <v>0.825396825396824</v>
      </c>
      <c r="V7" s="34" t="s">
        <v>140</v>
      </c>
    </row>
    <row r="8" spans="1:22">
      <c r="A8" s="4">
        <v>4</v>
      </c>
      <c r="B8" s="4">
        <v>32</v>
      </c>
      <c r="C8" s="3" t="s">
        <v>71</v>
      </c>
      <c r="D8" s="4">
        <v>5</v>
      </c>
      <c r="E8" s="5" t="s">
        <v>72</v>
      </c>
      <c r="F8" s="5">
        <v>3086</v>
      </c>
      <c r="G8" s="17">
        <v>617.2</v>
      </c>
      <c r="H8" s="17">
        <v>162.556328698701</v>
      </c>
      <c r="I8" s="17">
        <v>26424.56</v>
      </c>
      <c r="J8" s="31">
        <v>1537</v>
      </c>
      <c r="K8" s="17">
        <v>307.4</v>
      </c>
      <c r="L8" s="17">
        <v>49.8055735580039</v>
      </c>
      <c r="M8" s="17">
        <v>83.2504654641642</v>
      </c>
      <c r="N8" s="17">
        <v>6930.64</v>
      </c>
      <c r="O8" s="31">
        <v>1301</v>
      </c>
      <c r="P8" s="17">
        <v>260.2</v>
      </c>
      <c r="Q8" s="17">
        <v>42.1581335061568</v>
      </c>
      <c r="R8" s="17">
        <v>78.1470408908744</v>
      </c>
      <c r="S8" s="17">
        <v>6106.96</v>
      </c>
      <c r="T8" s="46" t="s">
        <v>148</v>
      </c>
      <c r="U8" s="17">
        <v>7.64744005184705</v>
      </c>
      <c r="V8" s="34" t="s">
        <v>140</v>
      </c>
    </row>
    <row r="9" spans="1:22">
      <c r="A9" s="4">
        <v>5</v>
      </c>
      <c r="B9" s="4">
        <v>33</v>
      </c>
      <c r="C9" s="3" t="s">
        <v>73</v>
      </c>
      <c r="D9" s="4">
        <v>4</v>
      </c>
      <c r="E9" s="5" t="s">
        <v>74</v>
      </c>
      <c r="F9" s="5">
        <v>2543</v>
      </c>
      <c r="G9" s="17">
        <v>635.75</v>
      </c>
      <c r="H9" s="17">
        <v>55.2556558191105</v>
      </c>
      <c r="I9" s="17">
        <v>3053.1875</v>
      </c>
      <c r="J9" s="31">
        <v>1319</v>
      </c>
      <c r="K9" s="17">
        <v>329.75</v>
      </c>
      <c r="L9" s="17">
        <v>51.8678725914274</v>
      </c>
      <c r="M9" s="17">
        <v>59.1031936531352</v>
      </c>
      <c r="N9" s="17">
        <v>3493.1875</v>
      </c>
      <c r="O9" s="31">
        <v>1151</v>
      </c>
      <c r="P9" s="17">
        <v>287.75</v>
      </c>
      <c r="Q9" s="17">
        <v>45.2615021627998</v>
      </c>
      <c r="R9" s="17">
        <v>100.355306287211</v>
      </c>
      <c r="S9" s="17">
        <v>10071.1875</v>
      </c>
      <c r="T9" s="46" t="s">
        <v>148</v>
      </c>
      <c r="U9" s="17">
        <v>6.6063704286276</v>
      </c>
      <c r="V9" s="34" t="s">
        <v>140</v>
      </c>
    </row>
    <row r="10" spans="1:22">
      <c r="A10" s="4">
        <v>6</v>
      </c>
      <c r="B10" s="4">
        <v>49</v>
      </c>
      <c r="C10" s="3" t="s">
        <v>105</v>
      </c>
      <c r="D10" s="4">
        <v>6</v>
      </c>
      <c r="E10" s="4" t="s">
        <v>106</v>
      </c>
      <c r="F10" s="4">
        <v>4831</v>
      </c>
      <c r="G10" s="17">
        <v>805.166666666667</v>
      </c>
      <c r="H10" s="17">
        <v>217.921558262499</v>
      </c>
      <c r="I10" s="17">
        <v>47489.8055555556</v>
      </c>
      <c r="J10" s="31">
        <v>2361</v>
      </c>
      <c r="K10" s="17">
        <v>393.5</v>
      </c>
      <c r="L10" s="17">
        <v>48.871869178224</v>
      </c>
      <c r="M10" s="17">
        <v>136.086675811166</v>
      </c>
      <c r="N10" s="17">
        <v>18519.5833333333</v>
      </c>
      <c r="O10" s="31">
        <v>2149</v>
      </c>
      <c r="P10" s="17">
        <v>358.166666666667</v>
      </c>
      <c r="Q10" s="17">
        <v>44.4835437797557</v>
      </c>
      <c r="R10" s="17">
        <v>140.926005012875</v>
      </c>
      <c r="S10" s="17">
        <v>19860.1388888889</v>
      </c>
      <c r="T10" s="46" t="s">
        <v>148</v>
      </c>
      <c r="U10" s="17">
        <v>4.38832539846822</v>
      </c>
      <c r="V10" s="34" t="s">
        <v>140</v>
      </c>
    </row>
    <row r="11" spans="1:22">
      <c r="A11" s="40">
        <v>7</v>
      </c>
      <c r="B11" s="40">
        <v>56</v>
      </c>
      <c r="C11" s="41" t="s">
        <v>119</v>
      </c>
      <c r="D11" s="40">
        <v>5</v>
      </c>
      <c r="E11" s="40" t="s">
        <v>120</v>
      </c>
      <c r="F11" s="40">
        <v>3269</v>
      </c>
      <c r="G11" s="42">
        <v>653.8</v>
      </c>
      <c r="H11" s="42">
        <v>55.9514074889989</v>
      </c>
      <c r="I11" s="42">
        <v>3130.56</v>
      </c>
      <c r="J11" s="45">
        <v>1558</v>
      </c>
      <c r="K11" s="42">
        <v>311.6</v>
      </c>
      <c r="L11" s="42">
        <v>47.6598348118691</v>
      </c>
      <c r="M11" s="42">
        <v>55.6797988502114</v>
      </c>
      <c r="N11" s="42">
        <v>3100.24</v>
      </c>
      <c r="O11" s="45">
        <v>1524</v>
      </c>
      <c r="P11" s="42">
        <v>304.8</v>
      </c>
      <c r="Q11" s="42">
        <v>46.619761394922</v>
      </c>
      <c r="R11" s="42">
        <v>51.0583979380474</v>
      </c>
      <c r="S11" s="42">
        <v>2606.96</v>
      </c>
      <c r="T11" s="47" t="s">
        <v>148</v>
      </c>
      <c r="U11" s="42">
        <v>1.04007341694708</v>
      </c>
      <c r="V11" s="48" t="s">
        <v>140</v>
      </c>
    </row>
    <row r="12" s="38" customFormat="1" ht="15.75" spans="1:22">
      <c r="A12" s="18"/>
      <c r="B12" s="18"/>
      <c r="C12" s="19"/>
      <c r="D12" s="18"/>
      <c r="E12" s="18"/>
      <c r="F12" s="18">
        <f>SUM(F5:F11)</f>
        <v>26696</v>
      </c>
      <c r="G12" s="18"/>
      <c r="H12" s="18"/>
      <c r="I12" s="18"/>
      <c r="J12" s="18">
        <f>SUM(J5:J11)</f>
        <v>13144</v>
      </c>
      <c r="K12" s="18"/>
      <c r="L12" s="18"/>
      <c r="M12" s="18"/>
      <c r="N12" s="18"/>
      <c r="O12" s="18">
        <f>SUM(O5:O11)</f>
        <v>12092</v>
      </c>
      <c r="P12" s="18"/>
      <c r="Q12" s="18"/>
      <c r="R12" s="18"/>
      <c r="S12" s="18"/>
      <c r="T12" s="18"/>
      <c r="U12" s="18"/>
      <c r="V12" s="18"/>
    </row>
    <row r="13" ht="26.25" spans="1:22">
      <c r="A13" s="22" t="s">
        <v>33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</row>
    <row r="14" spans="1:22">
      <c r="A14" s="2" t="s">
        <v>38</v>
      </c>
      <c r="B14" s="2" t="s">
        <v>39</v>
      </c>
      <c r="C14" s="2" t="s">
        <v>40</v>
      </c>
      <c r="D14" s="13" t="s">
        <v>41</v>
      </c>
      <c r="E14" s="2" t="s">
        <v>42</v>
      </c>
      <c r="F14" s="12" t="s">
        <v>44</v>
      </c>
      <c r="G14" s="2" t="s">
        <v>44</v>
      </c>
      <c r="H14" s="2"/>
      <c r="I14" s="2"/>
      <c r="J14" s="25" t="s">
        <v>4</v>
      </c>
      <c r="K14" s="26"/>
      <c r="L14" s="26"/>
      <c r="M14" s="26"/>
      <c r="N14" s="27"/>
      <c r="O14" s="28" t="s">
        <v>32</v>
      </c>
      <c r="P14" s="29"/>
      <c r="Q14" s="29"/>
      <c r="R14" s="29"/>
      <c r="S14" s="32"/>
      <c r="T14" s="13" t="s">
        <v>45</v>
      </c>
      <c r="U14" s="13" t="s">
        <v>27</v>
      </c>
      <c r="V14" s="13" t="s">
        <v>46</v>
      </c>
    </row>
    <row r="15" ht="30" spans="1:22">
      <c r="A15" s="2"/>
      <c r="B15" s="2"/>
      <c r="C15" s="2"/>
      <c r="D15" s="13"/>
      <c r="E15" s="2"/>
      <c r="F15" s="16"/>
      <c r="G15" s="13" t="s">
        <v>48</v>
      </c>
      <c r="H15" s="13" t="s">
        <v>49</v>
      </c>
      <c r="I15" s="13" t="s">
        <v>50</v>
      </c>
      <c r="J15" s="13" t="s">
        <v>51</v>
      </c>
      <c r="K15" s="13" t="s">
        <v>48</v>
      </c>
      <c r="L15" s="13" t="s">
        <v>52</v>
      </c>
      <c r="M15" s="13" t="s">
        <v>49</v>
      </c>
      <c r="N15" s="13" t="s">
        <v>50</v>
      </c>
      <c r="O15" s="13" t="s">
        <v>51</v>
      </c>
      <c r="P15" s="13" t="s">
        <v>48</v>
      </c>
      <c r="Q15" s="13" t="s">
        <v>52</v>
      </c>
      <c r="R15" s="13" t="s">
        <v>49</v>
      </c>
      <c r="S15" s="13" t="s">
        <v>50</v>
      </c>
      <c r="T15" s="13"/>
      <c r="U15" s="13"/>
      <c r="V15" s="13"/>
    </row>
    <row r="16" spans="1:22">
      <c r="A16" s="4">
        <v>1</v>
      </c>
      <c r="B16" s="4">
        <v>41</v>
      </c>
      <c r="C16" s="3" t="s">
        <v>89</v>
      </c>
      <c r="D16" s="4">
        <v>5</v>
      </c>
      <c r="E16" s="5" t="s">
        <v>90</v>
      </c>
      <c r="F16" s="5">
        <v>2718</v>
      </c>
      <c r="G16" s="17">
        <v>543.6</v>
      </c>
      <c r="H16" s="17">
        <v>69.9674209900579</v>
      </c>
      <c r="I16" s="17">
        <v>4895.44</v>
      </c>
      <c r="J16" s="31">
        <v>1663</v>
      </c>
      <c r="K16" s="17">
        <v>332.6</v>
      </c>
      <c r="L16" s="17">
        <v>61.1846946284032</v>
      </c>
      <c r="M16" s="17">
        <v>123.183765164083</v>
      </c>
      <c r="N16" s="17">
        <v>15174.24</v>
      </c>
      <c r="O16" s="31">
        <v>966</v>
      </c>
      <c r="P16" s="17">
        <v>193.2</v>
      </c>
      <c r="Q16" s="17">
        <v>35.5408388520971</v>
      </c>
      <c r="R16" s="17">
        <v>72.0677459061958</v>
      </c>
      <c r="S16" s="17">
        <v>5193.76</v>
      </c>
      <c r="T16" s="46" t="s">
        <v>148</v>
      </c>
      <c r="U16" s="17">
        <v>25.6438557763061</v>
      </c>
      <c r="V16" s="35" t="s">
        <v>142</v>
      </c>
    </row>
    <row r="17" spans="1:22">
      <c r="A17" s="4">
        <v>2</v>
      </c>
      <c r="B17" s="4">
        <v>42</v>
      </c>
      <c r="C17" s="3" t="s">
        <v>91</v>
      </c>
      <c r="D17" s="4">
        <v>7</v>
      </c>
      <c r="E17" s="4" t="s">
        <v>92</v>
      </c>
      <c r="F17" s="4">
        <v>3883</v>
      </c>
      <c r="G17" s="17">
        <v>554.714285714286</v>
      </c>
      <c r="H17" s="17">
        <v>127.285634118942</v>
      </c>
      <c r="I17" s="17">
        <v>16201.6326530612</v>
      </c>
      <c r="J17" s="31">
        <v>2194</v>
      </c>
      <c r="K17" s="17">
        <v>313.428571428571</v>
      </c>
      <c r="L17" s="17">
        <v>56.5027040947721</v>
      </c>
      <c r="M17" s="17">
        <v>190.506735646094</v>
      </c>
      <c r="N17" s="17">
        <v>36292.8163265306</v>
      </c>
      <c r="O17" s="31">
        <v>1474</v>
      </c>
      <c r="P17" s="17">
        <v>210.571428571429</v>
      </c>
      <c r="Q17" s="17">
        <v>37.9603399433428</v>
      </c>
      <c r="R17" s="17">
        <v>73.4960779184016</v>
      </c>
      <c r="S17" s="17">
        <v>5401.67346938776</v>
      </c>
      <c r="T17" s="46" t="s">
        <v>148</v>
      </c>
      <c r="U17" s="17">
        <v>18.5423641514293</v>
      </c>
      <c r="V17" s="35" t="s">
        <v>142</v>
      </c>
    </row>
    <row r="18" s="38" customFormat="1" ht="15.75" spans="1:22">
      <c r="A18" s="18"/>
      <c r="B18" s="18"/>
      <c r="C18" s="19"/>
      <c r="D18" s="18"/>
      <c r="E18" s="18"/>
      <c r="F18" s="18">
        <f>SUM(F16:F17)</f>
        <v>6601</v>
      </c>
      <c r="G18" s="18"/>
      <c r="H18" s="18"/>
      <c r="I18" s="18"/>
      <c r="J18" s="18">
        <f>SUM(J16:J17)</f>
        <v>3857</v>
      </c>
      <c r="K18" s="18"/>
      <c r="L18" s="18"/>
      <c r="M18" s="18"/>
      <c r="N18" s="18"/>
      <c r="O18" s="18">
        <f>SUM(O16:O17)</f>
        <v>2440</v>
      </c>
      <c r="P18" s="18"/>
      <c r="Q18" s="18"/>
      <c r="R18" s="18"/>
      <c r="S18" s="18"/>
      <c r="T18" s="18"/>
      <c r="U18" s="18"/>
      <c r="V18" s="18"/>
    </row>
    <row r="19" ht="26.25" spans="1:22">
      <c r="A19" s="22" t="s">
        <v>34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2">
      <c r="A20" s="2" t="s">
        <v>38</v>
      </c>
      <c r="B20" s="2" t="s">
        <v>39</v>
      </c>
      <c r="C20" s="2" t="s">
        <v>40</v>
      </c>
      <c r="D20" s="13" t="s">
        <v>41</v>
      </c>
      <c r="E20" s="2" t="s">
        <v>42</v>
      </c>
      <c r="F20" s="12" t="s">
        <v>44</v>
      </c>
      <c r="G20" s="2" t="s">
        <v>44</v>
      </c>
      <c r="H20" s="2"/>
      <c r="I20" s="2"/>
      <c r="J20" s="25" t="s">
        <v>4</v>
      </c>
      <c r="K20" s="26"/>
      <c r="L20" s="26"/>
      <c r="M20" s="26"/>
      <c r="N20" s="27"/>
      <c r="O20" s="28" t="s">
        <v>32</v>
      </c>
      <c r="P20" s="29"/>
      <c r="Q20" s="29"/>
      <c r="R20" s="29"/>
      <c r="S20" s="32"/>
      <c r="T20" s="13" t="s">
        <v>45</v>
      </c>
      <c r="U20" s="13" t="s">
        <v>27</v>
      </c>
      <c r="V20" s="13" t="s">
        <v>46</v>
      </c>
    </row>
    <row r="21" ht="30" spans="1:22">
      <c r="A21" s="2"/>
      <c r="B21" s="2"/>
      <c r="C21" s="2"/>
      <c r="D21" s="13"/>
      <c r="E21" s="2"/>
      <c r="F21" s="16"/>
      <c r="G21" s="13" t="s">
        <v>48</v>
      </c>
      <c r="H21" s="13" t="s">
        <v>49</v>
      </c>
      <c r="I21" s="13" t="s">
        <v>50</v>
      </c>
      <c r="J21" s="13" t="s">
        <v>51</v>
      </c>
      <c r="K21" s="13" t="s">
        <v>48</v>
      </c>
      <c r="L21" s="13" t="s">
        <v>52</v>
      </c>
      <c r="M21" s="13" t="s">
        <v>49</v>
      </c>
      <c r="N21" s="13" t="s">
        <v>50</v>
      </c>
      <c r="O21" s="13" t="s">
        <v>51</v>
      </c>
      <c r="P21" s="13" t="s">
        <v>48</v>
      </c>
      <c r="Q21" s="13" t="s">
        <v>52</v>
      </c>
      <c r="R21" s="13" t="s">
        <v>49</v>
      </c>
      <c r="S21" s="13" t="s">
        <v>50</v>
      </c>
      <c r="T21" s="13"/>
      <c r="U21" s="13"/>
      <c r="V21" s="13"/>
    </row>
    <row r="22" spans="1:22">
      <c r="A22" s="4">
        <v>1</v>
      </c>
      <c r="B22" s="4">
        <v>28</v>
      </c>
      <c r="C22" s="3" t="s">
        <v>63</v>
      </c>
      <c r="D22" s="4">
        <v>4</v>
      </c>
      <c r="E22" s="5" t="s">
        <v>64</v>
      </c>
      <c r="F22" s="5">
        <v>2883</v>
      </c>
      <c r="G22" s="17">
        <v>720.75</v>
      </c>
      <c r="H22" s="17">
        <v>115.636012989034</v>
      </c>
      <c r="I22" s="17">
        <v>13371.6875</v>
      </c>
      <c r="J22" s="31">
        <v>1833</v>
      </c>
      <c r="K22" s="17">
        <v>458.25</v>
      </c>
      <c r="L22" s="17">
        <v>63.579604578564</v>
      </c>
      <c r="M22" s="17">
        <v>74.72073005532</v>
      </c>
      <c r="N22" s="17">
        <v>5583.1875</v>
      </c>
      <c r="O22" s="31">
        <v>915</v>
      </c>
      <c r="P22" s="17">
        <v>228.75</v>
      </c>
      <c r="Q22" s="17">
        <v>31.7377731529657</v>
      </c>
      <c r="R22" s="17">
        <v>34.3465791600852</v>
      </c>
      <c r="S22" s="17">
        <v>1179.6875</v>
      </c>
      <c r="T22" s="46" t="s">
        <v>148</v>
      </c>
      <c r="U22" s="17">
        <v>31.8418314255983</v>
      </c>
      <c r="V22" s="36" t="s">
        <v>141</v>
      </c>
    </row>
    <row r="23" spans="1:22">
      <c r="A23" s="4">
        <v>2</v>
      </c>
      <c r="B23" s="4">
        <v>29</v>
      </c>
      <c r="C23" s="3" t="s">
        <v>65</v>
      </c>
      <c r="D23" s="4">
        <v>4</v>
      </c>
      <c r="E23" s="5" t="s">
        <v>66</v>
      </c>
      <c r="F23" s="5">
        <v>2366</v>
      </c>
      <c r="G23" s="17">
        <v>591.5</v>
      </c>
      <c r="H23" s="17">
        <v>108.67497412008</v>
      </c>
      <c r="I23" s="17">
        <v>11810.25</v>
      </c>
      <c r="J23" s="31">
        <v>1556</v>
      </c>
      <c r="K23" s="17">
        <v>389</v>
      </c>
      <c r="L23" s="17">
        <v>65.7650042265427</v>
      </c>
      <c r="M23" s="17">
        <v>102.791050194071</v>
      </c>
      <c r="N23" s="17">
        <v>10566</v>
      </c>
      <c r="O23" s="31">
        <v>708</v>
      </c>
      <c r="P23" s="17">
        <v>177</v>
      </c>
      <c r="Q23" s="17">
        <v>29.9239222316145</v>
      </c>
      <c r="R23" s="17">
        <v>34.6049129459966</v>
      </c>
      <c r="S23" s="17">
        <v>1197.5</v>
      </c>
      <c r="T23" s="46" t="s">
        <v>148</v>
      </c>
      <c r="U23" s="17">
        <v>35.8410819949281</v>
      </c>
      <c r="V23" s="36" t="s">
        <v>141</v>
      </c>
    </row>
    <row r="24" s="39" customFormat="1" ht="15.75" spans="1:22">
      <c r="A24" s="43"/>
      <c r="B24" s="43"/>
      <c r="C24" s="43"/>
      <c r="D24" s="43"/>
      <c r="E24" s="43"/>
      <c r="F24" s="43">
        <f>SUM(F22:F23)</f>
        <v>5249</v>
      </c>
      <c r="G24" s="43"/>
      <c r="H24" s="43"/>
      <c r="I24" s="43"/>
      <c r="J24" s="43">
        <f>SUM(J22:J23)</f>
        <v>3389</v>
      </c>
      <c r="K24" s="43"/>
      <c r="L24" s="43"/>
      <c r="M24" s="43"/>
      <c r="N24" s="43"/>
      <c r="O24" s="43">
        <f>SUM(O22:O23)</f>
        <v>1623</v>
      </c>
      <c r="P24" s="43"/>
      <c r="Q24" s="43"/>
      <c r="R24" s="43"/>
      <c r="S24" s="43"/>
      <c r="T24" s="43"/>
      <c r="U24" s="43"/>
      <c r="V24" s="43"/>
    </row>
    <row r="26" customHeight="1" spans="6:8">
      <c r="F26" s="44"/>
      <c r="G26" s="44"/>
      <c r="H26" s="44"/>
    </row>
    <row r="27" customHeight="1" spans="6:8">
      <c r="F27" s="44"/>
      <c r="G27" s="44"/>
      <c r="H27" s="44"/>
    </row>
    <row r="28" spans="6:12">
      <c r="F28" s="44"/>
      <c r="G28" s="44"/>
      <c r="H28" s="44"/>
      <c r="K28" s="44"/>
      <c r="L28" s="44"/>
    </row>
    <row r="29" spans="6:12">
      <c r="F29" s="44"/>
      <c r="G29" s="44"/>
      <c r="H29" s="44"/>
      <c r="K29" s="44"/>
      <c r="L29" s="44"/>
    </row>
    <row r="30" spans="6:12">
      <c r="F30" s="44"/>
      <c r="G30" s="44"/>
      <c r="H30" s="44"/>
      <c r="K30" s="44"/>
      <c r="L30" s="44"/>
    </row>
    <row r="31" spans="6:8">
      <c r="F31" s="44"/>
      <c r="G31" s="44"/>
      <c r="H31" s="44"/>
    </row>
    <row r="32" spans="6:8">
      <c r="F32" s="44"/>
      <c r="G32" s="44"/>
      <c r="H32" s="44"/>
    </row>
    <row r="33" spans="6:8">
      <c r="F33" s="44"/>
      <c r="G33" s="44"/>
      <c r="H33" s="44"/>
    </row>
    <row r="34" spans="6:8">
      <c r="F34" s="44"/>
      <c r="G34" s="44"/>
      <c r="H34" s="44"/>
    </row>
    <row r="35" spans="6:8">
      <c r="F35" s="44"/>
      <c r="G35" s="44"/>
      <c r="H35" s="44"/>
    </row>
    <row r="36" spans="6:8">
      <c r="F36" s="44"/>
      <c r="G36" s="44"/>
      <c r="H36" s="44"/>
    </row>
    <row r="37" spans="6:8">
      <c r="F37" s="44"/>
      <c r="G37" s="44"/>
      <c r="H37" s="44"/>
    </row>
    <row r="38" spans="6:8">
      <c r="F38" s="44"/>
      <c r="G38" s="44"/>
      <c r="H38" s="44"/>
    </row>
    <row r="39" spans="6:8">
      <c r="F39" s="44"/>
      <c r="G39" s="44"/>
      <c r="H39" s="44"/>
    </row>
    <row r="40" spans="6:8">
      <c r="F40" s="44"/>
      <c r="G40" s="44"/>
      <c r="H40" s="44"/>
    </row>
    <row r="41" spans="6:8">
      <c r="F41" s="44"/>
      <c r="G41" s="44"/>
      <c r="H41" s="44"/>
    </row>
  </sheetData>
  <mergeCells count="40">
    <mergeCell ref="A1:V1"/>
    <mergeCell ref="A2:V2"/>
    <mergeCell ref="G3:I3"/>
    <mergeCell ref="J3:N3"/>
    <mergeCell ref="O3:S3"/>
    <mergeCell ref="A13:V13"/>
    <mergeCell ref="G14:I14"/>
    <mergeCell ref="J14:N14"/>
    <mergeCell ref="O14:S14"/>
    <mergeCell ref="A19:V19"/>
    <mergeCell ref="G20:I20"/>
    <mergeCell ref="J20:N20"/>
    <mergeCell ref="O20:S20"/>
    <mergeCell ref="A3:A4"/>
    <mergeCell ref="A14:A15"/>
    <mergeCell ref="A20:A21"/>
    <mergeCell ref="B3:B4"/>
    <mergeCell ref="B14:B15"/>
    <mergeCell ref="B20:B21"/>
    <mergeCell ref="C3:C4"/>
    <mergeCell ref="C14:C15"/>
    <mergeCell ref="C20:C21"/>
    <mergeCell ref="D3:D4"/>
    <mergeCell ref="D14:D15"/>
    <mergeCell ref="D20:D21"/>
    <mergeCell ref="E3:E4"/>
    <mergeCell ref="E14:E15"/>
    <mergeCell ref="E20:E21"/>
    <mergeCell ref="F3:F4"/>
    <mergeCell ref="F14:F15"/>
    <mergeCell ref="F20:F21"/>
    <mergeCell ref="T3:T4"/>
    <mergeCell ref="T14:T15"/>
    <mergeCell ref="T20:T21"/>
    <mergeCell ref="U3:U4"/>
    <mergeCell ref="U14:U15"/>
    <mergeCell ref="U20:U21"/>
    <mergeCell ref="V3:V4"/>
    <mergeCell ref="V14:V15"/>
    <mergeCell ref="V20:V21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3"/>
  <sheetViews>
    <sheetView workbookViewId="0">
      <selection activeCell="G15" sqref="G15:I15"/>
    </sheetView>
  </sheetViews>
  <sheetFormatPr defaultColWidth="9" defaultRowHeight="15"/>
  <cols>
    <col min="1" max="1" width="6.71428571428571" style="7" customWidth="1"/>
    <col min="2" max="2" width="10.5714285714286" style="7" customWidth="1"/>
    <col min="3" max="3" width="16.8571428571429" style="7" customWidth="1"/>
    <col min="4" max="4" width="12.7142857142857" style="7" customWidth="1"/>
    <col min="5" max="5" width="32" style="7" customWidth="1"/>
    <col min="6" max="6" width="32.7142857142857" style="7" customWidth="1"/>
    <col min="7" max="7" width="12" style="7" customWidth="1"/>
    <col min="8" max="8" width="13.2857142857143" style="7" customWidth="1"/>
    <col min="9" max="9" width="15.1428571428571" style="7" customWidth="1"/>
    <col min="10" max="17" width="12" style="7" customWidth="1"/>
    <col min="18" max="18" width="15.5714285714286" style="7" customWidth="1"/>
    <col min="19" max="20" width="17.5714285714286" style="7" customWidth="1"/>
    <col min="21" max="21" width="9.14285714285714" style="7"/>
    <col min="22" max="22" width="16.8571428571429" style="7" customWidth="1"/>
    <col min="23" max="16384" width="9.14285714285714" style="7"/>
  </cols>
  <sheetData>
    <row r="1" ht="28.5" spans="1:22">
      <c r="A1" s="10" t="s">
        <v>149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ht="26.25" spans="1:22">
      <c r="A2" s="11" t="s">
        <v>132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>
      <c r="A3" s="2" t="s">
        <v>38</v>
      </c>
      <c r="B3" s="12" t="s">
        <v>39</v>
      </c>
      <c r="C3" s="12" t="s">
        <v>40</v>
      </c>
      <c r="D3" s="13" t="s">
        <v>41</v>
      </c>
      <c r="E3" s="2" t="s">
        <v>42</v>
      </c>
      <c r="F3" s="12" t="s">
        <v>44</v>
      </c>
      <c r="G3" s="14" t="s">
        <v>44</v>
      </c>
      <c r="H3" s="15"/>
      <c r="I3" s="24"/>
      <c r="J3" s="25" t="s">
        <v>4</v>
      </c>
      <c r="K3" s="26"/>
      <c r="L3" s="26"/>
      <c r="M3" s="26"/>
      <c r="N3" s="27"/>
      <c r="O3" s="28" t="s">
        <v>32</v>
      </c>
      <c r="P3" s="29"/>
      <c r="Q3" s="29"/>
      <c r="R3" s="29"/>
      <c r="S3" s="32"/>
      <c r="T3" s="13" t="s">
        <v>45</v>
      </c>
      <c r="U3" s="13" t="s">
        <v>27</v>
      </c>
      <c r="V3" s="13" t="s">
        <v>46</v>
      </c>
    </row>
    <row r="4" ht="30" spans="1:22">
      <c r="A4" s="2"/>
      <c r="B4" s="16"/>
      <c r="C4" s="16"/>
      <c r="D4" s="13"/>
      <c r="E4" s="2"/>
      <c r="F4" s="16"/>
      <c r="G4" s="13" t="s">
        <v>48</v>
      </c>
      <c r="H4" s="13" t="s">
        <v>49</v>
      </c>
      <c r="I4" s="13" t="s">
        <v>50</v>
      </c>
      <c r="J4" s="13" t="s">
        <v>51</v>
      </c>
      <c r="K4" s="13" t="s">
        <v>48</v>
      </c>
      <c r="L4" s="13" t="s">
        <v>52</v>
      </c>
      <c r="M4" s="13" t="s">
        <v>49</v>
      </c>
      <c r="N4" s="13" t="s">
        <v>50</v>
      </c>
      <c r="O4" s="13" t="s">
        <v>51</v>
      </c>
      <c r="P4" s="13" t="s">
        <v>48</v>
      </c>
      <c r="Q4" s="13" t="s">
        <v>52</v>
      </c>
      <c r="R4" s="13" t="s">
        <v>49</v>
      </c>
      <c r="S4" s="13" t="s">
        <v>50</v>
      </c>
      <c r="T4" s="13"/>
      <c r="U4" s="13"/>
      <c r="V4" s="13"/>
    </row>
    <row r="5" spans="1:22">
      <c r="A5" s="4">
        <v>1</v>
      </c>
      <c r="B5" s="4">
        <v>21</v>
      </c>
      <c r="C5" s="3" t="s">
        <v>53</v>
      </c>
      <c r="D5" s="4">
        <v>6</v>
      </c>
      <c r="E5" s="4" t="s">
        <v>54</v>
      </c>
      <c r="F5" s="4">
        <v>4261</v>
      </c>
      <c r="G5" s="17">
        <v>710.166666666667</v>
      </c>
      <c r="H5" s="17">
        <v>174.553159683678</v>
      </c>
      <c r="I5" s="17">
        <v>30468.8055555556</v>
      </c>
      <c r="J5" s="30">
        <v>1900</v>
      </c>
      <c r="K5" s="17">
        <v>316.666666666667</v>
      </c>
      <c r="L5" s="17">
        <v>44.5904717202535</v>
      </c>
      <c r="M5" s="17">
        <v>117.231489891676</v>
      </c>
      <c r="N5" s="17">
        <v>13743.2222222222</v>
      </c>
      <c r="O5" s="31">
        <v>2116</v>
      </c>
      <c r="P5" s="17">
        <v>352.666666666667</v>
      </c>
      <c r="Q5" s="17">
        <v>49.6597042947665</v>
      </c>
      <c r="R5" s="17">
        <v>96.7981863925605</v>
      </c>
      <c r="S5" s="17">
        <v>9369.88888888889</v>
      </c>
      <c r="T5" s="33" t="s">
        <v>150</v>
      </c>
      <c r="U5" s="17">
        <v>5.06923257451303</v>
      </c>
      <c r="V5" s="34" t="s">
        <v>140</v>
      </c>
    </row>
    <row r="6" spans="1:22">
      <c r="A6" s="4">
        <v>2</v>
      </c>
      <c r="B6" s="4">
        <v>24</v>
      </c>
      <c r="C6" s="3" t="s">
        <v>55</v>
      </c>
      <c r="D6" s="4">
        <v>6</v>
      </c>
      <c r="E6" s="4" t="s">
        <v>56</v>
      </c>
      <c r="F6" s="4">
        <v>3247</v>
      </c>
      <c r="G6" s="17">
        <v>541.166666666667</v>
      </c>
      <c r="H6" s="17">
        <v>177.682691584996</v>
      </c>
      <c r="I6" s="17">
        <v>31571.1388888889</v>
      </c>
      <c r="J6" s="31">
        <v>1422</v>
      </c>
      <c r="K6" s="17">
        <v>237</v>
      </c>
      <c r="L6" s="17">
        <v>43.7942716353557</v>
      </c>
      <c r="M6" s="17">
        <v>61.6495471732491</v>
      </c>
      <c r="N6" s="17">
        <v>3800.66666666667</v>
      </c>
      <c r="O6" s="31">
        <v>1679</v>
      </c>
      <c r="P6" s="17">
        <v>279.833333333333</v>
      </c>
      <c r="Q6" s="17">
        <v>51.7092700954727</v>
      </c>
      <c r="R6" s="17">
        <v>115.06145700837</v>
      </c>
      <c r="S6" s="17">
        <v>13239.1388888889</v>
      </c>
      <c r="T6" s="33" t="s">
        <v>150</v>
      </c>
      <c r="U6" s="17">
        <v>7.91499846011703</v>
      </c>
      <c r="V6" s="34" t="s">
        <v>140</v>
      </c>
    </row>
    <row r="7" spans="1:22">
      <c r="A7" s="4">
        <v>3</v>
      </c>
      <c r="B7" s="4">
        <v>25</v>
      </c>
      <c r="C7" s="3" t="s">
        <v>57</v>
      </c>
      <c r="D7" s="4">
        <v>6</v>
      </c>
      <c r="E7" s="4" t="s">
        <v>58</v>
      </c>
      <c r="F7" s="4">
        <v>3895</v>
      </c>
      <c r="G7" s="17">
        <v>649.166666666667</v>
      </c>
      <c r="H7" s="17">
        <v>147.527869306861</v>
      </c>
      <c r="I7" s="17">
        <v>21764.4722222222</v>
      </c>
      <c r="J7" s="31">
        <v>1612</v>
      </c>
      <c r="K7" s="17">
        <v>268.666666666667</v>
      </c>
      <c r="L7" s="17">
        <v>41.3863928112965</v>
      </c>
      <c r="M7" s="17">
        <v>34.9698282650757</v>
      </c>
      <c r="N7" s="17">
        <v>1222.88888888889</v>
      </c>
      <c r="O7" s="31">
        <v>1936</v>
      </c>
      <c r="P7" s="17">
        <v>322.666666666667</v>
      </c>
      <c r="Q7" s="17">
        <v>49.7047496790757</v>
      </c>
      <c r="R7" s="17">
        <v>101.022549737945</v>
      </c>
      <c r="S7" s="17">
        <v>10205.5555555556</v>
      </c>
      <c r="T7" s="33" t="s">
        <v>150</v>
      </c>
      <c r="U7" s="17">
        <v>8.3183568677792</v>
      </c>
      <c r="V7" s="34" t="s">
        <v>140</v>
      </c>
    </row>
    <row r="8" spans="1:22">
      <c r="A8" s="4">
        <v>4</v>
      </c>
      <c r="B8" s="4">
        <v>44</v>
      </c>
      <c r="C8" s="3" t="s">
        <v>95</v>
      </c>
      <c r="D8" s="4">
        <v>6</v>
      </c>
      <c r="E8" s="4" t="s">
        <v>96</v>
      </c>
      <c r="F8" s="4">
        <v>3149</v>
      </c>
      <c r="G8" s="17">
        <v>524.833333333333</v>
      </c>
      <c r="H8" s="17">
        <v>103.003910389633</v>
      </c>
      <c r="I8" s="17">
        <v>10609.8055555556</v>
      </c>
      <c r="J8" s="31">
        <v>1405</v>
      </c>
      <c r="K8" s="17">
        <v>234.166666666667</v>
      </c>
      <c r="L8" s="17">
        <v>44.6173388377263</v>
      </c>
      <c r="M8" s="17">
        <v>135.308803195587</v>
      </c>
      <c r="N8" s="17">
        <v>18308.4722222222</v>
      </c>
      <c r="O8" s="31">
        <v>1576</v>
      </c>
      <c r="P8" s="17">
        <v>262.666666666667</v>
      </c>
      <c r="Q8" s="17">
        <v>50.0476341695776</v>
      </c>
      <c r="R8" s="17">
        <v>134.336228256648</v>
      </c>
      <c r="S8" s="17">
        <v>18046.2222222222</v>
      </c>
      <c r="T8" s="33" t="s">
        <v>150</v>
      </c>
      <c r="U8" s="17">
        <v>5.43029533185139</v>
      </c>
      <c r="V8" s="34" t="s">
        <v>140</v>
      </c>
    </row>
    <row r="9" spans="1:22">
      <c r="A9" s="4">
        <v>5</v>
      </c>
      <c r="B9" s="4">
        <v>46</v>
      </c>
      <c r="C9" s="3" t="s">
        <v>99</v>
      </c>
      <c r="D9" s="4">
        <v>5</v>
      </c>
      <c r="E9" s="4" t="s">
        <v>100</v>
      </c>
      <c r="F9" s="4">
        <v>2966</v>
      </c>
      <c r="G9" s="17">
        <v>593.2</v>
      </c>
      <c r="H9" s="17">
        <v>126.766557103993</v>
      </c>
      <c r="I9" s="17">
        <v>16069.76</v>
      </c>
      <c r="J9" s="31">
        <v>1272</v>
      </c>
      <c r="K9" s="17">
        <v>254.4</v>
      </c>
      <c r="L9" s="17">
        <v>42.8860418071477</v>
      </c>
      <c r="M9" s="17">
        <v>53.2</v>
      </c>
      <c r="N9" s="17">
        <v>2830.24</v>
      </c>
      <c r="O9" s="31">
        <v>1526</v>
      </c>
      <c r="P9" s="17">
        <v>305.2</v>
      </c>
      <c r="Q9" s="17">
        <v>51.4497639919083</v>
      </c>
      <c r="R9" s="17">
        <v>136.790935372195</v>
      </c>
      <c r="S9" s="17">
        <v>18711.76</v>
      </c>
      <c r="T9" s="33" t="s">
        <v>150</v>
      </c>
      <c r="U9" s="17">
        <v>8.56372218476062</v>
      </c>
      <c r="V9" s="34" t="s">
        <v>140</v>
      </c>
    </row>
    <row r="10" spans="1:22">
      <c r="A10" s="4">
        <v>6</v>
      </c>
      <c r="B10" s="4">
        <v>50</v>
      </c>
      <c r="C10" s="3" t="s">
        <v>107</v>
      </c>
      <c r="D10" s="4">
        <v>8</v>
      </c>
      <c r="E10" s="4" t="s">
        <v>108</v>
      </c>
      <c r="F10" s="4">
        <v>5603</v>
      </c>
      <c r="G10" s="17">
        <v>700.375</v>
      </c>
      <c r="H10" s="17">
        <v>154.456253920002</v>
      </c>
      <c r="I10" s="17">
        <v>23856.734375</v>
      </c>
      <c r="J10" s="31">
        <v>2392</v>
      </c>
      <c r="K10" s="17">
        <v>299</v>
      </c>
      <c r="L10" s="17">
        <v>42.6914153132251</v>
      </c>
      <c r="M10" s="17">
        <v>170.693438655386</v>
      </c>
      <c r="N10" s="17">
        <v>29136.25</v>
      </c>
      <c r="O10" s="31">
        <v>2711</v>
      </c>
      <c r="P10" s="17">
        <v>338.875</v>
      </c>
      <c r="Q10" s="17">
        <v>48.3847938604319</v>
      </c>
      <c r="R10" s="17">
        <v>90.3236368565837</v>
      </c>
      <c r="S10" s="17">
        <v>8158.359375</v>
      </c>
      <c r="T10" s="33" t="s">
        <v>150</v>
      </c>
      <c r="U10" s="17">
        <v>5.69337854720685</v>
      </c>
      <c r="V10" s="34" t="s">
        <v>140</v>
      </c>
    </row>
    <row r="11" spans="1:22">
      <c r="A11" s="4">
        <v>7</v>
      </c>
      <c r="B11" s="4">
        <v>52</v>
      </c>
      <c r="C11" s="3" t="s">
        <v>111</v>
      </c>
      <c r="D11" s="4">
        <v>6</v>
      </c>
      <c r="E11" s="4" t="s">
        <v>112</v>
      </c>
      <c r="F11" s="4">
        <v>4640</v>
      </c>
      <c r="G11" s="17">
        <v>773.333333333333</v>
      </c>
      <c r="H11" s="17">
        <v>144.374128183996</v>
      </c>
      <c r="I11" s="17">
        <v>20843.8888888889</v>
      </c>
      <c r="J11" s="31">
        <v>1763</v>
      </c>
      <c r="K11" s="17">
        <v>293.833333333333</v>
      </c>
      <c r="L11" s="17">
        <v>37.9956896551724</v>
      </c>
      <c r="M11" s="17">
        <v>91.0300621894889</v>
      </c>
      <c r="N11" s="17">
        <v>8286.47222222222</v>
      </c>
      <c r="O11" s="31">
        <v>2073</v>
      </c>
      <c r="P11" s="17">
        <v>345.5</v>
      </c>
      <c r="Q11" s="17">
        <v>44.676724137931</v>
      </c>
      <c r="R11" s="17">
        <v>86.1215226680687</v>
      </c>
      <c r="S11" s="17">
        <v>7416.91666666667</v>
      </c>
      <c r="T11" s="33" t="s">
        <v>150</v>
      </c>
      <c r="U11" s="17">
        <v>6.68103448275862</v>
      </c>
      <c r="V11" s="34" t="s">
        <v>140</v>
      </c>
    </row>
    <row r="12" spans="1:22">
      <c r="A12" s="4">
        <v>8</v>
      </c>
      <c r="B12" s="4">
        <v>54</v>
      </c>
      <c r="C12" s="3" t="s">
        <v>115</v>
      </c>
      <c r="D12" s="4">
        <v>5</v>
      </c>
      <c r="E12" s="4" t="s">
        <v>116</v>
      </c>
      <c r="F12" s="4">
        <v>2627</v>
      </c>
      <c r="G12" s="17">
        <v>656.75</v>
      </c>
      <c r="H12" s="17">
        <v>97.5432596338671</v>
      </c>
      <c r="I12" s="17">
        <v>9514.6875</v>
      </c>
      <c r="J12" s="31">
        <v>1161</v>
      </c>
      <c r="K12" s="17">
        <v>290.25</v>
      </c>
      <c r="L12" s="17">
        <v>44.1948991244766</v>
      </c>
      <c r="M12" s="17">
        <v>72.8744639774455</v>
      </c>
      <c r="N12" s="17">
        <v>5310.6875</v>
      </c>
      <c r="O12" s="31">
        <v>1333</v>
      </c>
      <c r="P12" s="17">
        <v>333.25</v>
      </c>
      <c r="Q12" s="17">
        <v>50.742291587362</v>
      </c>
      <c r="R12" s="17">
        <v>51.0704170729004</v>
      </c>
      <c r="S12" s="17">
        <v>2608.1875</v>
      </c>
      <c r="T12" s="33" t="s">
        <v>150</v>
      </c>
      <c r="U12" s="17">
        <v>6.54739246288542</v>
      </c>
      <c r="V12" s="34" t="s">
        <v>140</v>
      </c>
    </row>
    <row r="13" ht="15.75" spans="1:22">
      <c r="A13" s="18"/>
      <c r="B13" s="18"/>
      <c r="C13" s="19"/>
      <c r="D13" s="18"/>
      <c r="E13" s="18"/>
      <c r="F13" s="18">
        <f>SUM(F5:F12)</f>
        <v>30388</v>
      </c>
      <c r="G13" s="18"/>
      <c r="H13" s="18"/>
      <c r="I13" s="18"/>
      <c r="J13" s="18">
        <f>SUM(J5:J12)</f>
        <v>12927</v>
      </c>
      <c r="K13" s="18"/>
      <c r="L13" s="18"/>
      <c r="M13" s="18"/>
      <c r="N13" s="18"/>
      <c r="O13" s="18">
        <f>SUM(O5:O12)</f>
        <v>14950</v>
      </c>
      <c r="P13" s="18"/>
      <c r="Q13" s="18"/>
      <c r="R13" s="18"/>
      <c r="S13" s="18"/>
      <c r="T13" s="18"/>
      <c r="U13" s="18"/>
      <c r="V13" s="18"/>
    </row>
    <row r="14" ht="26.25" spans="1:22">
      <c r="A14" s="20" t="s">
        <v>33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>
      <c r="A15" s="2" t="s">
        <v>38</v>
      </c>
      <c r="B15" s="2" t="s">
        <v>39</v>
      </c>
      <c r="C15" s="2" t="s">
        <v>40</v>
      </c>
      <c r="D15" s="13" t="s">
        <v>41</v>
      </c>
      <c r="E15" s="2" t="s">
        <v>42</v>
      </c>
      <c r="F15" s="12" t="s">
        <v>44</v>
      </c>
      <c r="G15" s="2" t="s">
        <v>44</v>
      </c>
      <c r="H15" s="2"/>
      <c r="I15" s="2"/>
      <c r="J15" s="25" t="s">
        <v>4</v>
      </c>
      <c r="K15" s="26"/>
      <c r="L15" s="26"/>
      <c r="M15" s="26"/>
      <c r="N15" s="27"/>
      <c r="O15" s="28" t="s">
        <v>32</v>
      </c>
      <c r="P15" s="29"/>
      <c r="Q15" s="29"/>
      <c r="R15" s="29"/>
      <c r="S15" s="32"/>
      <c r="T15" s="13" t="s">
        <v>45</v>
      </c>
      <c r="U15" s="13" t="s">
        <v>27</v>
      </c>
      <c r="V15" s="13" t="s">
        <v>46</v>
      </c>
    </row>
    <row r="16" ht="30" spans="1:22">
      <c r="A16" s="2"/>
      <c r="B16" s="2"/>
      <c r="C16" s="2"/>
      <c r="D16" s="13"/>
      <c r="E16" s="2"/>
      <c r="F16" s="16"/>
      <c r="G16" s="13" t="s">
        <v>48</v>
      </c>
      <c r="H16" s="13" t="s">
        <v>49</v>
      </c>
      <c r="I16" s="13" t="s">
        <v>50</v>
      </c>
      <c r="J16" s="13" t="s">
        <v>51</v>
      </c>
      <c r="K16" s="13" t="s">
        <v>48</v>
      </c>
      <c r="L16" s="13" t="s">
        <v>52</v>
      </c>
      <c r="M16" s="13" t="s">
        <v>49</v>
      </c>
      <c r="N16" s="13" t="s">
        <v>50</v>
      </c>
      <c r="O16" s="13" t="s">
        <v>51</v>
      </c>
      <c r="P16" s="13" t="s">
        <v>48</v>
      </c>
      <c r="Q16" s="13" t="s">
        <v>52</v>
      </c>
      <c r="R16" s="13" t="s">
        <v>49</v>
      </c>
      <c r="S16" s="13" t="s">
        <v>50</v>
      </c>
      <c r="T16" s="13"/>
      <c r="U16" s="13"/>
      <c r="V16" s="13"/>
    </row>
    <row r="17" spans="1:22">
      <c r="A17" s="4">
        <v>1</v>
      </c>
      <c r="B17" s="4">
        <v>31</v>
      </c>
      <c r="C17" s="3" t="s">
        <v>69</v>
      </c>
      <c r="D17" s="4">
        <v>6</v>
      </c>
      <c r="E17" s="5" t="s">
        <v>70</v>
      </c>
      <c r="F17" s="5">
        <v>3532</v>
      </c>
      <c r="G17" s="17">
        <v>588.666666666667</v>
      </c>
      <c r="H17" s="17">
        <v>97.931381873001</v>
      </c>
      <c r="I17" s="17">
        <v>9590.55555555555</v>
      </c>
      <c r="J17" s="31">
        <v>1459</v>
      </c>
      <c r="K17" s="17">
        <v>243.166666666667</v>
      </c>
      <c r="L17" s="17">
        <v>41.3080407701019</v>
      </c>
      <c r="M17" s="17">
        <v>47.9979744943009</v>
      </c>
      <c r="N17" s="17">
        <v>2303.80555555556</v>
      </c>
      <c r="O17" s="31">
        <v>1903</v>
      </c>
      <c r="P17" s="17">
        <v>317.166666666667</v>
      </c>
      <c r="Q17" s="17">
        <v>53.8788221970555</v>
      </c>
      <c r="R17" s="17">
        <v>49.4247463883787</v>
      </c>
      <c r="S17" s="17">
        <v>2442.80555555556</v>
      </c>
      <c r="T17" s="33" t="s">
        <v>150</v>
      </c>
      <c r="U17" s="17">
        <v>12.5707814269536</v>
      </c>
      <c r="V17" s="35" t="s">
        <v>142</v>
      </c>
    </row>
    <row r="18" spans="1:22">
      <c r="A18" s="4">
        <v>2</v>
      </c>
      <c r="B18" s="4">
        <v>34</v>
      </c>
      <c r="C18" s="3" t="s">
        <v>75</v>
      </c>
      <c r="D18" s="4">
        <v>5</v>
      </c>
      <c r="E18" s="5" t="s">
        <v>76</v>
      </c>
      <c r="F18" s="5">
        <v>3374</v>
      </c>
      <c r="G18" s="17">
        <v>674.8</v>
      </c>
      <c r="H18" s="17">
        <v>121.087406446748</v>
      </c>
      <c r="I18" s="17">
        <v>14662.16</v>
      </c>
      <c r="J18" s="31">
        <v>1273</v>
      </c>
      <c r="K18" s="17">
        <v>254.6</v>
      </c>
      <c r="L18" s="17">
        <v>37.7296976882039</v>
      </c>
      <c r="M18" s="17">
        <v>103.240689652869</v>
      </c>
      <c r="N18" s="17">
        <v>10658.64</v>
      </c>
      <c r="O18" s="31">
        <v>1972</v>
      </c>
      <c r="P18" s="17">
        <v>394.4</v>
      </c>
      <c r="Q18" s="17">
        <v>58.4469472436277</v>
      </c>
      <c r="R18" s="17">
        <v>102.050183733299</v>
      </c>
      <c r="S18" s="17">
        <v>10414.24</v>
      </c>
      <c r="T18" s="33" t="s">
        <v>150</v>
      </c>
      <c r="U18" s="17">
        <v>20.7172495554238</v>
      </c>
      <c r="V18" s="35" t="s">
        <v>142</v>
      </c>
    </row>
    <row r="19" spans="1:22">
      <c r="A19" s="4">
        <v>3</v>
      </c>
      <c r="B19" s="4">
        <v>35</v>
      </c>
      <c r="C19" s="3" t="s">
        <v>77</v>
      </c>
      <c r="D19" s="4">
        <v>7</v>
      </c>
      <c r="E19" s="5" t="s">
        <v>78</v>
      </c>
      <c r="F19" s="5">
        <v>4819</v>
      </c>
      <c r="G19" s="17">
        <v>688.428571428571</v>
      </c>
      <c r="H19" s="17">
        <v>106.870892927411</v>
      </c>
      <c r="I19" s="17">
        <v>11421.387755102</v>
      </c>
      <c r="J19" s="31">
        <v>1840</v>
      </c>
      <c r="K19" s="17">
        <v>262.857142857143</v>
      </c>
      <c r="L19" s="17">
        <v>38.1821954762399</v>
      </c>
      <c r="M19" s="17">
        <v>54.6166603870718</v>
      </c>
      <c r="N19" s="17">
        <v>2982.97959183673</v>
      </c>
      <c r="O19" s="31">
        <v>2730</v>
      </c>
      <c r="P19" s="17">
        <v>390</v>
      </c>
      <c r="Q19" s="17">
        <v>56.6507574185516</v>
      </c>
      <c r="R19" s="17">
        <v>91.6140974803707</v>
      </c>
      <c r="S19" s="17">
        <v>8393.14285714286</v>
      </c>
      <c r="T19" s="33" t="s">
        <v>150</v>
      </c>
      <c r="U19" s="17">
        <v>18.4685619423117</v>
      </c>
      <c r="V19" s="35" t="s">
        <v>142</v>
      </c>
    </row>
    <row r="20" spans="1:22">
      <c r="A20" s="4">
        <v>4</v>
      </c>
      <c r="B20" s="4">
        <v>36</v>
      </c>
      <c r="C20" s="3" t="s">
        <v>79</v>
      </c>
      <c r="D20" s="4">
        <v>3</v>
      </c>
      <c r="E20" s="5" t="s">
        <v>80</v>
      </c>
      <c r="F20" s="5">
        <v>2103</v>
      </c>
      <c r="G20" s="17">
        <v>701</v>
      </c>
      <c r="H20" s="17">
        <v>83.9682479671135</v>
      </c>
      <c r="I20" s="17">
        <v>7050.66666666667</v>
      </c>
      <c r="J20" s="31">
        <v>674</v>
      </c>
      <c r="K20" s="17">
        <v>224.666666666667</v>
      </c>
      <c r="L20" s="17">
        <v>32.0494531621493</v>
      </c>
      <c r="M20" s="17">
        <v>10.4986771653491</v>
      </c>
      <c r="N20" s="17">
        <v>110.222222222222</v>
      </c>
      <c r="O20" s="31">
        <v>1303</v>
      </c>
      <c r="P20" s="17">
        <v>434.333333333333</v>
      </c>
      <c r="Q20" s="17">
        <v>61.9591060389919</v>
      </c>
      <c r="R20" s="17">
        <v>83.3479987095604</v>
      </c>
      <c r="S20" s="17">
        <v>6946.88888888889</v>
      </c>
      <c r="T20" s="33" t="s">
        <v>150</v>
      </c>
      <c r="U20" s="17">
        <v>29.9096528768426</v>
      </c>
      <c r="V20" s="35" t="s">
        <v>142</v>
      </c>
    </row>
    <row r="21" spans="1:22">
      <c r="A21" s="4">
        <v>5</v>
      </c>
      <c r="B21" s="4">
        <v>37</v>
      </c>
      <c r="C21" s="3" t="s">
        <v>81</v>
      </c>
      <c r="D21" s="4">
        <v>6</v>
      </c>
      <c r="E21" s="5" t="s">
        <v>82</v>
      </c>
      <c r="F21" s="5">
        <v>3746</v>
      </c>
      <c r="G21" s="17">
        <v>624.333333333333</v>
      </c>
      <c r="H21" s="17">
        <v>143.567250985577</v>
      </c>
      <c r="I21" s="17">
        <v>20611.5555555556</v>
      </c>
      <c r="J21" s="31">
        <v>1505</v>
      </c>
      <c r="K21" s="17">
        <v>250.833333333333</v>
      </c>
      <c r="L21" s="17">
        <v>40.1761879337961</v>
      </c>
      <c r="M21" s="17">
        <v>41.3900820111399</v>
      </c>
      <c r="N21" s="17">
        <v>1713.13888888889</v>
      </c>
      <c r="O21" s="31">
        <v>2049</v>
      </c>
      <c r="P21" s="17">
        <v>341.5</v>
      </c>
      <c r="Q21" s="17">
        <v>54.698344901228</v>
      </c>
      <c r="R21" s="17">
        <v>135.872182583485</v>
      </c>
      <c r="S21" s="17">
        <v>18461.25</v>
      </c>
      <c r="T21" s="33" t="s">
        <v>150</v>
      </c>
      <c r="U21" s="17">
        <v>14.5221569674319</v>
      </c>
      <c r="V21" s="35" t="s">
        <v>142</v>
      </c>
    </row>
    <row r="22" spans="1:22">
      <c r="A22" s="4">
        <v>6</v>
      </c>
      <c r="B22" s="4">
        <v>38</v>
      </c>
      <c r="C22" s="3" t="s">
        <v>83</v>
      </c>
      <c r="D22" s="4">
        <v>7</v>
      </c>
      <c r="E22" s="5" t="s">
        <v>84</v>
      </c>
      <c r="F22" s="5">
        <v>4993</v>
      </c>
      <c r="G22" s="17">
        <v>713.285714285714</v>
      </c>
      <c r="H22" s="17">
        <v>153.875380269428</v>
      </c>
      <c r="I22" s="17">
        <v>23677.6326530612</v>
      </c>
      <c r="J22" s="31">
        <v>1721</v>
      </c>
      <c r="K22" s="17">
        <v>245.857142857143</v>
      </c>
      <c r="L22" s="17">
        <v>34.4682555577809</v>
      </c>
      <c r="M22" s="17">
        <v>98.6051702084467</v>
      </c>
      <c r="N22" s="17">
        <v>9722.97959183673</v>
      </c>
      <c r="O22" s="31">
        <v>3096</v>
      </c>
      <c r="P22" s="17">
        <v>442.285714285714</v>
      </c>
      <c r="Q22" s="17">
        <v>62.0068095333467</v>
      </c>
      <c r="R22" s="17">
        <v>144.288118791846</v>
      </c>
      <c r="S22" s="17">
        <v>20819.0612244898</v>
      </c>
      <c r="T22" s="33" t="s">
        <v>150</v>
      </c>
      <c r="U22" s="17">
        <v>27.5385539755658</v>
      </c>
      <c r="V22" s="35" t="s">
        <v>142</v>
      </c>
    </row>
    <row r="23" spans="1:22">
      <c r="A23" s="4">
        <v>7</v>
      </c>
      <c r="B23" s="4">
        <v>40</v>
      </c>
      <c r="C23" s="3" t="s">
        <v>87</v>
      </c>
      <c r="D23" s="4">
        <v>5</v>
      </c>
      <c r="E23" s="5" t="s">
        <v>88</v>
      </c>
      <c r="F23" s="5">
        <v>2679</v>
      </c>
      <c r="G23" s="17">
        <v>535.8</v>
      </c>
      <c r="H23" s="17">
        <v>51.673590933861</v>
      </c>
      <c r="I23" s="17">
        <v>2670.16</v>
      </c>
      <c r="J23" s="31">
        <v>956</v>
      </c>
      <c r="K23" s="17">
        <v>191.2</v>
      </c>
      <c r="L23" s="17">
        <v>35.6849570735349</v>
      </c>
      <c r="M23" s="17">
        <v>41.8540320638287</v>
      </c>
      <c r="N23" s="17">
        <v>1751.76</v>
      </c>
      <c r="O23" s="31">
        <v>1604</v>
      </c>
      <c r="P23" s="17">
        <v>320.8</v>
      </c>
      <c r="Q23" s="17">
        <v>59.873086972751</v>
      </c>
      <c r="R23" s="17">
        <v>63.1993670854384</v>
      </c>
      <c r="S23" s="17">
        <v>3994.16</v>
      </c>
      <c r="T23" s="33" t="s">
        <v>150</v>
      </c>
      <c r="U23" s="17">
        <v>24.1881298992161</v>
      </c>
      <c r="V23" s="35" t="s">
        <v>142</v>
      </c>
    </row>
    <row r="24" spans="1:22">
      <c r="A24" s="4">
        <v>8</v>
      </c>
      <c r="B24" s="4">
        <v>43</v>
      </c>
      <c r="C24" s="3" t="s">
        <v>93</v>
      </c>
      <c r="D24" s="4">
        <v>5</v>
      </c>
      <c r="E24" s="4" t="s">
        <v>94</v>
      </c>
      <c r="F24" s="4">
        <v>2821</v>
      </c>
      <c r="G24" s="17">
        <v>564.2</v>
      </c>
      <c r="H24" s="17">
        <v>152.794502518906</v>
      </c>
      <c r="I24" s="17">
        <v>23346.16</v>
      </c>
      <c r="J24" s="31">
        <v>1076</v>
      </c>
      <c r="K24" s="17">
        <v>215.2</v>
      </c>
      <c r="L24" s="17">
        <v>38.1425026586317</v>
      </c>
      <c r="M24" s="17">
        <v>125.6</v>
      </c>
      <c r="N24" s="17">
        <v>15775.36</v>
      </c>
      <c r="O24" s="31">
        <v>1522</v>
      </c>
      <c r="P24" s="17">
        <v>304.4</v>
      </c>
      <c r="Q24" s="17">
        <v>53.9524991137894</v>
      </c>
      <c r="R24" s="17">
        <v>152.065249153118</v>
      </c>
      <c r="S24" s="17">
        <v>23123.84</v>
      </c>
      <c r="T24" s="33" t="s">
        <v>150</v>
      </c>
      <c r="U24" s="17">
        <v>15.8099964551577</v>
      </c>
      <c r="V24" s="35" t="s">
        <v>142</v>
      </c>
    </row>
    <row r="25" spans="1:22">
      <c r="A25" s="4">
        <v>9</v>
      </c>
      <c r="B25" s="4">
        <v>47</v>
      </c>
      <c r="C25" s="3" t="s">
        <v>101</v>
      </c>
      <c r="D25" s="4">
        <v>5</v>
      </c>
      <c r="E25" s="4" t="s">
        <v>102</v>
      </c>
      <c r="F25" s="4">
        <v>3178</v>
      </c>
      <c r="G25" s="17">
        <v>635.6</v>
      </c>
      <c r="H25" s="17">
        <v>142.242890859262</v>
      </c>
      <c r="I25" s="17">
        <v>20233.04</v>
      </c>
      <c r="J25" s="31">
        <v>1226</v>
      </c>
      <c r="K25" s="17">
        <v>245.2</v>
      </c>
      <c r="L25" s="17">
        <v>38.5777218376337</v>
      </c>
      <c r="M25" s="17">
        <v>93.0169876957967</v>
      </c>
      <c r="N25" s="17">
        <v>8652.16</v>
      </c>
      <c r="O25" s="31">
        <v>1791</v>
      </c>
      <c r="P25" s="17">
        <v>358.2</v>
      </c>
      <c r="Q25" s="17">
        <v>56.3561988672121</v>
      </c>
      <c r="R25" s="17">
        <v>45.8362302114823</v>
      </c>
      <c r="S25" s="17">
        <v>2100.96</v>
      </c>
      <c r="T25" s="33" t="s">
        <v>150</v>
      </c>
      <c r="U25" s="17">
        <v>17.7784770295784</v>
      </c>
      <c r="V25" s="35" t="s">
        <v>142</v>
      </c>
    </row>
    <row r="26" spans="1:22">
      <c r="A26" s="4">
        <v>10</v>
      </c>
      <c r="B26" s="4">
        <v>48</v>
      </c>
      <c r="C26" s="3" t="s">
        <v>103</v>
      </c>
      <c r="D26" s="4">
        <v>6</v>
      </c>
      <c r="E26" s="4" t="s">
        <v>104</v>
      </c>
      <c r="F26" s="4">
        <v>4355</v>
      </c>
      <c r="G26" s="17">
        <v>725.833333333333</v>
      </c>
      <c r="H26" s="17">
        <v>154.891808118513</v>
      </c>
      <c r="I26" s="17">
        <v>23991.4722222222</v>
      </c>
      <c r="J26" s="31">
        <v>1642</v>
      </c>
      <c r="K26" s="17">
        <v>273.666666666667</v>
      </c>
      <c r="L26" s="17">
        <v>37.7037887485649</v>
      </c>
      <c r="M26" s="17">
        <v>102.100712806305</v>
      </c>
      <c r="N26" s="17">
        <v>10424.5555555556</v>
      </c>
      <c r="O26" s="31">
        <v>2431</v>
      </c>
      <c r="P26" s="17">
        <v>405.166666666667</v>
      </c>
      <c r="Q26" s="17">
        <v>55.8208955223881</v>
      </c>
      <c r="R26" s="17">
        <v>73.9175591828867</v>
      </c>
      <c r="S26" s="17">
        <v>5463.80555555556</v>
      </c>
      <c r="T26" s="33" t="s">
        <v>150</v>
      </c>
      <c r="U26" s="17">
        <v>18.1171067738232</v>
      </c>
      <c r="V26" s="35" t="s">
        <v>142</v>
      </c>
    </row>
    <row r="27" spans="1:22">
      <c r="A27" s="4">
        <v>11</v>
      </c>
      <c r="B27" s="4">
        <v>51</v>
      </c>
      <c r="C27" s="3" t="s">
        <v>109</v>
      </c>
      <c r="D27" s="4">
        <v>8</v>
      </c>
      <c r="E27" s="4" t="s">
        <v>110</v>
      </c>
      <c r="F27" s="4">
        <v>4463</v>
      </c>
      <c r="G27" s="17">
        <v>637.571428571429</v>
      </c>
      <c r="H27" s="17">
        <v>133.235406215419</v>
      </c>
      <c r="I27" s="17">
        <v>17751.6734693878</v>
      </c>
      <c r="J27" s="31">
        <v>1335</v>
      </c>
      <c r="K27" s="17">
        <v>190.714285714286</v>
      </c>
      <c r="L27" s="17">
        <v>29.9126148330719</v>
      </c>
      <c r="M27" s="17">
        <v>84.4422275636921</v>
      </c>
      <c r="N27" s="17">
        <v>7130.48979591837</v>
      </c>
      <c r="O27" s="31">
        <v>2491</v>
      </c>
      <c r="P27" s="17">
        <v>355.857142857143</v>
      </c>
      <c r="Q27" s="17">
        <v>55.8144745686758</v>
      </c>
      <c r="R27" s="17">
        <v>151.629650861592</v>
      </c>
      <c r="S27" s="17">
        <v>22991.5510204082</v>
      </c>
      <c r="T27" s="33" t="s">
        <v>150</v>
      </c>
      <c r="U27" s="17">
        <v>25.9018597356038</v>
      </c>
      <c r="V27" s="35" t="s">
        <v>142</v>
      </c>
    </row>
    <row r="28" spans="1:22">
      <c r="A28" s="4">
        <v>12</v>
      </c>
      <c r="B28" s="4">
        <v>53</v>
      </c>
      <c r="C28" s="3" t="s">
        <v>113</v>
      </c>
      <c r="D28" s="4">
        <v>7</v>
      </c>
      <c r="E28" s="4" t="s">
        <v>114</v>
      </c>
      <c r="F28" s="4">
        <v>4852</v>
      </c>
      <c r="G28" s="17">
        <v>693.142857142857</v>
      </c>
      <c r="H28" s="17">
        <v>136.70450778588</v>
      </c>
      <c r="I28" s="17">
        <v>18688.1224489796</v>
      </c>
      <c r="J28" s="31">
        <v>1860</v>
      </c>
      <c r="K28" s="17">
        <v>265.714285714286</v>
      </c>
      <c r="L28" s="17">
        <v>38.3347073371805</v>
      </c>
      <c r="M28" s="17">
        <v>139.154296977661</v>
      </c>
      <c r="N28" s="17">
        <v>19363.9183673469</v>
      </c>
      <c r="O28" s="31">
        <v>2447</v>
      </c>
      <c r="P28" s="17">
        <v>349.571428571429</v>
      </c>
      <c r="Q28" s="17">
        <v>50.4328112118714</v>
      </c>
      <c r="R28" s="17">
        <v>155.522030724963</v>
      </c>
      <c r="S28" s="17">
        <v>24187.1020408163</v>
      </c>
      <c r="T28" s="33" t="s">
        <v>150</v>
      </c>
      <c r="U28" s="17">
        <v>12.0981038746908</v>
      </c>
      <c r="V28" s="35" t="s">
        <v>142</v>
      </c>
    </row>
    <row r="29" spans="1:22">
      <c r="A29" s="4">
        <v>13</v>
      </c>
      <c r="B29" s="4">
        <v>55</v>
      </c>
      <c r="C29" s="3" t="s">
        <v>117</v>
      </c>
      <c r="D29" s="4">
        <v>8</v>
      </c>
      <c r="E29" s="4" t="s">
        <v>118</v>
      </c>
      <c r="F29" s="4">
        <v>4081</v>
      </c>
      <c r="G29" s="17">
        <v>510.125</v>
      </c>
      <c r="H29" s="17">
        <v>217.662834161002</v>
      </c>
      <c r="I29" s="17">
        <v>47377.109375</v>
      </c>
      <c r="J29" s="31">
        <v>1605</v>
      </c>
      <c r="K29" s="17">
        <v>200.625</v>
      </c>
      <c r="L29" s="17">
        <v>39.3285959323695</v>
      </c>
      <c r="M29" s="17">
        <v>151.162112895395</v>
      </c>
      <c r="N29" s="17">
        <v>22849.984375</v>
      </c>
      <c r="O29" s="31">
        <v>2236</v>
      </c>
      <c r="P29" s="17">
        <v>279.5</v>
      </c>
      <c r="Q29" s="17">
        <v>54.7904925263416</v>
      </c>
      <c r="R29" s="17">
        <v>134.176190138191</v>
      </c>
      <c r="S29" s="17">
        <v>18003.25</v>
      </c>
      <c r="T29" s="33" t="s">
        <v>150</v>
      </c>
      <c r="U29" s="17">
        <v>15.4618965939721</v>
      </c>
      <c r="V29" s="35" t="s">
        <v>142</v>
      </c>
    </row>
    <row r="30" spans="1:22">
      <c r="A30" s="4">
        <v>14</v>
      </c>
      <c r="B30" s="4">
        <v>57</v>
      </c>
      <c r="C30" s="3" t="s">
        <v>121</v>
      </c>
      <c r="D30" s="4">
        <v>5</v>
      </c>
      <c r="E30" s="4" t="s">
        <v>122</v>
      </c>
      <c r="F30" s="4">
        <v>1196</v>
      </c>
      <c r="G30" s="17">
        <v>598</v>
      </c>
      <c r="H30" s="17">
        <v>18</v>
      </c>
      <c r="I30" s="17">
        <v>324</v>
      </c>
      <c r="J30" s="31">
        <v>372</v>
      </c>
      <c r="K30" s="17">
        <v>186</v>
      </c>
      <c r="L30" s="17">
        <v>31.1036789297659</v>
      </c>
      <c r="M30" s="17">
        <v>104</v>
      </c>
      <c r="N30" s="17">
        <v>10816</v>
      </c>
      <c r="O30" s="31">
        <v>707</v>
      </c>
      <c r="P30" s="17">
        <v>353.5</v>
      </c>
      <c r="Q30" s="17">
        <v>59.1137123745819</v>
      </c>
      <c r="R30" s="17">
        <v>86.5</v>
      </c>
      <c r="S30" s="17">
        <v>7482.25</v>
      </c>
      <c r="T30" s="33" t="s">
        <v>150</v>
      </c>
      <c r="U30" s="17">
        <v>28.0100334448161</v>
      </c>
      <c r="V30" s="35" t="s">
        <v>142</v>
      </c>
    </row>
    <row r="31" spans="1:22">
      <c r="A31" s="4">
        <v>15</v>
      </c>
      <c r="B31" s="4">
        <v>58</v>
      </c>
      <c r="C31" s="3" t="s">
        <v>61</v>
      </c>
      <c r="D31" s="4">
        <v>4</v>
      </c>
      <c r="E31" s="4" t="s">
        <v>123</v>
      </c>
      <c r="F31" s="4">
        <v>1251</v>
      </c>
      <c r="G31" s="17">
        <v>312.75</v>
      </c>
      <c r="H31" s="17">
        <v>318.539930777917</v>
      </c>
      <c r="I31" s="17">
        <v>101467.6875</v>
      </c>
      <c r="J31" s="31">
        <v>498</v>
      </c>
      <c r="K31" s="17">
        <v>124.5</v>
      </c>
      <c r="L31" s="17">
        <v>39.8081534772182</v>
      </c>
      <c r="M31" s="17">
        <v>143.88276477744</v>
      </c>
      <c r="N31" s="17">
        <v>20702.25</v>
      </c>
      <c r="O31" s="31">
        <v>694</v>
      </c>
      <c r="P31" s="17">
        <v>173.5</v>
      </c>
      <c r="Q31" s="17">
        <v>55.4756195043965</v>
      </c>
      <c r="R31" s="17">
        <v>174.471344352017</v>
      </c>
      <c r="S31" s="17">
        <v>30440.25</v>
      </c>
      <c r="T31" s="33" t="s">
        <v>150</v>
      </c>
      <c r="U31" s="17">
        <v>15.6674660271783</v>
      </c>
      <c r="V31" s="35" t="s">
        <v>142</v>
      </c>
    </row>
    <row r="32" spans="1:22">
      <c r="A32" s="4">
        <v>16</v>
      </c>
      <c r="B32" s="4">
        <v>60</v>
      </c>
      <c r="C32" s="3" t="s">
        <v>126</v>
      </c>
      <c r="D32" s="4">
        <v>7</v>
      </c>
      <c r="E32" s="4" t="s">
        <v>127</v>
      </c>
      <c r="F32" s="4">
        <v>4601</v>
      </c>
      <c r="G32" s="17">
        <v>657.285714285714</v>
      </c>
      <c r="H32" s="17">
        <v>184.365874039108</v>
      </c>
      <c r="I32" s="17">
        <v>33990.7755102041</v>
      </c>
      <c r="J32" s="31">
        <v>1588</v>
      </c>
      <c r="K32" s="17">
        <v>226.857142857143</v>
      </c>
      <c r="L32" s="17">
        <v>34.5142360356444</v>
      </c>
      <c r="M32" s="17">
        <v>172.991683178642</v>
      </c>
      <c r="N32" s="17">
        <v>29926.1224489796</v>
      </c>
      <c r="O32" s="31">
        <v>2407</v>
      </c>
      <c r="P32" s="17">
        <v>343.857142857143</v>
      </c>
      <c r="Q32" s="17">
        <v>52.3147141925668</v>
      </c>
      <c r="R32" s="17">
        <v>111.480207815979</v>
      </c>
      <c r="S32" s="17">
        <v>12427.8367346939</v>
      </c>
      <c r="T32" s="33" t="s">
        <v>150</v>
      </c>
      <c r="U32" s="17">
        <v>17.8004781569224</v>
      </c>
      <c r="V32" s="35" t="s">
        <v>142</v>
      </c>
    </row>
    <row r="33" s="9" customFormat="1" ht="15.75" spans="1:22">
      <c r="A33" s="18"/>
      <c r="B33" s="18"/>
      <c r="C33" s="19"/>
      <c r="D33" s="18"/>
      <c r="E33" s="18"/>
      <c r="F33" s="18">
        <f>SUM(F17:F32)</f>
        <v>56044</v>
      </c>
      <c r="G33" s="18"/>
      <c r="H33" s="18"/>
      <c r="I33" s="18"/>
      <c r="J33" s="18">
        <f>SUM(J17:J32)</f>
        <v>20630</v>
      </c>
      <c r="K33" s="18"/>
      <c r="L33" s="18"/>
      <c r="M33" s="18"/>
      <c r="N33" s="18"/>
      <c r="O33" s="18">
        <f>SUM(O17:O32)</f>
        <v>31383</v>
      </c>
      <c r="P33" s="18"/>
      <c r="Q33" s="18"/>
      <c r="R33" s="18"/>
      <c r="S33" s="18"/>
      <c r="T33" s="18"/>
      <c r="U33" s="18"/>
      <c r="V33" s="18"/>
    </row>
    <row r="34" ht="26.25" spans="1:22">
      <c r="A34" s="22" t="s">
        <v>34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</row>
    <row r="35" spans="1:22">
      <c r="A35" s="2" t="s">
        <v>38</v>
      </c>
      <c r="B35" s="2" t="s">
        <v>39</v>
      </c>
      <c r="C35" s="2" t="s">
        <v>40</v>
      </c>
      <c r="D35" s="13" t="s">
        <v>41</v>
      </c>
      <c r="E35" s="2" t="s">
        <v>42</v>
      </c>
      <c r="F35" s="12" t="s">
        <v>44</v>
      </c>
      <c r="G35" s="2" t="s">
        <v>44</v>
      </c>
      <c r="H35" s="2"/>
      <c r="I35" s="2"/>
      <c r="J35" s="25" t="s">
        <v>4</v>
      </c>
      <c r="K35" s="26"/>
      <c r="L35" s="26"/>
      <c r="M35" s="26"/>
      <c r="N35" s="27"/>
      <c r="O35" s="28" t="s">
        <v>32</v>
      </c>
      <c r="P35" s="29"/>
      <c r="Q35" s="29"/>
      <c r="R35" s="29"/>
      <c r="S35" s="32"/>
      <c r="T35" s="13" t="s">
        <v>45</v>
      </c>
      <c r="U35" s="13" t="s">
        <v>27</v>
      </c>
      <c r="V35" s="13" t="s">
        <v>46</v>
      </c>
    </row>
    <row r="36" ht="30" spans="1:22">
      <c r="A36" s="2"/>
      <c r="B36" s="2"/>
      <c r="C36" s="2"/>
      <c r="D36" s="13"/>
      <c r="E36" s="2"/>
      <c r="F36" s="16"/>
      <c r="G36" s="13" t="s">
        <v>48</v>
      </c>
      <c r="H36" s="13" t="s">
        <v>49</v>
      </c>
      <c r="I36" s="13" t="s">
        <v>50</v>
      </c>
      <c r="J36" s="13" t="s">
        <v>51</v>
      </c>
      <c r="K36" s="13" t="s">
        <v>48</v>
      </c>
      <c r="L36" s="13" t="s">
        <v>52</v>
      </c>
      <c r="M36" s="13" t="s">
        <v>49</v>
      </c>
      <c r="N36" s="13" t="s">
        <v>50</v>
      </c>
      <c r="O36" s="13" t="s">
        <v>51</v>
      </c>
      <c r="P36" s="13" t="s">
        <v>48</v>
      </c>
      <c r="Q36" s="13" t="s">
        <v>52</v>
      </c>
      <c r="R36" s="13" t="s">
        <v>49</v>
      </c>
      <c r="S36" s="13" t="s">
        <v>50</v>
      </c>
      <c r="T36" s="13"/>
      <c r="U36" s="13"/>
      <c r="V36" s="13"/>
    </row>
    <row r="37" spans="1:22">
      <c r="A37" s="4">
        <v>1</v>
      </c>
      <c r="B37" s="4">
        <v>39</v>
      </c>
      <c r="C37" s="3" t="s">
        <v>85</v>
      </c>
      <c r="D37" s="4">
        <v>6</v>
      </c>
      <c r="E37" s="5" t="s">
        <v>86</v>
      </c>
      <c r="F37" s="5">
        <v>3577</v>
      </c>
      <c r="G37" s="17">
        <v>596.166666666667</v>
      </c>
      <c r="H37" s="17">
        <v>124.396431710167</v>
      </c>
      <c r="I37" s="17">
        <v>15474.4722222222</v>
      </c>
      <c r="J37" s="31">
        <v>1172</v>
      </c>
      <c r="K37" s="17">
        <v>195.333333333333</v>
      </c>
      <c r="L37" s="17">
        <v>32.7648867766285</v>
      </c>
      <c r="M37" s="17">
        <v>104.83744030111</v>
      </c>
      <c r="N37" s="17">
        <v>10990.8888888889</v>
      </c>
      <c r="O37" s="31">
        <v>2265</v>
      </c>
      <c r="P37" s="17">
        <v>377.5</v>
      </c>
      <c r="Q37" s="17">
        <v>63.3212188985183</v>
      </c>
      <c r="R37" s="17">
        <v>42.2482741264855</v>
      </c>
      <c r="S37" s="17">
        <v>1784.91666666667</v>
      </c>
      <c r="T37" s="33" t="s">
        <v>150</v>
      </c>
      <c r="U37" s="17">
        <v>30.5563321218899</v>
      </c>
      <c r="V37" s="36" t="s">
        <v>141</v>
      </c>
    </row>
    <row r="38" spans="1:22">
      <c r="A38" s="4">
        <v>2</v>
      </c>
      <c r="B38" s="4">
        <v>45</v>
      </c>
      <c r="C38" s="3" t="s">
        <v>97</v>
      </c>
      <c r="D38" s="4">
        <v>6</v>
      </c>
      <c r="E38" s="4" t="s">
        <v>98</v>
      </c>
      <c r="F38" s="4">
        <v>2507</v>
      </c>
      <c r="G38" s="17">
        <v>626.75</v>
      </c>
      <c r="H38" s="17">
        <v>207.211697304954</v>
      </c>
      <c r="I38" s="17">
        <v>42936.6875</v>
      </c>
      <c r="J38" s="31">
        <v>681</v>
      </c>
      <c r="K38" s="17">
        <v>170.25</v>
      </c>
      <c r="L38" s="17">
        <v>27.1639409652972</v>
      </c>
      <c r="M38" s="17">
        <v>135.667562445855</v>
      </c>
      <c r="N38" s="17">
        <v>18405.6875</v>
      </c>
      <c r="O38" s="31">
        <v>1683</v>
      </c>
      <c r="P38" s="17">
        <v>420.75</v>
      </c>
      <c r="Q38" s="17">
        <v>67.1320303151177</v>
      </c>
      <c r="R38" s="17">
        <v>87.8617522019678</v>
      </c>
      <c r="S38" s="17">
        <v>7719.6875</v>
      </c>
      <c r="T38" s="33" t="s">
        <v>150</v>
      </c>
      <c r="U38" s="17">
        <v>39.9680893498205</v>
      </c>
      <c r="V38" s="36" t="s">
        <v>141</v>
      </c>
    </row>
    <row r="39" ht="15.75" spans="1:22">
      <c r="A39" s="18"/>
      <c r="B39" s="18"/>
      <c r="C39" s="19"/>
      <c r="D39" s="18"/>
      <c r="E39" s="18"/>
      <c r="F39" s="18">
        <f>SUM(F37:F38)</f>
        <v>6084</v>
      </c>
      <c r="G39" s="18"/>
      <c r="H39" s="18"/>
      <c r="I39" s="18"/>
      <c r="J39" s="18">
        <f>SUM(J37:J38)</f>
        <v>1853</v>
      </c>
      <c r="K39" s="18"/>
      <c r="L39" s="18"/>
      <c r="M39" s="18"/>
      <c r="N39" s="18"/>
      <c r="O39" s="18">
        <f>SUM(O37:O38)</f>
        <v>3948</v>
      </c>
      <c r="P39" s="18"/>
      <c r="Q39" s="18"/>
      <c r="R39" s="18"/>
      <c r="S39" s="18"/>
      <c r="T39" s="18"/>
      <c r="U39" s="18"/>
      <c r="V39" s="18"/>
    </row>
    <row r="40" ht="26.25" spans="1:22">
      <c r="A40" s="22" t="s">
        <v>36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</row>
    <row r="41" spans="1:22">
      <c r="A41" s="2" t="s">
        <v>38</v>
      </c>
      <c r="B41" s="2" t="s">
        <v>39</v>
      </c>
      <c r="C41" s="2" t="s">
        <v>40</v>
      </c>
      <c r="D41" s="13" t="s">
        <v>41</v>
      </c>
      <c r="E41" s="2" t="s">
        <v>42</v>
      </c>
      <c r="F41" s="12" t="s">
        <v>44</v>
      </c>
      <c r="G41" s="2" t="s">
        <v>44</v>
      </c>
      <c r="H41" s="2"/>
      <c r="I41" s="2"/>
      <c r="J41" s="25" t="s">
        <v>4</v>
      </c>
      <c r="K41" s="26"/>
      <c r="L41" s="26"/>
      <c r="M41" s="26"/>
      <c r="N41" s="27"/>
      <c r="O41" s="28" t="s">
        <v>32</v>
      </c>
      <c r="P41" s="29"/>
      <c r="Q41" s="29"/>
      <c r="R41" s="29"/>
      <c r="S41" s="32"/>
      <c r="T41" s="13" t="s">
        <v>45</v>
      </c>
      <c r="U41" s="13" t="s">
        <v>27</v>
      </c>
      <c r="V41" s="13" t="s">
        <v>46</v>
      </c>
    </row>
    <row r="42" ht="30" spans="1:22">
      <c r="A42" s="2"/>
      <c r="B42" s="2"/>
      <c r="C42" s="2"/>
      <c r="D42" s="13"/>
      <c r="E42" s="2"/>
      <c r="F42" s="16"/>
      <c r="G42" s="13" t="s">
        <v>48</v>
      </c>
      <c r="H42" s="13" t="s">
        <v>49</v>
      </c>
      <c r="I42" s="13" t="s">
        <v>50</v>
      </c>
      <c r="J42" s="13" t="s">
        <v>51</v>
      </c>
      <c r="K42" s="13" t="s">
        <v>48</v>
      </c>
      <c r="L42" s="13" t="s">
        <v>52</v>
      </c>
      <c r="M42" s="13" t="s">
        <v>49</v>
      </c>
      <c r="N42" s="13" t="s">
        <v>50</v>
      </c>
      <c r="O42" s="13" t="s">
        <v>51</v>
      </c>
      <c r="P42" s="13" t="s">
        <v>48</v>
      </c>
      <c r="Q42" s="13" t="s">
        <v>52</v>
      </c>
      <c r="R42" s="13" t="s">
        <v>49</v>
      </c>
      <c r="S42" s="13" t="s">
        <v>50</v>
      </c>
      <c r="T42" s="13"/>
      <c r="U42" s="13"/>
      <c r="V42" s="13"/>
    </row>
    <row r="43" spans="1:22">
      <c r="A43" s="4">
        <v>1</v>
      </c>
      <c r="B43" s="4">
        <v>59</v>
      </c>
      <c r="C43" s="3" t="s">
        <v>124</v>
      </c>
      <c r="D43" s="4">
        <v>6</v>
      </c>
      <c r="E43" s="4" t="s">
        <v>125</v>
      </c>
      <c r="F43" s="4">
        <v>2048</v>
      </c>
      <c r="G43" s="17">
        <v>512</v>
      </c>
      <c r="H43" s="17">
        <v>148.477270987852</v>
      </c>
      <c r="I43" s="17">
        <v>22045.5</v>
      </c>
      <c r="J43" s="31">
        <v>449</v>
      </c>
      <c r="K43" s="17">
        <v>112.25</v>
      </c>
      <c r="L43" s="17">
        <v>21.923828125</v>
      </c>
      <c r="M43" s="17">
        <v>126.155410109912</v>
      </c>
      <c r="N43" s="17">
        <v>15915.1875</v>
      </c>
      <c r="O43" s="31">
        <v>1515</v>
      </c>
      <c r="P43" s="17">
        <v>378.75</v>
      </c>
      <c r="Q43" s="17">
        <v>73.974609375</v>
      </c>
      <c r="R43" s="17">
        <v>29.9196841560869</v>
      </c>
      <c r="S43" s="17">
        <v>895.1875</v>
      </c>
      <c r="T43" s="33" t="s">
        <v>150</v>
      </c>
      <c r="U43" s="17">
        <v>52.05078125</v>
      </c>
      <c r="V43" s="37" t="s">
        <v>145</v>
      </c>
    </row>
  </sheetData>
  <mergeCells count="53">
    <mergeCell ref="A1:V1"/>
    <mergeCell ref="A2:V2"/>
    <mergeCell ref="G3:I3"/>
    <mergeCell ref="J3:N3"/>
    <mergeCell ref="O3:S3"/>
    <mergeCell ref="A14:V14"/>
    <mergeCell ref="G15:I15"/>
    <mergeCell ref="J15:N15"/>
    <mergeCell ref="O15:S15"/>
    <mergeCell ref="A34:V34"/>
    <mergeCell ref="G35:I35"/>
    <mergeCell ref="J35:N35"/>
    <mergeCell ref="O35:S35"/>
    <mergeCell ref="A40:V40"/>
    <mergeCell ref="G41:I41"/>
    <mergeCell ref="J41:N41"/>
    <mergeCell ref="O41:S41"/>
    <mergeCell ref="A3:A4"/>
    <mergeCell ref="A15:A16"/>
    <mergeCell ref="A35:A36"/>
    <mergeCell ref="A41:A42"/>
    <mergeCell ref="B3:B4"/>
    <mergeCell ref="B15:B16"/>
    <mergeCell ref="B35:B36"/>
    <mergeCell ref="B41:B42"/>
    <mergeCell ref="C3:C4"/>
    <mergeCell ref="C15:C16"/>
    <mergeCell ref="C35:C36"/>
    <mergeCell ref="C41:C42"/>
    <mergeCell ref="D3:D4"/>
    <mergeCell ref="D15:D16"/>
    <mergeCell ref="D35:D36"/>
    <mergeCell ref="D41:D42"/>
    <mergeCell ref="E3:E4"/>
    <mergeCell ref="E15:E16"/>
    <mergeCell ref="E35:E36"/>
    <mergeCell ref="E41:E42"/>
    <mergeCell ref="F3:F4"/>
    <mergeCell ref="F15:F16"/>
    <mergeCell ref="F35:F36"/>
    <mergeCell ref="F41:F42"/>
    <mergeCell ref="T3:T4"/>
    <mergeCell ref="T15:T16"/>
    <mergeCell ref="T35:T36"/>
    <mergeCell ref="T41:T42"/>
    <mergeCell ref="U3:U4"/>
    <mergeCell ref="U15:U16"/>
    <mergeCell ref="U35:U36"/>
    <mergeCell ref="U41:U42"/>
    <mergeCell ref="V3:V4"/>
    <mergeCell ref="V15:V16"/>
    <mergeCell ref="V35:V36"/>
    <mergeCell ref="V41:V42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workbookViewId="0">
      <selection activeCell="I15" sqref="I15"/>
    </sheetView>
  </sheetViews>
  <sheetFormatPr defaultColWidth="9.14285714285714" defaultRowHeight="15" outlineLevelCol="1"/>
  <cols>
    <col min="1" max="1" width="20.2857142857143" style="1" customWidth="1"/>
    <col min="2" max="2" width="35.4285714285714" customWidth="1"/>
  </cols>
  <sheetData>
    <row r="1" spans="1:2">
      <c r="A1" s="2" t="s">
        <v>40</v>
      </c>
      <c r="B1" s="2" t="s">
        <v>42</v>
      </c>
    </row>
    <row r="2" spans="1:2">
      <c r="A2" s="2"/>
      <c r="B2" s="2"/>
    </row>
    <row r="3" spans="1:2">
      <c r="A3" s="3" t="s">
        <v>53</v>
      </c>
      <c r="B3" s="4" t="s">
        <v>54</v>
      </c>
    </row>
    <row r="4" spans="1:2">
      <c r="A4" s="3" t="s">
        <v>55</v>
      </c>
      <c r="B4" s="4" t="s">
        <v>56</v>
      </c>
    </row>
    <row r="5" spans="1:2">
      <c r="A5" s="3" t="s">
        <v>57</v>
      </c>
      <c r="B5" s="4" t="s">
        <v>58</v>
      </c>
    </row>
    <row r="6" spans="1:2">
      <c r="A6" s="3" t="s">
        <v>59</v>
      </c>
      <c r="B6" s="5" t="s">
        <v>60</v>
      </c>
    </row>
    <row r="7" spans="1:2">
      <c r="A7" s="3" t="s">
        <v>61</v>
      </c>
      <c r="B7" s="5" t="s">
        <v>62</v>
      </c>
    </row>
    <row r="8" spans="1:2">
      <c r="A8" s="3" t="s">
        <v>63</v>
      </c>
      <c r="B8" s="5" t="s">
        <v>64</v>
      </c>
    </row>
    <row r="9" spans="1:2">
      <c r="A9" s="3" t="s">
        <v>65</v>
      </c>
      <c r="B9" s="5" t="s">
        <v>66</v>
      </c>
    </row>
    <row r="10" spans="1:2">
      <c r="A10" s="3" t="s">
        <v>67</v>
      </c>
      <c r="B10" s="5" t="s">
        <v>68</v>
      </c>
    </row>
    <row r="11" spans="1:2">
      <c r="A11" s="3" t="s">
        <v>69</v>
      </c>
      <c r="B11" s="5" t="s">
        <v>70</v>
      </c>
    </row>
    <row r="12" spans="1:2">
      <c r="A12" s="3" t="s">
        <v>71</v>
      </c>
      <c r="B12" s="5" t="s">
        <v>72</v>
      </c>
    </row>
    <row r="13" spans="1:2">
      <c r="A13" s="3" t="s">
        <v>73</v>
      </c>
      <c r="B13" s="5" t="s">
        <v>74</v>
      </c>
    </row>
    <row r="14" spans="1:2">
      <c r="A14" s="3" t="s">
        <v>75</v>
      </c>
      <c r="B14" s="5" t="s">
        <v>76</v>
      </c>
    </row>
    <row r="15" spans="1:2">
      <c r="A15" s="3" t="s">
        <v>77</v>
      </c>
      <c r="B15" s="5" t="s">
        <v>78</v>
      </c>
    </row>
    <row r="16" spans="1:2">
      <c r="A16" s="3" t="s">
        <v>79</v>
      </c>
      <c r="B16" s="5" t="s">
        <v>80</v>
      </c>
    </row>
    <row r="17" spans="1:2">
      <c r="A17" s="3" t="s">
        <v>81</v>
      </c>
      <c r="B17" s="5" t="s">
        <v>82</v>
      </c>
    </row>
    <row r="18" spans="1:2">
      <c r="A18" s="3" t="s">
        <v>83</v>
      </c>
      <c r="B18" s="5" t="s">
        <v>84</v>
      </c>
    </row>
    <row r="19" spans="1:2">
      <c r="A19" s="3" t="s">
        <v>85</v>
      </c>
      <c r="B19" s="5" t="s">
        <v>86</v>
      </c>
    </row>
    <row r="20" spans="1:2">
      <c r="A20" s="3" t="s">
        <v>87</v>
      </c>
      <c r="B20" s="5" t="s">
        <v>88</v>
      </c>
    </row>
    <row r="21" spans="1:2">
      <c r="A21" s="3" t="s">
        <v>89</v>
      </c>
      <c r="B21" s="5" t="s">
        <v>90</v>
      </c>
    </row>
    <row r="22" spans="1:2">
      <c r="A22" s="3" t="s">
        <v>91</v>
      </c>
      <c r="B22" s="4" t="s">
        <v>92</v>
      </c>
    </row>
    <row r="23" spans="1:2">
      <c r="A23" s="3" t="s">
        <v>93</v>
      </c>
      <c r="B23" s="4" t="s">
        <v>94</v>
      </c>
    </row>
    <row r="24" spans="1:2">
      <c r="A24" s="3" t="s">
        <v>95</v>
      </c>
      <c r="B24" s="4" t="s">
        <v>96</v>
      </c>
    </row>
    <row r="25" spans="1:2">
      <c r="A25" s="3" t="s">
        <v>97</v>
      </c>
      <c r="B25" s="4" t="s">
        <v>98</v>
      </c>
    </row>
    <row r="26" spans="1:2">
      <c r="A26" s="3" t="s">
        <v>99</v>
      </c>
      <c r="B26" s="4" t="s">
        <v>100</v>
      </c>
    </row>
    <row r="27" spans="1:2">
      <c r="A27" s="3" t="s">
        <v>101</v>
      </c>
      <c r="B27" s="4" t="s">
        <v>102</v>
      </c>
    </row>
    <row r="28" spans="1:2">
      <c r="A28" s="3" t="s">
        <v>103</v>
      </c>
      <c r="B28" s="4" t="s">
        <v>104</v>
      </c>
    </row>
    <row r="29" spans="1:2">
      <c r="A29" s="3" t="s">
        <v>105</v>
      </c>
      <c r="B29" s="4" t="s">
        <v>106</v>
      </c>
    </row>
    <row r="30" spans="1:2">
      <c r="A30" s="3" t="s">
        <v>107</v>
      </c>
      <c r="B30" s="4" t="s">
        <v>108</v>
      </c>
    </row>
    <row r="31" spans="1:2">
      <c r="A31" s="3" t="s">
        <v>109</v>
      </c>
      <c r="B31" s="4" t="s">
        <v>110</v>
      </c>
    </row>
    <row r="32" spans="1:2">
      <c r="A32" s="3" t="s">
        <v>111</v>
      </c>
      <c r="B32" s="4" t="s">
        <v>112</v>
      </c>
    </row>
    <row r="33" spans="1:2">
      <c r="A33" s="3" t="s">
        <v>113</v>
      </c>
      <c r="B33" s="4" t="s">
        <v>114</v>
      </c>
    </row>
    <row r="34" spans="1:2">
      <c r="A34" s="3" t="s">
        <v>115</v>
      </c>
      <c r="B34" s="4" t="s">
        <v>116</v>
      </c>
    </row>
    <row r="35" spans="1:2">
      <c r="A35" s="3" t="s">
        <v>117</v>
      </c>
      <c r="B35" s="4" t="s">
        <v>118</v>
      </c>
    </row>
    <row r="36" spans="1:2">
      <c r="A36" s="3" t="s">
        <v>119</v>
      </c>
      <c r="B36" s="4" t="s">
        <v>120</v>
      </c>
    </row>
    <row r="37" spans="1:2">
      <c r="A37" s="3" t="s">
        <v>121</v>
      </c>
      <c r="B37" s="4" t="s">
        <v>122</v>
      </c>
    </row>
    <row r="38" spans="1:2">
      <c r="A38" s="3" t="s">
        <v>61</v>
      </c>
      <c r="B38" s="4" t="s">
        <v>123</v>
      </c>
    </row>
    <row r="39" spans="1:2">
      <c r="A39" s="3" t="s">
        <v>124</v>
      </c>
      <c r="B39" s="4" t="s">
        <v>125</v>
      </c>
    </row>
    <row r="40" spans="1:2">
      <c r="A40" s="3" t="s">
        <v>126</v>
      </c>
      <c r="B40" s="4" t="s">
        <v>127</v>
      </c>
    </row>
    <row r="41" spans="1:1">
      <c r="A41" s="6"/>
    </row>
    <row r="42" spans="1:1">
      <c r="A42" s="6"/>
    </row>
    <row r="43" spans="1:1">
      <c r="A43" s="7"/>
    </row>
    <row r="44" ht="18.75" spans="1:1">
      <c r="A44" s="8"/>
    </row>
    <row r="45" ht="18.75" spans="1:1">
      <c r="A45" s="8"/>
    </row>
    <row r="46" spans="1:1">
      <c r="A46" s="7"/>
    </row>
    <row r="47" spans="1:1">
      <c r="A47" s="7"/>
    </row>
    <row r="48" spans="1:1">
      <c r="A48" s="7"/>
    </row>
    <row r="49" spans="1:1">
      <c r="A49" s="7"/>
    </row>
  </sheetData>
  <mergeCells count="2"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2013 BOOTH WISE</vt:lpstr>
      <vt:lpstr>WARD WISE ANALYSIS</vt:lpstr>
      <vt:lpstr>BJP WIN OR LOSS</vt:lpstr>
      <vt:lpstr>BJP</vt:lpstr>
      <vt:lpstr>CONGRESS</vt:lpstr>
      <vt:lpstr>WARD-BOOTH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invention hackers</cp:lastModifiedBy>
  <dcterms:created xsi:type="dcterms:W3CDTF">2018-11-09T15:44:00Z</dcterms:created>
  <dcterms:modified xsi:type="dcterms:W3CDTF">2024-06-04T10:24:24Z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0C067BAD4A0E4867A799B659FD394E47_12</vt:lpwstr>
  </property>
  <property fmtid="{D5CDD505-2E9C-101B-9397-08002B2CF9AE}" pid="3" name="KSOProductBuildVer">
    <vt:lpwstr>1033-12.2.0.17119</vt:lpwstr>
  </property>
</Properties>
</file>