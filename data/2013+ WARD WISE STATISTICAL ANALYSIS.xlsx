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345" windowWidth="19875" windowHeight="7725" activeTab="4"/>
  </bookViews>
  <sheets>
    <sheet name="2013+  BOOTH WISE ANALYSIS" sheetId="4" r:id="rId1"/>
    <sheet name="WARD WISE ANALYSIS" sheetId="1" r:id="rId2"/>
    <sheet name="BJP WIN OR LOSS" sheetId="5" r:id="rId3"/>
    <sheet name="BJP" sheetId="2" r:id="rId4"/>
    <sheet name="CONGRESS" sheetId="3" r:id="rId5"/>
  </sheets>
  <definedNames>
    <definedName name="_xlnm._FilterDatabase" localSheetId="0" hidden="1">'2013+  BOOTH WISE ANALYSIS'!$A$2:$Y$210</definedName>
    <definedName name="_xlnm._FilterDatabase" localSheetId="1" hidden="1">'WARD WISE ANALYSIS'!$A$2:$V$50</definedName>
  </definedNames>
  <calcPr calcId="124519"/>
</workbook>
</file>

<file path=xl/calcChain.xml><?xml version="1.0" encoding="utf-8"?>
<calcChain xmlns="http://schemas.openxmlformats.org/spreadsheetml/2006/main">
  <c r="O39" i="3"/>
  <c r="J39"/>
  <c r="F39"/>
  <c r="O33"/>
  <c r="J33"/>
  <c r="F33"/>
  <c r="O14"/>
  <c r="J14"/>
  <c r="F14"/>
  <c r="O24" i="2"/>
  <c r="J24"/>
  <c r="F24"/>
  <c r="O18"/>
  <c r="J18"/>
  <c r="F18"/>
  <c r="O12"/>
  <c r="J12"/>
  <c r="F12"/>
  <c r="D211" i="4"/>
  <c r="E211"/>
  <c r="F211"/>
  <c r="G211"/>
  <c r="H211"/>
  <c r="I211"/>
  <c r="J211"/>
  <c r="K211"/>
  <c r="L211"/>
  <c r="M211"/>
  <c r="N211"/>
  <c r="O211"/>
  <c r="P211"/>
  <c r="Q211"/>
  <c r="R211"/>
  <c r="S211"/>
  <c r="T211"/>
  <c r="U211"/>
  <c r="C211"/>
  <c r="W210"/>
  <c r="X210" s="1"/>
  <c r="W207"/>
  <c r="X207" s="1"/>
  <c r="W208"/>
  <c r="X208" s="1"/>
  <c r="W206"/>
  <c r="X206" s="1"/>
  <c r="W204"/>
  <c r="X204" s="1"/>
  <c r="W198"/>
  <c r="X198" s="1"/>
  <c r="W196"/>
  <c r="X196" s="1"/>
  <c r="W194"/>
  <c r="X194" s="1"/>
  <c r="W192"/>
  <c r="X192" s="1"/>
  <c r="W187"/>
  <c r="X187" s="1"/>
  <c r="W188"/>
  <c r="X188" s="1"/>
  <c r="W189"/>
  <c r="X189" s="1"/>
  <c r="W190"/>
  <c r="X190" s="1"/>
  <c r="W186"/>
  <c r="X186" s="1"/>
  <c r="W182"/>
  <c r="X182" s="1"/>
  <c r="W181"/>
  <c r="X181" s="1"/>
  <c r="W179"/>
  <c r="X179" s="1"/>
  <c r="W176"/>
  <c r="X176" s="1"/>
  <c r="W177"/>
  <c r="X177" s="1"/>
  <c r="W175"/>
  <c r="X175" s="1"/>
  <c r="W172"/>
  <c r="X172" s="1"/>
  <c r="W173"/>
  <c r="X173" s="1"/>
  <c r="W171"/>
  <c r="X171" s="1"/>
  <c r="W167"/>
  <c r="X167" s="1"/>
  <c r="W168"/>
  <c r="X168" s="1"/>
  <c r="W166"/>
  <c r="X166" s="1"/>
  <c r="W137"/>
  <c r="X137" s="1"/>
  <c r="W138"/>
  <c r="X138" s="1"/>
  <c r="W139"/>
  <c r="X139" s="1"/>
  <c r="W140"/>
  <c r="X140" s="1"/>
  <c r="W141"/>
  <c r="X141" s="1"/>
  <c r="W142"/>
  <c r="X142" s="1"/>
  <c r="W143"/>
  <c r="X143" s="1"/>
  <c r="W144"/>
  <c r="X144" s="1"/>
  <c r="W145"/>
  <c r="X145" s="1"/>
  <c r="W146"/>
  <c r="X146" s="1"/>
  <c r="W147"/>
  <c r="X147" s="1"/>
  <c r="W148"/>
  <c r="X148" s="1"/>
  <c r="W149"/>
  <c r="X149" s="1"/>
  <c r="W150"/>
  <c r="X150" s="1"/>
  <c r="W151"/>
  <c r="X151" s="1"/>
  <c r="W152"/>
  <c r="X152" s="1"/>
  <c r="W153"/>
  <c r="X153" s="1"/>
  <c r="W154"/>
  <c r="X154" s="1"/>
  <c r="W155"/>
  <c r="X155" s="1"/>
  <c r="W156"/>
  <c r="X156" s="1"/>
  <c r="W157"/>
  <c r="X157" s="1"/>
  <c r="W158"/>
  <c r="X158" s="1"/>
  <c r="W159"/>
  <c r="X159" s="1"/>
  <c r="W136"/>
  <c r="X136" s="1"/>
  <c r="W129"/>
  <c r="X129" s="1"/>
  <c r="W130"/>
  <c r="X130" s="1"/>
  <c r="W131"/>
  <c r="X131" s="1"/>
  <c r="W132"/>
  <c r="X132" s="1"/>
  <c r="W133"/>
  <c r="X133" s="1"/>
  <c r="W134"/>
  <c r="X134" s="1"/>
  <c r="W128"/>
  <c r="X128" s="1"/>
  <c r="W126"/>
  <c r="X126" s="1"/>
  <c r="W116"/>
  <c r="X116" s="1"/>
  <c r="W117"/>
  <c r="X117" s="1"/>
  <c r="W118"/>
  <c r="X118" s="1"/>
  <c r="W119"/>
  <c r="X119" s="1"/>
  <c r="W120"/>
  <c r="X120" s="1"/>
  <c r="W121"/>
  <c r="X121" s="1"/>
  <c r="W122"/>
  <c r="X122" s="1"/>
  <c r="W123"/>
  <c r="X123" s="1"/>
  <c r="W115"/>
  <c r="X115" s="1"/>
  <c r="W104"/>
  <c r="X104" s="1"/>
  <c r="W105"/>
  <c r="X105" s="1"/>
  <c r="W106"/>
  <c r="X106" s="1"/>
  <c r="W107"/>
  <c r="X107" s="1"/>
  <c r="W108"/>
  <c r="X108" s="1"/>
  <c r="W103"/>
  <c r="X103" s="1"/>
  <c r="W100"/>
  <c r="X100" s="1"/>
  <c r="W99"/>
  <c r="X99" s="1"/>
  <c r="W95"/>
  <c r="X95" s="1"/>
  <c r="W96"/>
  <c r="X96" s="1"/>
  <c r="W97"/>
  <c r="X97" s="1"/>
  <c r="W94"/>
  <c r="X94" s="1"/>
  <c r="W92"/>
  <c r="X92" s="1"/>
  <c r="W86"/>
  <c r="X86" s="1"/>
  <c r="W87"/>
  <c r="X87" s="1"/>
  <c r="W88"/>
  <c r="X88" s="1"/>
  <c r="W89"/>
  <c r="X89" s="1"/>
  <c r="W90"/>
  <c r="X90" s="1"/>
  <c r="W85"/>
  <c r="X85" s="1"/>
  <c r="W83"/>
  <c r="X83" s="1"/>
  <c r="W81"/>
  <c r="X81" s="1"/>
  <c r="W78"/>
  <c r="X78" s="1"/>
  <c r="W61"/>
  <c r="X61" s="1"/>
  <c r="W58"/>
  <c r="X58" s="1"/>
  <c r="W54"/>
  <c r="X54" s="1"/>
  <c r="W53"/>
  <c r="X53" s="1"/>
  <c r="W51"/>
  <c r="X51" s="1"/>
  <c r="W50"/>
  <c r="X50" s="1"/>
  <c r="W48"/>
  <c r="X48" s="1"/>
  <c r="W47"/>
  <c r="X47" s="1"/>
  <c r="W43"/>
  <c r="X43" s="1"/>
  <c r="W44"/>
  <c r="X44" s="1"/>
  <c r="W45"/>
  <c r="X45" s="1"/>
  <c r="W42"/>
  <c r="X42" s="1"/>
  <c r="W33"/>
  <c r="X33" s="1"/>
  <c r="W34"/>
  <c r="X34" s="1"/>
  <c r="W35"/>
  <c r="X35" s="1"/>
  <c r="W36"/>
  <c r="X36" s="1"/>
  <c r="W37"/>
  <c r="X37" s="1"/>
  <c r="W38"/>
  <c r="X38" s="1"/>
  <c r="W39"/>
  <c r="X39" s="1"/>
  <c r="W40"/>
  <c r="X40" s="1"/>
  <c r="W32"/>
  <c r="X32" s="1"/>
  <c r="W27"/>
  <c r="X27" s="1"/>
  <c r="W26"/>
  <c r="X26" s="1"/>
  <c r="W24"/>
  <c r="X24" s="1"/>
  <c r="W23"/>
  <c r="X23" s="1"/>
  <c r="W20"/>
  <c r="X20" s="1"/>
  <c r="W21"/>
  <c r="X21" s="1"/>
  <c r="W17"/>
  <c r="X17" s="1"/>
  <c r="W18"/>
  <c r="X18" s="1"/>
  <c r="W19"/>
  <c r="X19" s="1"/>
  <c r="W16"/>
  <c r="X16" s="1"/>
  <c r="W13"/>
  <c r="X13" s="1"/>
  <c r="W14"/>
  <c r="X14" s="1"/>
  <c r="W12"/>
  <c r="X12" s="1"/>
  <c r="W10"/>
  <c r="X10" s="1"/>
  <c r="W4"/>
  <c r="X4" s="1"/>
  <c r="W5"/>
  <c r="X5" s="1"/>
  <c r="W6"/>
  <c r="X6" s="1"/>
  <c r="W7"/>
  <c r="X7" s="1"/>
  <c r="W3"/>
  <c r="X3" s="1"/>
  <c r="W8"/>
  <c r="X8" s="1"/>
  <c r="W9"/>
  <c r="X9" s="1"/>
  <c r="W11"/>
  <c r="X11" s="1"/>
  <c r="W15"/>
  <c r="X15" s="1"/>
  <c r="W22"/>
  <c r="X22" s="1"/>
  <c r="W25"/>
  <c r="X25" s="1"/>
  <c r="W28"/>
  <c r="X28" s="1"/>
  <c r="W29"/>
  <c r="X29" s="1"/>
  <c r="W30"/>
  <c r="X30" s="1"/>
  <c r="W31"/>
  <c r="X31" s="1"/>
  <c r="W41"/>
  <c r="X41" s="1"/>
  <c r="W46"/>
  <c r="X46" s="1"/>
  <c r="W49"/>
  <c r="X49" s="1"/>
  <c r="W52"/>
  <c r="X52" s="1"/>
  <c r="W55"/>
  <c r="X55" s="1"/>
  <c r="W56"/>
  <c r="X56" s="1"/>
  <c r="W57"/>
  <c r="X57" s="1"/>
  <c r="W59"/>
  <c r="X59" s="1"/>
  <c r="W60"/>
  <c r="X60" s="1"/>
  <c r="W62"/>
  <c r="X62" s="1"/>
  <c r="W63"/>
  <c r="X63" s="1"/>
  <c r="W64"/>
  <c r="X64" s="1"/>
  <c r="W65"/>
  <c r="X65" s="1"/>
  <c r="W66"/>
  <c r="X66" s="1"/>
  <c r="W67"/>
  <c r="X67" s="1"/>
  <c r="W68"/>
  <c r="X68" s="1"/>
  <c r="W69"/>
  <c r="X69" s="1"/>
  <c r="W70"/>
  <c r="X70" s="1"/>
  <c r="W71"/>
  <c r="X71" s="1"/>
  <c r="W72"/>
  <c r="X72" s="1"/>
  <c r="W73"/>
  <c r="X73" s="1"/>
  <c r="W74"/>
  <c r="X74" s="1"/>
  <c r="W75"/>
  <c r="X75" s="1"/>
  <c r="W76"/>
  <c r="X76" s="1"/>
  <c r="W77"/>
  <c r="X77" s="1"/>
  <c r="W79"/>
  <c r="X79" s="1"/>
  <c r="W80"/>
  <c r="X80" s="1"/>
  <c r="W82"/>
  <c r="X82" s="1"/>
  <c r="W84"/>
  <c r="X84" s="1"/>
  <c r="W91"/>
  <c r="X91" s="1"/>
  <c r="W93"/>
  <c r="X93" s="1"/>
  <c r="W98"/>
  <c r="X98" s="1"/>
  <c r="W101"/>
  <c r="X101" s="1"/>
  <c r="W102"/>
  <c r="X102" s="1"/>
  <c r="W109"/>
  <c r="X109" s="1"/>
  <c r="W110"/>
  <c r="X110" s="1"/>
  <c r="W111"/>
  <c r="X111" s="1"/>
  <c r="W112"/>
  <c r="X112" s="1"/>
  <c r="W113"/>
  <c r="X113" s="1"/>
  <c r="W114"/>
  <c r="X114" s="1"/>
  <c r="W124"/>
  <c r="X124" s="1"/>
  <c r="W125"/>
  <c r="X125" s="1"/>
  <c r="W127"/>
  <c r="X127" s="1"/>
  <c r="W135"/>
  <c r="X135" s="1"/>
  <c r="W160"/>
  <c r="X160" s="1"/>
  <c r="W161"/>
  <c r="X161" s="1"/>
  <c r="W162"/>
  <c r="X162" s="1"/>
  <c r="W163"/>
  <c r="X163" s="1"/>
  <c r="W164"/>
  <c r="X164" s="1"/>
  <c r="W165"/>
  <c r="X165" s="1"/>
  <c r="W169"/>
  <c r="X169" s="1"/>
  <c r="W170"/>
  <c r="X170" s="1"/>
  <c r="W174"/>
  <c r="X174" s="1"/>
  <c r="W178"/>
  <c r="X178" s="1"/>
  <c r="W180"/>
  <c r="X180" s="1"/>
  <c r="W183"/>
  <c r="X183" s="1"/>
  <c r="W184"/>
  <c r="X184" s="1"/>
  <c r="W185"/>
  <c r="X185" s="1"/>
  <c r="W191"/>
  <c r="X191" s="1"/>
  <c r="W193"/>
  <c r="X193" s="1"/>
  <c r="W195"/>
  <c r="X195" s="1"/>
  <c r="W197"/>
  <c r="X197" s="1"/>
  <c r="W199"/>
  <c r="X199" s="1"/>
  <c r="W200"/>
  <c r="X200" s="1"/>
  <c r="W201"/>
  <c r="X201" s="1"/>
  <c r="W202"/>
  <c r="X202" s="1"/>
  <c r="W203"/>
  <c r="X203" s="1"/>
  <c r="W205"/>
  <c r="X205" s="1"/>
  <c r="W209"/>
  <c r="X209" s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V57"/>
  <c r="V58"/>
  <c r="V59"/>
  <c r="V60"/>
  <c r="V61"/>
  <c r="V62"/>
  <c r="V63"/>
  <c r="V64"/>
  <c r="V65"/>
  <c r="V66"/>
  <c r="V67"/>
  <c r="V68"/>
  <c r="V69"/>
  <c r="V70"/>
  <c r="V71"/>
  <c r="V72"/>
  <c r="V73"/>
  <c r="V74"/>
  <c r="V75"/>
  <c r="V76"/>
  <c r="V77"/>
  <c r="V78"/>
  <c r="V79"/>
  <c r="V80"/>
  <c r="V81"/>
  <c r="V82"/>
  <c r="V83"/>
  <c r="V84"/>
  <c r="V85"/>
  <c r="V86"/>
  <c r="V87"/>
  <c r="V88"/>
  <c r="V89"/>
  <c r="V90"/>
  <c r="V91"/>
  <c r="V92"/>
  <c r="V93"/>
  <c r="V94"/>
  <c r="V95"/>
  <c r="V96"/>
  <c r="V97"/>
  <c r="V98"/>
  <c r="V99"/>
  <c r="V100"/>
  <c r="V101"/>
  <c r="V102"/>
  <c r="V103"/>
  <c r="V104"/>
  <c r="V105"/>
  <c r="V106"/>
  <c r="V107"/>
  <c r="V108"/>
  <c r="V109"/>
  <c r="V110"/>
  <c r="V111"/>
  <c r="V112"/>
  <c r="V113"/>
  <c r="V114"/>
  <c r="V115"/>
  <c r="V116"/>
  <c r="V117"/>
  <c r="V118"/>
  <c r="V119"/>
  <c r="V120"/>
  <c r="V121"/>
  <c r="V122"/>
  <c r="V123"/>
  <c r="V124"/>
  <c r="V125"/>
  <c r="V126"/>
  <c r="V127"/>
  <c r="V128"/>
  <c r="V129"/>
  <c r="V130"/>
  <c r="V131"/>
  <c r="V132"/>
  <c r="V133"/>
  <c r="V134"/>
  <c r="V135"/>
  <c r="V136"/>
  <c r="V137"/>
  <c r="V138"/>
  <c r="V139"/>
  <c r="V140"/>
  <c r="V141"/>
  <c r="V142"/>
  <c r="V143"/>
  <c r="V144"/>
  <c r="V145"/>
  <c r="V146"/>
  <c r="V147"/>
  <c r="V148"/>
  <c r="V149"/>
  <c r="V150"/>
  <c r="V151"/>
  <c r="V152"/>
  <c r="V153"/>
  <c r="V154"/>
  <c r="V155"/>
  <c r="V156"/>
  <c r="V157"/>
  <c r="V158"/>
  <c r="V159"/>
  <c r="V160"/>
  <c r="V161"/>
  <c r="V162"/>
  <c r="V163"/>
  <c r="V164"/>
  <c r="V165"/>
  <c r="V166"/>
  <c r="V167"/>
  <c r="V168"/>
  <c r="V169"/>
  <c r="V170"/>
  <c r="V171"/>
  <c r="V172"/>
  <c r="V173"/>
  <c r="V174"/>
  <c r="V175"/>
  <c r="V176"/>
  <c r="V177"/>
  <c r="V178"/>
  <c r="V179"/>
  <c r="V180"/>
  <c r="V181"/>
  <c r="V182"/>
  <c r="V183"/>
  <c r="V184"/>
  <c r="V185"/>
  <c r="V186"/>
  <c r="V187"/>
  <c r="V188"/>
  <c r="V189"/>
  <c r="V190"/>
  <c r="V191"/>
  <c r="V192"/>
  <c r="V193"/>
  <c r="V194"/>
  <c r="V195"/>
  <c r="V196"/>
  <c r="V197"/>
  <c r="V198"/>
  <c r="V199"/>
  <c r="V200"/>
  <c r="V201"/>
  <c r="V202"/>
  <c r="V203"/>
  <c r="V204"/>
  <c r="V205"/>
  <c r="V206"/>
  <c r="V207"/>
  <c r="V208"/>
  <c r="V209"/>
  <c r="V210"/>
  <c r="V3"/>
  <c r="W212" s="1"/>
  <c r="Y215" l="1"/>
  <c r="Y214"/>
  <c r="W213"/>
  <c r="Y213"/>
  <c r="Y212"/>
  <c r="Y216"/>
  <c r="I37" i="5" l="1"/>
  <c r="I36"/>
  <c r="I35"/>
  <c r="I34"/>
  <c r="I33"/>
  <c r="B29"/>
  <c r="B27"/>
  <c r="B26"/>
  <c r="B25"/>
  <c r="B28"/>
  <c r="O42" i="1"/>
  <c r="J42"/>
  <c r="U43" i="3" l="1"/>
  <c r="V43" s="1"/>
  <c r="T43"/>
  <c r="Q43"/>
  <c r="L43"/>
  <c r="U17" i="2"/>
  <c r="V17" s="1"/>
  <c r="T17"/>
  <c r="Q17"/>
  <c r="L17"/>
  <c r="U16"/>
  <c r="V16" s="1"/>
  <c r="T16"/>
  <c r="Q16"/>
  <c r="L16"/>
  <c r="U23"/>
  <c r="V23" s="1"/>
  <c r="T23"/>
  <c r="Q23"/>
  <c r="L23"/>
  <c r="U22"/>
  <c r="V22" s="1"/>
  <c r="T22"/>
  <c r="Q22"/>
  <c r="L22"/>
  <c r="L4" i="1" l="1"/>
  <c r="G43"/>
  <c r="K43"/>
  <c r="P43"/>
  <c r="U37"/>
  <c r="U30"/>
  <c r="U23"/>
  <c r="U22"/>
  <c r="U14"/>
  <c r="U13"/>
  <c r="U8"/>
  <c r="U9"/>
  <c r="U10"/>
  <c r="U11"/>
  <c r="V11" s="1"/>
  <c r="U7"/>
  <c r="U5"/>
  <c r="U6"/>
  <c r="U12"/>
  <c r="U15"/>
  <c r="U16"/>
  <c r="U17"/>
  <c r="U18"/>
  <c r="U19"/>
  <c r="U20"/>
  <c r="U21"/>
  <c r="U24"/>
  <c r="U25"/>
  <c r="U26"/>
  <c r="U27"/>
  <c r="U28"/>
  <c r="U29"/>
  <c r="U31"/>
  <c r="U32"/>
  <c r="U33"/>
  <c r="U34"/>
  <c r="U35"/>
  <c r="U36"/>
  <c r="U38"/>
  <c r="U39"/>
  <c r="U40"/>
  <c r="U41"/>
  <c r="U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Q4"/>
  <c r="Q43" l="1"/>
  <c r="L43"/>
  <c r="V4" l="1"/>
  <c r="V5"/>
  <c r="V6"/>
  <c r="V7"/>
  <c r="V8"/>
  <c r="V9"/>
  <c r="V10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F42"/>
  <c r="T43" l="1"/>
  <c r="T44"/>
  <c r="V48"/>
  <c r="V46"/>
  <c r="V47"/>
  <c r="V45"/>
  <c r="V49" s="1"/>
</calcChain>
</file>

<file path=xl/sharedStrings.xml><?xml version="1.0" encoding="utf-8"?>
<sst xmlns="http://schemas.openxmlformats.org/spreadsheetml/2006/main" count="743" uniqueCount="145">
  <si>
    <t>LOW MARGIN</t>
  </si>
  <si>
    <t>MARGIN STATUS</t>
  </si>
  <si>
    <t>VERY HIGH MARGIN</t>
  </si>
  <si>
    <t>HIGH MARGIN</t>
  </si>
  <si>
    <t>MEDIUM MARGIN</t>
  </si>
  <si>
    <t>NARROW MARGIN</t>
  </si>
  <si>
    <t>TOTAL CONGRESS</t>
  </si>
  <si>
    <t xml:space="preserve"> TOTAL BJP</t>
  </si>
  <si>
    <t>AVERAGE</t>
  </si>
  <si>
    <t>TOTAL</t>
  </si>
  <si>
    <t>84, 85, 91, 93, 185, 186, 184</t>
  </si>
  <si>
    <t>BENGRE</t>
  </si>
  <si>
    <t>141, 142, 143, 196, 215, 216</t>
  </si>
  <si>
    <t>JEPPU</t>
  </si>
  <si>
    <t>201, 211, 212, 205</t>
  </si>
  <si>
    <t>BOLOOR</t>
  </si>
  <si>
    <t>206, 207, 210, 213, 214</t>
  </si>
  <si>
    <t>HOIGE BAZAR</t>
  </si>
  <si>
    <t>199, 200, 202, 203, 204</t>
  </si>
  <si>
    <t>MANGALADEVI</t>
  </si>
  <si>
    <t>138, 139, 140, 197, 198, 199, 200, 217</t>
  </si>
  <si>
    <t>ATTAVARA</t>
  </si>
  <si>
    <t>192, 193, 194, 195, 219</t>
  </si>
  <si>
    <t>JAPPINAMOGARU</t>
  </si>
  <si>
    <t>182, 183, 184, 185, 186,187, 188</t>
  </si>
  <si>
    <t>BAJAL</t>
  </si>
  <si>
    <t>175, 176, 177,178, 180, 181</t>
  </si>
  <si>
    <t>KANNUR</t>
  </si>
  <si>
    <t>40, 41, 171, 172, 173, 174, 179</t>
  </si>
  <si>
    <t>ALAPE NORTH</t>
  </si>
  <si>
    <t>166, 167, 168, 169, 170, 189, 190, 191</t>
  </si>
  <si>
    <t>ALAPE SOUTH</t>
  </si>
  <si>
    <t>157, 160, 161, 167, 163, 164</t>
  </si>
  <si>
    <t>KANKANADY</t>
  </si>
  <si>
    <t>120, 121, 156, 157, 158, 165</t>
  </si>
  <si>
    <t>VALANCIA</t>
  </si>
  <si>
    <t>126, 127, 150, 151, 152</t>
  </si>
  <si>
    <t>MILLAGRES</t>
  </si>
  <si>
    <t>125, 128, 132, 133, 137</t>
  </si>
  <si>
    <t>CONTONMENT</t>
  </si>
  <si>
    <t>131,135, 136, 208, 209, 210</t>
  </si>
  <si>
    <t>PORT</t>
  </si>
  <si>
    <t>NAVAYATH</t>
  </si>
  <si>
    <t>94, 95, 96, 97,99</t>
  </si>
  <si>
    <t>KUDROLI</t>
  </si>
  <si>
    <t>65, 66, 67, 98,100, 102,103</t>
  </si>
  <si>
    <t>DONGARAKERY</t>
  </si>
  <si>
    <t>111,112,113,109,110</t>
  </si>
  <si>
    <t>CENTRAL</t>
  </si>
  <si>
    <t>114,115,116,129,130</t>
  </si>
  <si>
    <t>COURT</t>
  </si>
  <si>
    <t>144,145,146,154,155,147</t>
  </si>
  <si>
    <t>FALNIR</t>
  </si>
  <si>
    <t>117,118,122,124,148,149,153</t>
  </si>
  <si>
    <t>BENDOOR</t>
  </si>
  <si>
    <t>42,43,44,45,46,47</t>
  </si>
  <si>
    <t>MAROLI</t>
  </si>
  <si>
    <t>32,33,36</t>
  </si>
  <si>
    <t>PADAV EAST</t>
  </si>
  <si>
    <t>30,31,34,38,39,35,37</t>
  </si>
  <si>
    <t>PADAV CENTRAL</t>
  </si>
  <si>
    <t>52,53,117,119,123</t>
  </si>
  <si>
    <t>SHIVABAGH</t>
  </si>
  <si>
    <t>54,55,56,58</t>
  </si>
  <si>
    <t>KADRI SOUTH</t>
  </si>
  <si>
    <t>24,27,57,25,26</t>
  </si>
  <si>
    <t>KADRI NORTH</t>
  </si>
  <si>
    <t>14,16,17,18,19,21</t>
  </si>
  <si>
    <t>BEJAI</t>
  </si>
  <si>
    <t>20,22,23,59,60</t>
  </si>
  <si>
    <t>KODIALBAIL</t>
  </si>
  <si>
    <t>61,62,63,64</t>
  </si>
  <si>
    <t>KAMBALA</t>
  </si>
  <si>
    <t>68,69,70,72</t>
  </si>
  <si>
    <t>MANNAGUDDA</t>
  </si>
  <si>
    <t>71,73,74,81,82,83</t>
  </si>
  <si>
    <t>3,4,75,75,77,78,79,80</t>
  </si>
  <si>
    <t>DEREBAIL NAIRUTHYA</t>
  </si>
  <si>
    <t>4,5,6,7,1,2</t>
  </si>
  <si>
    <t>DEREBAIL WEST</t>
  </si>
  <si>
    <t>8,10,11,12,13,15</t>
  </si>
  <si>
    <t>DEREBAIL SOUTH</t>
  </si>
  <si>
    <t>28,29,48,49,50,51</t>
  </si>
  <si>
    <t>PADAV WEST</t>
  </si>
  <si>
    <t>VARIANCE</t>
  </si>
  <si>
    <t>%</t>
  </si>
  <si>
    <t>MEAN</t>
  </si>
  <si>
    <t>WIN MARGIN</t>
  </si>
  <si>
    <t>WARD STATUS</t>
  </si>
  <si>
    <t>CONGRESS</t>
  </si>
  <si>
    <t>BJP</t>
  </si>
  <si>
    <t>TOTAL POLLED</t>
  </si>
  <si>
    <t>BOOTH DETAILS</t>
  </si>
  <si>
    <t>TOTAL NO. OF BOOTH</t>
  </si>
  <si>
    <t>WARD NAME</t>
  </si>
  <si>
    <t>WARD NO.</t>
  </si>
  <si>
    <t>SL. NO</t>
  </si>
  <si>
    <t>BJP GAIN</t>
  </si>
  <si>
    <t>NARROWMARGIN</t>
  </si>
  <si>
    <t>CONGRESS GAIN</t>
  </si>
  <si>
    <t>LOWMARGIN</t>
  </si>
  <si>
    <t>MEDIUMMARGIN</t>
  </si>
  <si>
    <t>BJP WARD WISE MARGIN BASED STATISTICAL ANALYSIS OF YEAR 2013+</t>
  </si>
  <si>
    <t>CONGRESS WARD WISE MARGIN BASED STATISTICAL ANALYSIS OF YEAR 2013+</t>
  </si>
  <si>
    <t>106, 107, 108, 109,101, 104</t>
  </si>
  <si>
    <t>Booth No.</t>
  </si>
  <si>
    <t>Place / Locality</t>
  </si>
  <si>
    <t>Total Polled Votes</t>
  </si>
  <si>
    <t>BJP+</t>
  </si>
  <si>
    <t>BJP+%</t>
  </si>
  <si>
    <t>INC</t>
  </si>
  <si>
    <t>INC%</t>
  </si>
  <si>
    <t>JDS</t>
  </si>
  <si>
    <t>JDS%</t>
  </si>
  <si>
    <t>BSP</t>
  </si>
  <si>
    <t>BSP%</t>
  </si>
  <si>
    <t>SP</t>
  </si>
  <si>
    <t>SP %</t>
  </si>
  <si>
    <t>JDU</t>
  </si>
  <si>
    <t>JDU %</t>
  </si>
  <si>
    <t>CPI</t>
  </si>
  <si>
    <t>CPI%</t>
  </si>
  <si>
    <t>CPIM</t>
  </si>
  <si>
    <t>CPIM %</t>
  </si>
  <si>
    <t>OTH</t>
  </si>
  <si>
    <t>OTH %</t>
  </si>
  <si>
    <t>Mangalore Corp</t>
  </si>
  <si>
    <t>MANGALORE SOUTH BHOOTH WISE ANALYSIS OF YEAR 2013+</t>
  </si>
  <si>
    <t>STANDARD DEVIATION</t>
  </si>
  <si>
    <t>BJP POLLED</t>
  </si>
  <si>
    <t>CONGRESS POLLED</t>
  </si>
  <si>
    <t>WIN</t>
  </si>
  <si>
    <t>LOSS</t>
  </si>
  <si>
    <t>SL.NO</t>
  </si>
  <si>
    <t>WARD NO</t>
  </si>
  <si>
    <t>LOSS MARGIN</t>
  </si>
  <si>
    <t>VERYHIGHMARGIN</t>
  </si>
  <si>
    <t>BJP WIN MARGIN STATUS</t>
  </si>
  <si>
    <t>HIGHMARGIN</t>
  </si>
  <si>
    <t>CONGRESS WIN MARGIN STATUS</t>
  </si>
  <si>
    <t>BOOTH STATUS</t>
  </si>
  <si>
    <t>WIN STATUS</t>
  </si>
  <si>
    <t>*MANGALORE SOUTH WARDWISE STATISTICAL ANALYSIS OF YEAR 2013+</t>
  </si>
  <si>
    <t>* 2013+ TOTAL VOTERS LIST NOT PROVIDED</t>
  </si>
  <si>
    <t>NARROW  MARGIN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</si>
</sst>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Protection="1">
      <protection hidden="1"/>
    </xf>
    <xf numFmtId="0" fontId="6" fillId="11" borderId="1" xfId="0" applyFont="1" applyFill="1" applyBorder="1" applyAlignment="1" applyProtection="1">
      <alignment horizontal="center" vertical="center" wrapText="1"/>
      <protection hidden="1"/>
    </xf>
    <xf numFmtId="0" fontId="7" fillId="11" borderId="1" xfId="0" applyFont="1" applyFill="1" applyBorder="1" applyAlignment="1" applyProtection="1">
      <alignment horizontal="center" vertical="center" wrapText="1"/>
      <protection hidden="1"/>
    </xf>
    <xf numFmtId="0" fontId="6" fillId="11" borderId="1" xfId="0" applyFont="1" applyFill="1" applyBorder="1" applyAlignment="1" applyProtection="1">
      <alignment horizontal="center" vertical="center"/>
      <protection hidden="1"/>
    </xf>
    <xf numFmtId="2" fontId="6" fillId="11" borderId="1" xfId="0" applyNumberFormat="1" applyFont="1" applyFill="1" applyBorder="1" applyAlignment="1" applyProtection="1">
      <alignment horizontal="center" vertical="center"/>
      <protection hidden="1"/>
    </xf>
    <xf numFmtId="2" fontId="6" fillId="11" borderId="13" xfId="0" applyNumberFormat="1" applyFont="1" applyFill="1" applyBorder="1" applyAlignment="1" applyProtection="1">
      <alignment horizontal="center" vertical="center" wrapText="1"/>
      <protection hidden="1"/>
    </xf>
    <xf numFmtId="0" fontId="8" fillId="14" borderId="1" xfId="0" applyFont="1" applyFill="1" applyBorder="1" applyAlignment="1" applyProtection="1">
      <alignment horizontal="center"/>
      <protection hidden="1"/>
    </xf>
    <xf numFmtId="0" fontId="8" fillId="14" borderId="1" xfId="0" applyFont="1" applyFill="1" applyBorder="1" applyProtection="1">
      <protection hidden="1"/>
    </xf>
    <xf numFmtId="2" fontId="8" fillId="14" borderId="1" xfId="0" applyNumberFormat="1" applyFont="1" applyFill="1" applyBorder="1" applyAlignment="1" applyProtection="1">
      <alignment horizont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2" fontId="0" fillId="9" borderId="1" xfId="0" applyNumberFormat="1" applyFill="1" applyBorder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9" fillId="14" borderId="1" xfId="0" applyFont="1" applyFill="1" applyBorder="1" applyAlignment="1" applyProtection="1">
      <alignment horizontal="center"/>
      <protection hidden="1"/>
    </xf>
    <xf numFmtId="0" fontId="9" fillId="14" borderId="1" xfId="0" applyFont="1" applyFill="1" applyBorder="1" applyProtection="1">
      <protection hidden="1"/>
    </xf>
    <xf numFmtId="2" fontId="9" fillId="14" borderId="1" xfId="0" applyNumberFormat="1" applyFont="1" applyFill="1" applyBorder="1" applyAlignment="1" applyProtection="1">
      <alignment horizontal="center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13" borderId="1" xfId="0" applyFill="1" applyBorder="1" applyAlignment="1" applyProtection="1">
      <alignment horizontal="center" vertical="center"/>
      <protection hidden="1"/>
    </xf>
    <xf numFmtId="0" fontId="0" fillId="5" borderId="1" xfId="0" applyFill="1" applyBorder="1" applyAlignment="1" applyProtection="1">
      <alignment horizontal="center" vertical="center"/>
      <protection hidden="1"/>
    </xf>
    <xf numFmtId="0" fontId="16" fillId="0" borderId="1" xfId="0" applyFont="1" applyBorder="1" applyAlignment="1" applyProtection="1">
      <alignment horizontal="center"/>
      <protection hidden="1"/>
    </xf>
    <xf numFmtId="0" fontId="0" fillId="8" borderId="1" xfId="0" applyFill="1" applyBorder="1" applyAlignment="1" applyProtection="1">
      <alignment horizontal="center"/>
      <protection hidden="1"/>
    </xf>
    <xf numFmtId="0" fontId="0" fillId="8" borderId="2" xfId="0" applyFill="1" applyBorder="1" applyAlignment="1" applyProtection="1">
      <alignment horizontal="center"/>
      <protection hidden="1"/>
    </xf>
    <xf numFmtId="0" fontId="0" fillId="7" borderId="1" xfId="0" applyFill="1" applyBorder="1" applyAlignment="1" applyProtection="1">
      <alignment horizontal="center"/>
      <protection hidden="1"/>
    </xf>
    <xf numFmtId="0" fontId="1" fillId="7" borderId="1" xfId="0" applyFont="1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/>
      <protection hidden="1"/>
    </xf>
    <xf numFmtId="0" fontId="0" fillId="10" borderId="2" xfId="0" applyFill="1" applyBorder="1" applyAlignment="1" applyProtection="1">
      <alignment horizontal="center"/>
      <protection hidden="1"/>
    </xf>
    <xf numFmtId="0" fontId="0" fillId="6" borderId="1" xfId="0" applyFill="1" applyBorder="1" applyAlignment="1" applyProtection="1">
      <alignment horizontal="center"/>
      <protection hidden="1"/>
    </xf>
    <xf numFmtId="0" fontId="1" fillId="6" borderId="1" xfId="0" applyFont="1" applyFill="1" applyBorder="1" applyAlignment="1" applyProtection="1">
      <alignment horizontal="center" vertical="center"/>
      <protection hidden="1"/>
    </xf>
    <xf numFmtId="0" fontId="0" fillId="14" borderId="0" xfId="0" applyFill="1" applyAlignment="1" applyProtection="1">
      <alignment horizontal="center"/>
      <protection hidden="1"/>
    </xf>
    <xf numFmtId="0" fontId="0" fillId="5" borderId="1" xfId="0" applyFill="1" applyBorder="1" applyAlignment="1" applyProtection="1">
      <alignment horizontal="center"/>
      <protection hidden="1"/>
    </xf>
    <xf numFmtId="0" fontId="1" fillId="5" borderId="1" xfId="0" applyFont="1" applyFill="1" applyBorder="1" applyAlignment="1" applyProtection="1">
      <alignment horizontal="center" vertical="center"/>
      <protection hidden="1"/>
    </xf>
    <xf numFmtId="0" fontId="0" fillId="4" borderId="1" xfId="0" applyFill="1" applyBorder="1" applyAlignment="1" applyProtection="1">
      <alignment horizontal="center"/>
      <protection hidden="1"/>
    </xf>
    <xf numFmtId="0" fontId="1" fillId="4" borderId="1" xfId="0" applyFont="1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1" fillId="11" borderId="1" xfId="0" applyFont="1" applyFill="1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0" borderId="1" xfId="0" applyFill="1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0" fontId="12" fillId="8" borderId="1" xfId="0" applyFont="1" applyFill="1" applyBorder="1" applyAlignment="1" applyProtection="1">
      <alignment horizontal="center" vertical="center"/>
      <protection hidden="1"/>
    </xf>
    <xf numFmtId="0" fontId="12" fillId="10" borderId="1" xfId="0" applyFont="1" applyFill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1" xfId="0" applyFont="1" applyBorder="1" applyAlignment="1" applyProtection="1">
      <alignment horizontal="center" vertical="center"/>
      <protection hidden="1"/>
    </xf>
    <xf numFmtId="0" fontId="12" fillId="9" borderId="1" xfId="0" applyFont="1" applyFill="1" applyBorder="1" applyAlignment="1" applyProtection="1">
      <alignment horizontal="center" vertical="center"/>
      <protection hidden="1"/>
    </xf>
    <xf numFmtId="0" fontId="13" fillId="0" borderId="1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horizontal="center" vertical="center"/>
      <protection hidden="1"/>
    </xf>
    <xf numFmtId="0" fontId="12" fillId="3" borderId="3" xfId="0" applyFont="1" applyFill="1" applyBorder="1" applyAlignment="1" applyProtection="1">
      <alignment horizontal="center" vertical="center"/>
      <protection hidden="1"/>
    </xf>
    <xf numFmtId="0" fontId="12" fillId="3" borderId="4" xfId="0" applyFont="1" applyFill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4" fillId="2" borderId="1" xfId="0" applyFont="1" applyFill="1" applyBorder="1" applyAlignment="1" applyProtection="1">
      <alignment horizontal="center" vertical="center"/>
      <protection hidden="1"/>
    </xf>
    <xf numFmtId="0" fontId="0" fillId="12" borderId="1" xfId="0" applyFill="1" applyBorder="1" applyAlignment="1" applyProtection="1">
      <alignment horizontal="center" vertical="center"/>
      <protection hidden="1"/>
    </xf>
    <xf numFmtId="0" fontId="0" fillId="4" borderId="1" xfId="0" applyFill="1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/>
      <protection hidden="1"/>
    </xf>
    <xf numFmtId="0" fontId="16" fillId="14" borderId="1" xfId="0" applyFont="1" applyFill="1" applyBorder="1" applyAlignment="1" applyProtection="1">
      <alignment horizontal="center" vertical="center"/>
      <protection hidden="1"/>
    </xf>
    <xf numFmtId="0" fontId="17" fillId="14" borderId="1" xfId="0" applyFont="1" applyFill="1" applyBorder="1" applyAlignment="1" applyProtection="1">
      <alignment horizontal="center" vertical="center"/>
      <protection hidden="1"/>
    </xf>
    <xf numFmtId="0" fontId="16" fillId="14" borderId="0" xfId="0" applyFont="1" applyFill="1" applyAlignment="1" applyProtection="1">
      <alignment horizontal="center" vertical="center"/>
      <protection hidden="1"/>
    </xf>
    <xf numFmtId="0" fontId="16" fillId="0" borderId="1" xfId="0" applyFont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5" fillId="0" borderId="1" xfId="0" applyFont="1" applyBorder="1" applyAlignment="1" applyProtection="1">
      <alignment horizontal="center" vertical="center"/>
      <protection hidden="1"/>
    </xf>
    <xf numFmtId="0" fontId="16" fillId="0" borderId="1" xfId="0" applyFont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1" fillId="11" borderId="1" xfId="0" applyFont="1" applyFill="1" applyBorder="1" applyAlignment="1" applyProtection="1">
      <alignment horizontal="center" vertical="center" wrapText="1"/>
      <protection hidden="1"/>
    </xf>
    <xf numFmtId="0" fontId="1" fillId="11" borderId="1" xfId="0" applyFont="1" applyFill="1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1" fillId="8" borderId="2" xfId="0" applyFont="1" applyFill="1" applyBorder="1" applyAlignment="1" applyProtection="1">
      <alignment horizontal="center" vertical="center"/>
      <protection hidden="1"/>
    </xf>
    <xf numFmtId="0" fontId="1" fillId="8" borderId="6" xfId="0" applyFont="1" applyFill="1" applyBorder="1" applyAlignment="1" applyProtection="1">
      <alignment horizontal="center" vertical="center"/>
      <protection hidden="1"/>
    </xf>
    <xf numFmtId="0" fontId="1" fillId="8" borderId="7" xfId="0" applyFont="1" applyFill="1" applyBorder="1" applyAlignment="1" applyProtection="1">
      <alignment horizontal="center" vertical="center"/>
      <protection hidden="1"/>
    </xf>
    <xf numFmtId="0" fontId="1" fillId="10" borderId="2" xfId="0" applyFont="1" applyFill="1" applyBorder="1" applyAlignment="1" applyProtection="1">
      <alignment horizontal="center" vertical="center"/>
      <protection hidden="1"/>
    </xf>
    <xf numFmtId="0" fontId="1" fillId="10" borderId="6" xfId="0" applyFont="1" applyFill="1" applyBorder="1" applyAlignment="1" applyProtection="1">
      <alignment horizontal="center" vertical="center"/>
      <protection hidden="1"/>
    </xf>
    <xf numFmtId="0" fontId="1" fillId="10" borderId="7" xfId="0" applyFont="1" applyFill="1" applyBorder="1" applyAlignment="1" applyProtection="1">
      <alignment horizontal="center" vertical="center"/>
      <protection hidden="1"/>
    </xf>
    <xf numFmtId="0" fontId="14" fillId="2" borderId="3" xfId="0" applyFont="1" applyFill="1" applyBorder="1" applyAlignment="1" applyProtection="1">
      <alignment horizontal="center" vertical="center"/>
      <protection hidden="1"/>
    </xf>
    <xf numFmtId="0" fontId="14" fillId="2" borderId="1" xfId="0" applyFont="1" applyFill="1" applyBorder="1" applyAlignment="1" applyProtection="1">
      <alignment horizontal="center" vertical="center"/>
      <protection hidden="1"/>
    </xf>
    <xf numFmtId="0" fontId="10" fillId="9" borderId="1" xfId="0" applyFont="1" applyFill="1" applyBorder="1" applyAlignment="1" applyProtection="1">
      <alignment horizontal="center" vertical="center"/>
      <protection hidden="1"/>
    </xf>
    <xf numFmtId="0" fontId="1" fillId="11" borderId="5" xfId="0" applyFont="1" applyFill="1" applyBorder="1" applyAlignment="1" applyProtection="1">
      <alignment horizontal="center" vertical="center" wrapText="1"/>
      <protection hidden="1"/>
    </xf>
    <xf numFmtId="0" fontId="1" fillId="11" borderId="3" xfId="0" applyFont="1" applyFill="1" applyBorder="1" applyAlignment="1" applyProtection="1">
      <alignment horizontal="center" vertical="center" wrapText="1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0" fontId="14" fillId="3" borderId="10" xfId="0" applyFont="1" applyFill="1" applyBorder="1" applyAlignment="1" applyProtection="1">
      <alignment horizontal="center" vertical="center"/>
      <protection hidden="1"/>
    </xf>
    <xf numFmtId="0" fontId="14" fillId="3" borderId="9" xfId="0" applyFont="1" applyFill="1" applyBorder="1" applyAlignment="1" applyProtection="1">
      <alignment horizontal="center" vertical="center"/>
      <protection hidden="1"/>
    </xf>
    <xf numFmtId="0" fontId="14" fillId="3" borderId="11" xfId="0" applyFont="1" applyFill="1" applyBorder="1" applyAlignment="1" applyProtection="1">
      <alignment horizontal="center" vertical="center"/>
      <protection hidden="1"/>
    </xf>
    <xf numFmtId="0" fontId="14" fillId="3" borderId="4" xfId="0" applyFont="1" applyFill="1" applyBorder="1" applyAlignment="1" applyProtection="1">
      <alignment horizontal="center" vertical="center"/>
      <protection hidden="1"/>
    </xf>
    <xf numFmtId="0" fontId="14" fillId="3" borderId="8" xfId="0" applyFont="1" applyFill="1" applyBorder="1" applyAlignment="1" applyProtection="1">
      <alignment horizontal="center" vertical="center"/>
      <protection hidden="1"/>
    </xf>
    <xf numFmtId="0" fontId="14" fillId="3" borderId="12" xfId="0" applyFont="1" applyFill="1" applyBorder="1" applyAlignment="1" applyProtection="1">
      <alignment horizontal="center" vertical="center"/>
      <protection hidden="1"/>
    </xf>
    <xf numFmtId="0" fontId="14" fillId="6" borderId="10" xfId="0" applyFont="1" applyFill="1" applyBorder="1" applyAlignment="1" applyProtection="1">
      <alignment horizontal="center" vertical="center"/>
      <protection hidden="1"/>
    </xf>
    <xf numFmtId="0" fontId="14" fillId="6" borderId="9" xfId="0" applyFont="1" applyFill="1" applyBorder="1" applyAlignment="1" applyProtection="1">
      <alignment horizontal="center" vertical="center"/>
      <protection hidden="1"/>
    </xf>
    <xf numFmtId="0" fontId="14" fillId="6" borderId="11" xfId="0" applyFont="1" applyFill="1" applyBorder="1" applyAlignment="1" applyProtection="1">
      <alignment horizontal="center" vertical="center"/>
      <protection hidden="1"/>
    </xf>
    <xf numFmtId="0" fontId="14" fillId="6" borderId="4" xfId="0" applyFont="1" applyFill="1" applyBorder="1" applyAlignment="1" applyProtection="1">
      <alignment horizontal="center" vertical="center"/>
      <protection hidden="1"/>
    </xf>
    <xf numFmtId="0" fontId="14" fillId="6" borderId="8" xfId="0" applyFont="1" applyFill="1" applyBorder="1" applyAlignment="1" applyProtection="1">
      <alignment horizontal="center" vertical="center"/>
      <protection hidden="1"/>
    </xf>
    <xf numFmtId="0" fontId="14" fillId="6" borderId="12" xfId="0" applyFont="1" applyFill="1" applyBorder="1" applyAlignment="1" applyProtection="1">
      <alignment horizontal="center" vertical="center"/>
      <protection hidden="1"/>
    </xf>
    <xf numFmtId="0" fontId="1" fillId="11" borderId="10" xfId="0" applyFont="1" applyFill="1" applyBorder="1" applyAlignment="1" applyProtection="1">
      <alignment horizontal="center" vertical="center" wrapText="1"/>
      <protection hidden="1"/>
    </xf>
    <xf numFmtId="0" fontId="1" fillId="11" borderId="11" xfId="0" applyFont="1" applyFill="1" applyBorder="1" applyAlignment="1" applyProtection="1">
      <alignment horizontal="center" vertical="center" wrapText="1"/>
      <protection hidden="1"/>
    </xf>
    <xf numFmtId="0" fontId="1" fillId="11" borderId="4" xfId="0" applyFont="1" applyFill="1" applyBorder="1" applyAlignment="1" applyProtection="1">
      <alignment horizontal="center" vertical="center" wrapText="1"/>
      <protection hidden="1"/>
    </xf>
    <xf numFmtId="0" fontId="1" fillId="11" borderId="12" xfId="0" applyFont="1" applyFill="1" applyBorder="1" applyAlignment="1" applyProtection="1">
      <alignment horizontal="center" vertical="center" wrapText="1"/>
      <protection hidden="1"/>
    </xf>
    <xf numFmtId="0" fontId="4" fillId="8" borderId="1" xfId="0" applyFont="1" applyFill="1" applyBorder="1" applyAlignment="1" applyProtection="1">
      <alignment horizontal="center" vertical="center"/>
      <protection hidden="1"/>
    </xf>
    <xf numFmtId="0" fontId="1" fillId="11" borderId="5" xfId="0" applyFont="1" applyFill="1" applyBorder="1" applyAlignment="1" applyProtection="1">
      <alignment horizontal="center" vertical="center"/>
      <protection hidden="1"/>
    </xf>
    <xf numFmtId="0" fontId="1" fillId="11" borderId="3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0814155624799946E-2"/>
          <c:y val="0.15211757729521178"/>
          <c:w val="0.7725368513271178"/>
          <c:h val="0.74604655352304128"/>
        </c:manualLayout>
      </c:layout>
      <c:barChart>
        <c:barDir val="col"/>
        <c:grouping val="stacked"/>
        <c:ser>
          <c:idx val="0"/>
          <c:order val="0"/>
          <c:dPt>
            <c:idx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4"/>
            <c:spPr>
              <a:solidFill>
                <a:srgbClr val="00B050"/>
              </a:solidFill>
            </c:spPr>
          </c:dPt>
          <c:cat>
            <c:strRef>
              <c:f>'BJP WIN OR LOSS'!$A$25:$A$29</c:f>
              <c:strCache>
                <c:ptCount val="5"/>
                <c:pt idx="0">
                  <c:v>NARROW MARGIN</c:v>
                </c:pt>
                <c:pt idx="1">
                  <c:v>LOW MARGIN</c:v>
                </c:pt>
                <c:pt idx="2">
                  <c:v>MEDIUM MARGIN</c:v>
                </c:pt>
                <c:pt idx="3">
                  <c:v>HIGHMARGIN</c:v>
                </c:pt>
                <c:pt idx="4">
                  <c:v>VERYHIGHMARGIN</c:v>
                </c:pt>
              </c:strCache>
            </c:strRef>
          </c:cat>
          <c:val>
            <c:numRef>
              <c:f>'BJP WIN OR LOSS'!$B$25:$B$29</c:f>
              <c:numCache>
                <c:formatCode>General</c:formatCode>
                <c:ptCount val="5"/>
                <c:pt idx="0">
                  <c:v>7</c:v>
                </c:pt>
                <c:pt idx="1">
                  <c:v>5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overlap val="100"/>
        <c:axId val="64787584"/>
        <c:axId val="64789120"/>
      </c:barChart>
      <c:catAx>
        <c:axId val="6478758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64789120"/>
        <c:crosses val="autoZero"/>
        <c:auto val="1"/>
        <c:lblAlgn val="ctr"/>
        <c:lblOffset val="100"/>
      </c:catAx>
      <c:valAx>
        <c:axId val="64789120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6478758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0078" l="0.70000000000000062" r="0.70000000000000062" t="0.75000000000000078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2997600760027734E-2"/>
          <c:y val="0.1801956573610117"/>
          <c:w val="0.75710241741254825"/>
          <c:h val="0.65140108219610471"/>
        </c:manualLayout>
      </c:layout>
      <c:barChart>
        <c:barDir val="col"/>
        <c:grouping val="stacked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</c:spPr>
          <c:dPt>
            <c:idx val="1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3"/>
            <c:spPr>
              <a:solidFill>
                <a:schemeClr val="accent2">
                  <a:lumMod val="60000"/>
                  <a:lumOff val="40000"/>
                </a:schemeClr>
              </a:solidFill>
            </c:spPr>
          </c:dPt>
          <c:dPt>
            <c:idx val="4"/>
            <c:spPr>
              <a:solidFill>
                <a:srgbClr val="00B050"/>
              </a:solidFill>
            </c:spPr>
          </c:dPt>
          <c:cat>
            <c:strRef>
              <c:f>'BJP WIN OR LOSS'!$H$33:$H$37</c:f>
              <c:strCache>
                <c:ptCount val="5"/>
                <c:pt idx="0">
                  <c:v>NARROW MARGIN</c:v>
                </c:pt>
                <c:pt idx="1">
                  <c:v>LOW MARGIN</c:v>
                </c:pt>
                <c:pt idx="2">
                  <c:v>MEDIUM MARGIN</c:v>
                </c:pt>
                <c:pt idx="3">
                  <c:v>HIGHMARGIN</c:v>
                </c:pt>
                <c:pt idx="4">
                  <c:v>VERYHIGHMARGIN</c:v>
                </c:pt>
              </c:strCache>
            </c:strRef>
          </c:cat>
          <c:val>
            <c:numRef>
              <c:f>'BJP WIN OR LOSS'!$I$33:$I$37</c:f>
              <c:numCache>
                <c:formatCode>General</c:formatCode>
                <c:ptCount val="5"/>
                <c:pt idx="0">
                  <c:v>9</c:v>
                </c:pt>
                <c:pt idx="1">
                  <c:v>12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overlap val="100"/>
        <c:axId val="64450944"/>
        <c:axId val="64452480"/>
      </c:barChart>
      <c:catAx>
        <c:axId val="6445094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64452480"/>
        <c:crosses val="autoZero"/>
        <c:auto val="1"/>
        <c:lblAlgn val="ctr"/>
        <c:lblOffset val="100"/>
      </c:catAx>
      <c:valAx>
        <c:axId val="64452480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6445094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0078" l="0.70000000000000062" r="0.70000000000000062" t="0.75000000000000078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66674</xdr:rowOff>
    </xdr:from>
    <xdr:to>
      <xdr:col>6</xdr:col>
      <xdr:colOff>228599</xdr:colOff>
      <xdr:row>47</xdr:row>
      <xdr:rowOff>158749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152400</xdr:colOff>
      <xdr:row>29</xdr:row>
      <xdr:rowOff>161924</xdr:rowOff>
    </xdr:from>
    <xdr:to>
      <xdr:col>17</xdr:col>
      <xdr:colOff>619125</xdr:colOff>
      <xdr:row>46</xdr:row>
      <xdr:rowOff>171449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0.27982</cdr:x>
      <cdr:y>0.01525</cdr:y>
    </cdr:from>
    <cdr:to>
      <cdr:x>0.87874</cdr:x>
      <cdr:y>0.12297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809750" y="50800"/>
          <a:ext cx="3873500" cy="3587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600" b="1"/>
            <a:t>BJP  WIN  MARGIN  STATUS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0.26622</cdr:x>
      <cdr:y>0.01564</cdr:y>
    </cdr:from>
    <cdr:to>
      <cdr:x>0.78888</cdr:x>
      <cdr:y>0.14565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41474" y="50800"/>
          <a:ext cx="3222625" cy="4222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600" b="1"/>
            <a:t>CONGRESS WIN  MARGIN  STATUS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16"/>
  <sheetViews>
    <sheetView topLeftCell="D4" workbookViewId="0">
      <selection activeCell="H22" sqref="H22"/>
    </sheetView>
  </sheetViews>
  <sheetFormatPr defaultRowHeight="15"/>
  <cols>
    <col min="1" max="1" width="9.140625" style="1"/>
    <col min="2" max="2" width="14.42578125" style="1" bestFit="1" customWidth="1"/>
    <col min="3" max="21" width="9.140625" style="1"/>
    <col min="22" max="22" width="17.85546875" style="1" bestFit="1" customWidth="1"/>
    <col min="23" max="23" width="9.140625" style="1"/>
    <col min="24" max="24" width="19.140625" style="1" bestFit="1" customWidth="1"/>
    <col min="25" max="16384" width="9.140625" style="1"/>
  </cols>
  <sheetData>
    <row r="1" spans="1:24" ht="23.25">
      <c r="A1" s="64" t="s">
        <v>127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</row>
    <row r="2" spans="1:24" ht="36">
      <c r="A2" s="2" t="s">
        <v>105</v>
      </c>
      <c r="B2" s="2" t="s">
        <v>106</v>
      </c>
      <c r="C2" s="3" t="s">
        <v>107</v>
      </c>
      <c r="D2" s="2" t="s">
        <v>108</v>
      </c>
      <c r="E2" s="4" t="s">
        <v>109</v>
      </c>
      <c r="F2" s="4" t="s">
        <v>110</v>
      </c>
      <c r="G2" s="4" t="s">
        <v>111</v>
      </c>
      <c r="H2" s="4" t="s">
        <v>112</v>
      </c>
      <c r="I2" s="5" t="s">
        <v>113</v>
      </c>
      <c r="J2" s="4" t="s">
        <v>114</v>
      </c>
      <c r="K2" s="5" t="s">
        <v>115</v>
      </c>
      <c r="L2" s="4" t="s">
        <v>116</v>
      </c>
      <c r="M2" s="4" t="s">
        <v>117</v>
      </c>
      <c r="N2" s="4" t="s">
        <v>118</v>
      </c>
      <c r="O2" s="5" t="s">
        <v>119</v>
      </c>
      <c r="P2" s="4" t="s">
        <v>120</v>
      </c>
      <c r="Q2" s="5" t="s">
        <v>121</v>
      </c>
      <c r="R2" s="4" t="s">
        <v>122</v>
      </c>
      <c r="S2" s="4" t="s">
        <v>123</v>
      </c>
      <c r="T2" s="4" t="s">
        <v>124</v>
      </c>
      <c r="U2" s="4" t="s">
        <v>125</v>
      </c>
      <c r="V2" s="6" t="s">
        <v>140</v>
      </c>
      <c r="W2" s="6" t="s">
        <v>87</v>
      </c>
      <c r="X2" s="6" t="s">
        <v>141</v>
      </c>
    </row>
    <row r="3" spans="1:24">
      <c r="A3" s="7">
        <v>1</v>
      </c>
      <c r="B3" s="8" t="s">
        <v>126</v>
      </c>
      <c r="C3" s="7">
        <v>633</v>
      </c>
      <c r="D3" s="7">
        <v>242</v>
      </c>
      <c r="E3" s="9">
        <v>38.230647709320692</v>
      </c>
      <c r="F3" s="7">
        <v>365</v>
      </c>
      <c r="G3" s="9">
        <v>57.661927330173775</v>
      </c>
      <c r="H3" s="7">
        <v>7</v>
      </c>
      <c r="I3" s="9">
        <v>1.1058451816745656</v>
      </c>
      <c r="J3" s="7">
        <v>0</v>
      </c>
      <c r="K3" s="9">
        <v>0</v>
      </c>
      <c r="L3" s="7">
        <v>0</v>
      </c>
      <c r="M3" s="9">
        <v>0</v>
      </c>
      <c r="N3" s="7">
        <v>0</v>
      </c>
      <c r="O3" s="9">
        <v>0</v>
      </c>
      <c r="P3" s="7">
        <v>0</v>
      </c>
      <c r="Q3" s="9">
        <v>0</v>
      </c>
      <c r="R3" s="7">
        <v>15</v>
      </c>
      <c r="S3" s="9">
        <v>2.3696682464454977</v>
      </c>
      <c r="T3" s="7">
        <v>4</v>
      </c>
      <c r="U3" s="9">
        <v>0.63191153238546605</v>
      </c>
      <c r="V3" s="10" t="str">
        <f>IF(E3&gt;G3,"BJP GAIN","CONGRESSGAIN")</f>
        <v>CONGRESSGAIN</v>
      </c>
      <c r="W3" s="11">
        <f>G3-E3</f>
        <v>19.431279620853083</v>
      </c>
      <c r="X3" s="12" t="str">
        <f>IF(W3&gt;=50,"VERYHIGHMARGIN",IF(W3&gt;=40,"HIGHMARGIN",IF(W3&gt;=30,"MEDIUMMARGIN",IF(W3&gt;10,"LOWMARGIN",IF(W3&gt;1,"NARROWMARGIN")))))</f>
        <v>LOWMARGIN</v>
      </c>
    </row>
    <row r="4" spans="1:24">
      <c r="A4" s="7">
        <v>2</v>
      </c>
      <c r="B4" s="8" t="s">
        <v>126</v>
      </c>
      <c r="C4" s="7">
        <v>800</v>
      </c>
      <c r="D4" s="7">
        <v>336</v>
      </c>
      <c r="E4" s="9">
        <v>42</v>
      </c>
      <c r="F4" s="7">
        <v>439</v>
      </c>
      <c r="G4" s="9">
        <v>54.875</v>
      </c>
      <c r="H4" s="7">
        <v>5</v>
      </c>
      <c r="I4" s="9">
        <v>0.625</v>
      </c>
      <c r="J4" s="7">
        <v>0</v>
      </c>
      <c r="K4" s="9">
        <v>0</v>
      </c>
      <c r="L4" s="7">
        <v>0</v>
      </c>
      <c r="M4" s="9">
        <v>0</v>
      </c>
      <c r="N4" s="7">
        <v>0</v>
      </c>
      <c r="O4" s="9">
        <v>0</v>
      </c>
      <c r="P4" s="7">
        <v>0</v>
      </c>
      <c r="Q4" s="9">
        <v>0</v>
      </c>
      <c r="R4" s="7">
        <v>14</v>
      </c>
      <c r="S4" s="9">
        <v>1.75</v>
      </c>
      <c r="T4" s="7">
        <v>6</v>
      </c>
      <c r="U4" s="9">
        <v>0.75</v>
      </c>
      <c r="V4" s="10" t="str">
        <f t="shared" ref="V4:V67" si="0">IF(E4&gt;G4,"BJP GAIN","CONGRESSGAIN")</f>
        <v>CONGRESSGAIN</v>
      </c>
      <c r="W4" s="11">
        <f t="shared" ref="W4:W7" si="1">G4-E4</f>
        <v>12.875</v>
      </c>
      <c r="X4" s="12" t="str">
        <f t="shared" ref="X4:X67" si="2">IF(W4&gt;=50,"VERYHIGHMARGIN",IF(W4&gt;=40,"HIGHMARGIN",IF(W4&gt;=30,"MEDIUMMARGIN",IF(W4&gt;10,"LOWMARGIN",IF(W4&gt;1,"NARROWMARGIN")))))</f>
        <v>LOWMARGIN</v>
      </c>
    </row>
    <row r="5" spans="1:24">
      <c r="A5" s="7">
        <v>3</v>
      </c>
      <c r="B5" s="8" t="s">
        <v>126</v>
      </c>
      <c r="C5" s="7">
        <v>740</v>
      </c>
      <c r="D5" s="7">
        <v>314</v>
      </c>
      <c r="E5" s="9">
        <v>42.432432432432428</v>
      </c>
      <c r="F5" s="7">
        <v>380</v>
      </c>
      <c r="G5" s="9">
        <v>51.351351351351347</v>
      </c>
      <c r="H5" s="7">
        <v>5</v>
      </c>
      <c r="I5" s="9">
        <v>0.67567567567567566</v>
      </c>
      <c r="J5" s="7">
        <v>0</v>
      </c>
      <c r="K5" s="9">
        <v>0</v>
      </c>
      <c r="L5" s="7">
        <v>0</v>
      </c>
      <c r="M5" s="9">
        <v>0</v>
      </c>
      <c r="N5" s="7">
        <v>1</v>
      </c>
      <c r="O5" s="9">
        <v>0.13513513513513511</v>
      </c>
      <c r="P5" s="7">
        <v>0</v>
      </c>
      <c r="Q5" s="9">
        <v>0</v>
      </c>
      <c r="R5" s="7">
        <v>21</v>
      </c>
      <c r="S5" s="9">
        <v>2.8378378378378377</v>
      </c>
      <c r="T5" s="7">
        <v>19</v>
      </c>
      <c r="U5" s="9">
        <v>2.5675675675675675</v>
      </c>
      <c r="V5" s="10" t="str">
        <f t="shared" si="0"/>
        <v>CONGRESSGAIN</v>
      </c>
      <c r="W5" s="11">
        <f t="shared" si="1"/>
        <v>8.9189189189189193</v>
      </c>
      <c r="X5" s="13" t="str">
        <f t="shared" si="2"/>
        <v>NARROWMARGIN</v>
      </c>
    </row>
    <row r="6" spans="1:24">
      <c r="A6" s="7">
        <v>4</v>
      </c>
      <c r="B6" s="8" t="s">
        <v>126</v>
      </c>
      <c r="C6" s="7">
        <v>697</v>
      </c>
      <c r="D6" s="7">
        <v>298</v>
      </c>
      <c r="E6" s="9">
        <v>42.754662840746057</v>
      </c>
      <c r="F6" s="7">
        <v>339</v>
      </c>
      <c r="G6" s="9">
        <v>48.637015781922528</v>
      </c>
      <c r="H6" s="7">
        <v>14</v>
      </c>
      <c r="I6" s="9">
        <v>2.0086083213773316</v>
      </c>
      <c r="J6" s="7">
        <v>0</v>
      </c>
      <c r="K6" s="9">
        <v>0</v>
      </c>
      <c r="L6" s="7">
        <v>0</v>
      </c>
      <c r="M6" s="9">
        <v>0</v>
      </c>
      <c r="N6" s="7">
        <v>1</v>
      </c>
      <c r="O6" s="9">
        <v>0.14347202295552366</v>
      </c>
      <c r="P6" s="7">
        <v>0</v>
      </c>
      <c r="Q6" s="9">
        <v>0</v>
      </c>
      <c r="R6" s="7">
        <v>27</v>
      </c>
      <c r="S6" s="9">
        <v>3.8737446197991394</v>
      </c>
      <c r="T6" s="7">
        <v>18</v>
      </c>
      <c r="U6" s="9">
        <v>2.5824964131994261</v>
      </c>
      <c r="V6" s="10" t="str">
        <f t="shared" si="0"/>
        <v>CONGRESSGAIN</v>
      </c>
      <c r="W6" s="11">
        <f t="shared" si="1"/>
        <v>5.882352941176471</v>
      </c>
      <c r="X6" s="13" t="str">
        <f t="shared" si="2"/>
        <v>NARROWMARGIN</v>
      </c>
    </row>
    <row r="7" spans="1:24">
      <c r="A7" s="7">
        <v>5</v>
      </c>
      <c r="B7" s="8" t="s">
        <v>126</v>
      </c>
      <c r="C7" s="7">
        <v>838</v>
      </c>
      <c r="D7" s="7">
        <v>260</v>
      </c>
      <c r="E7" s="9">
        <v>31.026252983293553</v>
      </c>
      <c r="F7" s="7">
        <v>418</v>
      </c>
      <c r="G7" s="9">
        <v>49.880668257756561</v>
      </c>
      <c r="H7" s="7">
        <v>9</v>
      </c>
      <c r="I7" s="9">
        <v>1.0739856801909307</v>
      </c>
      <c r="J7" s="7">
        <v>0</v>
      </c>
      <c r="K7" s="9">
        <v>0</v>
      </c>
      <c r="L7" s="7">
        <v>0</v>
      </c>
      <c r="M7" s="9">
        <v>0</v>
      </c>
      <c r="N7" s="7">
        <v>1</v>
      </c>
      <c r="O7" s="9">
        <v>0.11933174224343675</v>
      </c>
      <c r="P7" s="7">
        <v>0</v>
      </c>
      <c r="Q7" s="9">
        <v>0</v>
      </c>
      <c r="R7" s="7">
        <v>120</v>
      </c>
      <c r="S7" s="9">
        <v>14.319809069212409</v>
      </c>
      <c r="T7" s="7">
        <v>30</v>
      </c>
      <c r="U7" s="9">
        <v>3.5799522673031023</v>
      </c>
      <c r="V7" s="10" t="str">
        <f t="shared" si="0"/>
        <v>CONGRESSGAIN</v>
      </c>
      <c r="W7" s="11">
        <f t="shared" si="1"/>
        <v>18.854415274463008</v>
      </c>
      <c r="X7" s="12" t="str">
        <f t="shared" si="2"/>
        <v>LOWMARGIN</v>
      </c>
    </row>
    <row r="8" spans="1:24">
      <c r="A8" s="14">
        <v>6</v>
      </c>
      <c r="B8" s="15" t="s">
        <v>126</v>
      </c>
      <c r="C8" s="14">
        <v>482</v>
      </c>
      <c r="D8" s="14">
        <v>269</v>
      </c>
      <c r="E8" s="16">
        <v>55.809128630705388</v>
      </c>
      <c r="F8" s="14">
        <v>185</v>
      </c>
      <c r="G8" s="16">
        <v>38.38174273858921</v>
      </c>
      <c r="H8" s="14">
        <v>5</v>
      </c>
      <c r="I8" s="16">
        <v>1.0373443983402488</v>
      </c>
      <c r="J8" s="14">
        <v>0</v>
      </c>
      <c r="K8" s="16">
        <v>0</v>
      </c>
      <c r="L8" s="14">
        <v>0</v>
      </c>
      <c r="M8" s="16">
        <v>0</v>
      </c>
      <c r="N8" s="14">
        <v>1</v>
      </c>
      <c r="O8" s="16">
        <v>0.20746887966804978</v>
      </c>
      <c r="P8" s="14">
        <v>0</v>
      </c>
      <c r="Q8" s="16">
        <v>0</v>
      </c>
      <c r="R8" s="14">
        <v>14</v>
      </c>
      <c r="S8" s="16">
        <v>2.904564315352697</v>
      </c>
      <c r="T8" s="14">
        <v>8</v>
      </c>
      <c r="U8" s="16">
        <v>1.6597510373443982</v>
      </c>
      <c r="V8" s="17" t="str">
        <f t="shared" si="0"/>
        <v>BJP GAIN</v>
      </c>
      <c r="W8" s="11">
        <f t="shared" ref="W8:W67" si="3">E8-G8</f>
        <v>17.427385892116178</v>
      </c>
      <c r="X8" s="12" t="str">
        <f t="shared" si="2"/>
        <v>LOWMARGIN</v>
      </c>
    </row>
    <row r="9" spans="1:24">
      <c r="A9" s="14">
        <v>7</v>
      </c>
      <c r="B9" s="15" t="s">
        <v>126</v>
      </c>
      <c r="C9" s="14">
        <v>445</v>
      </c>
      <c r="D9" s="14">
        <v>235</v>
      </c>
      <c r="E9" s="16">
        <v>52.80898876404494</v>
      </c>
      <c r="F9" s="14">
        <v>190</v>
      </c>
      <c r="G9" s="16">
        <v>42.696629213483142</v>
      </c>
      <c r="H9" s="14">
        <v>6</v>
      </c>
      <c r="I9" s="16">
        <v>1.348314606741573</v>
      </c>
      <c r="J9" s="14">
        <v>0</v>
      </c>
      <c r="K9" s="16">
        <v>0</v>
      </c>
      <c r="L9" s="14">
        <v>0</v>
      </c>
      <c r="M9" s="16">
        <v>0</v>
      </c>
      <c r="N9" s="14">
        <v>0</v>
      </c>
      <c r="O9" s="16">
        <v>0</v>
      </c>
      <c r="P9" s="14">
        <v>0</v>
      </c>
      <c r="Q9" s="16">
        <v>0</v>
      </c>
      <c r="R9" s="14">
        <v>8</v>
      </c>
      <c r="S9" s="16">
        <v>1.797752808988764</v>
      </c>
      <c r="T9" s="14">
        <v>6</v>
      </c>
      <c r="U9" s="16">
        <v>1.348314606741573</v>
      </c>
      <c r="V9" s="17" t="str">
        <f t="shared" si="0"/>
        <v>BJP GAIN</v>
      </c>
      <c r="W9" s="11">
        <f t="shared" si="3"/>
        <v>10.112359550561798</v>
      </c>
      <c r="X9" s="12" t="str">
        <f t="shared" si="2"/>
        <v>LOWMARGIN</v>
      </c>
    </row>
    <row r="10" spans="1:24">
      <c r="A10" s="7">
        <v>8</v>
      </c>
      <c r="B10" s="8" t="s">
        <v>126</v>
      </c>
      <c r="C10" s="7">
        <v>523</v>
      </c>
      <c r="D10" s="7">
        <v>207</v>
      </c>
      <c r="E10" s="9">
        <v>39.579349904397702</v>
      </c>
      <c r="F10" s="7">
        <v>293</v>
      </c>
      <c r="G10" s="9">
        <v>56.022944550669209</v>
      </c>
      <c r="H10" s="7">
        <v>6</v>
      </c>
      <c r="I10" s="9">
        <v>1.1472275334608029</v>
      </c>
      <c r="J10" s="7">
        <v>0</v>
      </c>
      <c r="K10" s="9">
        <v>0</v>
      </c>
      <c r="L10" s="7">
        <v>0</v>
      </c>
      <c r="M10" s="9">
        <v>0</v>
      </c>
      <c r="N10" s="7">
        <v>0</v>
      </c>
      <c r="O10" s="9">
        <v>0</v>
      </c>
      <c r="P10" s="7">
        <v>0</v>
      </c>
      <c r="Q10" s="9">
        <v>0</v>
      </c>
      <c r="R10" s="7">
        <v>13</v>
      </c>
      <c r="S10" s="9">
        <v>2.4856596558317396</v>
      </c>
      <c r="T10" s="7">
        <v>4</v>
      </c>
      <c r="U10" s="9">
        <v>0.76481835564053535</v>
      </c>
      <c r="V10" s="10" t="str">
        <f t="shared" si="0"/>
        <v>CONGRESSGAIN</v>
      </c>
      <c r="W10" s="11">
        <f t="shared" ref="W10" si="4">G10-E10</f>
        <v>16.443594646271507</v>
      </c>
      <c r="X10" s="12" t="str">
        <f t="shared" si="2"/>
        <v>LOWMARGIN</v>
      </c>
    </row>
    <row r="11" spans="1:24">
      <c r="A11" s="14">
        <v>9</v>
      </c>
      <c r="B11" s="15" t="s">
        <v>126</v>
      </c>
      <c r="C11" s="14">
        <v>487</v>
      </c>
      <c r="D11" s="14">
        <v>233</v>
      </c>
      <c r="E11" s="16">
        <v>47.843942505133469</v>
      </c>
      <c r="F11" s="14">
        <v>228</v>
      </c>
      <c r="G11" s="16">
        <v>46.817248459958932</v>
      </c>
      <c r="H11" s="14">
        <v>12</v>
      </c>
      <c r="I11" s="16">
        <v>2.4640657084188913</v>
      </c>
      <c r="J11" s="14">
        <v>0</v>
      </c>
      <c r="K11" s="16">
        <v>0</v>
      </c>
      <c r="L11" s="14">
        <v>0</v>
      </c>
      <c r="M11" s="16">
        <v>0</v>
      </c>
      <c r="N11" s="14">
        <v>0</v>
      </c>
      <c r="O11" s="16">
        <v>0</v>
      </c>
      <c r="P11" s="14">
        <v>0</v>
      </c>
      <c r="Q11" s="16">
        <v>0</v>
      </c>
      <c r="R11" s="14">
        <v>11</v>
      </c>
      <c r="S11" s="16">
        <v>2.2587268993839835</v>
      </c>
      <c r="T11" s="14">
        <v>3</v>
      </c>
      <c r="U11" s="16">
        <v>0.61601642710472282</v>
      </c>
      <c r="V11" s="17" t="str">
        <f t="shared" si="0"/>
        <v>BJP GAIN</v>
      </c>
      <c r="W11" s="11">
        <f t="shared" si="3"/>
        <v>1.026694045174537</v>
      </c>
      <c r="X11" s="13" t="str">
        <f t="shared" si="2"/>
        <v>NARROWMARGIN</v>
      </c>
    </row>
    <row r="12" spans="1:24">
      <c r="A12" s="7">
        <v>10</v>
      </c>
      <c r="B12" s="8" t="s">
        <v>126</v>
      </c>
      <c r="C12" s="7">
        <v>752</v>
      </c>
      <c r="D12" s="7">
        <v>292</v>
      </c>
      <c r="E12" s="9">
        <v>38.829787234042556</v>
      </c>
      <c r="F12" s="7">
        <v>418</v>
      </c>
      <c r="G12" s="9">
        <v>55.585106382978729</v>
      </c>
      <c r="H12" s="7">
        <v>11</v>
      </c>
      <c r="I12" s="9">
        <v>1.4627659574468086</v>
      </c>
      <c r="J12" s="7">
        <v>0</v>
      </c>
      <c r="K12" s="9">
        <v>0</v>
      </c>
      <c r="L12" s="7">
        <v>0</v>
      </c>
      <c r="M12" s="9">
        <v>0</v>
      </c>
      <c r="N12" s="7">
        <v>4</v>
      </c>
      <c r="O12" s="9">
        <v>0.53191489361702127</v>
      </c>
      <c r="P12" s="7">
        <v>0</v>
      </c>
      <c r="Q12" s="9">
        <v>0</v>
      </c>
      <c r="R12" s="7">
        <v>10</v>
      </c>
      <c r="S12" s="9">
        <v>1.3297872340425532</v>
      </c>
      <c r="T12" s="7">
        <v>17</v>
      </c>
      <c r="U12" s="9">
        <v>2.2606382978723407</v>
      </c>
      <c r="V12" s="10" t="str">
        <f t="shared" si="0"/>
        <v>CONGRESSGAIN</v>
      </c>
      <c r="W12" s="11">
        <f t="shared" ref="W12:W27" si="5">G12-E12</f>
        <v>16.755319148936174</v>
      </c>
      <c r="X12" s="12" t="str">
        <f t="shared" si="2"/>
        <v>LOWMARGIN</v>
      </c>
    </row>
    <row r="13" spans="1:24">
      <c r="A13" s="7">
        <v>11</v>
      </c>
      <c r="B13" s="8" t="s">
        <v>126</v>
      </c>
      <c r="C13" s="7">
        <v>374</v>
      </c>
      <c r="D13" s="7">
        <v>179</v>
      </c>
      <c r="E13" s="9">
        <v>47.860962566844918</v>
      </c>
      <c r="F13" s="7">
        <v>182</v>
      </c>
      <c r="G13" s="9">
        <v>48.663101604278069</v>
      </c>
      <c r="H13" s="7">
        <v>3</v>
      </c>
      <c r="I13" s="9">
        <v>0.80213903743315507</v>
      </c>
      <c r="J13" s="7">
        <v>0</v>
      </c>
      <c r="K13" s="9">
        <v>0</v>
      </c>
      <c r="L13" s="7">
        <v>0</v>
      </c>
      <c r="M13" s="9">
        <v>0</v>
      </c>
      <c r="N13" s="7">
        <v>0</v>
      </c>
      <c r="O13" s="9">
        <v>0</v>
      </c>
      <c r="P13" s="7">
        <v>0</v>
      </c>
      <c r="Q13" s="9">
        <v>0</v>
      </c>
      <c r="R13" s="7">
        <v>1</v>
      </c>
      <c r="S13" s="9">
        <v>0.26737967914438499</v>
      </c>
      <c r="T13" s="7">
        <v>9</v>
      </c>
      <c r="U13" s="9">
        <v>2.4064171122994651</v>
      </c>
      <c r="V13" s="10" t="str">
        <f t="shared" si="0"/>
        <v>CONGRESSGAIN</v>
      </c>
      <c r="W13" s="11">
        <f t="shared" si="5"/>
        <v>0.80213903743315029</v>
      </c>
      <c r="X13" s="13" t="str">
        <f>IF(W13&gt;=50,"VERYHIGHMARGIN",IF(W13&gt;=40,"HIGHMARGIN",IF(W13&gt;=30,"MEDIUMMARGIN",IF(W13&gt;10,"LOWMARGIN",IF(W13&lt;1,"NARROWMARGIN")))))</f>
        <v>NARROWMARGIN</v>
      </c>
    </row>
    <row r="14" spans="1:24">
      <c r="A14" s="7">
        <v>12</v>
      </c>
      <c r="B14" s="8" t="s">
        <v>126</v>
      </c>
      <c r="C14" s="7">
        <v>443</v>
      </c>
      <c r="D14" s="7">
        <v>211</v>
      </c>
      <c r="E14" s="9">
        <v>47.629796839729124</v>
      </c>
      <c r="F14" s="7">
        <v>221</v>
      </c>
      <c r="G14" s="9">
        <v>49.887133182844245</v>
      </c>
      <c r="H14" s="7">
        <v>3</v>
      </c>
      <c r="I14" s="9">
        <v>0.67720090293453727</v>
      </c>
      <c r="J14" s="7">
        <v>0</v>
      </c>
      <c r="K14" s="9">
        <v>0</v>
      </c>
      <c r="L14" s="7">
        <v>0</v>
      </c>
      <c r="M14" s="9">
        <v>0</v>
      </c>
      <c r="N14" s="7">
        <v>1</v>
      </c>
      <c r="O14" s="9">
        <v>0.22573363431151244</v>
      </c>
      <c r="P14" s="7">
        <v>0</v>
      </c>
      <c r="Q14" s="9">
        <v>0</v>
      </c>
      <c r="R14" s="7">
        <v>1</v>
      </c>
      <c r="S14" s="9">
        <v>0.22573363431151244</v>
      </c>
      <c r="T14" s="7">
        <v>6</v>
      </c>
      <c r="U14" s="9">
        <v>1.3544018058690745</v>
      </c>
      <c r="V14" s="10" t="str">
        <f t="shared" si="0"/>
        <v>CONGRESSGAIN</v>
      </c>
      <c r="W14" s="11">
        <f t="shared" si="5"/>
        <v>2.2573363431151208</v>
      </c>
      <c r="X14" s="13" t="str">
        <f t="shared" si="2"/>
        <v>NARROWMARGIN</v>
      </c>
    </row>
    <row r="15" spans="1:24">
      <c r="A15" s="14">
        <v>13</v>
      </c>
      <c r="B15" s="15" t="s">
        <v>126</v>
      </c>
      <c r="C15" s="14">
        <v>349</v>
      </c>
      <c r="D15" s="14">
        <v>200</v>
      </c>
      <c r="E15" s="16">
        <v>57.306590257879655</v>
      </c>
      <c r="F15" s="14">
        <v>129</v>
      </c>
      <c r="G15" s="16">
        <v>36.962750716332373</v>
      </c>
      <c r="H15" s="14">
        <v>12</v>
      </c>
      <c r="I15" s="16">
        <v>3.4383954154727792</v>
      </c>
      <c r="J15" s="14">
        <v>0</v>
      </c>
      <c r="K15" s="16">
        <v>0</v>
      </c>
      <c r="L15" s="14">
        <v>0</v>
      </c>
      <c r="M15" s="16">
        <v>0</v>
      </c>
      <c r="N15" s="14">
        <v>0</v>
      </c>
      <c r="O15" s="16">
        <v>0</v>
      </c>
      <c r="P15" s="14">
        <v>0</v>
      </c>
      <c r="Q15" s="16">
        <v>0</v>
      </c>
      <c r="R15" s="14">
        <v>5</v>
      </c>
      <c r="S15" s="16">
        <v>1.4326647564469912</v>
      </c>
      <c r="T15" s="14">
        <v>3</v>
      </c>
      <c r="U15" s="16">
        <v>0.85959885386819479</v>
      </c>
      <c r="V15" s="17" t="str">
        <f t="shared" si="0"/>
        <v>BJP GAIN</v>
      </c>
      <c r="W15" s="11">
        <f t="shared" si="3"/>
        <v>20.343839541547283</v>
      </c>
      <c r="X15" s="12" t="str">
        <f t="shared" si="2"/>
        <v>LOWMARGIN</v>
      </c>
    </row>
    <row r="16" spans="1:24">
      <c r="A16" s="7">
        <v>14</v>
      </c>
      <c r="B16" s="8" t="s">
        <v>126</v>
      </c>
      <c r="C16" s="7">
        <v>708</v>
      </c>
      <c r="D16" s="7">
        <v>317</v>
      </c>
      <c r="E16" s="9">
        <v>44.774011299435031</v>
      </c>
      <c r="F16" s="7">
        <v>367</v>
      </c>
      <c r="G16" s="9">
        <v>51.836158192090394</v>
      </c>
      <c r="H16" s="7">
        <v>2</v>
      </c>
      <c r="I16" s="9">
        <v>0.2824858757062147</v>
      </c>
      <c r="J16" s="7">
        <v>0</v>
      </c>
      <c r="K16" s="9">
        <v>0</v>
      </c>
      <c r="L16" s="7">
        <v>0</v>
      </c>
      <c r="M16" s="9">
        <v>0</v>
      </c>
      <c r="N16" s="7">
        <v>2</v>
      </c>
      <c r="O16" s="9">
        <v>0.2824858757062147</v>
      </c>
      <c r="P16" s="7">
        <v>0</v>
      </c>
      <c r="Q16" s="9">
        <v>0</v>
      </c>
      <c r="R16" s="7">
        <v>8</v>
      </c>
      <c r="S16" s="9">
        <v>1.1299435028248588</v>
      </c>
      <c r="T16" s="7">
        <v>12</v>
      </c>
      <c r="U16" s="9">
        <v>1.6949152542372881</v>
      </c>
      <c r="V16" s="10" t="str">
        <f t="shared" si="0"/>
        <v>CONGRESSGAIN</v>
      </c>
      <c r="W16" s="11">
        <f t="shared" si="5"/>
        <v>7.0621468926553632</v>
      </c>
      <c r="X16" s="13" t="str">
        <f t="shared" si="2"/>
        <v>NARROWMARGIN</v>
      </c>
    </row>
    <row r="17" spans="1:24">
      <c r="A17" s="7">
        <v>15</v>
      </c>
      <c r="B17" s="8" t="s">
        <v>126</v>
      </c>
      <c r="C17" s="7">
        <v>806</v>
      </c>
      <c r="D17" s="7">
        <v>353</v>
      </c>
      <c r="E17" s="9">
        <v>43.796526054590565</v>
      </c>
      <c r="F17" s="7">
        <v>436</v>
      </c>
      <c r="G17" s="9">
        <v>54.09429280397022</v>
      </c>
      <c r="H17" s="7">
        <v>4</v>
      </c>
      <c r="I17" s="9">
        <v>0.49627791563275431</v>
      </c>
      <c r="J17" s="7">
        <v>0</v>
      </c>
      <c r="K17" s="9">
        <v>0</v>
      </c>
      <c r="L17" s="7">
        <v>0</v>
      </c>
      <c r="M17" s="9">
        <v>0</v>
      </c>
      <c r="N17" s="7">
        <v>0</v>
      </c>
      <c r="O17" s="9">
        <v>0</v>
      </c>
      <c r="P17" s="7">
        <v>0</v>
      </c>
      <c r="Q17" s="9">
        <v>0</v>
      </c>
      <c r="R17" s="7">
        <v>6</v>
      </c>
      <c r="S17" s="9">
        <v>0.74441687344913143</v>
      </c>
      <c r="T17" s="7">
        <v>7</v>
      </c>
      <c r="U17" s="9">
        <v>0.86848635235732008</v>
      </c>
      <c r="V17" s="10" t="str">
        <f t="shared" si="0"/>
        <v>CONGRESSGAIN</v>
      </c>
      <c r="W17" s="11">
        <f t="shared" si="5"/>
        <v>10.297766749379655</v>
      </c>
      <c r="X17" s="12" t="str">
        <f t="shared" si="2"/>
        <v>LOWMARGIN</v>
      </c>
    </row>
    <row r="18" spans="1:24">
      <c r="A18" s="7">
        <v>16</v>
      </c>
      <c r="B18" s="8" t="s">
        <v>126</v>
      </c>
      <c r="C18" s="7">
        <v>545</v>
      </c>
      <c r="D18" s="7">
        <v>201</v>
      </c>
      <c r="E18" s="9">
        <v>36.88073394495413</v>
      </c>
      <c r="F18" s="7">
        <v>325</v>
      </c>
      <c r="G18" s="9">
        <v>59.633027522935777</v>
      </c>
      <c r="H18" s="7">
        <v>8</v>
      </c>
      <c r="I18" s="9">
        <v>1.4678899082568806</v>
      </c>
      <c r="J18" s="7">
        <v>0</v>
      </c>
      <c r="K18" s="9">
        <v>0</v>
      </c>
      <c r="L18" s="7">
        <v>0</v>
      </c>
      <c r="M18" s="9">
        <v>0</v>
      </c>
      <c r="N18" s="7">
        <v>1</v>
      </c>
      <c r="O18" s="9">
        <v>0.18348623853211007</v>
      </c>
      <c r="P18" s="7">
        <v>0</v>
      </c>
      <c r="Q18" s="9">
        <v>0</v>
      </c>
      <c r="R18" s="7">
        <v>3</v>
      </c>
      <c r="S18" s="9">
        <v>0.55045871559633031</v>
      </c>
      <c r="T18" s="7">
        <v>7</v>
      </c>
      <c r="U18" s="9">
        <v>1.2844036697247705</v>
      </c>
      <c r="V18" s="10" t="str">
        <f t="shared" si="0"/>
        <v>CONGRESSGAIN</v>
      </c>
      <c r="W18" s="11">
        <f t="shared" si="5"/>
        <v>22.752293577981646</v>
      </c>
      <c r="X18" s="12" t="str">
        <f t="shared" si="2"/>
        <v>LOWMARGIN</v>
      </c>
    </row>
    <row r="19" spans="1:24">
      <c r="A19" s="7">
        <v>17</v>
      </c>
      <c r="B19" s="8" t="s">
        <v>126</v>
      </c>
      <c r="C19" s="7">
        <v>658</v>
      </c>
      <c r="D19" s="7">
        <v>280</v>
      </c>
      <c r="E19" s="9">
        <v>42.553191489361701</v>
      </c>
      <c r="F19" s="7">
        <v>354</v>
      </c>
      <c r="G19" s="9">
        <v>53.799392097264437</v>
      </c>
      <c r="H19" s="7">
        <v>10</v>
      </c>
      <c r="I19" s="9">
        <v>1.519756838905775</v>
      </c>
      <c r="J19" s="7">
        <v>0</v>
      </c>
      <c r="K19" s="9">
        <v>0</v>
      </c>
      <c r="L19" s="7">
        <v>0</v>
      </c>
      <c r="M19" s="9">
        <v>0</v>
      </c>
      <c r="N19" s="7">
        <v>0</v>
      </c>
      <c r="O19" s="9">
        <v>0</v>
      </c>
      <c r="P19" s="7">
        <v>0</v>
      </c>
      <c r="Q19" s="9">
        <v>0</v>
      </c>
      <c r="R19" s="7">
        <v>6</v>
      </c>
      <c r="S19" s="9">
        <v>0.91185410334346506</v>
      </c>
      <c r="T19" s="7">
        <v>8</v>
      </c>
      <c r="U19" s="9">
        <v>1.21580547112462</v>
      </c>
      <c r="V19" s="10" t="str">
        <f t="shared" si="0"/>
        <v>CONGRESSGAIN</v>
      </c>
      <c r="W19" s="11">
        <f t="shared" si="5"/>
        <v>11.246200607902736</v>
      </c>
      <c r="X19" s="12" t="str">
        <f t="shared" si="2"/>
        <v>LOWMARGIN</v>
      </c>
    </row>
    <row r="20" spans="1:24">
      <c r="A20" s="7">
        <v>18</v>
      </c>
      <c r="B20" s="8" t="s">
        <v>126</v>
      </c>
      <c r="C20" s="7">
        <v>615</v>
      </c>
      <c r="D20" s="7">
        <v>266</v>
      </c>
      <c r="E20" s="9">
        <v>43.252032520325201</v>
      </c>
      <c r="F20" s="7">
        <v>309</v>
      </c>
      <c r="G20" s="9">
        <v>50.243902439024389</v>
      </c>
      <c r="H20" s="7">
        <v>6</v>
      </c>
      <c r="I20" s="9">
        <v>0.97560975609756095</v>
      </c>
      <c r="J20" s="7">
        <v>0</v>
      </c>
      <c r="K20" s="9">
        <v>0</v>
      </c>
      <c r="L20" s="7">
        <v>0</v>
      </c>
      <c r="M20" s="9">
        <v>0</v>
      </c>
      <c r="N20" s="7">
        <v>1</v>
      </c>
      <c r="O20" s="9">
        <v>0.16260162601626016</v>
      </c>
      <c r="P20" s="7">
        <v>0</v>
      </c>
      <c r="Q20" s="9">
        <v>0</v>
      </c>
      <c r="R20" s="7">
        <v>5</v>
      </c>
      <c r="S20" s="9">
        <v>0.81300813008130079</v>
      </c>
      <c r="T20" s="7">
        <v>28</v>
      </c>
      <c r="U20" s="9">
        <v>4.5528455284552845</v>
      </c>
      <c r="V20" s="10" t="str">
        <f t="shared" si="0"/>
        <v>CONGRESSGAIN</v>
      </c>
      <c r="W20" s="11">
        <f t="shared" si="5"/>
        <v>6.9918699186991873</v>
      </c>
      <c r="X20" s="13" t="str">
        <f t="shared" si="2"/>
        <v>NARROWMARGIN</v>
      </c>
    </row>
    <row r="21" spans="1:24">
      <c r="A21" s="7">
        <v>19</v>
      </c>
      <c r="B21" s="8" t="s">
        <v>126</v>
      </c>
      <c r="C21" s="7">
        <v>400</v>
      </c>
      <c r="D21" s="7">
        <v>169</v>
      </c>
      <c r="E21" s="9">
        <v>42.25</v>
      </c>
      <c r="F21" s="7">
        <v>215</v>
      </c>
      <c r="G21" s="9">
        <v>53.75</v>
      </c>
      <c r="H21" s="7">
        <v>5</v>
      </c>
      <c r="I21" s="9">
        <v>1.25</v>
      </c>
      <c r="J21" s="7">
        <v>0</v>
      </c>
      <c r="K21" s="9">
        <v>0</v>
      </c>
      <c r="L21" s="7">
        <v>0</v>
      </c>
      <c r="M21" s="9">
        <v>0</v>
      </c>
      <c r="N21" s="7">
        <v>0</v>
      </c>
      <c r="O21" s="9">
        <v>0</v>
      </c>
      <c r="P21" s="7">
        <v>0</v>
      </c>
      <c r="Q21" s="9">
        <v>0</v>
      </c>
      <c r="R21" s="7">
        <v>2</v>
      </c>
      <c r="S21" s="9">
        <v>0.5</v>
      </c>
      <c r="T21" s="7">
        <v>9</v>
      </c>
      <c r="U21" s="9">
        <v>2.25</v>
      </c>
      <c r="V21" s="10" t="str">
        <f t="shared" si="0"/>
        <v>CONGRESSGAIN</v>
      </c>
      <c r="W21" s="11">
        <f t="shared" si="5"/>
        <v>11.5</v>
      </c>
      <c r="X21" s="12" t="str">
        <f t="shared" si="2"/>
        <v>LOWMARGIN</v>
      </c>
    </row>
    <row r="22" spans="1:24">
      <c r="A22" s="14">
        <v>20</v>
      </c>
      <c r="B22" s="15" t="s">
        <v>126</v>
      </c>
      <c r="C22" s="14">
        <v>521</v>
      </c>
      <c r="D22" s="14">
        <v>255</v>
      </c>
      <c r="E22" s="16">
        <v>48.944337811900191</v>
      </c>
      <c r="F22" s="14">
        <v>250</v>
      </c>
      <c r="G22" s="16">
        <v>47.984644913627641</v>
      </c>
      <c r="H22" s="14">
        <v>4</v>
      </c>
      <c r="I22" s="16">
        <v>0.76775431861804222</v>
      </c>
      <c r="J22" s="14">
        <v>0</v>
      </c>
      <c r="K22" s="16">
        <v>0</v>
      </c>
      <c r="L22" s="14">
        <v>0</v>
      </c>
      <c r="M22" s="16">
        <v>0</v>
      </c>
      <c r="N22" s="14">
        <v>1</v>
      </c>
      <c r="O22" s="16">
        <v>0.19193857965451055</v>
      </c>
      <c r="P22" s="14">
        <v>0</v>
      </c>
      <c r="Q22" s="16">
        <v>0</v>
      </c>
      <c r="R22" s="14">
        <v>6</v>
      </c>
      <c r="S22" s="16">
        <v>1.1516314779270633</v>
      </c>
      <c r="T22" s="14">
        <v>5</v>
      </c>
      <c r="U22" s="16">
        <v>0.95969289827255277</v>
      </c>
      <c r="V22" s="17" t="str">
        <f t="shared" si="0"/>
        <v>BJP GAIN</v>
      </c>
      <c r="W22" s="11">
        <f t="shared" si="3"/>
        <v>0.95969289827255011</v>
      </c>
      <c r="X22" s="13" t="str">
        <f>IF(W22&gt;=50,"VERYHIGHMARGIN",IF(W22&gt;=40,"HIGHMARGIN",IF(W22&gt;=30,"MEDIUMMARGIN",IF(W22&gt;10,"LOWMARGIN",IF(W22&lt;1,"NARROWMARGIN")))))</f>
        <v>NARROWMARGIN</v>
      </c>
    </row>
    <row r="23" spans="1:24">
      <c r="A23" s="7">
        <v>21</v>
      </c>
      <c r="B23" s="8" t="s">
        <v>126</v>
      </c>
      <c r="C23" s="7">
        <v>606</v>
      </c>
      <c r="D23" s="7">
        <v>248</v>
      </c>
      <c r="E23" s="9">
        <v>40.924092409240927</v>
      </c>
      <c r="F23" s="7">
        <v>333</v>
      </c>
      <c r="G23" s="9">
        <v>54.950495049504951</v>
      </c>
      <c r="H23" s="7">
        <v>12</v>
      </c>
      <c r="I23" s="9">
        <v>1.9801980198019804</v>
      </c>
      <c r="J23" s="7">
        <v>0</v>
      </c>
      <c r="K23" s="9">
        <v>0</v>
      </c>
      <c r="L23" s="7">
        <v>0</v>
      </c>
      <c r="M23" s="9">
        <v>0</v>
      </c>
      <c r="N23" s="7">
        <v>0</v>
      </c>
      <c r="O23" s="9">
        <v>0</v>
      </c>
      <c r="P23" s="7">
        <v>0</v>
      </c>
      <c r="Q23" s="9">
        <v>0</v>
      </c>
      <c r="R23" s="7">
        <v>4</v>
      </c>
      <c r="S23" s="9">
        <v>0.66006600660066006</v>
      </c>
      <c r="T23" s="7">
        <v>9</v>
      </c>
      <c r="U23" s="9">
        <v>1.4851485148514851</v>
      </c>
      <c r="V23" s="10" t="str">
        <f t="shared" si="0"/>
        <v>CONGRESSGAIN</v>
      </c>
      <c r="W23" s="11">
        <f t="shared" si="5"/>
        <v>14.026402640264024</v>
      </c>
      <c r="X23" s="12" t="str">
        <f t="shared" si="2"/>
        <v>LOWMARGIN</v>
      </c>
    </row>
    <row r="24" spans="1:24">
      <c r="A24" s="7">
        <v>22</v>
      </c>
      <c r="B24" s="8" t="s">
        <v>126</v>
      </c>
      <c r="C24" s="7">
        <v>474</v>
      </c>
      <c r="D24" s="7">
        <v>194</v>
      </c>
      <c r="E24" s="9">
        <v>40.928270042194093</v>
      </c>
      <c r="F24" s="7">
        <v>263</v>
      </c>
      <c r="G24" s="9">
        <v>55.485232067510545</v>
      </c>
      <c r="H24" s="7">
        <v>3</v>
      </c>
      <c r="I24" s="9">
        <v>0.63291139240506322</v>
      </c>
      <c r="J24" s="7">
        <v>0</v>
      </c>
      <c r="K24" s="9">
        <v>0</v>
      </c>
      <c r="L24" s="7">
        <v>0</v>
      </c>
      <c r="M24" s="9">
        <v>0</v>
      </c>
      <c r="N24" s="7">
        <v>0</v>
      </c>
      <c r="O24" s="9">
        <v>0</v>
      </c>
      <c r="P24" s="7">
        <v>0</v>
      </c>
      <c r="Q24" s="9">
        <v>0</v>
      </c>
      <c r="R24" s="7">
        <v>7</v>
      </c>
      <c r="S24" s="9">
        <v>1.4767932489451476</v>
      </c>
      <c r="T24" s="7">
        <v>7</v>
      </c>
      <c r="U24" s="9">
        <v>1.4767932489451476</v>
      </c>
      <c r="V24" s="10" t="str">
        <f t="shared" si="0"/>
        <v>CONGRESSGAIN</v>
      </c>
      <c r="W24" s="11">
        <f t="shared" si="5"/>
        <v>14.556962025316452</v>
      </c>
      <c r="X24" s="12" t="str">
        <f t="shared" si="2"/>
        <v>LOWMARGIN</v>
      </c>
    </row>
    <row r="25" spans="1:24">
      <c r="A25" s="14">
        <v>23</v>
      </c>
      <c r="B25" s="15" t="s">
        <v>126</v>
      </c>
      <c r="C25" s="14">
        <v>677</v>
      </c>
      <c r="D25" s="14">
        <v>380</v>
      </c>
      <c r="E25" s="16">
        <v>56.129985228951256</v>
      </c>
      <c r="F25" s="14">
        <v>282</v>
      </c>
      <c r="G25" s="16">
        <v>41.654357459379618</v>
      </c>
      <c r="H25" s="14">
        <v>5</v>
      </c>
      <c r="I25" s="16">
        <v>0.73855243722304287</v>
      </c>
      <c r="J25" s="14">
        <v>0</v>
      </c>
      <c r="K25" s="16">
        <v>0</v>
      </c>
      <c r="L25" s="14">
        <v>0</v>
      </c>
      <c r="M25" s="16">
        <v>0</v>
      </c>
      <c r="N25" s="14">
        <v>0</v>
      </c>
      <c r="O25" s="16">
        <v>0</v>
      </c>
      <c r="P25" s="14">
        <v>0</v>
      </c>
      <c r="Q25" s="16">
        <v>0</v>
      </c>
      <c r="R25" s="14">
        <v>3</v>
      </c>
      <c r="S25" s="16">
        <v>0.44313146233382572</v>
      </c>
      <c r="T25" s="14">
        <v>7</v>
      </c>
      <c r="U25" s="16">
        <v>1.0339734121122601</v>
      </c>
      <c r="V25" s="17" t="str">
        <f t="shared" si="0"/>
        <v>BJP GAIN</v>
      </c>
      <c r="W25" s="11">
        <f t="shared" si="3"/>
        <v>14.475627769571638</v>
      </c>
      <c r="X25" s="12" t="str">
        <f t="shared" si="2"/>
        <v>LOWMARGIN</v>
      </c>
    </row>
    <row r="26" spans="1:24">
      <c r="A26" s="7">
        <v>24</v>
      </c>
      <c r="B26" s="8" t="s">
        <v>126</v>
      </c>
      <c r="C26" s="7">
        <v>472</v>
      </c>
      <c r="D26" s="7">
        <v>223</v>
      </c>
      <c r="E26" s="9">
        <v>47.245762711864408</v>
      </c>
      <c r="F26" s="7">
        <v>227</v>
      </c>
      <c r="G26" s="9">
        <v>48.093220338983052</v>
      </c>
      <c r="H26" s="7">
        <v>6</v>
      </c>
      <c r="I26" s="9">
        <v>1.2711864406779663</v>
      </c>
      <c r="J26" s="7">
        <v>0</v>
      </c>
      <c r="K26" s="9">
        <v>0</v>
      </c>
      <c r="L26" s="7">
        <v>0</v>
      </c>
      <c r="M26" s="9">
        <v>0</v>
      </c>
      <c r="N26" s="7">
        <v>0</v>
      </c>
      <c r="O26" s="9">
        <v>0</v>
      </c>
      <c r="P26" s="7">
        <v>0</v>
      </c>
      <c r="Q26" s="9">
        <v>0</v>
      </c>
      <c r="R26" s="7">
        <v>9</v>
      </c>
      <c r="S26" s="9">
        <v>1.9067796610169492</v>
      </c>
      <c r="T26" s="7">
        <v>7</v>
      </c>
      <c r="U26" s="9">
        <v>1.4830508474576272</v>
      </c>
      <c r="V26" s="10" t="str">
        <f t="shared" si="0"/>
        <v>CONGRESSGAIN</v>
      </c>
      <c r="W26" s="11">
        <f t="shared" si="5"/>
        <v>0.84745762711864359</v>
      </c>
      <c r="X26" s="13" t="str">
        <f>IF(W26&gt;=50,"VERYHIGHMARGIN",IF(W26&gt;=40,"HIGHMARGIN",IF(W26&gt;=30,"MEDIUMMARGIN",IF(W26&gt;10,"LOWMARGIN",IF(W26&lt;1,"NARROWMARGIN")))))</f>
        <v>NARROWMARGIN</v>
      </c>
    </row>
    <row r="27" spans="1:24">
      <c r="A27" s="7">
        <v>25</v>
      </c>
      <c r="B27" s="8" t="s">
        <v>126</v>
      </c>
      <c r="C27" s="7">
        <v>504</v>
      </c>
      <c r="D27" s="7">
        <v>215</v>
      </c>
      <c r="E27" s="9">
        <v>42.658730158730158</v>
      </c>
      <c r="F27" s="7">
        <v>255</v>
      </c>
      <c r="G27" s="9">
        <v>50.595238095238095</v>
      </c>
      <c r="H27" s="7">
        <v>9</v>
      </c>
      <c r="I27" s="9">
        <v>1.7857142857142858</v>
      </c>
      <c r="J27" s="7">
        <v>0</v>
      </c>
      <c r="K27" s="9">
        <v>0</v>
      </c>
      <c r="L27" s="7">
        <v>0</v>
      </c>
      <c r="M27" s="9">
        <v>0</v>
      </c>
      <c r="N27" s="7">
        <v>0</v>
      </c>
      <c r="O27" s="9">
        <v>0</v>
      </c>
      <c r="P27" s="7">
        <v>0</v>
      </c>
      <c r="Q27" s="9">
        <v>0</v>
      </c>
      <c r="R27" s="7">
        <v>17</v>
      </c>
      <c r="S27" s="9">
        <v>3.373015873015873</v>
      </c>
      <c r="T27" s="7">
        <v>8</v>
      </c>
      <c r="U27" s="9">
        <v>1.5873015873015872</v>
      </c>
      <c r="V27" s="10" t="str">
        <f t="shared" si="0"/>
        <v>CONGRESSGAIN</v>
      </c>
      <c r="W27" s="11">
        <f t="shared" si="5"/>
        <v>7.9365079365079367</v>
      </c>
      <c r="X27" s="13" t="str">
        <f t="shared" si="2"/>
        <v>NARROWMARGIN</v>
      </c>
    </row>
    <row r="28" spans="1:24">
      <c r="A28" s="14">
        <v>26</v>
      </c>
      <c r="B28" s="15" t="s">
        <v>126</v>
      </c>
      <c r="C28" s="14">
        <v>800</v>
      </c>
      <c r="D28" s="14">
        <v>439</v>
      </c>
      <c r="E28" s="16">
        <v>54.875</v>
      </c>
      <c r="F28" s="14">
        <v>305</v>
      </c>
      <c r="G28" s="16">
        <v>38.125</v>
      </c>
      <c r="H28" s="14">
        <v>9</v>
      </c>
      <c r="I28" s="16">
        <v>1.125</v>
      </c>
      <c r="J28" s="14">
        <v>0</v>
      </c>
      <c r="K28" s="16">
        <v>0</v>
      </c>
      <c r="L28" s="14">
        <v>0</v>
      </c>
      <c r="M28" s="16">
        <v>0</v>
      </c>
      <c r="N28" s="14">
        <v>0</v>
      </c>
      <c r="O28" s="16">
        <v>0</v>
      </c>
      <c r="P28" s="14">
        <v>0</v>
      </c>
      <c r="Q28" s="16">
        <v>0</v>
      </c>
      <c r="R28" s="14">
        <v>31</v>
      </c>
      <c r="S28" s="16">
        <v>3.875</v>
      </c>
      <c r="T28" s="14">
        <v>16</v>
      </c>
      <c r="U28" s="16">
        <v>2</v>
      </c>
      <c r="V28" s="17" t="str">
        <f t="shared" si="0"/>
        <v>BJP GAIN</v>
      </c>
      <c r="W28" s="11">
        <f t="shared" si="3"/>
        <v>16.75</v>
      </c>
      <c r="X28" s="12" t="str">
        <f t="shared" si="2"/>
        <v>LOWMARGIN</v>
      </c>
    </row>
    <row r="29" spans="1:24">
      <c r="A29" s="14">
        <v>27</v>
      </c>
      <c r="B29" s="15" t="s">
        <v>126</v>
      </c>
      <c r="C29" s="14">
        <v>831</v>
      </c>
      <c r="D29" s="14">
        <v>379</v>
      </c>
      <c r="E29" s="16">
        <v>45.607701564380264</v>
      </c>
      <c r="F29" s="14">
        <v>374</v>
      </c>
      <c r="G29" s="16">
        <v>45.006016847172077</v>
      </c>
      <c r="H29" s="14">
        <v>3</v>
      </c>
      <c r="I29" s="16">
        <v>0.36101083032490972</v>
      </c>
      <c r="J29" s="14">
        <v>0</v>
      </c>
      <c r="K29" s="16">
        <v>0</v>
      </c>
      <c r="L29" s="14">
        <v>0</v>
      </c>
      <c r="M29" s="16">
        <v>0</v>
      </c>
      <c r="N29" s="14">
        <v>1</v>
      </c>
      <c r="O29" s="16">
        <v>0.12033694344163658</v>
      </c>
      <c r="P29" s="14">
        <v>0</v>
      </c>
      <c r="Q29" s="16">
        <v>0</v>
      </c>
      <c r="R29" s="14">
        <v>66</v>
      </c>
      <c r="S29" s="16">
        <v>7.9422382671480136</v>
      </c>
      <c r="T29" s="14">
        <v>8</v>
      </c>
      <c r="U29" s="16">
        <v>0.96269554753309261</v>
      </c>
      <c r="V29" s="17" t="str">
        <f t="shared" si="0"/>
        <v>BJP GAIN</v>
      </c>
      <c r="W29" s="11">
        <f t="shared" si="3"/>
        <v>0.60168471720818673</v>
      </c>
      <c r="X29" s="13" t="str">
        <f>IF(W29&gt;=50,"VERYHIGHMARGIN",IF(W29&gt;=40,"HIGHMARGIN",IF(W29&gt;=30,"MEDIUMMARGIN",IF(W29&gt;10,"LOWMARGIN",IF(W29&lt;1,"NARROWMARGIN")))))</f>
        <v>NARROWMARGIN</v>
      </c>
    </row>
    <row r="30" spans="1:24">
      <c r="A30" s="14">
        <v>28</v>
      </c>
      <c r="B30" s="15" t="s">
        <v>126</v>
      </c>
      <c r="C30" s="14">
        <v>858</v>
      </c>
      <c r="D30" s="14">
        <v>501</v>
      </c>
      <c r="E30" s="16">
        <v>58.391608391608393</v>
      </c>
      <c r="F30" s="14">
        <v>328</v>
      </c>
      <c r="G30" s="16">
        <v>38.228438228438229</v>
      </c>
      <c r="H30" s="14">
        <v>5</v>
      </c>
      <c r="I30" s="16">
        <v>0.58275058275058278</v>
      </c>
      <c r="J30" s="14">
        <v>0</v>
      </c>
      <c r="K30" s="16">
        <v>0</v>
      </c>
      <c r="L30" s="14">
        <v>0</v>
      </c>
      <c r="M30" s="16">
        <v>0</v>
      </c>
      <c r="N30" s="14">
        <v>2</v>
      </c>
      <c r="O30" s="16">
        <v>0.23310023310023309</v>
      </c>
      <c r="P30" s="14">
        <v>0</v>
      </c>
      <c r="Q30" s="16">
        <v>0</v>
      </c>
      <c r="R30" s="14">
        <v>12</v>
      </c>
      <c r="S30" s="16">
        <v>1.3986013986013985</v>
      </c>
      <c r="T30" s="14">
        <v>10</v>
      </c>
      <c r="U30" s="16">
        <v>1.1655011655011656</v>
      </c>
      <c r="V30" s="17" t="str">
        <f t="shared" si="0"/>
        <v>BJP GAIN</v>
      </c>
      <c r="W30" s="11">
        <f t="shared" si="3"/>
        <v>20.163170163170165</v>
      </c>
      <c r="X30" s="12" t="str">
        <f t="shared" si="2"/>
        <v>LOWMARGIN</v>
      </c>
    </row>
    <row r="31" spans="1:24">
      <c r="A31" s="14">
        <v>29</v>
      </c>
      <c r="B31" s="15" t="s">
        <v>126</v>
      </c>
      <c r="C31" s="14">
        <v>929</v>
      </c>
      <c r="D31" s="14">
        <v>469</v>
      </c>
      <c r="E31" s="16">
        <v>50.484391819160393</v>
      </c>
      <c r="F31" s="14">
        <v>402</v>
      </c>
      <c r="G31" s="16">
        <v>43.272335844994622</v>
      </c>
      <c r="H31" s="14">
        <v>7</v>
      </c>
      <c r="I31" s="16">
        <v>0.75349838536060287</v>
      </c>
      <c r="J31" s="14">
        <v>0</v>
      </c>
      <c r="K31" s="16">
        <v>0</v>
      </c>
      <c r="L31" s="14">
        <v>0</v>
      </c>
      <c r="M31" s="16">
        <v>0</v>
      </c>
      <c r="N31" s="14">
        <v>0</v>
      </c>
      <c r="O31" s="16">
        <v>0</v>
      </c>
      <c r="P31" s="14">
        <v>0</v>
      </c>
      <c r="Q31" s="16">
        <v>0</v>
      </c>
      <c r="R31" s="14">
        <v>42</v>
      </c>
      <c r="S31" s="16">
        <v>4.520990312163617</v>
      </c>
      <c r="T31" s="14">
        <v>9</v>
      </c>
      <c r="U31" s="16">
        <v>0.96878363832077508</v>
      </c>
      <c r="V31" s="17" t="str">
        <f t="shared" si="0"/>
        <v>BJP GAIN</v>
      </c>
      <c r="W31" s="11">
        <f t="shared" si="3"/>
        <v>7.2120559741657715</v>
      </c>
      <c r="X31" s="13" t="str">
        <f t="shared" si="2"/>
        <v>NARROWMARGIN</v>
      </c>
    </row>
    <row r="32" spans="1:24">
      <c r="A32" s="7">
        <v>30</v>
      </c>
      <c r="B32" s="8" t="s">
        <v>126</v>
      </c>
      <c r="C32" s="7">
        <v>630</v>
      </c>
      <c r="D32" s="7">
        <v>203</v>
      </c>
      <c r="E32" s="9">
        <v>32.222222222222221</v>
      </c>
      <c r="F32" s="7">
        <v>391</v>
      </c>
      <c r="G32" s="9">
        <v>62.063492063492063</v>
      </c>
      <c r="H32" s="7">
        <v>6</v>
      </c>
      <c r="I32" s="9">
        <v>0.95238095238095244</v>
      </c>
      <c r="J32" s="7">
        <v>0</v>
      </c>
      <c r="K32" s="9">
        <v>0</v>
      </c>
      <c r="L32" s="7">
        <v>0</v>
      </c>
      <c r="M32" s="9">
        <v>0</v>
      </c>
      <c r="N32" s="7">
        <v>0</v>
      </c>
      <c r="O32" s="9">
        <v>0</v>
      </c>
      <c r="P32" s="7">
        <v>0</v>
      </c>
      <c r="Q32" s="9">
        <v>0</v>
      </c>
      <c r="R32" s="7">
        <v>26</v>
      </c>
      <c r="S32" s="9">
        <v>4.1269841269841274</v>
      </c>
      <c r="T32" s="7">
        <v>4</v>
      </c>
      <c r="U32" s="9">
        <v>0.63492063492063489</v>
      </c>
      <c r="V32" s="10" t="str">
        <f t="shared" si="0"/>
        <v>CONGRESSGAIN</v>
      </c>
      <c r="W32" s="11">
        <f t="shared" ref="W32:W54" si="6">G32-E32</f>
        <v>29.841269841269842</v>
      </c>
      <c r="X32" s="12" t="str">
        <f t="shared" si="2"/>
        <v>LOWMARGIN</v>
      </c>
    </row>
    <row r="33" spans="1:24">
      <c r="A33" s="7">
        <v>31</v>
      </c>
      <c r="B33" s="8" t="s">
        <v>126</v>
      </c>
      <c r="C33" s="7">
        <v>631</v>
      </c>
      <c r="D33" s="7">
        <v>285</v>
      </c>
      <c r="E33" s="9">
        <v>45.166402535657689</v>
      </c>
      <c r="F33" s="7">
        <v>320</v>
      </c>
      <c r="G33" s="9">
        <v>50.713153724247228</v>
      </c>
      <c r="H33" s="7">
        <v>3</v>
      </c>
      <c r="I33" s="9">
        <v>0.47543581616481778</v>
      </c>
      <c r="J33" s="7">
        <v>0</v>
      </c>
      <c r="K33" s="9">
        <v>0</v>
      </c>
      <c r="L33" s="7">
        <v>0</v>
      </c>
      <c r="M33" s="9">
        <v>0</v>
      </c>
      <c r="N33" s="7">
        <v>0</v>
      </c>
      <c r="O33" s="9">
        <v>0</v>
      </c>
      <c r="P33" s="7">
        <v>0</v>
      </c>
      <c r="Q33" s="9">
        <v>0</v>
      </c>
      <c r="R33" s="7">
        <v>14</v>
      </c>
      <c r="S33" s="9">
        <v>2.2187004754358162</v>
      </c>
      <c r="T33" s="7">
        <v>9</v>
      </c>
      <c r="U33" s="9">
        <v>1.4263074484944533</v>
      </c>
      <c r="V33" s="10" t="str">
        <f t="shared" si="0"/>
        <v>CONGRESSGAIN</v>
      </c>
      <c r="W33" s="11">
        <f t="shared" si="6"/>
        <v>5.5467511885895391</v>
      </c>
      <c r="X33" s="13" t="str">
        <f t="shared" si="2"/>
        <v>NARROWMARGIN</v>
      </c>
    </row>
    <row r="34" spans="1:24">
      <c r="A34" s="7">
        <v>32</v>
      </c>
      <c r="B34" s="8" t="s">
        <v>126</v>
      </c>
      <c r="C34" s="7">
        <v>817</v>
      </c>
      <c r="D34" s="7">
        <v>214</v>
      </c>
      <c r="E34" s="9">
        <v>26.193390452876375</v>
      </c>
      <c r="F34" s="7">
        <v>547</v>
      </c>
      <c r="G34" s="9">
        <v>66.952264381884945</v>
      </c>
      <c r="H34" s="7">
        <v>13</v>
      </c>
      <c r="I34" s="9">
        <v>1.5911872705018359</v>
      </c>
      <c r="J34" s="7">
        <v>0</v>
      </c>
      <c r="K34" s="9">
        <v>0</v>
      </c>
      <c r="L34" s="7">
        <v>0</v>
      </c>
      <c r="M34" s="9">
        <v>0</v>
      </c>
      <c r="N34" s="7">
        <v>1</v>
      </c>
      <c r="O34" s="9">
        <v>0.12239902080783353</v>
      </c>
      <c r="P34" s="7">
        <v>0</v>
      </c>
      <c r="Q34" s="9">
        <v>0</v>
      </c>
      <c r="R34" s="7">
        <v>31</v>
      </c>
      <c r="S34" s="9">
        <v>3.7943696450428397</v>
      </c>
      <c r="T34" s="7">
        <v>11</v>
      </c>
      <c r="U34" s="9">
        <v>1.346389228886169</v>
      </c>
      <c r="V34" s="10" t="str">
        <f t="shared" si="0"/>
        <v>CONGRESSGAIN</v>
      </c>
      <c r="W34" s="11">
        <f t="shared" si="6"/>
        <v>40.758873929008573</v>
      </c>
      <c r="X34" s="18" t="str">
        <f t="shared" si="2"/>
        <v>HIGHMARGIN</v>
      </c>
    </row>
    <row r="35" spans="1:24">
      <c r="A35" s="7">
        <v>33</v>
      </c>
      <c r="B35" s="8" t="s">
        <v>126</v>
      </c>
      <c r="C35" s="7">
        <v>621</v>
      </c>
      <c r="D35" s="7">
        <v>239</v>
      </c>
      <c r="E35" s="9">
        <v>38.486312399355874</v>
      </c>
      <c r="F35" s="7">
        <v>348</v>
      </c>
      <c r="G35" s="9">
        <v>56.038647342995169</v>
      </c>
      <c r="H35" s="7">
        <v>11</v>
      </c>
      <c r="I35" s="9">
        <v>1.7713365539452497</v>
      </c>
      <c r="J35" s="7">
        <v>0</v>
      </c>
      <c r="K35" s="9">
        <v>0</v>
      </c>
      <c r="L35" s="7">
        <v>0</v>
      </c>
      <c r="M35" s="9">
        <v>0</v>
      </c>
      <c r="N35" s="7">
        <v>0</v>
      </c>
      <c r="O35" s="9">
        <v>0</v>
      </c>
      <c r="P35" s="7">
        <v>0</v>
      </c>
      <c r="Q35" s="9">
        <v>0</v>
      </c>
      <c r="R35" s="7">
        <v>14</v>
      </c>
      <c r="S35" s="9">
        <v>2.2544283413848629</v>
      </c>
      <c r="T35" s="7">
        <v>9</v>
      </c>
      <c r="U35" s="9">
        <v>1.4492753623188406</v>
      </c>
      <c r="V35" s="10" t="str">
        <f t="shared" si="0"/>
        <v>CONGRESSGAIN</v>
      </c>
      <c r="W35" s="11">
        <f t="shared" si="6"/>
        <v>17.552334943639295</v>
      </c>
      <c r="X35" s="12" t="str">
        <f t="shared" si="2"/>
        <v>LOWMARGIN</v>
      </c>
    </row>
    <row r="36" spans="1:24">
      <c r="A36" s="7">
        <v>34</v>
      </c>
      <c r="B36" s="8" t="s">
        <v>126</v>
      </c>
      <c r="C36" s="7">
        <v>886</v>
      </c>
      <c r="D36" s="7">
        <v>332</v>
      </c>
      <c r="E36" s="9">
        <v>37.471783295711063</v>
      </c>
      <c r="F36" s="7">
        <v>497</v>
      </c>
      <c r="G36" s="9">
        <v>56.09480812641084</v>
      </c>
      <c r="H36" s="7">
        <v>15</v>
      </c>
      <c r="I36" s="9">
        <v>1.6930022573363432</v>
      </c>
      <c r="J36" s="7">
        <v>0</v>
      </c>
      <c r="K36" s="9">
        <v>0</v>
      </c>
      <c r="L36" s="7">
        <v>0</v>
      </c>
      <c r="M36" s="9">
        <v>0</v>
      </c>
      <c r="N36" s="7">
        <v>3</v>
      </c>
      <c r="O36" s="9">
        <v>0.33860045146726864</v>
      </c>
      <c r="P36" s="7">
        <v>0</v>
      </c>
      <c r="Q36" s="9">
        <v>0</v>
      </c>
      <c r="R36" s="7">
        <v>9</v>
      </c>
      <c r="S36" s="9">
        <v>1.0158013544018059</v>
      </c>
      <c r="T36" s="7">
        <v>30</v>
      </c>
      <c r="U36" s="9">
        <v>3.3860045146726865</v>
      </c>
      <c r="V36" s="10" t="str">
        <f t="shared" si="0"/>
        <v>CONGRESSGAIN</v>
      </c>
      <c r="W36" s="11">
        <f t="shared" si="6"/>
        <v>18.623024830699777</v>
      </c>
      <c r="X36" s="12" t="str">
        <f t="shared" si="2"/>
        <v>LOWMARGIN</v>
      </c>
    </row>
    <row r="37" spans="1:24">
      <c r="A37" s="7">
        <v>35</v>
      </c>
      <c r="B37" s="8" t="s">
        <v>126</v>
      </c>
      <c r="C37" s="7">
        <v>752</v>
      </c>
      <c r="D37" s="7">
        <v>344</v>
      </c>
      <c r="E37" s="9">
        <v>45.744680851063833</v>
      </c>
      <c r="F37" s="7">
        <v>376</v>
      </c>
      <c r="G37" s="9">
        <v>50</v>
      </c>
      <c r="H37" s="7">
        <v>8</v>
      </c>
      <c r="I37" s="9">
        <v>1.0638297872340425</v>
      </c>
      <c r="J37" s="7">
        <v>0</v>
      </c>
      <c r="K37" s="9">
        <v>0</v>
      </c>
      <c r="L37" s="7">
        <v>0</v>
      </c>
      <c r="M37" s="9">
        <v>0</v>
      </c>
      <c r="N37" s="7">
        <v>0</v>
      </c>
      <c r="O37" s="9">
        <v>0</v>
      </c>
      <c r="P37" s="7">
        <v>0</v>
      </c>
      <c r="Q37" s="9">
        <v>0</v>
      </c>
      <c r="R37" s="7">
        <v>12</v>
      </c>
      <c r="S37" s="9">
        <v>1.595744680851064</v>
      </c>
      <c r="T37" s="7">
        <v>12</v>
      </c>
      <c r="U37" s="9">
        <v>1.595744680851064</v>
      </c>
      <c r="V37" s="10" t="str">
        <f t="shared" si="0"/>
        <v>CONGRESSGAIN</v>
      </c>
      <c r="W37" s="11">
        <f t="shared" si="6"/>
        <v>4.2553191489361666</v>
      </c>
      <c r="X37" s="13" t="str">
        <f t="shared" si="2"/>
        <v>NARROWMARGIN</v>
      </c>
    </row>
    <row r="38" spans="1:24">
      <c r="A38" s="7">
        <v>36</v>
      </c>
      <c r="B38" s="8" t="s">
        <v>126</v>
      </c>
      <c r="C38" s="7">
        <v>665</v>
      </c>
      <c r="D38" s="7">
        <v>235</v>
      </c>
      <c r="E38" s="9">
        <v>35.338345864661655</v>
      </c>
      <c r="F38" s="7">
        <v>408</v>
      </c>
      <c r="G38" s="9">
        <v>61.353383458646611</v>
      </c>
      <c r="H38" s="7">
        <v>6</v>
      </c>
      <c r="I38" s="9">
        <v>0.90225563909774431</v>
      </c>
      <c r="J38" s="7">
        <v>0</v>
      </c>
      <c r="K38" s="9">
        <v>0</v>
      </c>
      <c r="L38" s="7">
        <v>0</v>
      </c>
      <c r="M38" s="9">
        <v>0</v>
      </c>
      <c r="N38" s="7">
        <v>0</v>
      </c>
      <c r="O38" s="9">
        <v>0</v>
      </c>
      <c r="P38" s="7">
        <v>0</v>
      </c>
      <c r="Q38" s="9">
        <v>0</v>
      </c>
      <c r="R38" s="7">
        <v>8</v>
      </c>
      <c r="S38" s="9">
        <v>1.2030075187969924</v>
      </c>
      <c r="T38" s="7">
        <v>8</v>
      </c>
      <c r="U38" s="9">
        <v>1.2030075187969924</v>
      </c>
      <c r="V38" s="10" t="str">
        <f t="shared" si="0"/>
        <v>CONGRESSGAIN</v>
      </c>
      <c r="W38" s="11">
        <f t="shared" si="6"/>
        <v>26.015037593984957</v>
      </c>
      <c r="X38" s="12" t="str">
        <f t="shared" si="2"/>
        <v>LOWMARGIN</v>
      </c>
    </row>
    <row r="39" spans="1:24">
      <c r="A39" s="7">
        <v>37</v>
      </c>
      <c r="B39" s="8" t="s">
        <v>126</v>
      </c>
      <c r="C39" s="7">
        <v>762</v>
      </c>
      <c r="D39" s="7">
        <v>207</v>
      </c>
      <c r="E39" s="9">
        <v>27.165354330708659</v>
      </c>
      <c r="F39" s="7">
        <v>533</v>
      </c>
      <c r="G39" s="9">
        <v>69.947506561679788</v>
      </c>
      <c r="H39" s="7">
        <v>6</v>
      </c>
      <c r="I39" s="9">
        <v>0.78740157480314954</v>
      </c>
      <c r="J39" s="7">
        <v>0</v>
      </c>
      <c r="K39" s="9">
        <v>0</v>
      </c>
      <c r="L39" s="7">
        <v>0</v>
      </c>
      <c r="M39" s="9">
        <v>0</v>
      </c>
      <c r="N39" s="7">
        <v>0</v>
      </c>
      <c r="O39" s="9">
        <v>0</v>
      </c>
      <c r="P39" s="7">
        <v>0</v>
      </c>
      <c r="Q39" s="9">
        <v>0</v>
      </c>
      <c r="R39" s="7">
        <v>6</v>
      </c>
      <c r="S39" s="9">
        <v>0.78740157480314954</v>
      </c>
      <c r="T39" s="7">
        <v>10</v>
      </c>
      <c r="U39" s="9">
        <v>1.3123359580052494</v>
      </c>
      <c r="V39" s="10" t="str">
        <f t="shared" si="0"/>
        <v>CONGRESSGAIN</v>
      </c>
      <c r="W39" s="11">
        <f t="shared" si="6"/>
        <v>42.782152230971128</v>
      </c>
      <c r="X39" s="18" t="str">
        <f t="shared" si="2"/>
        <v>HIGHMARGIN</v>
      </c>
    </row>
    <row r="40" spans="1:24">
      <c r="A40" s="7">
        <v>38</v>
      </c>
      <c r="B40" s="8" t="s">
        <v>126</v>
      </c>
      <c r="C40" s="7">
        <v>599</v>
      </c>
      <c r="D40" s="7">
        <v>210</v>
      </c>
      <c r="E40" s="9">
        <v>35.058430717863104</v>
      </c>
      <c r="F40" s="7">
        <v>369</v>
      </c>
      <c r="G40" s="9">
        <v>61.602671118530886</v>
      </c>
      <c r="H40" s="7">
        <v>4</v>
      </c>
      <c r="I40" s="9">
        <v>0.667779632721202</v>
      </c>
      <c r="J40" s="7">
        <v>0</v>
      </c>
      <c r="K40" s="9">
        <v>0</v>
      </c>
      <c r="L40" s="7">
        <v>0</v>
      </c>
      <c r="M40" s="9">
        <v>0</v>
      </c>
      <c r="N40" s="7">
        <v>0</v>
      </c>
      <c r="O40" s="9">
        <v>0</v>
      </c>
      <c r="P40" s="7">
        <v>0</v>
      </c>
      <c r="Q40" s="9">
        <v>0</v>
      </c>
      <c r="R40" s="7">
        <v>9</v>
      </c>
      <c r="S40" s="9">
        <v>1.5025041736227045</v>
      </c>
      <c r="T40" s="7">
        <v>7</v>
      </c>
      <c r="U40" s="9">
        <v>1.1686143572621035</v>
      </c>
      <c r="V40" s="10" t="str">
        <f t="shared" si="0"/>
        <v>CONGRESSGAIN</v>
      </c>
      <c r="W40" s="11">
        <f t="shared" si="6"/>
        <v>26.544240400667782</v>
      </c>
      <c r="X40" s="12" t="str">
        <f t="shared" si="2"/>
        <v>LOWMARGIN</v>
      </c>
    </row>
    <row r="41" spans="1:24">
      <c r="A41" s="14">
        <v>39</v>
      </c>
      <c r="B41" s="15" t="s">
        <v>126</v>
      </c>
      <c r="C41" s="14">
        <v>559</v>
      </c>
      <c r="D41" s="14">
        <v>287</v>
      </c>
      <c r="E41" s="16">
        <v>51.341681574239715</v>
      </c>
      <c r="F41" s="14">
        <v>244</v>
      </c>
      <c r="G41" s="16">
        <v>43.649373881932021</v>
      </c>
      <c r="H41" s="14">
        <v>4</v>
      </c>
      <c r="I41" s="16">
        <v>0.7155635062611807</v>
      </c>
      <c r="J41" s="14">
        <v>0</v>
      </c>
      <c r="K41" s="16">
        <v>0</v>
      </c>
      <c r="L41" s="14">
        <v>0</v>
      </c>
      <c r="M41" s="16">
        <v>0</v>
      </c>
      <c r="N41" s="14">
        <v>0</v>
      </c>
      <c r="O41" s="16">
        <v>0</v>
      </c>
      <c r="P41" s="14">
        <v>0</v>
      </c>
      <c r="Q41" s="16">
        <v>0</v>
      </c>
      <c r="R41" s="14">
        <v>11</v>
      </c>
      <c r="S41" s="16">
        <v>1.9677996422182469</v>
      </c>
      <c r="T41" s="14">
        <v>13</v>
      </c>
      <c r="U41" s="16">
        <v>2.3255813953488373</v>
      </c>
      <c r="V41" s="17" t="str">
        <f t="shared" si="0"/>
        <v>BJP GAIN</v>
      </c>
      <c r="W41" s="11">
        <f t="shared" si="3"/>
        <v>7.6923076923076934</v>
      </c>
      <c r="X41" s="13" t="str">
        <f t="shared" si="2"/>
        <v>NARROWMARGIN</v>
      </c>
    </row>
    <row r="42" spans="1:24">
      <c r="A42" s="7">
        <v>40</v>
      </c>
      <c r="B42" s="8" t="s">
        <v>126</v>
      </c>
      <c r="C42" s="7">
        <v>534</v>
      </c>
      <c r="D42" s="7">
        <v>228</v>
      </c>
      <c r="E42" s="9">
        <v>42.696629213483149</v>
      </c>
      <c r="F42" s="7">
        <v>273</v>
      </c>
      <c r="G42" s="9">
        <v>51.123595505617978</v>
      </c>
      <c r="H42" s="7">
        <v>2</v>
      </c>
      <c r="I42" s="9">
        <v>0.37453183520599254</v>
      </c>
      <c r="J42" s="7">
        <v>0</v>
      </c>
      <c r="K42" s="9">
        <v>0</v>
      </c>
      <c r="L42" s="7">
        <v>0</v>
      </c>
      <c r="M42" s="9">
        <v>0</v>
      </c>
      <c r="N42" s="7">
        <v>0</v>
      </c>
      <c r="O42" s="9">
        <v>0</v>
      </c>
      <c r="P42" s="7">
        <v>0</v>
      </c>
      <c r="Q42" s="9">
        <v>0</v>
      </c>
      <c r="R42" s="7">
        <v>15</v>
      </c>
      <c r="S42" s="9">
        <v>2.808988764044944</v>
      </c>
      <c r="T42" s="7">
        <v>16</v>
      </c>
      <c r="U42" s="9">
        <v>2.9962546816479403</v>
      </c>
      <c r="V42" s="10" t="str">
        <f t="shared" si="0"/>
        <v>CONGRESSGAIN</v>
      </c>
      <c r="W42" s="11">
        <f t="shared" si="6"/>
        <v>8.4269662921348285</v>
      </c>
      <c r="X42" s="13" t="str">
        <f t="shared" si="2"/>
        <v>NARROWMARGIN</v>
      </c>
    </row>
    <row r="43" spans="1:24">
      <c r="A43" s="7">
        <v>41</v>
      </c>
      <c r="B43" s="8" t="s">
        <v>126</v>
      </c>
      <c r="C43" s="7">
        <v>631</v>
      </c>
      <c r="D43" s="7">
        <v>278</v>
      </c>
      <c r="E43" s="9">
        <v>44.057052297939784</v>
      </c>
      <c r="F43" s="7">
        <v>314</v>
      </c>
      <c r="G43" s="9">
        <v>49.762282091917591</v>
      </c>
      <c r="H43" s="7">
        <v>10</v>
      </c>
      <c r="I43" s="9">
        <v>1.5847860538827259</v>
      </c>
      <c r="J43" s="7">
        <v>0</v>
      </c>
      <c r="K43" s="9">
        <v>0</v>
      </c>
      <c r="L43" s="7">
        <v>0</v>
      </c>
      <c r="M43" s="9">
        <v>0</v>
      </c>
      <c r="N43" s="7">
        <v>2</v>
      </c>
      <c r="O43" s="9">
        <v>0.31695721077654521</v>
      </c>
      <c r="P43" s="7">
        <v>0</v>
      </c>
      <c r="Q43" s="9">
        <v>0</v>
      </c>
      <c r="R43" s="7">
        <v>13</v>
      </c>
      <c r="S43" s="9">
        <v>2.0602218700475436</v>
      </c>
      <c r="T43" s="7">
        <v>14</v>
      </c>
      <c r="U43" s="9">
        <v>2.2187004754358162</v>
      </c>
      <c r="V43" s="10" t="str">
        <f t="shared" si="0"/>
        <v>CONGRESSGAIN</v>
      </c>
      <c r="W43" s="11">
        <f t="shared" si="6"/>
        <v>5.7052297939778072</v>
      </c>
      <c r="X43" s="13" t="str">
        <f t="shared" si="2"/>
        <v>NARROWMARGIN</v>
      </c>
    </row>
    <row r="44" spans="1:24">
      <c r="A44" s="7">
        <v>42</v>
      </c>
      <c r="B44" s="8" t="s">
        <v>126</v>
      </c>
      <c r="C44" s="7">
        <v>832</v>
      </c>
      <c r="D44" s="7">
        <v>207</v>
      </c>
      <c r="E44" s="9">
        <v>24.87980769230769</v>
      </c>
      <c r="F44" s="7">
        <v>591</v>
      </c>
      <c r="G44" s="9">
        <v>71.03365384615384</v>
      </c>
      <c r="H44" s="7">
        <v>5</v>
      </c>
      <c r="I44" s="9">
        <v>0.60096153846153844</v>
      </c>
      <c r="J44" s="7">
        <v>0</v>
      </c>
      <c r="K44" s="9">
        <v>0</v>
      </c>
      <c r="L44" s="7">
        <v>0</v>
      </c>
      <c r="M44" s="9">
        <v>0</v>
      </c>
      <c r="N44" s="7">
        <v>0</v>
      </c>
      <c r="O44" s="9">
        <v>0</v>
      </c>
      <c r="P44" s="7">
        <v>0</v>
      </c>
      <c r="Q44" s="9">
        <v>0</v>
      </c>
      <c r="R44" s="7">
        <v>16</v>
      </c>
      <c r="S44" s="9">
        <v>1.9230769230769229</v>
      </c>
      <c r="T44" s="7">
        <v>13</v>
      </c>
      <c r="U44" s="9">
        <v>1.5625</v>
      </c>
      <c r="V44" s="10" t="str">
        <f t="shared" si="0"/>
        <v>CONGRESSGAIN</v>
      </c>
      <c r="W44" s="11">
        <f t="shared" si="6"/>
        <v>46.153846153846146</v>
      </c>
      <c r="X44" s="18" t="str">
        <f t="shared" si="2"/>
        <v>HIGHMARGIN</v>
      </c>
    </row>
    <row r="45" spans="1:24">
      <c r="A45" s="7">
        <v>43</v>
      </c>
      <c r="B45" s="8" t="s">
        <v>126</v>
      </c>
      <c r="C45" s="7">
        <v>785</v>
      </c>
      <c r="D45" s="7">
        <v>332</v>
      </c>
      <c r="E45" s="9">
        <v>42.29299363057325</v>
      </c>
      <c r="F45" s="7">
        <v>419</v>
      </c>
      <c r="G45" s="9">
        <v>53.375796178343954</v>
      </c>
      <c r="H45" s="7">
        <v>14</v>
      </c>
      <c r="I45" s="9">
        <v>1.7834394904458599</v>
      </c>
      <c r="J45" s="7">
        <v>0</v>
      </c>
      <c r="K45" s="9">
        <v>0</v>
      </c>
      <c r="L45" s="7">
        <v>0</v>
      </c>
      <c r="M45" s="9">
        <v>0</v>
      </c>
      <c r="N45" s="7">
        <v>0</v>
      </c>
      <c r="O45" s="9">
        <v>0</v>
      </c>
      <c r="P45" s="7">
        <v>0</v>
      </c>
      <c r="Q45" s="9">
        <v>0</v>
      </c>
      <c r="R45" s="7">
        <v>9</v>
      </c>
      <c r="S45" s="9">
        <v>1.1464968152866242</v>
      </c>
      <c r="T45" s="7">
        <v>11</v>
      </c>
      <c r="U45" s="9">
        <v>1.4012738853503186</v>
      </c>
      <c r="V45" s="10" t="str">
        <f t="shared" si="0"/>
        <v>CONGRESSGAIN</v>
      </c>
      <c r="W45" s="11">
        <f t="shared" si="6"/>
        <v>11.082802547770704</v>
      </c>
      <c r="X45" s="12" t="str">
        <f t="shared" si="2"/>
        <v>LOWMARGIN</v>
      </c>
    </row>
    <row r="46" spans="1:24">
      <c r="A46" s="14">
        <v>44</v>
      </c>
      <c r="B46" s="15" t="s">
        <v>126</v>
      </c>
      <c r="C46" s="14">
        <v>466</v>
      </c>
      <c r="D46" s="14">
        <v>231</v>
      </c>
      <c r="E46" s="16">
        <v>49.570815450643778</v>
      </c>
      <c r="F46" s="14">
        <v>215</v>
      </c>
      <c r="G46" s="16">
        <v>46.137339055793987</v>
      </c>
      <c r="H46" s="14">
        <v>6</v>
      </c>
      <c r="I46" s="16">
        <v>1.2875536480686696</v>
      </c>
      <c r="J46" s="14">
        <v>0</v>
      </c>
      <c r="K46" s="16">
        <v>0</v>
      </c>
      <c r="L46" s="14">
        <v>0</v>
      </c>
      <c r="M46" s="16">
        <v>0</v>
      </c>
      <c r="N46" s="14">
        <v>0</v>
      </c>
      <c r="O46" s="16">
        <v>0</v>
      </c>
      <c r="P46" s="14">
        <v>0</v>
      </c>
      <c r="Q46" s="16">
        <v>0</v>
      </c>
      <c r="R46" s="14">
        <v>6</v>
      </c>
      <c r="S46" s="16">
        <v>1.2875536480686696</v>
      </c>
      <c r="T46" s="14">
        <v>8</v>
      </c>
      <c r="U46" s="16">
        <v>1.7167381974248928</v>
      </c>
      <c r="V46" s="17" t="str">
        <f t="shared" si="0"/>
        <v>BJP GAIN</v>
      </c>
      <c r="W46" s="11">
        <f t="shared" si="3"/>
        <v>3.4334763948497908</v>
      </c>
      <c r="X46" s="13" t="str">
        <f t="shared" si="2"/>
        <v>NARROWMARGIN</v>
      </c>
    </row>
    <row r="47" spans="1:24">
      <c r="A47" s="7">
        <v>45</v>
      </c>
      <c r="B47" s="8" t="s">
        <v>126</v>
      </c>
      <c r="C47" s="7">
        <v>510</v>
      </c>
      <c r="D47" s="7">
        <v>225</v>
      </c>
      <c r="E47" s="9">
        <v>44.117647058823529</v>
      </c>
      <c r="F47" s="7">
        <v>257</v>
      </c>
      <c r="G47" s="9">
        <v>50.392156862745104</v>
      </c>
      <c r="H47" s="7">
        <v>2</v>
      </c>
      <c r="I47" s="9">
        <v>0.39215686274509809</v>
      </c>
      <c r="J47" s="7">
        <v>0</v>
      </c>
      <c r="K47" s="9">
        <v>0</v>
      </c>
      <c r="L47" s="7">
        <v>0</v>
      </c>
      <c r="M47" s="9">
        <v>0</v>
      </c>
      <c r="N47" s="7">
        <v>0</v>
      </c>
      <c r="O47" s="9">
        <v>0</v>
      </c>
      <c r="P47" s="7">
        <v>0</v>
      </c>
      <c r="Q47" s="9">
        <v>0</v>
      </c>
      <c r="R47" s="7">
        <v>14</v>
      </c>
      <c r="S47" s="9">
        <v>2.7450980392156863</v>
      </c>
      <c r="T47" s="7">
        <v>12</v>
      </c>
      <c r="U47" s="9">
        <v>2.3529411764705883</v>
      </c>
      <c r="V47" s="10" t="str">
        <f t="shared" si="0"/>
        <v>CONGRESSGAIN</v>
      </c>
      <c r="W47" s="11">
        <f t="shared" si="6"/>
        <v>6.2745098039215748</v>
      </c>
      <c r="X47" s="13" t="str">
        <f t="shared" si="2"/>
        <v>NARROWMARGIN</v>
      </c>
    </row>
    <row r="48" spans="1:24">
      <c r="A48" s="7">
        <v>46</v>
      </c>
      <c r="B48" s="8" t="s">
        <v>126</v>
      </c>
      <c r="C48" s="7">
        <v>654</v>
      </c>
      <c r="D48" s="7">
        <v>248</v>
      </c>
      <c r="E48" s="9">
        <v>37.920489296636084</v>
      </c>
      <c r="F48" s="7">
        <v>363</v>
      </c>
      <c r="G48" s="9">
        <v>55.5045871559633</v>
      </c>
      <c r="H48" s="7">
        <v>6</v>
      </c>
      <c r="I48" s="9">
        <v>0.9174311926605504</v>
      </c>
      <c r="J48" s="7">
        <v>0</v>
      </c>
      <c r="K48" s="9">
        <v>0</v>
      </c>
      <c r="L48" s="7">
        <v>0</v>
      </c>
      <c r="M48" s="9">
        <v>0</v>
      </c>
      <c r="N48" s="7">
        <v>1</v>
      </c>
      <c r="O48" s="9">
        <v>0.1529051987767584</v>
      </c>
      <c r="P48" s="7">
        <v>0</v>
      </c>
      <c r="Q48" s="9">
        <v>0</v>
      </c>
      <c r="R48" s="7">
        <v>20</v>
      </c>
      <c r="S48" s="9">
        <v>3.0581039755351682</v>
      </c>
      <c r="T48" s="7">
        <v>16</v>
      </c>
      <c r="U48" s="9">
        <v>2.4464831804281344</v>
      </c>
      <c r="V48" s="10" t="str">
        <f t="shared" si="0"/>
        <v>CONGRESSGAIN</v>
      </c>
      <c r="W48" s="11">
        <f t="shared" si="6"/>
        <v>17.584097859327215</v>
      </c>
      <c r="X48" s="12" t="str">
        <f t="shared" si="2"/>
        <v>LOWMARGIN</v>
      </c>
    </row>
    <row r="49" spans="1:24">
      <c r="A49" s="14">
        <v>47</v>
      </c>
      <c r="B49" s="15" t="s">
        <v>126</v>
      </c>
      <c r="C49" s="14">
        <v>499</v>
      </c>
      <c r="D49" s="14">
        <v>274</v>
      </c>
      <c r="E49" s="16">
        <v>54.909819639278552</v>
      </c>
      <c r="F49" s="14">
        <v>204</v>
      </c>
      <c r="G49" s="16">
        <v>40.881763527054105</v>
      </c>
      <c r="H49" s="14">
        <v>8</v>
      </c>
      <c r="I49" s="16">
        <v>1.6032064128256511</v>
      </c>
      <c r="J49" s="14">
        <v>0</v>
      </c>
      <c r="K49" s="16">
        <v>0</v>
      </c>
      <c r="L49" s="14">
        <v>0</v>
      </c>
      <c r="M49" s="16">
        <v>0</v>
      </c>
      <c r="N49" s="14">
        <v>0</v>
      </c>
      <c r="O49" s="16">
        <v>0</v>
      </c>
      <c r="P49" s="14">
        <v>0</v>
      </c>
      <c r="Q49" s="16">
        <v>0</v>
      </c>
      <c r="R49" s="14">
        <v>11</v>
      </c>
      <c r="S49" s="16">
        <v>2.2044088176352705</v>
      </c>
      <c r="T49" s="14">
        <v>2</v>
      </c>
      <c r="U49" s="16">
        <v>0.40080160320641278</v>
      </c>
      <c r="V49" s="17" t="str">
        <f t="shared" si="0"/>
        <v>BJP GAIN</v>
      </c>
      <c r="W49" s="11">
        <f t="shared" si="3"/>
        <v>14.028056112224448</v>
      </c>
      <c r="X49" s="12" t="str">
        <f t="shared" si="2"/>
        <v>LOWMARGIN</v>
      </c>
    </row>
    <row r="50" spans="1:24">
      <c r="A50" s="7">
        <v>48</v>
      </c>
      <c r="B50" s="8" t="s">
        <v>126</v>
      </c>
      <c r="C50" s="7">
        <v>831</v>
      </c>
      <c r="D50" s="7">
        <v>264</v>
      </c>
      <c r="E50" s="9">
        <v>31.768953068592054</v>
      </c>
      <c r="F50" s="7">
        <v>512</v>
      </c>
      <c r="G50" s="9">
        <v>61.612515042117927</v>
      </c>
      <c r="H50" s="7">
        <v>13</v>
      </c>
      <c r="I50" s="9">
        <v>1.5643802647412755</v>
      </c>
      <c r="J50" s="7">
        <v>0</v>
      </c>
      <c r="K50" s="9">
        <v>0</v>
      </c>
      <c r="L50" s="7">
        <v>0</v>
      </c>
      <c r="M50" s="9">
        <v>0</v>
      </c>
      <c r="N50" s="7">
        <v>1</v>
      </c>
      <c r="O50" s="9">
        <v>0.12033694344163658</v>
      </c>
      <c r="P50" s="7">
        <v>0</v>
      </c>
      <c r="Q50" s="9">
        <v>0</v>
      </c>
      <c r="R50" s="7">
        <v>26</v>
      </c>
      <c r="S50" s="9">
        <v>3.1287605294825509</v>
      </c>
      <c r="T50" s="7">
        <v>15</v>
      </c>
      <c r="U50" s="9">
        <v>1.8050541516245486</v>
      </c>
      <c r="V50" s="10" t="str">
        <f t="shared" si="0"/>
        <v>CONGRESSGAIN</v>
      </c>
      <c r="W50" s="11">
        <f t="shared" si="6"/>
        <v>29.843561973525873</v>
      </c>
      <c r="X50" s="12" t="str">
        <f t="shared" si="2"/>
        <v>LOWMARGIN</v>
      </c>
    </row>
    <row r="51" spans="1:24">
      <c r="A51" s="7">
        <v>49</v>
      </c>
      <c r="B51" s="8" t="s">
        <v>126</v>
      </c>
      <c r="C51" s="7">
        <v>643</v>
      </c>
      <c r="D51" s="7">
        <v>236</v>
      </c>
      <c r="E51" s="9">
        <v>36.702954898911358</v>
      </c>
      <c r="F51" s="7">
        <v>368</v>
      </c>
      <c r="G51" s="9">
        <v>57.231726283048211</v>
      </c>
      <c r="H51" s="7">
        <v>9</v>
      </c>
      <c r="I51" s="9">
        <v>1.3996889580093312</v>
      </c>
      <c r="J51" s="7">
        <v>0</v>
      </c>
      <c r="K51" s="9">
        <v>0</v>
      </c>
      <c r="L51" s="7">
        <v>0</v>
      </c>
      <c r="M51" s="9">
        <v>0</v>
      </c>
      <c r="N51" s="7">
        <v>0</v>
      </c>
      <c r="O51" s="9">
        <v>0</v>
      </c>
      <c r="P51" s="7">
        <v>0</v>
      </c>
      <c r="Q51" s="9">
        <v>0</v>
      </c>
      <c r="R51" s="7">
        <v>27</v>
      </c>
      <c r="S51" s="9">
        <v>4.1990668740279942</v>
      </c>
      <c r="T51" s="7">
        <v>3</v>
      </c>
      <c r="U51" s="9">
        <v>0.46656298600311041</v>
      </c>
      <c r="V51" s="10" t="str">
        <f t="shared" si="0"/>
        <v>CONGRESSGAIN</v>
      </c>
      <c r="W51" s="11">
        <f t="shared" si="6"/>
        <v>20.528771384136853</v>
      </c>
      <c r="X51" s="12" t="str">
        <f t="shared" si="2"/>
        <v>LOWMARGIN</v>
      </c>
    </row>
    <row r="52" spans="1:24">
      <c r="A52" s="14">
        <v>50</v>
      </c>
      <c r="B52" s="15" t="s">
        <v>126</v>
      </c>
      <c r="C52" s="14">
        <v>447</v>
      </c>
      <c r="D52" s="14">
        <v>241</v>
      </c>
      <c r="E52" s="16">
        <v>53.914988814317674</v>
      </c>
      <c r="F52" s="14">
        <v>191</v>
      </c>
      <c r="G52" s="16">
        <v>42.729306487695752</v>
      </c>
      <c r="H52" s="14">
        <v>7</v>
      </c>
      <c r="I52" s="16">
        <v>1.5659955257270695</v>
      </c>
      <c r="J52" s="14">
        <v>0</v>
      </c>
      <c r="K52" s="16">
        <v>0</v>
      </c>
      <c r="L52" s="14">
        <v>0</v>
      </c>
      <c r="M52" s="16">
        <v>0</v>
      </c>
      <c r="N52" s="14">
        <v>0</v>
      </c>
      <c r="O52" s="16">
        <v>0</v>
      </c>
      <c r="P52" s="14">
        <v>0</v>
      </c>
      <c r="Q52" s="16">
        <v>0</v>
      </c>
      <c r="R52" s="14">
        <v>4</v>
      </c>
      <c r="S52" s="16">
        <v>0.89485458612975399</v>
      </c>
      <c r="T52" s="14">
        <v>4</v>
      </c>
      <c r="U52" s="16">
        <v>0.89485458612975399</v>
      </c>
      <c r="V52" s="17" t="str">
        <f t="shared" si="0"/>
        <v>BJP GAIN</v>
      </c>
      <c r="W52" s="11">
        <f t="shared" si="3"/>
        <v>11.185682326621922</v>
      </c>
      <c r="X52" s="12" t="str">
        <f t="shared" si="2"/>
        <v>LOWMARGIN</v>
      </c>
    </row>
    <row r="53" spans="1:24">
      <c r="A53" s="7">
        <v>51</v>
      </c>
      <c r="B53" s="8" t="s">
        <v>126</v>
      </c>
      <c r="C53" s="7">
        <v>553</v>
      </c>
      <c r="D53" s="7">
        <v>207</v>
      </c>
      <c r="E53" s="9">
        <v>37.432188065099453</v>
      </c>
      <c r="F53" s="7">
        <v>315</v>
      </c>
      <c r="G53" s="9">
        <v>56.962025316455694</v>
      </c>
      <c r="H53" s="7">
        <v>6</v>
      </c>
      <c r="I53" s="9">
        <v>1.0849909584086799</v>
      </c>
      <c r="J53" s="7">
        <v>0</v>
      </c>
      <c r="K53" s="9">
        <v>0</v>
      </c>
      <c r="L53" s="7">
        <v>0</v>
      </c>
      <c r="M53" s="9">
        <v>0</v>
      </c>
      <c r="N53" s="7">
        <v>0</v>
      </c>
      <c r="O53" s="9">
        <v>0</v>
      </c>
      <c r="P53" s="7">
        <v>0</v>
      </c>
      <c r="Q53" s="9">
        <v>0</v>
      </c>
      <c r="R53" s="7">
        <v>14</v>
      </c>
      <c r="S53" s="9">
        <v>2.5316455696202529</v>
      </c>
      <c r="T53" s="7">
        <v>11</v>
      </c>
      <c r="U53" s="9">
        <v>1.9891500904159132</v>
      </c>
      <c r="V53" s="10" t="str">
        <f t="shared" si="0"/>
        <v>CONGRESSGAIN</v>
      </c>
      <c r="W53" s="11">
        <f t="shared" si="6"/>
        <v>19.529837251356241</v>
      </c>
      <c r="X53" s="12" t="str">
        <f t="shared" si="2"/>
        <v>LOWMARGIN</v>
      </c>
    </row>
    <row r="54" spans="1:24">
      <c r="A54" s="7">
        <v>52</v>
      </c>
      <c r="B54" s="8" t="s">
        <v>126</v>
      </c>
      <c r="C54" s="7">
        <v>712</v>
      </c>
      <c r="D54" s="7">
        <v>168</v>
      </c>
      <c r="E54" s="9">
        <v>23.595505617977526</v>
      </c>
      <c r="F54" s="7">
        <v>509</v>
      </c>
      <c r="G54" s="9">
        <v>71.488764044943821</v>
      </c>
      <c r="H54" s="7">
        <v>8</v>
      </c>
      <c r="I54" s="9">
        <v>1.1235955056179776</v>
      </c>
      <c r="J54" s="7">
        <v>0</v>
      </c>
      <c r="K54" s="9">
        <v>0</v>
      </c>
      <c r="L54" s="7">
        <v>0</v>
      </c>
      <c r="M54" s="9">
        <v>0</v>
      </c>
      <c r="N54" s="7">
        <v>0</v>
      </c>
      <c r="O54" s="9">
        <v>0</v>
      </c>
      <c r="P54" s="7">
        <v>0</v>
      </c>
      <c r="Q54" s="9">
        <v>0</v>
      </c>
      <c r="R54" s="7">
        <v>19</v>
      </c>
      <c r="S54" s="9">
        <v>2.6685393258426964</v>
      </c>
      <c r="T54" s="7">
        <v>8</v>
      </c>
      <c r="U54" s="9">
        <v>1.1235955056179776</v>
      </c>
      <c r="V54" s="10" t="str">
        <f t="shared" si="0"/>
        <v>CONGRESSGAIN</v>
      </c>
      <c r="W54" s="11">
        <f t="shared" si="6"/>
        <v>47.893258426966298</v>
      </c>
      <c r="X54" s="18" t="str">
        <f t="shared" si="2"/>
        <v>HIGHMARGIN</v>
      </c>
    </row>
    <row r="55" spans="1:24">
      <c r="A55" s="14">
        <v>53</v>
      </c>
      <c r="B55" s="15" t="s">
        <v>126</v>
      </c>
      <c r="C55" s="14">
        <v>605</v>
      </c>
      <c r="D55" s="14">
        <v>301</v>
      </c>
      <c r="E55" s="16">
        <v>49.752066115702483</v>
      </c>
      <c r="F55" s="14">
        <v>275</v>
      </c>
      <c r="G55" s="16">
        <v>45.454545454545453</v>
      </c>
      <c r="H55" s="14">
        <v>6</v>
      </c>
      <c r="I55" s="16">
        <v>0.99173553719008267</v>
      </c>
      <c r="J55" s="14">
        <v>0</v>
      </c>
      <c r="K55" s="16">
        <v>0</v>
      </c>
      <c r="L55" s="14">
        <v>0</v>
      </c>
      <c r="M55" s="16">
        <v>0</v>
      </c>
      <c r="N55" s="14">
        <v>0</v>
      </c>
      <c r="O55" s="16">
        <v>0</v>
      </c>
      <c r="P55" s="14">
        <v>0</v>
      </c>
      <c r="Q55" s="16">
        <v>0</v>
      </c>
      <c r="R55" s="14">
        <v>18</v>
      </c>
      <c r="S55" s="16">
        <v>2.9752066115702482</v>
      </c>
      <c r="T55" s="14">
        <v>5</v>
      </c>
      <c r="U55" s="16">
        <v>0.82644628099173556</v>
      </c>
      <c r="V55" s="17" t="str">
        <f t="shared" si="0"/>
        <v>BJP GAIN</v>
      </c>
      <c r="W55" s="11">
        <f t="shared" si="3"/>
        <v>4.29752066115703</v>
      </c>
      <c r="X55" s="13" t="str">
        <f t="shared" si="2"/>
        <v>NARROWMARGIN</v>
      </c>
    </row>
    <row r="56" spans="1:24">
      <c r="A56" s="14">
        <v>54</v>
      </c>
      <c r="B56" s="15" t="s">
        <v>126</v>
      </c>
      <c r="C56" s="14">
        <v>632</v>
      </c>
      <c r="D56" s="14">
        <v>405</v>
      </c>
      <c r="E56" s="16">
        <v>64.082278481012651</v>
      </c>
      <c r="F56" s="14">
        <v>212</v>
      </c>
      <c r="G56" s="16">
        <v>33.544303797468352</v>
      </c>
      <c r="H56" s="14">
        <v>3</v>
      </c>
      <c r="I56" s="16">
        <v>0.47468354430379744</v>
      </c>
      <c r="J56" s="14">
        <v>0</v>
      </c>
      <c r="K56" s="16">
        <v>0</v>
      </c>
      <c r="L56" s="14">
        <v>0</v>
      </c>
      <c r="M56" s="16">
        <v>0</v>
      </c>
      <c r="N56" s="14">
        <v>0</v>
      </c>
      <c r="O56" s="16">
        <v>0</v>
      </c>
      <c r="P56" s="14">
        <v>0</v>
      </c>
      <c r="Q56" s="16">
        <v>0</v>
      </c>
      <c r="R56" s="14">
        <v>6</v>
      </c>
      <c r="S56" s="16">
        <v>0.94936708860759489</v>
      </c>
      <c r="T56" s="14">
        <v>6</v>
      </c>
      <c r="U56" s="16">
        <v>0.94936708860759489</v>
      </c>
      <c r="V56" s="17" t="str">
        <f t="shared" si="0"/>
        <v>BJP GAIN</v>
      </c>
      <c r="W56" s="11">
        <f t="shared" si="3"/>
        <v>30.537974683544299</v>
      </c>
      <c r="X56" s="19" t="str">
        <f t="shared" si="2"/>
        <v>MEDIUMMARGIN</v>
      </c>
    </row>
    <row r="57" spans="1:24">
      <c r="A57" s="14">
        <v>55</v>
      </c>
      <c r="B57" s="15" t="s">
        <v>126</v>
      </c>
      <c r="C57" s="14">
        <v>664</v>
      </c>
      <c r="D57" s="14">
        <v>339</v>
      </c>
      <c r="E57" s="16">
        <v>51.054216867469883</v>
      </c>
      <c r="F57" s="14">
        <v>304</v>
      </c>
      <c r="G57" s="16">
        <v>45.783132530120483</v>
      </c>
      <c r="H57" s="14">
        <v>4</v>
      </c>
      <c r="I57" s="16">
        <v>0.60240963855421692</v>
      </c>
      <c r="J57" s="14">
        <v>0</v>
      </c>
      <c r="K57" s="16">
        <v>0</v>
      </c>
      <c r="L57" s="14">
        <v>0</v>
      </c>
      <c r="M57" s="16">
        <v>0</v>
      </c>
      <c r="N57" s="14">
        <v>0</v>
      </c>
      <c r="O57" s="16">
        <v>0</v>
      </c>
      <c r="P57" s="14">
        <v>0</v>
      </c>
      <c r="Q57" s="16">
        <v>0</v>
      </c>
      <c r="R57" s="14">
        <v>7</v>
      </c>
      <c r="S57" s="16">
        <v>1.0542168674698795</v>
      </c>
      <c r="T57" s="14">
        <v>10</v>
      </c>
      <c r="U57" s="16">
        <v>1.5060240963855422</v>
      </c>
      <c r="V57" s="17" t="str">
        <f t="shared" si="0"/>
        <v>BJP GAIN</v>
      </c>
      <c r="W57" s="11">
        <f t="shared" si="3"/>
        <v>5.2710843373494001</v>
      </c>
      <c r="X57" s="13" t="str">
        <f t="shared" si="2"/>
        <v>NARROWMARGIN</v>
      </c>
    </row>
    <row r="58" spans="1:24">
      <c r="A58" s="7">
        <v>56</v>
      </c>
      <c r="B58" s="8" t="s">
        <v>126</v>
      </c>
      <c r="C58" s="7">
        <v>698</v>
      </c>
      <c r="D58" s="7">
        <v>240</v>
      </c>
      <c r="E58" s="9">
        <v>34.383954154727789</v>
      </c>
      <c r="F58" s="7">
        <v>445</v>
      </c>
      <c r="G58" s="9">
        <v>63.753581661891111</v>
      </c>
      <c r="H58" s="7">
        <v>3</v>
      </c>
      <c r="I58" s="9">
        <v>0.42979942693409739</v>
      </c>
      <c r="J58" s="7">
        <v>0</v>
      </c>
      <c r="K58" s="9">
        <v>0</v>
      </c>
      <c r="L58" s="7">
        <v>0</v>
      </c>
      <c r="M58" s="9">
        <v>0</v>
      </c>
      <c r="N58" s="7">
        <v>0</v>
      </c>
      <c r="O58" s="9">
        <v>0</v>
      </c>
      <c r="P58" s="7">
        <v>0</v>
      </c>
      <c r="Q58" s="9">
        <v>0</v>
      </c>
      <c r="R58" s="7">
        <v>6</v>
      </c>
      <c r="S58" s="9">
        <v>0.85959885386819479</v>
      </c>
      <c r="T58" s="7">
        <v>4</v>
      </c>
      <c r="U58" s="9">
        <v>0.57306590257879653</v>
      </c>
      <c r="V58" s="10" t="str">
        <f t="shared" si="0"/>
        <v>CONGRESSGAIN</v>
      </c>
      <c r="W58" s="11">
        <f t="shared" ref="W58" si="7">G58-E58</f>
        <v>29.369627507163322</v>
      </c>
      <c r="X58" s="12" t="str">
        <f t="shared" si="2"/>
        <v>LOWMARGIN</v>
      </c>
    </row>
    <row r="59" spans="1:24">
      <c r="A59" s="14">
        <v>57</v>
      </c>
      <c r="B59" s="15" t="s">
        <v>126</v>
      </c>
      <c r="C59" s="14">
        <v>479</v>
      </c>
      <c r="D59" s="14">
        <v>316</v>
      </c>
      <c r="E59" s="16">
        <v>65.970772442588725</v>
      </c>
      <c r="F59" s="14">
        <v>140</v>
      </c>
      <c r="G59" s="16">
        <v>29.227557411273487</v>
      </c>
      <c r="H59" s="14">
        <v>5</v>
      </c>
      <c r="I59" s="16">
        <v>1.0438413361169103</v>
      </c>
      <c r="J59" s="14">
        <v>0</v>
      </c>
      <c r="K59" s="16">
        <v>0</v>
      </c>
      <c r="L59" s="14">
        <v>0</v>
      </c>
      <c r="M59" s="16">
        <v>0</v>
      </c>
      <c r="N59" s="14">
        <v>0</v>
      </c>
      <c r="O59" s="16">
        <v>0</v>
      </c>
      <c r="P59" s="14">
        <v>0</v>
      </c>
      <c r="Q59" s="16">
        <v>0</v>
      </c>
      <c r="R59" s="14">
        <v>3</v>
      </c>
      <c r="S59" s="16">
        <v>0.62630480167014613</v>
      </c>
      <c r="T59" s="14">
        <v>15</v>
      </c>
      <c r="U59" s="16">
        <v>3.1315240083507305</v>
      </c>
      <c r="V59" s="17" t="str">
        <f t="shared" si="0"/>
        <v>BJP GAIN</v>
      </c>
      <c r="W59" s="11">
        <f t="shared" si="3"/>
        <v>36.743215031315238</v>
      </c>
      <c r="X59" s="19" t="str">
        <f t="shared" si="2"/>
        <v>MEDIUMMARGIN</v>
      </c>
    </row>
    <row r="60" spans="1:24">
      <c r="A60" s="14">
        <v>58</v>
      </c>
      <c r="B60" s="15" t="s">
        <v>126</v>
      </c>
      <c r="C60" s="14">
        <v>549</v>
      </c>
      <c r="D60" s="14">
        <v>346</v>
      </c>
      <c r="E60" s="16">
        <v>63.02367941712204</v>
      </c>
      <c r="F60" s="14">
        <v>190</v>
      </c>
      <c r="G60" s="16">
        <v>34.608378870673953</v>
      </c>
      <c r="H60" s="14">
        <v>3</v>
      </c>
      <c r="I60" s="16">
        <v>0.54644808743169393</v>
      </c>
      <c r="J60" s="14">
        <v>0</v>
      </c>
      <c r="K60" s="16">
        <v>0</v>
      </c>
      <c r="L60" s="14">
        <v>0</v>
      </c>
      <c r="M60" s="16">
        <v>0</v>
      </c>
      <c r="N60" s="14">
        <v>2</v>
      </c>
      <c r="O60" s="16">
        <v>0.36429872495446264</v>
      </c>
      <c r="P60" s="14">
        <v>0</v>
      </c>
      <c r="Q60" s="16">
        <v>0</v>
      </c>
      <c r="R60" s="14">
        <v>1</v>
      </c>
      <c r="S60" s="16">
        <v>0.18214936247723132</v>
      </c>
      <c r="T60" s="14">
        <v>7</v>
      </c>
      <c r="U60" s="16">
        <v>1.2750455373406193</v>
      </c>
      <c r="V60" s="17" t="str">
        <f t="shared" si="0"/>
        <v>BJP GAIN</v>
      </c>
      <c r="W60" s="11">
        <f t="shared" si="3"/>
        <v>28.415300546448087</v>
      </c>
      <c r="X60" s="12" t="str">
        <f t="shared" si="2"/>
        <v>LOWMARGIN</v>
      </c>
    </row>
    <row r="61" spans="1:24">
      <c r="A61" s="7">
        <v>59</v>
      </c>
      <c r="B61" s="8" t="s">
        <v>126</v>
      </c>
      <c r="C61" s="7">
        <v>702</v>
      </c>
      <c r="D61" s="7">
        <v>337</v>
      </c>
      <c r="E61" s="9">
        <v>48.005698005698008</v>
      </c>
      <c r="F61" s="7">
        <v>346</v>
      </c>
      <c r="G61" s="9">
        <v>49.287749287749293</v>
      </c>
      <c r="H61" s="7">
        <v>4</v>
      </c>
      <c r="I61" s="9">
        <v>0.56980056980056981</v>
      </c>
      <c r="J61" s="7">
        <v>0</v>
      </c>
      <c r="K61" s="9">
        <v>0</v>
      </c>
      <c r="L61" s="7">
        <v>0</v>
      </c>
      <c r="M61" s="9">
        <v>0</v>
      </c>
      <c r="N61" s="7">
        <v>0</v>
      </c>
      <c r="O61" s="9">
        <v>0</v>
      </c>
      <c r="P61" s="7">
        <v>0</v>
      </c>
      <c r="Q61" s="9">
        <v>0</v>
      </c>
      <c r="R61" s="7">
        <v>10</v>
      </c>
      <c r="S61" s="9">
        <v>1.4245014245014247</v>
      </c>
      <c r="T61" s="7">
        <v>5</v>
      </c>
      <c r="U61" s="9">
        <v>0.71225071225071235</v>
      </c>
      <c r="V61" s="10" t="str">
        <f t="shared" si="0"/>
        <v>CONGRESSGAIN</v>
      </c>
      <c r="W61" s="11">
        <f t="shared" ref="W61" si="8">G61-E61</f>
        <v>1.2820512820512846</v>
      </c>
      <c r="X61" s="13" t="str">
        <f t="shared" si="2"/>
        <v>NARROWMARGIN</v>
      </c>
    </row>
    <row r="62" spans="1:24">
      <c r="A62" s="14">
        <v>60</v>
      </c>
      <c r="B62" s="15" t="s">
        <v>126</v>
      </c>
      <c r="C62" s="14">
        <v>776</v>
      </c>
      <c r="D62" s="14">
        <v>378</v>
      </c>
      <c r="E62" s="16">
        <v>48.711340206185568</v>
      </c>
      <c r="F62" s="14">
        <v>355</v>
      </c>
      <c r="G62" s="16">
        <v>45.74742268041237</v>
      </c>
      <c r="H62" s="14">
        <v>22</v>
      </c>
      <c r="I62" s="16">
        <v>2.8350515463917527</v>
      </c>
      <c r="J62" s="14">
        <v>0</v>
      </c>
      <c r="K62" s="16">
        <v>0</v>
      </c>
      <c r="L62" s="14">
        <v>0</v>
      </c>
      <c r="M62" s="16">
        <v>0</v>
      </c>
      <c r="N62" s="14">
        <v>1</v>
      </c>
      <c r="O62" s="16">
        <v>0.12886597938144331</v>
      </c>
      <c r="P62" s="14">
        <v>0</v>
      </c>
      <c r="Q62" s="16">
        <v>0</v>
      </c>
      <c r="R62" s="14">
        <v>13</v>
      </c>
      <c r="S62" s="16">
        <v>1.6752577319587629</v>
      </c>
      <c r="T62" s="14">
        <v>7</v>
      </c>
      <c r="U62" s="16">
        <v>0.90206185567010311</v>
      </c>
      <c r="V62" s="17" t="str">
        <f t="shared" si="0"/>
        <v>BJP GAIN</v>
      </c>
      <c r="W62" s="11">
        <f t="shared" si="3"/>
        <v>2.9639175257731978</v>
      </c>
      <c r="X62" s="13" t="str">
        <f t="shared" si="2"/>
        <v>NARROWMARGIN</v>
      </c>
    </row>
    <row r="63" spans="1:24">
      <c r="A63" s="14">
        <v>61</v>
      </c>
      <c r="B63" s="15" t="s">
        <v>126</v>
      </c>
      <c r="C63" s="14">
        <v>511</v>
      </c>
      <c r="D63" s="14">
        <v>358</v>
      </c>
      <c r="E63" s="16">
        <v>70.058708414872797</v>
      </c>
      <c r="F63" s="14">
        <v>138</v>
      </c>
      <c r="G63" s="16">
        <v>27.00587084148728</v>
      </c>
      <c r="H63" s="14">
        <v>7</v>
      </c>
      <c r="I63" s="16">
        <v>1.3698630136986301</v>
      </c>
      <c r="J63" s="14">
        <v>0</v>
      </c>
      <c r="K63" s="16">
        <v>0</v>
      </c>
      <c r="L63" s="14">
        <v>0</v>
      </c>
      <c r="M63" s="16">
        <v>0</v>
      </c>
      <c r="N63" s="14">
        <v>0</v>
      </c>
      <c r="O63" s="16">
        <v>0</v>
      </c>
      <c r="P63" s="14">
        <v>0</v>
      </c>
      <c r="Q63" s="16">
        <v>0</v>
      </c>
      <c r="R63" s="14">
        <v>3</v>
      </c>
      <c r="S63" s="16">
        <v>0.58708414872798431</v>
      </c>
      <c r="T63" s="14">
        <v>5</v>
      </c>
      <c r="U63" s="16">
        <v>0.97847358121330719</v>
      </c>
      <c r="V63" s="17" t="str">
        <f t="shared" si="0"/>
        <v>BJP GAIN</v>
      </c>
      <c r="W63" s="11">
        <f t="shared" si="3"/>
        <v>43.052837573385517</v>
      </c>
      <c r="X63" s="18" t="str">
        <f t="shared" si="2"/>
        <v>HIGHMARGIN</v>
      </c>
    </row>
    <row r="64" spans="1:24">
      <c r="A64" s="14">
        <v>62</v>
      </c>
      <c r="B64" s="15" t="s">
        <v>126</v>
      </c>
      <c r="C64" s="14">
        <v>458</v>
      </c>
      <c r="D64" s="14">
        <v>242</v>
      </c>
      <c r="E64" s="16">
        <v>52.838427947598255</v>
      </c>
      <c r="F64" s="14">
        <v>194</v>
      </c>
      <c r="G64" s="16">
        <v>42.35807860262009</v>
      </c>
      <c r="H64" s="14">
        <v>7</v>
      </c>
      <c r="I64" s="16">
        <v>1.5283842794759825</v>
      </c>
      <c r="J64" s="14">
        <v>0</v>
      </c>
      <c r="K64" s="16">
        <v>0</v>
      </c>
      <c r="L64" s="14">
        <v>0</v>
      </c>
      <c r="M64" s="16">
        <v>0</v>
      </c>
      <c r="N64" s="14">
        <v>0</v>
      </c>
      <c r="O64" s="16">
        <v>0</v>
      </c>
      <c r="P64" s="14">
        <v>0</v>
      </c>
      <c r="Q64" s="16">
        <v>0</v>
      </c>
      <c r="R64" s="14">
        <v>3</v>
      </c>
      <c r="S64" s="16">
        <v>0.65502183406113534</v>
      </c>
      <c r="T64" s="14">
        <v>12</v>
      </c>
      <c r="U64" s="16">
        <v>2.6200873362445414</v>
      </c>
      <c r="V64" s="17" t="str">
        <f t="shared" si="0"/>
        <v>BJP GAIN</v>
      </c>
      <c r="W64" s="11">
        <f t="shared" si="3"/>
        <v>10.480349344978166</v>
      </c>
      <c r="X64" s="12" t="str">
        <f t="shared" si="2"/>
        <v>LOWMARGIN</v>
      </c>
    </row>
    <row r="65" spans="1:24">
      <c r="A65" s="14">
        <v>63</v>
      </c>
      <c r="B65" s="15" t="s">
        <v>126</v>
      </c>
      <c r="C65" s="14">
        <v>703</v>
      </c>
      <c r="D65" s="14">
        <v>451</v>
      </c>
      <c r="E65" s="16">
        <v>64.153627311522044</v>
      </c>
      <c r="F65" s="14">
        <v>225</v>
      </c>
      <c r="G65" s="16">
        <v>32.005689900426738</v>
      </c>
      <c r="H65" s="14">
        <v>13</v>
      </c>
      <c r="I65" s="16">
        <v>1.8492176386913228</v>
      </c>
      <c r="J65" s="14">
        <v>0</v>
      </c>
      <c r="K65" s="16">
        <v>0</v>
      </c>
      <c r="L65" s="14">
        <v>0</v>
      </c>
      <c r="M65" s="16">
        <v>0</v>
      </c>
      <c r="N65" s="14">
        <v>1</v>
      </c>
      <c r="O65" s="16">
        <v>0.14224751066856328</v>
      </c>
      <c r="P65" s="14">
        <v>0</v>
      </c>
      <c r="Q65" s="16">
        <v>0</v>
      </c>
      <c r="R65" s="14">
        <v>4</v>
      </c>
      <c r="S65" s="16">
        <v>0.56899004267425313</v>
      </c>
      <c r="T65" s="14">
        <v>9</v>
      </c>
      <c r="U65" s="16">
        <v>1.2802275960170697</v>
      </c>
      <c r="V65" s="17" t="str">
        <f t="shared" si="0"/>
        <v>BJP GAIN</v>
      </c>
      <c r="W65" s="11">
        <f t="shared" si="3"/>
        <v>32.147937411095306</v>
      </c>
      <c r="X65" s="19" t="str">
        <f t="shared" si="2"/>
        <v>MEDIUMMARGIN</v>
      </c>
    </row>
    <row r="66" spans="1:24">
      <c r="A66" s="14">
        <v>64</v>
      </c>
      <c r="B66" s="15" t="s">
        <v>126</v>
      </c>
      <c r="C66" s="14">
        <v>694</v>
      </c>
      <c r="D66" s="14">
        <v>516</v>
      </c>
      <c r="E66" s="16">
        <v>74.351585014409224</v>
      </c>
      <c r="F66" s="14">
        <v>151</v>
      </c>
      <c r="G66" s="16">
        <v>21.75792507204611</v>
      </c>
      <c r="H66" s="14">
        <v>11</v>
      </c>
      <c r="I66" s="16">
        <v>1.5850144092219018</v>
      </c>
      <c r="J66" s="14">
        <v>0</v>
      </c>
      <c r="K66" s="16">
        <v>0</v>
      </c>
      <c r="L66" s="14">
        <v>0</v>
      </c>
      <c r="M66" s="16">
        <v>0</v>
      </c>
      <c r="N66" s="14">
        <v>1</v>
      </c>
      <c r="O66" s="16">
        <v>0.14409221902017291</v>
      </c>
      <c r="P66" s="14">
        <v>0</v>
      </c>
      <c r="Q66" s="16">
        <v>0</v>
      </c>
      <c r="R66" s="14">
        <v>6</v>
      </c>
      <c r="S66" s="16">
        <v>0.86455331412103742</v>
      </c>
      <c r="T66" s="14">
        <v>9</v>
      </c>
      <c r="U66" s="16">
        <v>1.2968299711815561</v>
      </c>
      <c r="V66" s="17" t="str">
        <f t="shared" si="0"/>
        <v>BJP GAIN</v>
      </c>
      <c r="W66" s="11">
        <f t="shared" si="3"/>
        <v>52.593659942363118</v>
      </c>
      <c r="X66" s="10" t="str">
        <f t="shared" si="2"/>
        <v>VERYHIGHMARGIN</v>
      </c>
    </row>
    <row r="67" spans="1:24">
      <c r="A67" s="14">
        <v>65</v>
      </c>
      <c r="B67" s="15" t="s">
        <v>126</v>
      </c>
      <c r="C67" s="14">
        <v>675</v>
      </c>
      <c r="D67" s="14">
        <v>514</v>
      </c>
      <c r="E67" s="16">
        <v>76.148148148148152</v>
      </c>
      <c r="F67" s="14">
        <v>126</v>
      </c>
      <c r="G67" s="16">
        <v>18.666666666666668</v>
      </c>
      <c r="H67" s="14">
        <v>12</v>
      </c>
      <c r="I67" s="16">
        <v>1.7777777777777777</v>
      </c>
      <c r="J67" s="14">
        <v>0</v>
      </c>
      <c r="K67" s="16">
        <v>0</v>
      </c>
      <c r="L67" s="14">
        <v>0</v>
      </c>
      <c r="M67" s="16">
        <v>0</v>
      </c>
      <c r="N67" s="14">
        <v>1</v>
      </c>
      <c r="O67" s="16">
        <v>0.14814814814814814</v>
      </c>
      <c r="P67" s="14">
        <v>0</v>
      </c>
      <c r="Q67" s="16">
        <v>0</v>
      </c>
      <c r="R67" s="14">
        <v>4</v>
      </c>
      <c r="S67" s="16">
        <v>0.59259259259259256</v>
      </c>
      <c r="T67" s="14">
        <v>18</v>
      </c>
      <c r="U67" s="16">
        <v>2.6666666666666665</v>
      </c>
      <c r="V67" s="17" t="str">
        <f t="shared" si="0"/>
        <v>BJP GAIN</v>
      </c>
      <c r="W67" s="11">
        <f t="shared" si="3"/>
        <v>57.481481481481481</v>
      </c>
      <c r="X67" s="10" t="str">
        <f t="shared" si="2"/>
        <v>VERYHIGHMARGIN</v>
      </c>
    </row>
    <row r="68" spans="1:24">
      <c r="A68" s="14">
        <v>66</v>
      </c>
      <c r="B68" s="15" t="s">
        <v>126</v>
      </c>
      <c r="C68" s="14">
        <v>712</v>
      </c>
      <c r="D68" s="14">
        <v>483</v>
      </c>
      <c r="E68" s="16">
        <v>67.837078651685388</v>
      </c>
      <c r="F68" s="14">
        <v>208</v>
      </c>
      <c r="G68" s="16">
        <v>29.213483146067414</v>
      </c>
      <c r="H68" s="14">
        <v>5</v>
      </c>
      <c r="I68" s="16">
        <v>0.70224719101123589</v>
      </c>
      <c r="J68" s="14">
        <v>0</v>
      </c>
      <c r="K68" s="16">
        <v>0</v>
      </c>
      <c r="L68" s="14">
        <v>0</v>
      </c>
      <c r="M68" s="16">
        <v>0</v>
      </c>
      <c r="N68" s="14">
        <v>0</v>
      </c>
      <c r="O68" s="16">
        <v>0</v>
      </c>
      <c r="P68" s="14">
        <v>0</v>
      </c>
      <c r="Q68" s="16">
        <v>0</v>
      </c>
      <c r="R68" s="14">
        <v>10</v>
      </c>
      <c r="S68" s="16">
        <v>1.4044943820224718</v>
      </c>
      <c r="T68" s="14">
        <v>6</v>
      </c>
      <c r="U68" s="16">
        <v>0.84269662921348309</v>
      </c>
      <c r="V68" s="17" t="str">
        <f t="shared" ref="V68:V131" si="9">IF(E68&gt;G68,"BJP GAIN","CONGRESSGAIN")</f>
        <v>BJP GAIN</v>
      </c>
      <c r="W68" s="11">
        <f t="shared" ref="W68:W127" si="10">E68-G68</f>
        <v>38.623595505617971</v>
      </c>
      <c r="X68" s="19" t="str">
        <f t="shared" ref="X68:X131" si="11">IF(W68&gt;=50,"VERYHIGHMARGIN",IF(W68&gt;=40,"HIGHMARGIN",IF(W68&gt;=30,"MEDIUMMARGIN",IF(W68&gt;10,"LOWMARGIN",IF(W68&gt;1,"NARROWMARGIN")))))</f>
        <v>MEDIUMMARGIN</v>
      </c>
    </row>
    <row r="69" spans="1:24">
      <c r="A69" s="14">
        <v>67</v>
      </c>
      <c r="B69" s="15" t="s">
        <v>126</v>
      </c>
      <c r="C69" s="14">
        <v>648</v>
      </c>
      <c r="D69" s="14">
        <v>451</v>
      </c>
      <c r="E69" s="16">
        <v>69.598765432098759</v>
      </c>
      <c r="F69" s="14">
        <v>173</v>
      </c>
      <c r="G69" s="16">
        <v>26.697530864197528</v>
      </c>
      <c r="H69" s="14">
        <v>7</v>
      </c>
      <c r="I69" s="16">
        <v>1.0802469135802468</v>
      </c>
      <c r="J69" s="14">
        <v>0</v>
      </c>
      <c r="K69" s="16">
        <v>0</v>
      </c>
      <c r="L69" s="14">
        <v>0</v>
      </c>
      <c r="M69" s="16">
        <v>0</v>
      </c>
      <c r="N69" s="14">
        <v>1</v>
      </c>
      <c r="O69" s="16">
        <v>0.15432098765432098</v>
      </c>
      <c r="P69" s="14">
        <v>0</v>
      </c>
      <c r="Q69" s="16">
        <v>0</v>
      </c>
      <c r="R69" s="14">
        <v>3</v>
      </c>
      <c r="S69" s="16">
        <v>0.46296296296296291</v>
      </c>
      <c r="T69" s="14">
        <v>13</v>
      </c>
      <c r="U69" s="16">
        <v>2.0061728395061729</v>
      </c>
      <c r="V69" s="17" t="str">
        <f t="shared" si="9"/>
        <v>BJP GAIN</v>
      </c>
      <c r="W69" s="11">
        <f t="shared" si="10"/>
        <v>42.901234567901227</v>
      </c>
      <c r="X69" s="18" t="str">
        <f t="shared" si="11"/>
        <v>HIGHMARGIN</v>
      </c>
    </row>
    <row r="70" spans="1:24">
      <c r="A70" s="14">
        <v>68</v>
      </c>
      <c r="B70" s="15" t="s">
        <v>126</v>
      </c>
      <c r="C70" s="14">
        <v>654</v>
      </c>
      <c r="D70" s="14">
        <v>436</v>
      </c>
      <c r="E70" s="16">
        <v>66.666666666666671</v>
      </c>
      <c r="F70" s="14">
        <v>198</v>
      </c>
      <c r="G70" s="16">
        <v>30.275229357798164</v>
      </c>
      <c r="H70" s="14">
        <v>10</v>
      </c>
      <c r="I70" s="16">
        <v>1.5290519877675841</v>
      </c>
      <c r="J70" s="14">
        <v>0</v>
      </c>
      <c r="K70" s="16">
        <v>0</v>
      </c>
      <c r="L70" s="14">
        <v>0</v>
      </c>
      <c r="M70" s="16">
        <v>0</v>
      </c>
      <c r="N70" s="14">
        <v>0</v>
      </c>
      <c r="O70" s="16">
        <v>0</v>
      </c>
      <c r="P70" s="14">
        <v>0</v>
      </c>
      <c r="Q70" s="16">
        <v>0</v>
      </c>
      <c r="R70" s="14">
        <v>3</v>
      </c>
      <c r="S70" s="16">
        <v>0.4587155963302752</v>
      </c>
      <c r="T70" s="14">
        <v>7</v>
      </c>
      <c r="U70" s="16">
        <v>1.070336391437309</v>
      </c>
      <c r="V70" s="17" t="str">
        <f t="shared" si="9"/>
        <v>BJP GAIN</v>
      </c>
      <c r="W70" s="11">
        <f t="shared" si="10"/>
        <v>36.391437308868504</v>
      </c>
      <c r="X70" s="19" t="str">
        <f t="shared" si="11"/>
        <v>MEDIUMMARGIN</v>
      </c>
    </row>
    <row r="71" spans="1:24">
      <c r="A71" s="14">
        <v>69</v>
      </c>
      <c r="B71" s="15" t="s">
        <v>126</v>
      </c>
      <c r="C71" s="14">
        <v>610</v>
      </c>
      <c r="D71" s="14">
        <v>376</v>
      </c>
      <c r="E71" s="16">
        <v>61.639344262295083</v>
      </c>
      <c r="F71" s="14">
        <v>216</v>
      </c>
      <c r="G71" s="16">
        <v>35.409836065573771</v>
      </c>
      <c r="H71" s="14">
        <v>1</v>
      </c>
      <c r="I71" s="16">
        <v>0.16393442622950821</v>
      </c>
      <c r="J71" s="14">
        <v>0</v>
      </c>
      <c r="K71" s="16">
        <v>0</v>
      </c>
      <c r="L71" s="14">
        <v>0</v>
      </c>
      <c r="M71" s="16">
        <v>0</v>
      </c>
      <c r="N71" s="14">
        <v>0</v>
      </c>
      <c r="O71" s="16">
        <v>0</v>
      </c>
      <c r="P71" s="14">
        <v>0</v>
      </c>
      <c r="Q71" s="16">
        <v>0</v>
      </c>
      <c r="R71" s="14">
        <v>7</v>
      </c>
      <c r="S71" s="16">
        <v>1.1475409836065575</v>
      </c>
      <c r="T71" s="14">
        <v>10</v>
      </c>
      <c r="U71" s="16">
        <v>1.639344262295082</v>
      </c>
      <c r="V71" s="17" t="str">
        <f t="shared" si="9"/>
        <v>BJP GAIN</v>
      </c>
      <c r="W71" s="11">
        <f t="shared" si="10"/>
        <v>26.229508196721312</v>
      </c>
      <c r="X71" s="12" t="str">
        <f t="shared" si="11"/>
        <v>LOWMARGIN</v>
      </c>
    </row>
    <row r="72" spans="1:24">
      <c r="A72" s="14">
        <v>70</v>
      </c>
      <c r="B72" s="15" t="s">
        <v>126</v>
      </c>
      <c r="C72" s="14">
        <v>707</v>
      </c>
      <c r="D72" s="14">
        <v>455</v>
      </c>
      <c r="E72" s="16">
        <v>64.356435643564353</v>
      </c>
      <c r="F72" s="14">
        <v>214</v>
      </c>
      <c r="G72" s="16">
        <v>30.268741159830267</v>
      </c>
      <c r="H72" s="14">
        <v>5</v>
      </c>
      <c r="I72" s="16">
        <v>0.70721357850070721</v>
      </c>
      <c r="J72" s="14">
        <v>0</v>
      </c>
      <c r="K72" s="16">
        <v>0</v>
      </c>
      <c r="L72" s="14">
        <v>0</v>
      </c>
      <c r="M72" s="16">
        <v>0</v>
      </c>
      <c r="N72" s="14">
        <v>1</v>
      </c>
      <c r="O72" s="16">
        <v>0.14144271570014144</v>
      </c>
      <c r="P72" s="14">
        <v>0</v>
      </c>
      <c r="Q72" s="16">
        <v>0</v>
      </c>
      <c r="R72" s="14">
        <v>7</v>
      </c>
      <c r="S72" s="16">
        <v>0.99009900990099009</v>
      </c>
      <c r="T72" s="14">
        <v>25</v>
      </c>
      <c r="U72" s="16">
        <v>3.536067892503536</v>
      </c>
      <c r="V72" s="17" t="str">
        <f t="shared" si="9"/>
        <v>BJP GAIN</v>
      </c>
      <c r="W72" s="11">
        <f t="shared" si="10"/>
        <v>34.087694483734083</v>
      </c>
      <c r="X72" s="19" t="str">
        <f t="shared" si="11"/>
        <v>MEDIUMMARGIN</v>
      </c>
    </row>
    <row r="73" spans="1:24">
      <c r="A73" s="14">
        <v>71</v>
      </c>
      <c r="B73" s="15" t="s">
        <v>126</v>
      </c>
      <c r="C73" s="14">
        <v>889</v>
      </c>
      <c r="D73" s="14">
        <v>470</v>
      </c>
      <c r="E73" s="16">
        <v>52.868391451068611</v>
      </c>
      <c r="F73" s="14">
        <v>390</v>
      </c>
      <c r="G73" s="16">
        <v>43.869516310461186</v>
      </c>
      <c r="H73" s="14">
        <v>6</v>
      </c>
      <c r="I73" s="16">
        <v>0.67491563554555678</v>
      </c>
      <c r="J73" s="14">
        <v>0</v>
      </c>
      <c r="K73" s="16">
        <v>0</v>
      </c>
      <c r="L73" s="14">
        <v>0</v>
      </c>
      <c r="M73" s="16">
        <v>0</v>
      </c>
      <c r="N73" s="14">
        <v>1</v>
      </c>
      <c r="O73" s="16">
        <v>0.11248593925759279</v>
      </c>
      <c r="P73" s="14">
        <v>0</v>
      </c>
      <c r="Q73" s="16">
        <v>0</v>
      </c>
      <c r="R73" s="14">
        <v>5</v>
      </c>
      <c r="S73" s="16">
        <v>0.56242969628796402</v>
      </c>
      <c r="T73" s="14">
        <v>17</v>
      </c>
      <c r="U73" s="16">
        <v>1.9122609673790776</v>
      </c>
      <c r="V73" s="17" t="str">
        <f t="shared" si="9"/>
        <v>BJP GAIN</v>
      </c>
      <c r="W73" s="11">
        <f t="shared" si="10"/>
        <v>8.9988751406074243</v>
      </c>
      <c r="X73" s="13" t="str">
        <f t="shared" si="11"/>
        <v>NARROWMARGIN</v>
      </c>
    </row>
    <row r="74" spans="1:24">
      <c r="A74" s="14">
        <v>72</v>
      </c>
      <c r="B74" s="15" t="s">
        <v>126</v>
      </c>
      <c r="C74" s="14">
        <v>912</v>
      </c>
      <c r="D74" s="14">
        <v>584</v>
      </c>
      <c r="E74" s="16">
        <v>64.035087719298247</v>
      </c>
      <c r="F74" s="14">
        <v>287</v>
      </c>
      <c r="G74" s="16">
        <v>31.469298245614038</v>
      </c>
      <c r="H74" s="14">
        <v>5</v>
      </c>
      <c r="I74" s="16">
        <v>0.54824561403508776</v>
      </c>
      <c r="J74" s="14">
        <v>0</v>
      </c>
      <c r="K74" s="16">
        <v>0</v>
      </c>
      <c r="L74" s="14">
        <v>0</v>
      </c>
      <c r="M74" s="16">
        <v>0</v>
      </c>
      <c r="N74" s="14">
        <v>1</v>
      </c>
      <c r="O74" s="16">
        <v>0.10964912280701755</v>
      </c>
      <c r="P74" s="14">
        <v>0</v>
      </c>
      <c r="Q74" s="16">
        <v>0</v>
      </c>
      <c r="R74" s="14">
        <v>2</v>
      </c>
      <c r="S74" s="16">
        <v>0.2192982456140351</v>
      </c>
      <c r="T74" s="14">
        <v>33</v>
      </c>
      <c r="U74" s="16">
        <v>3.6184210526315792</v>
      </c>
      <c r="V74" s="17" t="str">
        <f t="shared" si="9"/>
        <v>BJP GAIN</v>
      </c>
      <c r="W74" s="11">
        <f t="shared" si="10"/>
        <v>32.565789473684205</v>
      </c>
      <c r="X74" s="19" t="str">
        <f t="shared" si="11"/>
        <v>MEDIUMMARGIN</v>
      </c>
    </row>
    <row r="75" spans="1:24">
      <c r="A75" s="14">
        <v>73</v>
      </c>
      <c r="B75" s="15" t="s">
        <v>126</v>
      </c>
      <c r="C75" s="14">
        <v>564</v>
      </c>
      <c r="D75" s="14">
        <v>374</v>
      </c>
      <c r="E75" s="16">
        <v>66.312056737588662</v>
      </c>
      <c r="F75" s="14">
        <v>176</v>
      </c>
      <c r="G75" s="16">
        <v>31.205673758865249</v>
      </c>
      <c r="H75" s="14">
        <v>4</v>
      </c>
      <c r="I75" s="16">
        <v>0.70921985815602839</v>
      </c>
      <c r="J75" s="14">
        <v>0</v>
      </c>
      <c r="K75" s="16">
        <v>0</v>
      </c>
      <c r="L75" s="14">
        <v>0</v>
      </c>
      <c r="M75" s="16">
        <v>0</v>
      </c>
      <c r="N75" s="14">
        <v>0</v>
      </c>
      <c r="O75" s="16">
        <v>0</v>
      </c>
      <c r="P75" s="14">
        <v>0</v>
      </c>
      <c r="Q75" s="16">
        <v>0</v>
      </c>
      <c r="R75" s="14">
        <v>4</v>
      </c>
      <c r="S75" s="16">
        <v>0.70921985815602839</v>
      </c>
      <c r="T75" s="14">
        <v>6</v>
      </c>
      <c r="U75" s="16">
        <v>1.0638297872340425</v>
      </c>
      <c r="V75" s="17" t="str">
        <f t="shared" si="9"/>
        <v>BJP GAIN</v>
      </c>
      <c r="W75" s="11">
        <f t="shared" si="10"/>
        <v>35.106382978723417</v>
      </c>
      <c r="X75" s="19" t="str">
        <f t="shared" si="11"/>
        <v>MEDIUMMARGIN</v>
      </c>
    </row>
    <row r="76" spans="1:24">
      <c r="A76" s="14">
        <v>74</v>
      </c>
      <c r="B76" s="15" t="s">
        <v>126</v>
      </c>
      <c r="C76" s="14">
        <v>780</v>
      </c>
      <c r="D76" s="14">
        <v>482</v>
      </c>
      <c r="E76" s="16">
        <v>61.794871794871796</v>
      </c>
      <c r="F76" s="14">
        <v>279</v>
      </c>
      <c r="G76" s="16">
        <v>35.769230769230766</v>
      </c>
      <c r="H76" s="14">
        <v>2</v>
      </c>
      <c r="I76" s="16">
        <v>0.25641025641025644</v>
      </c>
      <c r="J76" s="14">
        <v>0</v>
      </c>
      <c r="K76" s="16">
        <v>0</v>
      </c>
      <c r="L76" s="14">
        <v>0</v>
      </c>
      <c r="M76" s="16">
        <v>0</v>
      </c>
      <c r="N76" s="14">
        <v>1</v>
      </c>
      <c r="O76" s="16">
        <v>0.12820512820512822</v>
      </c>
      <c r="P76" s="14">
        <v>0</v>
      </c>
      <c r="Q76" s="16">
        <v>0</v>
      </c>
      <c r="R76" s="14">
        <v>4</v>
      </c>
      <c r="S76" s="16">
        <v>0.51282051282051289</v>
      </c>
      <c r="T76" s="14">
        <v>12</v>
      </c>
      <c r="U76" s="16">
        <v>1.5384615384615385</v>
      </c>
      <c r="V76" s="17" t="str">
        <f t="shared" si="9"/>
        <v>BJP GAIN</v>
      </c>
      <c r="W76" s="11">
        <f t="shared" si="10"/>
        <v>26.025641025641029</v>
      </c>
      <c r="X76" s="12" t="str">
        <f t="shared" si="11"/>
        <v>LOWMARGIN</v>
      </c>
    </row>
    <row r="77" spans="1:24">
      <c r="A77" s="14">
        <v>75</v>
      </c>
      <c r="B77" s="15" t="s">
        <v>126</v>
      </c>
      <c r="C77" s="14">
        <v>975</v>
      </c>
      <c r="D77" s="14">
        <v>523</v>
      </c>
      <c r="E77" s="16">
        <v>53.641025641025642</v>
      </c>
      <c r="F77" s="14">
        <v>427</v>
      </c>
      <c r="G77" s="16">
        <v>43.794871794871796</v>
      </c>
      <c r="H77" s="14">
        <v>7</v>
      </c>
      <c r="I77" s="16">
        <v>0.71794871794871795</v>
      </c>
      <c r="J77" s="14">
        <v>0</v>
      </c>
      <c r="K77" s="16">
        <v>0</v>
      </c>
      <c r="L77" s="14">
        <v>0</v>
      </c>
      <c r="M77" s="16">
        <v>0</v>
      </c>
      <c r="N77" s="14">
        <v>0</v>
      </c>
      <c r="O77" s="16">
        <v>0</v>
      </c>
      <c r="P77" s="14">
        <v>0</v>
      </c>
      <c r="Q77" s="16">
        <v>0</v>
      </c>
      <c r="R77" s="14">
        <v>8</v>
      </c>
      <c r="S77" s="16">
        <v>0.82051282051282048</v>
      </c>
      <c r="T77" s="14">
        <v>10</v>
      </c>
      <c r="U77" s="16">
        <v>1.0256410256410255</v>
      </c>
      <c r="V77" s="17" t="str">
        <f t="shared" si="9"/>
        <v>BJP GAIN</v>
      </c>
      <c r="W77" s="11">
        <f t="shared" si="10"/>
        <v>9.8461538461538467</v>
      </c>
      <c r="X77" s="13" t="str">
        <f t="shared" si="11"/>
        <v>NARROWMARGIN</v>
      </c>
    </row>
    <row r="78" spans="1:24">
      <c r="A78" s="7">
        <v>76</v>
      </c>
      <c r="B78" s="8" t="s">
        <v>126</v>
      </c>
      <c r="C78" s="7">
        <v>533</v>
      </c>
      <c r="D78" s="7">
        <v>247</v>
      </c>
      <c r="E78" s="9">
        <v>46.341463414634148</v>
      </c>
      <c r="F78" s="7">
        <v>270</v>
      </c>
      <c r="G78" s="9">
        <v>50.656660412757972</v>
      </c>
      <c r="H78" s="7">
        <v>4</v>
      </c>
      <c r="I78" s="9">
        <v>0.75046904315196994</v>
      </c>
      <c r="J78" s="7">
        <v>0</v>
      </c>
      <c r="K78" s="9">
        <v>0</v>
      </c>
      <c r="L78" s="7">
        <v>0</v>
      </c>
      <c r="M78" s="9">
        <v>0</v>
      </c>
      <c r="N78" s="7">
        <v>0</v>
      </c>
      <c r="O78" s="9">
        <v>0</v>
      </c>
      <c r="P78" s="7">
        <v>0</v>
      </c>
      <c r="Q78" s="9">
        <v>0</v>
      </c>
      <c r="R78" s="7">
        <v>9</v>
      </c>
      <c r="S78" s="9">
        <v>1.6885553470919323</v>
      </c>
      <c r="T78" s="7">
        <v>3</v>
      </c>
      <c r="U78" s="9">
        <v>0.56285178236397748</v>
      </c>
      <c r="V78" s="10" t="str">
        <f t="shared" si="9"/>
        <v>CONGRESSGAIN</v>
      </c>
      <c r="W78" s="11">
        <f t="shared" ref="W78" si="12">G78-E78</f>
        <v>4.3151969981238238</v>
      </c>
      <c r="X78" s="13" t="str">
        <f t="shared" si="11"/>
        <v>NARROWMARGIN</v>
      </c>
    </row>
    <row r="79" spans="1:24">
      <c r="A79" s="14">
        <v>77</v>
      </c>
      <c r="B79" s="15" t="s">
        <v>126</v>
      </c>
      <c r="C79" s="14">
        <v>751</v>
      </c>
      <c r="D79" s="14">
        <v>380</v>
      </c>
      <c r="E79" s="16">
        <v>50.599201065246341</v>
      </c>
      <c r="F79" s="14">
        <v>354</v>
      </c>
      <c r="G79" s="16">
        <v>47.137150466045277</v>
      </c>
      <c r="H79" s="14">
        <v>6</v>
      </c>
      <c r="I79" s="16">
        <v>0.79893475366178435</v>
      </c>
      <c r="J79" s="14">
        <v>0</v>
      </c>
      <c r="K79" s="16">
        <v>0</v>
      </c>
      <c r="L79" s="14">
        <v>0</v>
      </c>
      <c r="M79" s="16">
        <v>0</v>
      </c>
      <c r="N79" s="14">
        <v>1</v>
      </c>
      <c r="O79" s="16">
        <v>0.13315579227696406</v>
      </c>
      <c r="P79" s="14">
        <v>0</v>
      </c>
      <c r="Q79" s="16">
        <v>0</v>
      </c>
      <c r="R79" s="14">
        <v>4</v>
      </c>
      <c r="S79" s="16">
        <v>0.53262316910785623</v>
      </c>
      <c r="T79" s="14">
        <v>6</v>
      </c>
      <c r="U79" s="16">
        <v>0.79893475366178435</v>
      </c>
      <c r="V79" s="17" t="str">
        <f t="shared" si="9"/>
        <v>BJP GAIN</v>
      </c>
      <c r="W79" s="11">
        <f t="shared" si="10"/>
        <v>3.4620505992010635</v>
      </c>
      <c r="X79" s="13" t="str">
        <f t="shared" si="11"/>
        <v>NARROWMARGIN</v>
      </c>
    </row>
    <row r="80" spans="1:24">
      <c r="A80" s="14">
        <v>78</v>
      </c>
      <c r="B80" s="15" t="s">
        <v>126</v>
      </c>
      <c r="C80" s="14">
        <v>420</v>
      </c>
      <c r="D80" s="14">
        <v>229</v>
      </c>
      <c r="E80" s="16">
        <v>54.523809523809518</v>
      </c>
      <c r="F80" s="14">
        <v>176</v>
      </c>
      <c r="G80" s="16">
        <v>41.904761904761905</v>
      </c>
      <c r="H80" s="14">
        <v>4</v>
      </c>
      <c r="I80" s="16">
        <v>0.95238095238095233</v>
      </c>
      <c r="J80" s="14">
        <v>0</v>
      </c>
      <c r="K80" s="16">
        <v>0</v>
      </c>
      <c r="L80" s="14">
        <v>0</v>
      </c>
      <c r="M80" s="16">
        <v>0</v>
      </c>
      <c r="N80" s="14">
        <v>0</v>
      </c>
      <c r="O80" s="16">
        <v>0</v>
      </c>
      <c r="P80" s="14">
        <v>0</v>
      </c>
      <c r="Q80" s="16">
        <v>0</v>
      </c>
      <c r="R80" s="14">
        <v>8</v>
      </c>
      <c r="S80" s="16">
        <v>1.9047619047619047</v>
      </c>
      <c r="T80" s="14">
        <v>3</v>
      </c>
      <c r="U80" s="16">
        <v>0.7142857142857143</v>
      </c>
      <c r="V80" s="17" t="str">
        <f t="shared" si="9"/>
        <v>BJP GAIN</v>
      </c>
      <c r="W80" s="11">
        <f t="shared" si="10"/>
        <v>12.619047619047613</v>
      </c>
      <c r="X80" s="12" t="str">
        <f t="shared" si="11"/>
        <v>LOWMARGIN</v>
      </c>
    </row>
    <row r="81" spans="1:24">
      <c r="A81" s="7">
        <v>79</v>
      </c>
      <c r="B81" s="8" t="s">
        <v>126</v>
      </c>
      <c r="C81" s="7">
        <v>679</v>
      </c>
      <c r="D81" s="7">
        <v>307</v>
      </c>
      <c r="E81" s="9">
        <v>45.21354933726068</v>
      </c>
      <c r="F81" s="7">
        <v>349</v>
      </c>
      <c r="G81" s="9">
        <v>51.399116347569958</v>
      </c>
      <c r="H81" s="7">
        <v>9</v>
      </c>
      <c r="I81" s="9">
        <v>1.3254786450662739</v>
      </c>
      <c r="J81" s="7">
        <v>0</v>
      </c>
      <c r="K81" s="9">
        <v>0</v>
      </c>
      <c r="L81" s="7">
        <v>0</v>
      </c>
      <c r="M81" s="9">
        <v>0</v>
      </c>
      <c r="N81" s="7">
        <v>0</v>
      </c>
      <c r="O81" s="9">
        <v>0</v>
      </c>
      <c r="P81" s="7">
        <v>0</v>
      </c>
      <c r="Q81" s="9">
        <v>0</v>
      </c>
      <c r="R81" s="7">
        <v>7</v>
      </c>
      <c r="S81" s="9">
        <v>1.0309278350515463</v>
      </c>
      <c r="T81" s="7">
        <v>7</v>
      </c>
      <c r="U81" s="9">
        <v>1.0309278350515463</v>
      </c>
      <c r="V81" s="10" t="str">
        <f t="shared" si="9"/>
        <v>CONGRESSGAIN</v>
      </c>
      <c r="W81" s="11">
        <f t="shared" ref="W81" si="13">G81-E81</f>
        <v>6.1855670103092777</v>
      </c>
      <c r="X81" s="13" t="str">
        <f t="shared" si="11"/>
        <v>NARROWMARGIN</v>
      </c>
    </row>
    <row r="82" spans="1:24">
      <c r="A82" s="14">
        <v>80</v>
      </c>
      <c r="B82" s="15" t="s">
        <v>126</v>
      </c>
      <c r="C82" s="14">
        <v>976</v>
      </c>
      <c r="D82" s="14">
        <v>587</v>
      </c>
      <c r="E82" s="16">
        <v>60.143442622950822</v>
      </c>
      <c r="F82" s="14">
        <v>353</v>
      </c>
      <c r="G82" s="16">
        <v>36.168032786885249</v>
      </c>
      <c r="H82" s="14">
        <v>7</v>
      </c>
      <c r="I82" s="16">
        <v>0.71721311475409832</v>
      </c>
      <c r="J82" s="14">
        <v>0</v>
      </c>
      <c r="K82" s="16">
        <v>0</v>
      </c>
      <c r="L82" s="14">
        <v>0</v>
      </c>
      <c r="M82" s="16">
        <v>0</v>
      </c>
      <c r="N82" s="14">
        <v>0</v>
      </c>
      <c r="O82" s="16">
        <v>0</v>
      </c>
      <c r="P82" s="14">
        <v>0</v>
      </c>
      <c r="Q82" s="16">
        <v>0</v>
      </c>
      <c r="R82" s="14">
        <v>6</v>
      </c>
      <c r="S82" s="16">
        <v>0.61475409836065575</v>
      </c>
      <c r="T82" s="14">
        <v>23</v>
      </c>
      <c r="U82" s="16">
        <v>2.3565573770491803</v>
      </c>
      <c r="V82" s="17" t="str">
        <f t="shared" si="9"/>
        <v>BJP GAIN</v>
      </c>
      <c r="W82" s="11">
        <f t="shared" si="10"/>
        <v>23.975409836065573</v>
      </c>
      <c r="X82" s="12" t="str">
        <f t="shared" si="11"/>
        <v>LOWMARGIN</v>
      </c>
    </row>
    <row r="83" spans="1:24">
      <c r="A83" s="7">
        <v>81</v>
      </c>
      <c r="B83" s="8" t="s">
        <v>126</v>
      </c>
      <c r="C83" s="7">
        <v>650</v>
      </c>
      <c r="D83" s="7">
        <v>274</v>
      </c>
      <c r="E83" s="9">
        <v>42.153846153846153</v>
      </c>
      <c r="F83" s="7">
        <v>338</v>
      </c>
      <c r="G83" s="9">
        <v>52</v>
      </c>
      <c r="H83" s="7">
        <v>5</v>
      </c>
      <c r="I83" s="9">
        <v>0.76923076923076927</v>
      </c>
      <c r="J83" s="7">
        <v>0</v>
      </c>
      <c r="K83" s="9">
        <v>0</v>
      </c>
      <c r="L83" s="7">
        <v>0</v>
      </c>
      <c r="M83" s="9">
        <v>0</v>
      </c>
      <c r="N83" s="7">
        <v>1</v>
      </c>
      <c r="O83" s="9">
        <v>0.15384615384615385</v>
      </c>
      <c r="P83" s="7">
        <v>0</v>
      </c>
      <c r="Q83" s="9">
        <v>0</v>
      </c>
      <c r="R83" s="7">
        <v>10</v>
      </c>
      <c r="S83" s="9">
        <v>1.5384615384615385</v>
      </c>
      <c r="T83" s="7">
        <v>22</v>
      </c>
      <c r="U83" s="9">
        <v>3.3846153846153846</v>
      </c>
      <c r="V83" s="10" t="str">
        <f t="shared" si="9"/>
        <v>CONGRESSGAIN</v>
      </c>
      <c r="W83" s="11">
        <f t="shared" ref="W83" si="14">G83-E83</f>
        <v>9.8461538461538467</v>
      </c>
      <c r="X83" s="13" t="str">
        <f t="shared" si="11"/>
        <v>NARROWMARGIN</v>
      </c>
    </row>
    <row r="84" spans="1:24">
      <c r="A84" s="14">
        <v>82</v>
      </c>
      <c r="B84" s="15" t="s">
        <v>126</v>
      </c>
      <c r="C84" s="14">
        <v>508</v>
      </c>
      <c r="D84" s="14">
        <v>313</v>
      </c>
      <c r="E84" s="16">
        <v>61.614173228346459</v>
      </c>
      <c r="F84" s="14">
        <v>171</v>
      </c>
      <c r="G84" s="16">
        <v>33.661417322834644</v>
      </c>
      <c r="H84" s="14">
        <v>5</v>
      </c>
      <c r="I84" s="16">
        <v>0.98425196850393704</v>
      </c>
      <c r="J84" s="14">
        <v>0</v>
      </c>
      <c r="K84" s="16">
        <v>0</v>
      </c>
      <c r="L84" s="14">
        <v>0</v>
      </c>
      <c r="M84" s="16">
        <v>0</v>
      </c>
      <c r="N84" s="14">
        <v>0</v>
      </c>
      <c r="O84" s="16">
        <v>0</v>
      </c>
      <c r="P84" s="14">
        <v>0</v>
      </c>
      <c r="Q84" s="16">
        <v>0</v>
      </c>
      <c r="R84" s="14">
        <v>1</v>
      </c>
      <c r="S84" s="16">
        <v>0.19685039370078738</v>
      </c>
      <c r="T84" s="14">
        <v>18</v>
      </c>
      <c r="U84" s="16">
        <v>3.5433070866141732</v>
      </c>
      <c r="V84" s="17" t="str">
        <f t="shared" si="9"/>
        <v>BJP GAIN</v>
      </c>
      <c r="W84" s="11">
        <f t="shared" si="10"/>
        <v>27.952755905511815</v>
      </c>
      <c r="X84" s="12" t="str">
        <f t="shared" si="11"/>
        <v>LOWMARGIN</v>
      </c>
    </row>
    <row r="85" spans="1:24">
      <c r="A85" s="7">
        <v>83</v>
      </c>
      <c r="B85" s="8" t="s">
        <v>126</v>
      </c>
      <c r="C85" s="7">
        <v>655</v>
      </c>
      <c r="D85" s="7">
        <v>85</v>
      </c>
      <c r="E85" s="9">
        <v>12.977099236641221</v>
      </c>
      <c r="F85" s="7">
        <v>469</v>
      </c>
      <c r="G85" s="9">
        <v>71.603053435114504</v>
      </c>
      <c r="H85" s="7">
        <v>17</v>
      </c>
      <c r="I85" s="9">
        <v>2.5954198473282442</v>
      </c>
      <c r="J85" s="7">
        <v>0</v>
      </c>
      <c r="K85" s="9">
        <v>0</v>
      </c>
      <c r="L85" s="7">
        <v>0</v>
      </c>
      <c r="M85" s="9">
        <v>0</v>
      </c>
      <c r="N85" s="7">
        <v>0</v>
      </c>
      <c r="O85" s="9">
        <v>0</v>
      </c>
      <c r="P85" s="7">
        <v>0</v>
      </c>
      <c r="Q85" s="9">
        <v>0</v>
      </c>
      <c r="R85" s="7">
        <v>23</v>
      </c>
      <c r="S85" s="9">
        <v>3.5114503816793894</v>
      </c>
      <c r="T85" s="7">
        <v>61</v>
      </c>
      <c r="U85" s="9">
        <v>9.3129770992366421</v>
      </c>
      <c r="V85" s="10" t="str">
        <f t="shared" si="9"/>
        <v>CONGRESSGAIN</v>
      </c>
      <c r="W85" s="11">
        <f t="shared" ref="W85:W100" si="15">G85-E85</f>
        <v>58.625954198473281</v>
      </c>
      <c r="X85" s="10" t="str">
        <f t="shared" si="11"/>
        <v>VERYHIGHMARGIN</v>
      </c>
    </row>
    <row r="86" spans="1:24">
      <c r="A86" s="7">
        <v>84</v>
      </c>
      <c r="B86" s="8" t="s">
        <v>126</v>
      </c>
      <c r="C86" s="7">
        <v>530</v>
      </c>
      <c r="D86" s="7">
        <v>68</v>
      </c>
      <c r="E86" s="9">
        <v>12.830188679245284</v>
      </c>
      <c r="F86" s="7">
        <v>315</v>
      </c>
      <c r="G86" s="9">
        <v>59.433962264150942</v>
      </c>
      <c r="H86" s="7">
        <v>21</v>
      </c>
      <c r="I86" s="9">
        <v>3.9622641509433962</v>
      </c>
      <c r="J86" s="7">
        <v>0</v>
      </c>
      <c r="K86" s="9">
        <v>0</v>
      </c>
      <c r="L86" s="7">
        <v>0</v>
      </c>
      <c r="M86" s="9">
        <v>0</v>
      </c>
      <c r="N86" s="7">
        <v>2</v>
      </c>
      <c r="O86" s="9">
        <v>0.37735849056603776</v>
      </c>
      <c r="P86" s="7">
        <v>0</v>
      </c>
      <c r="Q86" s="9">
        <v>0</v>
      </c>
      <c r="R86" s="7">
        <v>29</v>
      </c>
      <c r="S86" s="9">
        <v>5.4716981132075473</v>
      </c>
      <c r="T86" s="7">
        <v>95</v>
      </c>
      <c r="U86" s="9">
        <v>17.924528301886792</v>
      </c>
      <c r="V86" s="10" t="str">
        <f t="shared" si="9"/>
        <v>CONGRESSGAIN</v>
      </c>
      <c r="W86" s="11">
        <f t="shared" si="15"/>
        <v>46.60377358490566</v>
      </c>
      <c r="X86" s="18" t="str">
        <f t="shared" si="11"/>
        <v>HIGHMARGIN</v>
      </c>
    </row>
    <row r="87" spans="1:24">
      <c r="A87" s="7">
        <v>85</v>
      </c>
      <c r="B87" s="8" t="s">
        <v>126</v>
      </c>
      <c r="C87" s="7">
        <v>424</v>
      </c>
      <c r="D87" s="7">
        <v>50</v>
      </c>
      <c r="E87" s="9">
        <v>11.79245283018868</v>
      </c>
      <c r="F87" s="7">
        <v>245</v>
      </c>
      <c r="G87" s="9">
        <v>57.783018867924525</v>
      </c>
      <c r="H87" s="7">
        <v>12</v>
      </c>
      <c r="I87" s="9">
        <v>2.8301886792452828</v>
      </c>
      <c r="J87" s="7">
        <v>0</v>
      </c>
      <c r="K87" s="9">
        <v>0</v>
      </c>
      <c r="L87" s="7">
        <v>0</v>
      </c>
      <c r="M87" s="9">
        <v>0</v>
      </c>
      <c r="N87" s="7">
        <v>0</v>
      </c>
      <c r="O87" s="9">
        <v>0</v>
      </c>
      <c r="P87" s="7">
        <v>0</v>
      </c>
      <c r="Q87" s="9">
        <v>0</v>
      </c>
      <c r="R87" s="7">
        <v>25</v>
      </c>
      <c r="S87" s="9">
        <v>5.8962264150943398</v>
      </c>
      <c r="T87" s="7">
        <v>92</v>
      </c>
      <c r="U87" s="9">
        <v>21.69811320754717</v>
      </c>
      <c r="V87" s="10" t="str">
        <f t="shared" si="9"/>
        <v>CONGRESSGAIN</v>
      </c>
      <c r="W87" s="11">
        <f t="shared" si="15"/>
        <v>45.990566037735846</v>
      </c>
      <c r="X87" s="18" t="str">
        <f t="shared" si="11"/>
        <v>HIGHMARGIN</v>
      </c>
    </row>
    <row r="88" spans="1:24">
      <c r="A88" s="7">
        <v>86</v>
      </c>
      <c r="B88" s="8" t="s">
        <v>126</v>
      </c>
      <c r="C88" s="7">
        <v>501</v>
      </c>
      <c r="D88" s="7">
        <v>47</v>
      </c>
      <c r="E88" s="9">
        <v>9.3812375249500999</v>
      </c>
      <c r="F88" s="7">
        <v>353</v>
      </c>
      <c r="G88" s="9">
        <v>70.459081836327343</v>
      </c>
      <c r="H88" s="7">
        <v>12</v>
      </c>
      <c r="I88" s="9">
        <v>2.3952095808383236</v>
      </c>
      <c r="J88" s="7">
        <v>0</v>
      </c>
      <c r="K88" s="9">
        <v>0</v>
      </c>
      <c r="L88" s="7">
        <v>0</v>
      </c>
      <c r="M88" s="9">
        <v>0</v>
      </c>
      <c r="N88" s="7">
        <v>1</v>
      </c>
      <c r="O88" s="9">
        <v>0.19960079840319361</v>
      </c>
      <c r="P88" s="7">
        <v>0</v>
      </c>
      <c r="Q88" s="9">
        <v>0</v>
      </c>
      <c r="R88" s="7">
        <v>13</v>
      </c>
      <c r="S88" s="9">
        <v>2.5948103792415171</v>
      </c>
      <c r="T88" s="7">
        <v>75</v>
      </c>
      <c r="U88" s="9">
        <v>14.970059880239521</v>
      </c>
      <c r="V88" s="10" t="str">
        <f t="shared" si="9"/>
        <v>CONGRESSGAIN</v>
      </c>
      <c r="W88" s="11">
        <f t="shared" si="15"/>
        <v>61.077844311377241</v>
      </c>
      <c r="X88" s="10" t="str">
        <f t="shared" si="11"/>
        <v>VERYHIGHMARGIN</v>
      </c>
    </row>
    <row r="89" spans="1:24">
      <c r="A89" s="7">
        <v>87</v>
      </c>
      <c r="B89" s="8" t="s">
        <v>126</v>
      </c>
      <c r="C89" s="7">
        <v>629</v>
      </c>
      <c r="D89" s="7">
        <v>38</v>
      </c>
      <c r="E89" s="9">
        <v>6.0413354531001593</v>
      </c>
      <c r="F89" s="7">
        <v>401</v>
      </c>
      <c r="G89" s="9">
        <v>63.751987281399046</v>
      </c>
      <c r="H89" s="7">
        <v>10</v>
      </c>
      <c r="I89" s="9">
        <v>1.589825119236884</v>
      </c>
      <c r="J89" s="7">
        <v>0</v>
      </c>
      <c r="K89" s="9">
        <v>0</v>
      </c>
      <c r="L89" s="7">
        <v>0</v>
      </c>
      <c r="M89" s="9">
        <v>0</v>
      </c>
      <c r="N89" s="7">
        <v>2</v>
      </c>
      <c r="O89" s="9">
        <v>0.31796502384737679</v>
      </c>
      <c r="P89" s="7">
        <v>0</v>
      </c>
      <c r="Q89" s="9">
        <v>0</v>
      </c>
      <c r="R89" s="7">
        <v>37</v>
      </c>
      <c r="S89" s="9">
        <v>5.8823529411764701</v>
      </c>
      <c r="T89" s="7">
        <v>141</v>
      </c>
      <c r="U89" s="9">
        <v>22.416534181240063</v>
      </c>
      <c r="V89" s="10" t="str">
        <f t="shared" si="9"/>
        <v>CONGRESSGAIN</v>
      </c>
      <c r="W89" s="11">
        <f t="shared" si="15"/>
        <v>57.710651828298886</v>
      </c>
      <c r="X89" s="10" t="str">
        <f t="shared" si="11"/>
        <v>VERYHIGHMARGIN</v>
      </c>
    </row>
    <row r="90" spans="1:24">
      <c r="A90" s="7">
        <v>88</v>
      </c>
      <c r="B90" s="8" t="s">
        <v>126</v>
      </c>
      <c r="C90" s="7">
        <v>604</v>
      </c>
      <c r="D90" s="7">
        <v>67</v>
      </c>
      <c r="E90" s="9">
        <v>11.092715231788079</v>
      </c>
      <c r="F90" s="7">
        <v>425</v>
      </c>
      <c r="G90" s="9">
        <v>70.36423841059603</v>
      </c>
      <c r="H90" s="7">
        <v>21</v>
      </c>
      <c r="I90" s="9">
        <v>3.4768211920529799</v>
      </c>
      <c r="J90" s="7">
        <v>0</v>
      </c>
      <c r="K90" s="9">
        <v>0</v>
      </c>
      <c r="L90" s="7">
        <v>0</v>
      </c>
      <c r="M90" s="9">
        <v>0</v>
      </c>
      <c r="N90" s="7">
        <v>0</v>
      </c>
      <c r="O90" s="9">
        <v>0</v>
      </c>
      <c r="P90" s="7">
        <v>0</v>
      </c>
      <c r="Q90" s="9">
        <v>0</v>
      </c>
      <c r="R90" s="7">
        <v>13</v>
      </c>
      <c r="S90" s="9">
        <v>2.1523178807947021</v>
      </c>
      <c r="T90" s="7">
        <v>78</v>
      </c>
      <c r="U90" s="9">
        <v>12.913907284768213</v>
      </c>
      <c r="V90" s="10" t="str">
        <f t="shared" si="9"/>
        <v>CONGRESSGAIN</v>
      </c>
      <c r="W90" s="11">
        <f t="shared" si="15"/>
        <v>59.271523178807954</v>
      </c>
      <c r="X90" s="10" t="str">
        <f t="shared" si="11"/>
        <v>VERYHIGHMARGIN</v>
      </c>
    </row>
    <row r="91" spans="1:24">
      <c r="A91" s="14">
        <v>89</v>
      </c>
      <c r="B91" s="15" t="s">
        <v>126</v>
      </c>
      <c r="C91" s="14">
        <v>720</v>
      </c>
      <c r="D91" s="14">
        <v>503</v>
      </c>
      <c r="E91" s="16">
        <v>69.861111111111114</v>
      </c>
      <c r="F91" s="14">
        <v>193</v>
      </c>
      <c r="G91" s="16">
        <v>26.805555555555554</v>
      </c>
      <c r="H91" s="14">
        <v>7</v>
      </c>
      <c r="I91" s="16">
        <v>0.97222222222222221</v>
      </c>
      <c r="J91" s="14">
        <v>0</v>
      </c>
      <c r="K91" s="16">
        <v>0</v>
      </c>
      <c r="L91" s="14">
        <v>0</v>
      </c>
      <c r="M91" s="16">
        <v>0</v>
      </c>
      <c r="N91" s="14">
        <v>0</v>
      </c>
      <c r="O91" s="16">
        <v>0</v>
      </c>
      <c r="P91" s="14">
        <v>0</v>
      </c>
      <c r="Q91" s="16">
        <v>0</v>
      </c>
      <c r="R91" s="14">
        <v>6</v>
      </c>
      <c r="S91" s="16">
        <v>0.83333333333333326</v>
      </c>
      <c r="T91" s="14">
        <v>11</v>
      </c>
      <c r="U91" s="16">
        <v>1.5277777777777777</v>
      </c>
      <c r="V91" s="17" t="str">
        <f t="shared" si="9"/>
        <v>BJP GAIN</v>
      </c>
      <c r="W91" s="11">
        <f t="shared" si="10"/>
        <v>43.055555555555557</v>
      </c>
      <c r="X91" s="18" t="str">
        <f t="shared" si="11"/>
        <v>HIGHMARGIN</v>
      </c>
    </row>
    <row r="92" spans="1:24">
      <c r="A92" s="7">
        <v>90</v>
      </c>
      <c r="B92" s="8" t="s">
        <v>126</v>
      </c>
      <c r="C92" s="7">
        <v>368</v>
      </c>
      <c r="D92" s="7">
        <v>158</v>
      </c>
      <c r="E92" s="9">
        <v>42.934782608695649</v>
      </c>
      <c r="F92" s="7">
        <v>193</v>
      </c>
      <c r="G92" s="9">
        <v>52.445652173913039</v>
      </c>
      <c r="H92" s="7">
        <v>2</v>
      </c>
      <c r="I92" s="9">
        <v>0.54347826086956519</v>
      </c>
      <c r="J92" s="7">
        <v>0</v>
      </c>
      <c r="K92" s="9">
        <v>0</v>
      </c>
      <c r="L92" s="7">
        <v>0</v>
      </c>
      <c r="M92" s="9">
        <v>0</v>
      </c>
      <c r="N92" s="7">
        <v>0</v>
      </c>
      <c r="O92" s="9">
        <v>0</v>
      </c>
      <c r="P92" s="7">
        <v>0</v>
      </c>
      <c r="Q92" s="9">
        <v>0</v>
      </c>
      <c r="R92" s="7">
        <v>4</v>
      </c>
      <c r="S92" s="9">
        <v>1.0869565217391304</v>
      </c>
      <c r="T92" s="7">
        <v>11</v>
      </c>
      <c r="U92" s="9">
        <v>2.9891304347826084</v>
      </c>
      <c r="V92" s="10" t="str">
        <f t="shared" si="9"/>
        <v>CONGRESSGAIN</v>
      </c>
      <c r="W92" s="11">
        <f t="shared" si="15"/>
        <v>9.5108695652173907</v>
      </c>
      <c r="X92" s="13" t="str">
        <f t="shared" si="11"/>
        <v>NARROWMARGIN</v>
      </c>
    </row>
    <row r="93" spans="1:24">
      <c r="A93" s="14">
        <v>91</v>
      </c>
      <c r="B93" s="15" t="s">
        <v>126</v>
      </c>
      <c r="C93" s="14">
        <v>840</v>
      </c>
      <c r="D93" s="14">
        <v>603</v>
      </c>
      <c r="E93" s="16">
        <v>71.785714285714278</v>
      </c>
      <c r="F93" s="14">
        <v>216</v>
      </c>
      <c r="G93" s="16">
        <v>25.714285714285712</v>
      </c>
      <c r="H93" s="14">
        <v>6</v>
      </c>
      <c r="I93" s="16">
        <v>0.7142857142857143</v>
      </c>
      <c r="J93" s="14">
        <v>0</v>
      </c>
      <c r="K93" s="16">
        <v>0</v>
      </c>
      <c r="L93" s="14">
        <v>0</v>
      </c>
      <c r="M93" s="16">
        <v>0</v>
      </c>
      <c r="N93" s="14">
        <v>0</v>
      </c>
      <c r="O93" s="16">
        <v>0</v>
      </c>
      <c r="P93" s="14">
        <v>0</v>
      </c>
      <c r="Q93" s="16">
        <v>0</v>
      </c>
      <c r="R93" s="14">
        <v>4</v>
      </c>
      <c r="S93" s="16">
        <v>0.47619047619047616</v>
      </c>
      <c r="T93" s="14">
        <v>11</v>
      </c>
      <c r="U93" s="16">
        <v>1.3095238095238095</v>
      </c>
      <c r="V93" s="17" t="str">
        <f t="shared" si="9"/>
        <v>BJP GAIN</v>
      </c>
      <c r="W93" s="11">
        <f t="shared" si="10"/>
        <v>46.071428571428569</v>
      </c>
      <c r="X93" s="18" t="str">
        <f t="shared" si="11"/>
        <v>HIGHMARGIN</v>
      </c>
    </row>
    <row r="94" spans="1:24">
      <c r="A94" s="7">
        <v>92</v>
      </c>
      <c r="B94" s="8" t="s">
        <v>126</v>
      </c>
      <c r="C94" s="7">
        <v>538</v>
      </c>
      <c r="D94" s="7">
        <v>179</v>
      </c>
      <c r="E94" s="9">
        <v>33.271375464684013</v>
      </c>
      <c r="F94" s="7">
        <v>332</v>
      </c>
      <c r="G94" s="9">
        <v>61.710037174721194</v>
      </c>
      <c r="H94" s="7">
        <v>6</v>
      </c>
      <c r="I94" s="9">
        <v>1.1152416356877324</v>
      </c>
      <c r="J94" s="7">
        <v>0</v>
      </c>
      <c r="K94" s="9">
        <v>0</v>
      </c>
      <c r="L94" s="7">
        <v>0</v>
      </c>
      <c r="M94" s="9">
        <v>0</v>
      </c>
      <c r="N94" s="7">
        <v>0</v>
      </c>
      <c r="O94" s="9">
        <v>0</v>
      </c>
      <c r="P94" s="7">
        <v>0</v>
      </c>
      <c r="Q94" s="9">
        <v>0</v>
      </c>
      <c r="R94" s="7">
        <v>6</v>
      </c>
      <c r="S94" s="9">
        <v>1.1152416356877324</v>
      </c>
      <c r="T94" s="7">
        <v>15</v>
      </c>
      <c r="U94" s="9">
        <v>2.7881040892193307</v>
      </c>
      <c r="V94" s="10" t="str">
        <f t="shared" si="9"/>
        <v>CONGRESSGAIN</v>
      </c>
      <c r="W94" s="11">
        <f t="shared" si="15"/>
        <v>28.438661710037181</v>
      </c>
      <c r="X94" s="12" t="str">
        <f t="shared" si="11"/>
        <v>LOWMARGIN</v>
      </c>
    </row>
    <row r="95" spans="1:24">
      <c r="A95" s="7">
        <v>93</v>
      </c>
      <c r="B95" s="8" t="s">
        <v>126</v>
      </c>
      <c r="C95" s="7">
        <v>646</v>
      </c>
      <c r="D95" s="7">
        <v>123</v>
      </c>
      <c r="E95" s="9">
        <v>19.040247678018577</v>
      </c>
      <c r="F95" s="7">
        <v>446</v>
      </c>
      <c r="G95" s="9">
        <v>69.040247678018574</v>
      </c>
      <c r="H95" s="7">
        <v>30</v>
      </c>
      <c r="I95" s="9">
        <v>4.643962848297214</v>
      </c>
      <c r="J95" s="7">
        <v>0</v>
      </c>
      <c r="K95" s="9">
        <v>0</v>
      </c>
      <c r="L95" s="7">
        <v>0</v>
      </c>
      <c r="M95" s="9">
        <v>0</v>
      </c>
      <c r="N95" s="7">
        <v>0</v>
      </c>
      <c r="O95" s="9">
        <v>0</v>
      </c>
      <c r="P95" s="7">
        <v>0</v>
      </c>
      <c r="Q95" s="9">
        <v>0</v>
      </c>
      <c r="R95" s="7">
        <v>4</v>
      </c>
      <c r="S95" s="9">
        <v>0.61919504643962853</v>
      </c>
      <c r="T95" s="7">
        <v>43</v>
      </c>
      <c r="U95" s="9">
        <v>6.6563467492260067</v>
      </c>
      <c r="V95" s="10" t="str">
        <f t="shared" si="9"/>
        <v>CONGRESSGAIN</v>
      </c>
      <c r="W95" s="11">
        <f t="shared" si="15"/>
        <v>50</v>
      </c>
      <c r="X95" s="10" t="str">
        <f t="shared" si="11"/>
        <v>VERYHIGHMARGIN</v>
      </c>
    </row>
    <row r="96" spans="1:24">
      <c r="A96" s="7">
        <v>94</v>
      </c>
      <c r="B96" s="8" t="s">
        <v>126</v>
      </c>
      <c r="C96" s="7">
        <v>479</v>
      </c>
      <c r="D96" s="7">
        <v>77</v>
      </c>
      <c r="E96" s="9">
        <v>16.075156576200417</v>
      </c>
      <c r="F96" s="7">
        <v>363</v>
      </c>
      <c r="G96" s="9">
        <v>75.782881002087677</v>
      </c>
      <c r="H96" s="7">
        <v>14</v>
      </c>
      <c r="I96" s="9">
        <v>2.9227557411273488</v>
      </c>
      <c r="J96" s="7">
        <v>0</v>
      </c>
      <c r="K96" s="9">
        <v>0</v>
      </c>
      <c r="L96" s="7">
        <v>0</v>
      </c>
      <c r="M96" s="9">
        <v>0</v>
      </c>
      <c r="N96" s="7">
        <v>0</v>
      </c>
      <c r="O96" s="9">
        <v>0</v>
      </c>
      <c r="P96" s="7">
        <v>0</v>
      </c>
      <c r="Q96" s="9">
        <v>0</v>
      </c>
      <c r="R96" s="7">
        <v>0</v>
      </c>
      <c r="S96" s="9">
        <v>0</v>
      </c>
      <c r="T96" s="7">
        <v>25</v>
      </c>
      <c r="U96" s="9">
        <v>5.2192066805845512</v>
      </c>
      <c r="V96" s="10" t="str">
        <f t="shared" si="9"/>
        <v>CONGRESSGAIN</v>
      </c>
      <c r="W96" s="11">
        <f t="shared" si="15"/>
        <v>59.707724425887264</v>
      </c>
      <c r="X96" s="10" t="str">
        <f t="shared" si="11"/>
        <v>VERYHIGHMARGIN</v>
      </c>
    </row>
    <row r="97" spans="1:24">
      <c r="A97" s="7">
        <v>95</v>
      </c>
      <c r="B97" s="8" t="s">
        <v>126</v>
      </c>
      <c r="C97" s="7">
        <v>562</v>
      </c>
      <c r="D97" s="7">
        <v>166</v>
      </c>
      <c r="E97" s="9">
        <v>29.537366548042705</v>
      </c>
      <c r="F97" s="7">
        <v>333</v>
      </c>
      <c r="G97" s="9">
        <v>59.252669039145907</v>
      </c>
      <c r="H97" s="7">
        <v>23</v>
      </c>
      <c r="I97" s="9">
        <v>4.092526690391459</v>
      </c>
      <c r="J97" s="7">
        <v>0</v>
      </c>
      <c r="K97" s="9">
        <v>0</v>
      </c>
      <c r="L97" s="7">
        <v>0</v>
      </c>
      <c r="M97" s="9">
        <v>0</v>
      </c>
      <c r="N97" s="7">
        <v>0</v>
      </c>
      <c r="O97" s="9">
        <v>0</v>
      </c>
      <c r="P97" s="7">
        <v>0</v>
      </c>
      <c r="Q97" s="9">
        <v>0</v>
      </c>
      <c r="R97" s="7">
        <v>3</v>
      </c>
      <c r="S97" s="9">
        <v>0.53380782918149461</v>
      </c>
      <c r="T97" s="7">
        <v>37</v>
      </c>
      <c r="U97" s="9">
        <v>6.5836298932384336</v>
      </c>
      <c r="V97" s="10" t="str">
        <f t="shared" si="9"/>
        <v>CONGRESSGAIN</v>
      </c>
      <c r="W97" s="11">
        <f t="shared" si="15"/>
        <v>29.715302491103202</v>
      </c>
      <c r="X97" s="12" t="str">
        <f t="shared" si="11"/>
        <v>LOWMARGIN</v>
      </c>
    </row>
    <row r="98" spans="1:24">
      <c r="A98" s="14">
        <v>96</v>
      </c>
      <c r="B98" s="15" t="s">
        <v>126</v>
      </c>
      <c r="C98" s="14">
        <v>641</v>
      </c>
      <c r="D98" s="14">
        <v>447</v>
      </c>
      <c r="E98" s="16">
        <v>69.73478939157566</v>
      </c>
      <c r="F98" s="14">
        <v>181</v>
      </c>
      <c r="G98" s="16">
        <v>28.237129485179405</v>
      </c>
      <c r="H98" s="14">
        <v>7</v>
      </c>
      <c r="I98" s="16">
        <v>1.0920436817472698</v>
      </c>
      <c r="J98" s="14">
        <v>0</v>
      </c>
      <c r="K98" s="16">
        <v>0</v>
      </c>
      <c r="L98" s="14">
        <v>0</v>
      </c>
      <c r="M98" s="16">
        <v>0</v>
      </c>
      <c r="N98" s="14">
        <v>0</v>
      </c>
      <c r="O98" s="16">
        <v>0</v>
      </c>
      <c r="P98" s="14">
        <v>0</v>
      </c>
      <c r="Q98" s="16">
        <v>0</v>
      </c>
      <c r="R98" s="14">
        <v>2</v>
      </c>
      <c r="S98" s="16">
        <v>0.31201248049921998</v>
      </c>
      <c r="T98" s="14">
        <v>4</v>
      </c>
      <c r="U98" s="16">
        <v>0.62402496099843996</v>
      </c>
      <c r="V98" s="17" t="str">
        <f t="shared" si="9"/>
        <v>BJP GAIN</v>
      </c>
      <c r="W98" s="11">
        <f t="shared" si="10"/>
        <v>41.497659906396251</v>
      </c>
      <c r="X98" s="18" t="str">
        <f t="shared" si="11"/>
        <v>HIGHMARGIN</v>
      </c>
    </row>
    <row r="99" spans="1:24">
      <c r="A99" s="7">
        <v>97</v>
      </c>
      <c r="B99" s="8" t="s">
        <v>126</v>
      </c>
      <c r="C99" s="7">
        <v>797</v>
      </c>
      <c r="D99" s="7">
        <v>171</v>
      </c>
      <c r="E99" s="9">
        <v>21.455457967377669</v>
      </c>
      <c r="F99" s="7">
        <v>541</v>
      </c>
      <c r="G99" s="9">
        <v>67.879548306148052</v>
      </c>
      <c r="H99" s="7">
        <v>28</v>
      </c>
      <c r="I99" s="9">
        <v>3.5131744040150568</v>
      </c>
      <c r="J99" s="7">
        <v>0</v>
      </c>
      <c r="K99" s="9">
        <v>0</v>
      </c>
      <c r="L99" s="7">
        <v>0</v>
      </c>
      <c r="M99" s="9">
        <v>0</v>
      </c>
      <c r="N99" s="7">
        <v>0</v>
      </c>
      <c r="O99" s="9">
        <v>0</v>
      </c>
      <c r="P99" s="7">
        <v>0</v>
      </c>
      <c r="Q99" s="9">
        <v>0</v>
      </c>
      <c r="R99" s="7">
        <v>10</v>
      </c>
      <c r="S99" s="9">
        <v>1.2547051442910917</v>
      </c>
      <c r="T99" s="7">
        <v>47</v>
      </c>
      <c r="U99" s="9">
        <v>5.8971141781681311</v>
      </c>
      <c r="V99" s="10" t="str">
        <f t="shared" si="9"/>
        <v>CONGRESSGAIN</v>
      </c>
      <c r="W99" s="11">
        <f t="shared" si="15"/>
        <v>46.424090338770384</v>
      </c>
      <c r="X99" s="18" t="str">
        <f t="shared" si="11"/>
        <v>HIGHMARGIN</v>
      </c>
    </row>
    <row r="100" spans="1:24">
      <c r="A100" s="7">
        <v>98</v>
      </c>
      <c r="B100" s="8" t="s">
        <v>126</v>
      </c>
      <c r="C100" s="7">
        <v>399</v>
      </c>
      <c r="D100" s="7">
        <v>101</v>
      </c>
      <c r="E100" s="9">
        <v>25.313283208020049</v>
      </c>
      <c r="F100" s="7">
        <v>268</v>
      </c>
      <c r="G100" s="9">
        <v>67.167919799498748</v>
      </c>
      <c r="H100" s="7">
        <v>11</v>
      </c>
      <c r="I100" s="9">
        <v>2.7568922305764412</v>
      </c>
      <c r="J100" s="7">
        <v>0</v>
      </c>
      <c r="K100" s="9">
        <v>0</v>
      </c>
      <c r="L100" s="7">
        <v>0</v>
      </c>
      <c r="M100" s="9">
        <v>0</v>
      </c>
      <c r="N100" s="7">
        <v>0</v>
      </c>
      <c r="O100" s="9">
        <v>0</v>
      </c>
      <c r="P100" s="7">
        <v>0</v>
      </c>
      <c r="Q100" s="9">
        <v>0</v>
      </c>
      <c r="R100" s="7">
        <v>7</v>
      </c>
      <c r="S100" s="9">
        <v>1.7543859649122806</v>
      </c>
      <c r="T100" s="7">
        <v>12</v>
      </c>
      <c r="U100" s="9">
        <v>3.007518796992481</v>
      </c>
      <c r="V100" s="10" t="str">
        <f t="shared" si="9"/>
        <v>CONGRESSGAIN</v>
      </c>
      <c r="W100" s="11">
        <f t="shared" si="15"/>
        <v>41.854636591478695</v>
      </c>
      <c r="X100" s="18" t="str">
        <f t="shared" si="11"/>
        <v>HIGHMARGIN</v>
      </c>
    </row>
    <row r="101" spans="1:24">
      <c r="A101" s="14">
        <v>99</v>
      </c>
      <c r="B101" s="15" t="s">
        <v>126</v>
      </c>
      <c r="C101" s="14">
        <v>342</v>
      </c>
      <c r="D101" s="14">
        <v>231</v>
      </c>
      <c r="E101" s="16">
        <v>67.543859649122808</v>
      </c>
      <c r="F101" s="14">
        <v>104</v>
      </c>
      <c r="G101" s="16">
        <v>30.4093567251462</v>
      </c>
      <c r="H101" s="14">
        <v>6</v>
      </c>
      <c r="I101" s="16">
        <v>1.7543859649122808</v>
      </c>
      <c r="J101" s="14">
        <v>0</v>
      </c>
      <c r="K101" s="16">
        <v>0</v>
      </c>
      <c r="L101" s="14">
        <v>0</v>
      </c>
      <c r="M101" s="16">
        <v>0</v>
      </c>
      <c r="N101" s="14">
        <v>0</v>
      </c>
      <c r="O101" s="16">
        <v>0</v>
      </c>
      <c r="P101" s="14">
        <v>0</v>
      </c>
      <c r="Q101" s="16">
        <v>0</v>
      </c>
      <c r="R101" s="14">
        <v>0</v>
      </c>
      <c r="S101" s="16">
        <v>0</v>
      </c>
      <c r="T101" s="14">
        <v>1</v>
      </c>
      <c r="U101" s="16">
        <v>0.29239766081871343</v>
      </c>
      <c r="V101" s="17" t="str">
        <f t="shared" si="9"/>
        <v>BJP GAIN</v>
      </c>
      <c r="W101" s="11">
        <f t="shared" si="10"/>
        <v>37.134502923976612</v>
      </c>
      <c r="X101" s="19" t="str">
        <f t="shared" si="11"/>
        <v>MEDIUMMARGIN</v>
      </c>
    </row>
    <row r="102" spans="1:24">
      <c r="A102" s="14">
        <v>100</v>
      </c>
      <c r="B102" s="15" t="s">
        <v>126</v>
      </c>
      <c r="C102" s="14">
        <v>614</v>
      </c>
      <c r="D102" s="14">
        <v>453</v>
      </c>
      <c r="E102" s="16">
        <v>73.7785016286645</v>
      </c>
      <c r="F102" s="14">
        <v>142</v>
      </c>
      <c r="G102" s="16">
        <v>23.127035830618894</v>
      </c>
      <c r="H102" s="14">
        <v>10</v>
      </c>
      <c r="I102" s="16">
        <v>1.6286644951140066</v>
      </c>
      <c r="J102" s="14">
        <v>0</v>
      </c>
      <c r="K102" s="16">
        <v>0</v>
      </c>
      <c r="L102" s="14">
        <v>0</v>
      </c>
      <c r="M102" s="16">
        <v>0</v>
      </c>
      <c r="N102" s="14">
        <v>0</v>
      </c>
      <c r="O102" s="16">
        <v>0</v>
      </c>
      <c r="P102" s="14">
        <v>0</v>
      </c>
      <c r="Q102" s="16">
        <v>0</v>
      </c>
      <c r="R102" s="14">
        <v>4</v>
      </c>
      <c r="S102" s="16">
        <v>0.65146579804560267</v>
      </c>
      <c r="T102" s="14">
        <v>5</v>
      </c>
      <c r="U102" s="16">
        <v>0.81433224755700329</v>
      </c>
      <c r="V102" s="17" t="str">
        <f t="shared" si="9"/>
        <v>BJP GAIN</v>
      </c>
      <c r="W102" s="11">
        <f t="shared" si="10"/>
        <v>50.651465798045606</v>
      </c>
      <c r="X102" s="10" t="str">
        <f t="shared" si="11"/>
        <v>VERYHIGHMARGIN</v>
      </c>
    </row>
    <row r="103" spans="1:24">
      <c r="A103" s="7">
        <v>101</v>
      </c>
      <c r="B103" s="8" t="s">
        <v>126</v>
      </c>
      <c r="C103" s="7">
        <v>485</v>
      </c>
      <c r="D103" s="7">
        <v>156</v>
      </c>
      <c r="E103" s="9">
        <v>32.164948453608247</v>
      </c>
      <c r="F103" s="7">
        <v>297</v>
      </c>
      <c r="G103" s="9">
        <v>61.237113402061858</v>
      </c>
      <c r="H103" s="7">
        <v>9</v>
      </c>
      <c r="I103" s="9">
        <v>1.8556701030927836</v>
      </c>
      <c r="J103" s="7">
        <v>0</v>
      </c>
      <c r="K103" s="9">
        <v>0</v>
      </c>
      <c r="L103" s="7">
        <v>0</v>
      </c>
      <c r="M103" s="9">
        <v>0</v>
      </c>
      <c r="N103" s="7">
        <v>0</v>
      </c>
      <c r="O103" s="9">
        <v>0</v>
      </c>
      <c r="P103" s="7">
        <v>0</v>
      </c>
      <c r="Q103" s="9">
        <v>0</v>
      </c>
      <c r="R103" s="7">
        <v>15</v>
      </c>
      <c r="S103" s="9">
        <v>3.0927835051546393</v>
      </c>
      <c r="T103" s="7">
        <v>8</v>
      </c>
      <c r="U103" s="9">
        <v>1.6494845360824744</v>
      </c>
      <c r="V103" s="10" t="str">
        <f t="shared" si="9"/>
        <v>CONGRESSGAIN</v>
      </c>
      <c r="W103" s="11">
        <f t="shared" ref="W103:W108" si="16">G103-E103</f>
        <v>29.072164948453612</v>
      </c>
      <c r="X103" s="12" t="str">
        <f t="shared" si="11"/>
        <v>LOWMARGIN</v>
      </c>
    </row>
    <row r="104" spans="1:24">
      <c r="A104" s="7">
        <v>102</v>
      </c>
      <c r="B104" s="8" t="s">
        <v>126</v>
      </c>
      <c r="C104" s="7">
        <v>411</v>
      </c>
      <c r="D104" s="7">
        <v>188</v>
      </c>
      <c r="E104" s="9">
        <v>45.742092457420924</v>
      </c>
      <c r="F104" s="7">
        <v>201</v>
      </c>
      <c r="G104" s="9">
        <v>48.905109489051092</v>
      </c>
      <c r="H104" s="7">
        <v>11</v>
      </c>
      <c r="I104" s="9">
        <v>2.6763990267639901</v>
      </c>
      <c r="J104" s="7">
        <v>0</v>
      </c>
      <c r="K104" s="9">
        <v>0</v>
      </c>
      <c r="L104" s="7">
        <v>0</v>
      </c>
      <c r="M104" s="9">
        <v>0</v>
      </c>
      <c r="N104" s="7">
        <v>0</v>
      </c>
      <c r="O104" s="9">
        <v>0</v>
      </c>
      <c r="P104" s="7">
        <v>0</v>
      </c>
      <c r="Q104" s="9">
        <v>0</v>
      </c>
      <c r="R104" s="7">
        <v>3</v>
      </c>
      <c r="S104" s="9">
        <v>0.72992700729927007</v>
      </c>
      <c r="T104" s="7">
        <v>8</v>
      </c>
      <c r="U104" s="9">
        <v>1.94647201946472</v>
      </c>
      <c r="V104" s="10" t="str">
        <f t="shared" si="9"/>
        <v>CONGRESSGAIN</v>
      </c>
      <c r="W104" s="11">
        <f t="shared" si="16"/>
        <v>3.1630170316301687</v>
      </c>
      <c r="X104" s="13" t="str">
        <f t="shared" si="11"/>
        <v>NARROWMARGIN</v>
      </c>
    </row>
    <row r="105" spans="1:24">
      <c r="A105" s="7">
        <v>103</v>
      </c>
      <c r="B105" s="8" t="s">
        <v>126</v>
      </c>
      <c r="C105" s="7">
        <v>424</v>
      </c>
      <c r="D105" s="7">
        <v>17</v>
      </c>
      <c r="E105" s="9">
        <v>4.0094339622641506</v>
      </c>
      <c r="F105" s="7">
        <v>356</v>
      </c>
      <c r="G105" s="9">
        <v>83.962264150943398</v>
      </c>
      <c r="H105" s="7">
        <v>17</v>
      </c>
      <c r="I105" s="9">
        <v>4.0094339622641506</v>
      </c>
      <c r="J105" s="7">
        <v>0</v>
      </c>
      <c r="K105" s="9">
        <v>0</v>
      </c>
      <c r="L105" s="7">
        <v>0</v>
      </c>
      <c r="M105" s="9">
        <v>0</v>
      </c>
      <c r="N105" s="7">
        <v>0</v>
      </c>
      <c r="O105" s="9">
        <v>0</v>
      </c>
      <c r="P105" s="7">
        <v>0</v>
      </c>
      <c r="Q105" s="9">
        <v>0</v>
      </c>
      <c r="R105" s="7">
        <v>6</v>
      </c>
      <c r="S105" s="9">
        <v>1.4150943396226414</v>
      </c>
      <c r="T105" s="7">
        <v>28</v>
      </c>
      <c r="U105" s="9">
        <v>6.6037735849056602</v>
      </c>
      <c r="V105" s="10" t="str">
        <f t="shared" si="9"/>
        <v>CONGRESSGAIN</v>
      </c>
      <c r="W105" s="11">
        <f t="shared" si="16"/>
        <v>79.952830188679243</v>
      </c>
      <c r="X105" s="10" t="str">
        <f t="shared" si="11"/>
        <v>VERYHIGHMARGIN</v>
      </c>
    </row>
    <row r="106" spans="1:24">
      <c r="A106" s="7">
        <v>104</v>
      </c>
      <c r="B106" s="8" t="s">
        <v>126</v>
      </c>
      <c r="C106" s="7">
        <v>650</v>
      </c>
      <c r="D106" s="7">
        <v>308</v>
      </c>
      <c r="E106" s="9">
        <v>47.384615384615387</v>
      </c>
      <c r="F106" s="7">
        <v>313</v>
      </c>
      <c r="G106" s="9">
        <v>48.153846153846153</v>
      </c>
      <c r="H106" s="7">
        <v>5</v>
      </c>
      <c r="I106" s="9">
        <v>0.76923076923076927</v>
      </c>
      <c r="J106" s="7">
        <v>0</v>
      </c>
      <c r="K106" s="9">
        <v>0</v>
      </c>
      <c r="L106" s="7">
        <v>0</v>
      </c>
      <c r="M106" s="9">
        <v>0</v>
      </c>
      <c r="N106" s="7">
        <v>0</v>
      </c>
      <c r="O106" s="9">
        <v>0</v>
      </c>
      <c r="P106" s="7">
        <v>0</v>
      </c>
      <c r="Q106" s="9">
        <v>0</v>
      </c>
      <c r="R106" s="7">
        <v>2</v>
      </c>
      <c r="S106" s="9">
        <v>0.30769230769230771</v>
      </c>
      <c r="T106" s="7">
        <v>22</v>
      </c>
      <c r="U106" s="9">
        <v>3.3846153846153846</v>
      </c>
      <c r="V106" s="10" t="str">
        <f t="shared" si="9"/>
        <v>CONGRESSGAIN</v>
      </c>
      <c r="W106" s="11">
        <f t="shared" si="16"/>
        <v>0.7692307692307665</v>
      </c>
      <c r="X106" s="13" t="str">
        <f>IF(W106&gt;=50,"VERYHIGHMARGIN",IF(W106&gt;=40,"HIGHMARGIN",IF(W106&gt;=30,"MEDIUMMARGIN",IF(W106&gt;10,"LOWMARGIN",IF(W106&lt;1,"NARROWMARGIN")))))</f>
        <v>NARROWMARGIN</v>
      </c>
    </row>
    <row r="107" spans="1:24">
      <c r="A107" s="7">
        <v>105</v>
      </c>
      <c r="B107" s="8" t="s">
        <v>126</v>
      </c>
      <c r="C107" s="7">
        <v>515</v>
      </c>
      <c r="D107" s="7">
        <v>98</v>
      </c>
      <c r="E107" s="9">
        <v>19.029126213592232</v>
      </c>
      <c r="F107" s="7">
        <v>389</v>
      </c>
      <c r="G107" s="9">
        <v>75.533980582524265</v>
      </c>
      <c r="H107" s="7">
        <v>0</v>
      </c>
      <c r="I107" s="9">
        <v>0</v>
      </c>
      <c r="J107" s="7">
        <v>0</v>
      </c>
      <c r="K107" s="9">
        <v>0</v>
      </c>
      <c r="L107" s="7">
        <v>0</v>
      </c>
      <c r="M107" s="9">
        <v>0</v>
      </c>
      <c r="N107" s="7">
        <v>1</v>
      </c>
      <c r="O107" s="9">
        <v>0.1941747572815534</v>
      </c>
      <c r="P107" s="7">
        <v>0</v>
      </c>
      <c r="Q107" s="9">
        <v>0</v>
      </c>
      <c r="R107" s="7">
        <v>3</v>
      </c>
      <c r="S107" s="9">
        <v>0.58252427184466016</v>
      </c>
      <c r="T107" s="7">
        <v>24</v>
      </c>
      <c r="U107" s="9">
        <v>4.6601941747572813</v>
      </c>
      <c r="V107" s="10" t="str">
        <f t="shared" si="9"/>
        <v>CONGRESSGAIN</v>
      </c>
      <c r="W107" s="11">
        <f t="shared" si="16"/>
        <v>56.50485436893203</v>
      </c>
      <c r="X107" s="10" t="str">
        <f t="shared" si="11"/>
        <v>VERYHIGHMARGIN</v>
      </c>
    </row>
    <row r="108" spans="1:24">
      <c r="A108" s="7">
        <v>106</v>
      </c>
      <c r="B108" s="8" t="s">
        <v>126</v>
      </c>
      <c r="C108" s="7">
        <v>575</v>
      </c>
      <c r="D108" s="7">
        <v>12</v>
      </c>
      <c r="E108" s="9">
        <v>2.0869565217391304</v>
      </c>
      <c r="F108" s="7">
        <v>519</v>
      </c>
      <c r="G108" s="9">
        <v>90.260869565217391</v>
      </c>
      <c r="H108" s="7">
        <v>6</v>
      </c>
      <c r="I108" s="9">
        <v>1.0434782608695652</v>
      </c>
      <c r="J108" s="7">
        <v>0</v>
      </c>
      <c r="K108" s="9">
        <v>0</v>
      </c>
      <c r="L108" s="7">
        <v>0</v>
      </c>
      <c r="M108" s="9">
        <v>0</v>
      </c>
      <c r="N108" s="7">
        <v>0</v>
      </c>
      <c r="O108" s="9">
        <v>0</v>
      </c>
      <c r="P108" s="7">
        <v>0</v>
      </c>
      <c r="Q108" s="9">
        <v>0</v>
      </c>
      <c r="R108" s="7">
        <v>5</v>
      </c>
      <c r="S108" s="9">
        <v>0.86956521739130432</v>
      </c>
      <c r="T108" s="7">
        <v>33</v>
      </c>
      <c r="U108" s="9">
        <v>5.7391304347826084</v>
      </c>
      <c r="V108" s="10" t="str">
        <f t="shared" si="9"/>
        <v>CONGRESSGAIN</v>
      </c>
      <c r="W108" s="11">
        <f t="shared" si="16"/>
        <v>88.173913043478265</v>
      </c>
      <c r="X108" s="10" t="str">
        <f t="shared" si="11"/>
        <v>VERYHIGHMARGIN</v>
      </c>
    </row>
    <row r="109" spans="1:24">
      <c r="A109" s="14">
        <v>107</v>
      </c>
      <c r="B109" s="15" t="s">
        <v>126</v>
      </c>
      <c r="C109" s="14">
        <v>322</v>
      </c>
      <c r="D109" s="14">
        <v>170</v>
      </c>
      <c r="E109" s="16">
        <v>52.795031055900616</v>
      </c>
      <c r="F109" s="14">
        <v>142</v>
      </c>
      <c r="G109" s="16">
        <v>44.099378881987576</v>
      </c>
      <c r="H109" s="14">
        <v>2</v>
      </c>
      <c r="I109" s="16">
        <v>0.6211180124223602</v>
      </c>
      <c r="J109" s="14">
        <v>0</v>
      </c>
      <c r="K109" s="16">
        <v>0</v>
      </c>
      <c r="L109" s="14">
        <v>0</v>
      </c>
      <c r="M109" s="16">
        <v>0</v>
      </c>
      <c r="N109" s="14">
        <v>3</v>
      </c>
      <c r="O109" s="16">
        <v>0.93167701863354035</v>
      </c>
      <c r="P109" s="14">
        <v>0</v>
      </c>
      <c r="Q109" s="16">
        <v>0</v>
      </c>
      <c r="R109" s="14">
        <v>1</v>
      </c>
      <c r="S109" s="16">
        <v>0.3105590062111801</v>
      </c>
      <c r="T109" s="14">
        <v>4</v>
      </c>
      <c r="U109" s="16">
        <v>1.2422360248447204</v>
      </c>
      <c r="V109" s="17" t="str">
        <f t="shared" si="9"/>
        <v>BJP GAIN</v>
      </c>
      <c r="W109" s="11">
        <f t="shared" si="10"/>
        <v>8.6956521739130395</v>
      </c>
      <c r="X109" s="13" t="str">
        <f t="shared" si="11"/>
        <v>NARROWMARGIN</v>
      </c>
    </row>
    <row r="110" spans="1:24">
      <c r="A110" s="14">
        <v>108</v>
      </c>
      <c r="B110" s="15" t="s">
        <v>126</v>
      </c>
      <c r="C110" s="14">
        <v>574</v>
      </c>
      <c r="D110" s="14">
        <v>401</v>
      </c>
      <c r="E110" s="16">
        <v>69.860627177700351</v>
      </c>
      <c r="F110" s="14">
        <v>156</v>
      </c>
      <c r="G110" s="16">
        <v>27.177700348432055</v>
      </c>
      <c r="H110" s="14">
        <v>3</v>
      </c>
      <c r="I110" s="16">
        <v>0.52264808362369342</v>
      </c>
      <c r="J110" s="14">
        <v>0</v>
      </c>
      <c r="K110" s="16">
        <v>0</v>
      </c>
      <c r="L110" s="14">
        <v>0</v>
      </c>
      <c r="M110" s="16">
        <v>0</v>
      </c>
      <c r="N110" s="14">
        <v>0</v>
      </c>
      <c r="O110" s="16">
        <v>0</v>
      </c>
      <c r="P110" s="14">
        <v>0</v>
      </c>
      <c r="Q110" s="16">
        <v>0</v>
      </c>
      <c r="R110" s="14">
        <v>5</v>
      </c>
      <c r="S110" s="16">
        <v>0.87108013937282225</v>
      </c>
      <c r="T110" s="14">
        <v>9</v>
      </c>
      <c r="U110" s="16">
        <v>1.5679442508710801</v>
      </c>
      <c r="V110" s="17" t="str">
        <f t="shared" si="9"/>
        <v>BJP GAIN</v>
      </c>
      <c r="W110" s="11">
        <f t="shared" si="10"/>
        <v>42.682926829268297</v>
      </c>
      <c r="X110" s="18" t="str">
        <f t="shared" si="11"/>
        <v>HIGHMARGIN</v>
      </c>
    </row>
    <row r="111" spans="1:24">
      <c r="A111" s="14">
        <v>109</v>
      </c>
      <c r="B111" s="15" t="s">
        <v>126</v>
      </c>
      <c r="C111" s="14">
        <v>543</v>
      </c>
      <c r="D111" s="14">
        <v>369</v>
      </c>
      <c r="E111" s="16">
        <v>67.95580110497238</v>
      </c>
      <c r="F111" s="14">
        <v>149</v>
      </c>
      <c r="G111" s="16">
        <v>27.440147329650095</v>
      </c>
      <c r="H111" s="14">
        <v>4</v>
      </c>
      <c r="I111" s="16">
        <v>0.73664825046040516</v>
      </c>
      <c r="J111" s="14">
        <v>0</v>
      </c>
      <c r="K111" s="16">
        <v>0</v>
      </c>
      <c r="L111" s="14">
        <v>0</v>
      </c>
      <c r="M111" s="16">
        <v>0</v>
      </c>
      <c r="N111" s="14">
        <v>0</v>
      </c>
      <c r="O111" s="16">
        <v>0</v>
      </c>
      <c r="P111" s="14">
        <v>0</v>
      </c>
      <c r="Q111" s="16">
        <v>0</v>
      </c>
      <c r="R111" s="14">
        <v>13</v>
      </c>
      <c r="S111" s="16">
        <v>2.3941068139963169</v>
      </c>
      <c r="T111" s="14">
        <v>8</v>
      </c>
      <c r="U111" s="16">
        <v>1.4732965009208103</v>
      </c>
      <c r="V111" s="17" t="str">
        <f t="shared" si="9"/>
        <v>BJP GAIN</v>
      </c>
      <c r="W111" s="11">
        <f t="shared" si="10"/>
        <v>40.515653775322285</v>
      </c>
      <c r="X111" s="18" t="str">
        <f t="shared" si="11"/>
        <v>HIGHMARGIN</v>
      </c>
    </row>
    <row r="112" spans="1:24">
      <c r="A112" s="14">
        <v>110</v>
      </c>
      <c r="B112" s="15" t="s">
        <v>126</v>
      </c>
      <c r="C112" s="14">
        <v>677</v>
      </c>
      <c r="D112" s="14">
        <v>510</v>
      </c>
      <c r="E112" s="16">
        <v>75.332348596750379</v>
      </c>
      <c r="F112" s="14">
        <v>150</v>
      </c>
      <c r="G112" s="16">
        <v>22.156573116691288</v>
      </c>
      <c r="H112" s="14">
        <v>6</v>
      </c>
      <c r="I112" s="16">
        <v>0.88626292466765144</v>
      </c>
      <c r="J112" s="14">
        <v>0</v>
      </c>
      <c r="K112" s="16">
        <v>0</v>
      </c>
      <c r="L112" s="14">
        <v>0</v>
      </c>
      <c r="M112" s="16">
        <v>0</v>
      </c>
      <c r="N112" s="14">
        <v>0</v>
      </c>
      <c r="O112" s="16">
        <v>0</v>
      </c>
      <c r="P112" s="14">
        <v>0</v>
      </c>
      <c r="Q112" s="16">
        <v>0</v>
      </c>
      <c r="R112" s="14">
        <v>4</v>
      </c>
      <c r="S112" s="16">
        <v>0.59084194977843429</v>
      </c>
      <c r="T112" s="14">
        <v>7</v>
      </c>
      <c r="U112" s="16">
        <v>1.0339734121122601</v>
      </c>
      <c r="V112" s="17" t="str">
        <f t="shared" si="9"/>
        <v>BJP GAIN</v>
      </c>
      <c r="W112" s="11">
        <f t="shared" si="10"/>
        <v>53.175775480059087</v>
      </c>
      <c r="X112" s="10" t="str">
        <f t="shared" si="11"/>
        <v>VERYHIGHMARGIN</v>
      </c>
    </row>
    <row r="113" spans="1:24">
      <c r="A113" s="14">
        <v>111</v>
      </c>
      <c r="B113" s="15" t="s">
        <v>126</v>
      </c>
      <c r="C113" s="14">
        <v>520</v>
      </c>
      <c r="D113" s="14">
        <v>385</v>
      </c>
      <c r="E113" s="16">
        <v>74.038461538461533</v>
      </c>
      <c r="F113" s="14">
        <v>123</v>
      </c>
      <c r="G113" s="16">
        <v>23.653846153846153</v>
      </c>
      <c r="H113" s="14">
        <v>1</v>
      </c>
      <c r="I113" s="16">
        <v>0.19230769230769229</v>
      </c>
      <c r="J113" s="14">
        <v>0</v>
      </c>
      <c r="K113" s="16">
        <v>0</v>
      </c>
      <c r="L113" s="14">
        <v>0</v>
      </c>
      <c r="M113" s="16">
        <v>0</v>
      </c>
      <c r="N113" s="14">
        <v>1</v>
      </c>
      <c r="O113" s="16">
        <v>0.19230769230769229</v>
      </c>
      <c r="P113" s="14">
        <v>0</v>
      </c>
      <c r="Q113" s="16">
        <v>0</v>
      </c>
      <c r="R113" s="14">
        <v>6</v>
      </c>
      <c r="S113" s="16">
        <v>1.1538461538461537</v>
      </c>
      <c r="T113" s="14">
        <v>4</v>
      </c>
      <c r="U113" s="16">
        <v>0.76923076923076916</v>
      </c>
      <c r="V113" s="17" t="str">
        <f t="shared" si="9"/>
        <v>BJP GAIN</v>
      </c>
      <c r="W113" s="11">
        <f t="shared" si="10"/>
        <v>50.38461538461538</v>
      </c>
      <c r="X113" s="10" t="str">
        <f t="shared" si="11"/>
        <v>VERYHIGHMARGIN</v>
      </c>
    </row>
    <row r="114" spans="1:24">
      <c r="A114" s="14">
        <v>112</v>
      </c>
      <c r="B114" s="15" t="s">
        <v>126</v>
      </c>
      <c r="C114" s="14">
        <v>498</v>
      </c>
      <c r="D114" s="14">
        <v>263</v>
      </c>
      <c r="E114" s="16">
        <v>52.811244979919671</v>
      </c>
      <c r="F114" s="14">
        <v>223</v>
      </c>
      <c r="G114" s="16">
        <v>44.779116465863453</v>
      </c>
      <c r="H114" s="14">
        <v>5</v>
      </c>
      <c r="I114" s="16">
        <v>1.0040160642570279</v>
      </c>
      <c r="J114" s="14">
        <v>0</v>
      </c>
      <c r="K114" s="16">
        <v>0</v>
      </c>
      <c r="L114" s="14">
        <v>0</v>
      </c>
      <c r="M114" s="16">
        <v>0</v>
      </c>
      <c r="N114" s="14">
        <v>0</v>
      </c>
      <c r="O114" s="16">
        <v>0</v>
      </c>
      <c r="P114" s="14">
        <v>0</v>
      </c>
      <c r="Q114" s="16">
        <v>0</v>
      </c>
      <c r="R114" s="14">
        <v>3</v>
      </c>
      <c r="S114" s="16">
        <v>0.60240963855421681</v>
      </c>
      <c r="T114" s="14">
        <v>4</v>
      </c>
      <c r="U114" s="16">
        <v>0.80321285140562237</v>
      </c>
      <c r="V114" s="17" t="str">
        <f t="shared" si="9"/>
        <v>BJP GAIN</v>
      </c>
      <c r="W114" s="11">
        <f t="shared" si="10"/>
        <v>8.0321285140562182</v>
      </c>
      <c r="X114" s="13" t="str">
        <f t="shared" si="11"/>
        <v>NARROWMARGIN</v>
      </c>
    </row>
    <row r="115" spans="1:24">
      <c r="A115" s="7">
        <v>113</v>
      </c>
      <c r="B115" s="8" t="s">
        <v>126</v>
      </c>
      <c r="C115" s="7">
        <v>480</v>
      </c>
      <c r="D115" s="7">
        <v>145</v>
      </c>
      <c r="E115" s="9">
        <v>30.208333333333336</v>
      </c>
      <c r="F115" s="7">
        <v>321</v>
      </c>
      <c r="G115" s="9">
        <v>66.875</v>
      </c>
      <c r="H115" s="7">
        <v>4</v>
      </c>
      <c r="I115" s="9">
        <v>0.83333333333333337</v>
      </c>
      <c r="J115" s="7">
        <v>0</v>
      </c>
      <c r="K115" s="9">
        <v>0</v>
      </c>
      <c r="L115" s="7">
        <v>0</v>
      </c>
      <c r="M115" s="9">
        <v>0</v>
      </c>
      <c r="N115" s="7">
        <v>1</v>
      </c>
      <c r="O115" s="9">
        <v>0.20833333333333334</v>
      </c>
      <c r="P115" s="7">
        <v>0</v>
      </c>
      <c r="Q115" s="9">
        <v>0</v>
      </c>
      <c r="R115" s="7">
        <v>2</v>
      </c>
      <c r="S115" s="9">
        <v>0.41666666666666669</v>
      </c>
      <c r="T115" s="7">
        <v>7</v>
      </c>
      <c r="U115" s="9">
        <v>1.4583333333333335</v>
      </c>
      <c r="V115" s="10" t="str">
        <f t="shared" si="9"/>
        <v>CONGRESSGAIN</v>
      </c>
      <c r="W115" s="11">
        <f t="shared" ref="W115:W123" si="17">G115-E115</f>
        <v>36.666666666666664</v>
      </c>
      <c r="X115" s="19" t="str">
        <f t="shared" si="11"/>
        <v>MEDIUMMARGIN</v>
      </c>
    </row>
    <row r="116" spans="1:24">
      <c r="A116" s="7">
        <v>114</v>
      </c>
      <c r="B116" s="8" t="s">
        <v>126</v>
      </c>
      <c r="C116" s="7">
        <v>463</v>
      </c>
      <c r="D116" s="7">
        <v>215</v>
      </c>
      <c r="E116" s="9">
        <v>46.436285097192226</v>
      </c>
      <c r="F116" s="7">
        <v>230</v>
      </c>
      <c r="G116" s="9">
        <v>49.676025917926566</v>
      </c>
      <c r="H116" s="7">
        <v>3</v>
      </c>
      <c r="I116" s="9">
        <v>0.64794816414686829</v>
      </c>
      <c r="J116" s="7">
        <v>0</v>
      </c>
      <c r="K116" s="9">
        <v>0</v>
      </c>
      <c r="L116" s="7">
        <v>0</v>
      </c>
      <c r="M116" s="9">
        <v>0</v>
      </c>
      <c r="N116" s="7">
        <v>0</v>
      </c>
      <c r="O116" s="9">
        <v>0</v>
      </c>
      <c r="P116" s="7">
        <v>0</v>
      </c>
      <c r="Q116" s="9">
        <v>0</v>
      </c>
      <c r="R116" s="7">
        <v>4</v>
      </c>
      <c r="S116" s="9">
        <v>0.86393088552915764</v>
      </c>
      <c r="T116" s="7">
        <v>11</v>
      </c>
      <c r="U116" s="9">
        <v>2.3758099352051838</v>
      </c>
      <c r="V116" s="10" t="str">
        <f t="shared" si="9"/>
        <v>CONGRESSGAIN</v>
      </c>
      <c r="W116" s="11">
        <f t="shared" si="17"/>
        <v>3.2397408207343403</v>
      </c>
      <c r="X116" s="13" t="str">
        <f t="shared" si="11"/>
        <v>NARROWMARGIN</v>
      </c>
    </row>
    <row r="117" spans="1:24">
      <c r="A117" s="7">
        <v>115</v>
      </c>
      <c r="B117" s="8" t="s">
        <v>126</v>
      </c>
      <c r="C117" s="7">
        <v>499</v>
      </c>
      <c r="D117" s="7">
        <v>187</v>
      </c>
      <c r="E117" s="9">
        <v>37.474949899799597</v>
      </c>
      <c r="F117" s="7">
        <v>285</v>
      </c>
      <c r="G117" s="9">
        <v>57.114228456913828</v>
      </c>
      <c r="H117" s="7">
        <v>7</v>
      </c>
      <c r="I117" s="9">
        <v>1.4028056112224447</v>
      </c>
      <c r="J117" s="7">
        <v>0</v>
      </c>
      <c r="K117" s="9">
        <v>0</v>
      </c>
      <c r="L117" s="7">
        <v>0</v>
      </c>
      <c r="M117" s="9">
        <v>0</v>
      </c>
      <c r="N117" s="7">
        <v>0</v>
      </c>
      <c r="O117" s="9">
        <v>0</v>
      </c>
      <c r="P117" s="7">
        <v>0</v>
      </c>
      <c r="Q117" s="9">
        <v>0</v>
      </c>
      <c r="R117" s="7">
        <v>16</v>
      </c>
      <c r="S117" s="9">
        <v>3.2064128256513023</v>
      </c>
      <c r="T117" s="7">
        <v>4</v>
      </c>
      <c r="U117" s="9">
        <v>0.80160320641282556</v>
      </c>
      <c r="V117" s="10" t="str">
        <f t="shared" si="9"/>
        <v>CONGRESSGAIN</v>
      </c>
      <c r="W117" s="11">
        <f t="shared" si="17"/>
        <v>19.639278557114231</v>
      </c>
      <c r="X117" s="12" t="str">
        <f t="shared" si="11"/>
        <v>LOWMARGIN</v>
      </c>
    </row>
    <row r="118" spans="1:24">
      <c r="A118" s="7">
        <v>116</v>
      </c>
      <c r="B118" s="8" t="s">
        <v>126</v>
      </c>
      <c r="C118" s="7">
        <v>595</v>
      </c>
      <c r="D118" s="7">
        <v>161</v>
      </c>
      <c r="E118" s="9">
        <v>27.058823529411764</v>
      </c>
      <c r="F118" s="7">
        <v>414</v>
      </c>
      <c r="G118" s="9">
        <v>69.579831932773104</v>
      </c>
      <c r="H118" s="7">
        <v>8</v>
      </c>
      <c r="I118" s="9">
        <v>1.3445378151260503</v>
      </c>
      <c r="J118" s="7">
        <v>0</v>
      </c>
      <c r="K118" s="9">
        <v>0</v>
      </c>
      <c r="L118" s="7">
        <v>0</v>
      </c>
      <c r="M118" s="9">
        <v>0</v>
      </c>
      <c r="N118" s="7">
        <v>1</v>
      </c>
      <c r="O118" s="9">
        <v>0.16806722689075629</v>
      </c>
      <c r="P118" s="7">
        <v>0</v>
      </c>
      <c r="Q118" s="9">
        <v>0</v>
      </c>
      <c r="R118" s="7">
        <v>1</v>
      </c>
      <c r="S118" s="9">
        <v>0.16806722689075629</v>
      </c>
      <c r="T118" s="7">
        <v>10</v>
      </c>
      <c r="U118" s="9">
        <v>1.680672268907563</v>
      </c>
      <c r="V118" s="10" t="str">
        <f t="shared" si="9"/>
        <v>CONGRESSGAIN</v>
      </c>
      <c r="W118" s="11">
        <f t="shared" si="17"/>
        <v>42.521008403361336</v>
      </c>
      <c r="X118" s="18" t="str">
        <f t="shared" si="11"/>
        <v>HIGHMARGIN</v>
      </c>
    </row>
    <row r="119" spans="1:24">
      <c r="A119" s="7">
        <v>117</v>
      </c>
      <c r="B119" s="8" t="s">
        <v>126</v>
      </c>
      <c r="C119" s="7">
        <v>771</v>
      </c>
      <c r="D119" s="7">
        <v>237</v>
      </c>
      <c r="E119" s="9">
        <v>30.739299610894943</v>
      </c>
      <c r="F119" s="7">
        <v>523</v>
      </c>
      <c r="G119" s="9">
        <v>67.833981841763944</v>
      </c>
      <c r="H119" s="7">
        <v>4</v>
      </c>
      <c r="I119" s="9">
        <v>0.51880674448767838</v>
      </c>
      <c r="J119" s="7">
        <v>0</v>
      </c>
      <c r="K119" s="9">
        <v>0</v>
      </c>
      <c r="L119" s="7">
        <v>0</v>
      </c>
      <c r="M119" s="9">
        <v>0</v>
      </c>
      <c r="N119" s="7">
        <v>0</v>
      </c>
      <c r="O119" s="9">
        <v>0</v>
      </c>
      <c r="P119" s="7">
        <v>0</v>
      </c>
      <c r="Q119" s="9">
        <v>0</v>
      </c>
      <c r="R119" s="7">
        <v>2</v>
      </c>
      <c r="S119" s="9">
        <v>0.25940337224383919</v>
      </c>
      <c r="T119" s="7">
        <v>5</v>
      </c>
      <c r="U119" s="9">
        <v>0.64850843060959795</v>
      </c>
      <c r="V119" s="10" t="str">
        <f t="shared" si="9"/>
        <v>CONGRESSGAIN</v>
      </c>
      <c r="W119" s="11">
        <f t="shared" si="17"/>
        <v>37.094682230868997</v>
      </c>
      <c r="X119" s="19" t="str">
        <f t="shared" si="11"/>
        <v>MEDIUMMARGIN</v>
      </c>
    </row>
    <row r="120" spans="1:24">
      <c r="A120" s="7">
        <v>118</v>
      </c>
      <c r="B120" s="8" t="s">
        <v>126</v>
      </c>
      <c r="C120" s="7">
        <v>954</v>
      </c>
      <c r="D120" s="7">
        <v>226</v>
      </c>
      <c r="E120" s="9">
        <v>23.689727463312369</v>
      </c>
      <c r="F120" s="7">
        <v>687</v>
      </c>
      <c r="G120" s="9">
        <v>72.012578616352201</v>
      </c>
      <c r="H120" s="7">
        <v>14</v>
      </c>
      <c r="I120" s="9">
        <v>1.4675052410901468</v>
      </c>
      <c r="J120" s="7">
        <v>0</v>
      </c>
      <c r="K120" s="9">
        <v>0</v>
      </c>
      <c r="L120" s="7">
        <v>0</v>
      </c>
      <c r="M120" s="9">
        <v>0</v>
      </c>
      <c r="N120" s="7">
        <v>3</v>
      </c>
      <c r="O120" s="9">
        <v>0.31446540880503149</v>
      </c>
      <c r="P120" s="7">
        <v>0</v>
      </c>
      <c r="Q120" s="9">
        <v>0</v>
      </c>
      <c r="R120" s="7">
        <v>9</v>
      </c>
      <c r="S120" s="9">
        <v>0.94339622641509446</v>
      </c>
      <c r="T120" s="7">
        <v>15</v>
      </c>
      <c r="U120" s="9">
        <v>1.5723270440251573</v>
      </c>
      <c r="V120" s="10" t="str">
        <f t="shared" si="9"/>
        <v>CONGRESSGAIN</v>
      </c>
      <c r="W120" s="11">
        <f t="shared" si="17"/>
        <v>48.322851153039835</v>
      </c>
      <c r="X120" s="18" t="str">
        <f t="shared" si="11"/>
        <v>HIGHMARGIN</v>
      </c>
    </row>
    <row r="121" spans="1:24">
      <c r="A121" s="7">
        <v>119</v>
      </c>
      <c r="B121" s="8" t="s">
        <v>126</v>
      </c>
      <c r="C121" s="7">
        <v>476</v>
      </c>
      <c r="D121" s="7">
        <v>145</v>
      </c>
      <c r="E121" s="9">
        <v>30.462184873949582</v>
      </c>
      <c r="F121" s="7">
        <v>317</v>
      </c>
      <c r="G121" s="9">
        <v>66.596638655462186</v>
      </c>
      <c r="H121" s="7">
        <v>6</v>
      </c>
      <c r="I121" s="9">
        <v>1.2605042016806722</v>
      </c>
      <c r="J121" s="7">
        <v>0</v>
      </c>
      <c r="K121" s="9">
        <v>0</v>
      </c>
      <c r="L121" s="7">
        <v>0</v>
      </c>
      <c r="M121" s="9">
        <v>0</v>
      </c>
      <c r="N121" s="7">
        <v>1</v>
      </c>
      <c r="O121" s="9">
        <v>0.21008403361344538</v>
      </c>
      <c r="P121" s="7">
        <v>0</v>
      </c>
      <c r="Q121" s="9">
        <v>0</v>
      </c>
      <c r="R121" s="7">
        <v>5</v>
      </c>
      <c r="S121" s="9">
        <v>1.0504201680672269</v>
      </c>
      <c r="T121" s="7">
        <v>2</v>
      </c>
      <c r="U121" s="9">
        <v>0.42016806722689076</v>
      </c>
      <c r="V121" s="10" t="str">
        <f t="shared" si="9"/>
        <v>CONGRESSGAIN</v>
      </c>
      <c r="W121" s="11">
        <f t="shared" si="17"/>
        <v>36.134453781512605</v>
      </c>
      <c r="X121" s="19" t="str">
        <f t="shared" si="11"/>
        <v>MEDIUMMARGIN</v>
      </c>
    </row>
    <row r="122" spans="1:24">
      <c r="A122" s="7">
        <v>120</v>
      </c>
      <c r="B122" s="8" t="s">
        <v>126</v>
      </c>
      <c r="C122" s="7">
        <v>645</v>
      </c>
      <c r="D122" s="7">
        <v>185</v>
      </c>
      <c r="E122" s="9">
        <v>28.682170542635657</v>
      </c>
      <c r="F122" s="7">
        <v>440</v>
      </c>
      <c r="G122" s="9">
        <v>68.217054263565885</v>
      </c>
      <c r="H122" s="7">
        <v>4</v>
      </c>
      <c r="I122" s="9">
        <v>0.62015503875968991</v>
      </c>
      <c r="J122" s="7">
        <v>0</v>
      </c>
      <c r="K122" s="9">
        <v>0</v>
      </c>
      <c r="L122" s="7">
        <v>0</v>
      </c>
      <c r="M122" s="9">
        <v>0</v>
      </c>
      <c r="N122" s="7">
        <v>2</v>
      </c>
      <c r="O122" s="9">
        <v>0.31007751937984496</v>
      </c>
      <c r="P122" s="7">
        <v>0</v>
      </c>
      <c r="Q122" s="9">
        <v>0</v>
      </c>
      <c r="R122" s="7">
        <v>8</v>
      </c>
      <c r="S122" s="9">
        <v>1.2403100775193798</v>
      </c>
      <c r="T122" s="7">
        <v>6</v>
      </c>
      <c r="U122" s="9">
        <v>0.93023255813953487</v>
      </c>
      <c r="V122" s="10" t="str">
        <f t="shared" si="9"/>
        <v>CONGRESSGAIN</v>
      </c>
      <c r="W122" s="11">
        <f t="shared" si="17"/>
        <v>39.534883720930225</v>
      </c>
      <c r="X122" s="19" t="str">
        <f t="shared" si="11"/>
        <v>MEDIUMMARGIN</v>
      </c>
    </row>
    <row r="123" spans="1:24">
      <c r="A123" s="7">
        <v>121</v>
      </c>
      <c r="B123" s="8" t="s">
        <v>126</v>
      </c>
      <c r="C123" s="7">
        <v>570</v>
      </c>
      <c r="D123" s="7">
        <v>152</v>
      </c>
      <c r="E123" s="9">
        <v>26.666666666666664</v>
      </c>
      <c r="F123" s="7">
        <v>397</v>
      </c>
      <c r="G123" s="9">
        <v>69.649122807017548</v>
      </c>
      <c r="H123" s="7">
        <v>8</v>
      </c>
      <c r="I123" s="9">
        <v>1.4035087719298245</v>
      </c>
      <c r="J123" s="7">
        <v>0</v>
      </c>
      <c r="K123" s="9">
        <v>0</v>
      </c>
      <c r="L123" s="7">
        <v>0</v>
      </c>
      <c r="M123" s="9">
        <v>0</v>
      </c>
      <c r="N123" s="7">
        <v>0</v>
      </c>
      <c r="O123" s="9">
        <v>0</v>
      </c>
      <c r="P123" s="7">
        <v>0</v>
      </c>
      <c r="Q123" s="9">
        <v>0</v>
      </c>
      <c r="R123" s="7">
        <v>4</v>
      </c>
      <c r="S123" s="9">
        <v>0.70175438596491224</v>
      </c>
      <c r="T123" s="7">
        <v>9</v>
      </c>
      <c r="U123" s="9">
        <v>1.5789473684210527</v>
      </c>
      <c r="V123" s="10" t="str">
        <f t="shared" si="9"/>
        <v>CONGRESSGAIN</v>
      </c>
      <c r="W123" s="11">
        <f t="shared" si="17"/>
        <v>42.982456140350884</v>
      </c>
      <c r="X123" s="18" t="str">
        <f t="shared" si="11"/>
        <v>HIGHMARGIN</v>
      </c>
    </row>
    <row r="124" spans="1:24">
      <c r="A124" s="14">
        <v>122</v>
      </c>
      <c r="B124" s="15" t="s">
        <v>126</v>
      </c>
      <c r="C124" s="14">
        <v>658</v>
      </c>
      <c r="D124" s="14">
        <v>414</v>
      </c>
      <c r="E124" s="16">
        <v>62.91793313069909</v>
      </c>
      <c r="F124" s="14">
        <v>213</v>
      </c>
      <c r="G124" s="16">
        <v>32.370820668693007</v>
      </c>
      <c r="H124" s="14">
        <v>11</v>
      </c>
      <c r="I124" s="16">
        <v>1.6717325227963526</v>
      </c>
      <c r="J124" s="14">
        <v>0</v>
      </c>
      <c r="K124" s="16">
        <v>0</v>
      </c>
      <c r="L124" s="14">
        <v>0</v>
      </c>
      <c r="M124" s="16">
        <v>0</v>
      </c>
      <c r="N124" s="14">
        <v>2</v>
      </c>
      <c r="O124" s="16">
        <v>0.303951367781155</v>
      </c>
      <c r="P124" s="14">
        <v>0</v>
      </c>
      <c r="Q124" s="16">
        <v>0</v>
      </c>
      <c r="R124" s="14">
        <v>9</v>
      </c>
      <c r="S124" s="16">
        <v>1.3677811550151975</v>
      </c>
      <c r="T124" s="14">
        <v>9</v>
      </c>
      <c r="U124" s="16">
        <v>1.3677811550151975</v>
      </c>
      <c r="V124" s="17" t="str">
        <f t="shared" si="9"/>
        <v>BJP GAIN</v>
      </c>
      <c r="W124" s="11">
        <f t="shared" si="10"/>
        <v>30.547112462006083</v>
      </c>
      <c r="X124" s="19" t="str">
        <f t="shared" si="11"/>
        <v>MEDIUMMARGIN</v>
      </c>
    </row>
    <row r="125" spans="1:24">
      <c r="A125" s="14">
        <v>123</v>
      </c>
      <c r="B125" s="15" t="s">
        <v>126</v>
      </c>
      <c r="C125" s="14">
        <v>810</v>
      </c>
      <c r="D125" s="14">
        <v>436</v>
      </c>
      <c r="E125" s="16">
        <v>53.827160493827165</v>
      </c>
      <c r="F125" s="14">
        <v>348</v>
      </c>
      <c r="G125" s="16">
        <v>42.962962962962962</v>
      </c>
      <c r="H125" s="14">
        <v>6</v>
      </c>
      <c r="I125" s="16">
        <v>0.74074074074074081</v>
      </c>
      <c r="J125" s="14">
        <v>0</v>
      </c>
      <c r="K125" s="16">
        <v>0</v>
      </c>
      <c r="L125" s="14">
        <v>0</v>
      </c>
      <c r="M125" s="16">
        <v>0</v>
      </c>
      <c r="N125" s="14">
        <v>1</v>
      </c>
      <c r="O125" s="16">
        <v>0.1234567901234568</v>
      </c>
      <c r="P125" s="14">
        <v>0</v>
      </c>
      <c r="Q125" s="16">
        <v>0</v>
      </c>
      <c r="R125" s="14">
        <v>5</v>
      </c>
      <c r="S125" s="16">
        <v>0.61728395061728403</v>
      </c>
      <c r="T125" s="14">
        <v>14</v>
      </c>
      <c r="U125" s="16">
        <v>1.7283950617283952</v>
      </c>
      <c r="V125" s="17" t="str">
        <f t="shared" si="9"/>
        <v>BJP GAIN</v>
      </c>
      <c r="W125" s="11">
        <f t="shared" si="10"/>
        <v>10.864197530864203</v>
      </c>
      <c r="X125" s="12" t="str">
        <f t="shared" si="11"/>
        <v>LOWMARGIN</v>
      </c>
    </row>
    <row r="126" spans="1:24">
      <c r="A126" s="7">
        <v>124</v>
      </c>
      <c r="B126" s="8" t="s">
        <v>126</v>
      </c>
      <c r="C126" s="7">
        <v>562</v>
      </c>
      <c r="D126" s="7">
        <v>237</v>
      </c>
      <c r="E126" s="9">
        <v>42.170818505338076</v>
      </c>
      <c r="F126" s="7">
        <v>311</v>
      </c>
      <c r="G126" s="9">
        <v>55.338078291814945</v>
      </c>
      <c r="H126" s="7">
        <v>10</v>
      </c>
      <c r="I126" s="9">
        <v>1.7793594306049823</v>
      </c>
      <c r="J126" s="7">
        <v>0</v>
      </c>
      <c r="K126" s="9">
        <v>0</v>
      </c>
      <c r="L126" s="7">
        <v>0</v>
      </c>
      <c r="M126" s="9">
        <v>0</v>
      </c>
      <c r="N126" s="7">
        <v>0</v>
      </c>
      <c r="O126" s="9">
        <v>0</v>
      </c>
      <c r="P126" s="7">
        <v>0</v>
      </c>
      <c r="Q126" s="9">
        <v>0</v>
      </c>
      <c r="R126" s="7">
        <v>3</v>
      </c>
      <c r="S126" s="9">
        <v>0.53380782918149461</v>
      </c>
      <c r="T126" s="7">
        <v>1</v>
      </c>
      <c r="U126" s="9">
        <v>0.17793594306049823</v>
      </c>
      <c r="V126" s="10" t="str">
        <f t="shared" si="9"/>
        <v>CONGRESSGAIN</v>
      </c>
      <c r="W126" s="11">
        <f t="shared" ref="W126" si="18">G126-E126</f>
        <v>13.167259786476869</v>
      </c>
      <c r="X126" s="12" t="str">
        <f t="shared" si="11"/>
        <v>LOWMARGIN</v>
      </c>
    </row>
    <row r="127" spans="1:24">
      <c r="A127" s="14">
        <v>125</v>
      </c>
      <c r="B127" s="15" t="s">
        <v>126</v>
      </c>
      <c r="C127" s="14">
        <v>492</v>
      </c>
      <c r="D127" s="14">
        <v>336</v>
      </c>
      <c r="E127" s="16">
        <v>68.292682926829272</v>
      </c>
      <c r="F127" s="14">
        <v>147</v>
      </c>
      <c r="G127" s="16">
        <v>29.878048780487806</v>
      </c>
      <c r="H127" s="14">
        <v>6</v>
      </c>
      <c r="I127" s="16">
        <v>1.2195121951219512</v>
      </c>
      <c r="J127" s="14">
        <v>0</v>
      </c>
      <c r="K127" s="16">
        <v>0</v>
      </c>
      <c r="L127" s="14">
        <v>0</v>
      </c>
      <c r="M127" s="16">
        <v>0</v>
      </c>
      <c r="N127" s="14">
        <v>0</v>
      </c>
      <c r="O127" s="16">
        <v>0</v>
      </c>
      <c r="P127" s="14">
        <v>0</v>
      </c>
      <c r="Q127" s="16">
        <v>0</v>
      </c>
      <c r="R127" s="14">
        <v>3</v>
      </c>
      <c r="S127" s="16">
        <v>0.6097560975609756</v>
      </c>
      <c r="T127" s="14">
        <v>0</v>
      </c>
      <c r="U127" s="16">
        <v>0</v>
      </c>
      <c r="V127" s="17" t="str">
        <f t="shared" si="9"/>
        <v>BJP GAIN</v>
      </c>
      <c r="W127" s="11">
        <f t="shared" si="10"/>
        <v>38.41463414634147</v>
      </c>
      <c r="X127" s="19" t="str">
        <f t="shared" si="11"/>
        <v>MEDIUMMARGIN</v>
      </c>
    </row>
    <row r="128" spans="1:24">
      <c r="A128" s="7">
        <v>126</v>
      </c>
      <c r="B128" s="8" t="s">
        <v>126</v>
      </c>
      <c r="C128" s="7">
        <v>720</v>
      </c>
      <c r="D128" s="7">
        <v>278</v>
      </c>
      <c r="E128" s="9">
        <v>38.611111111111107</v>
      </c>
      <c r="F128" s="7">
        <v>382</v>
      </c>
      <c r="G128" s="9">
        <v>53.055555555555557</v>
      </c>
      <c r="H128" s="7">
        <v>5</v>
      </c>
      <c r="I128" s="9">
        <v>0.69444444444444442</v>
      </c>
      <c r="J128" s="7">
        <v>0</v>
      </c>
      <c r="K128" s="9">
        <v>0</v>
      </c>
      <c r="L128" s="7">
        <v>0</v>
      </c>
      <c r="M128" s="9">
        <v>0</v>
      </c>
      <c r="N128" s="7">
        <v>2</v>
      </c>
      <c r="O128" s="9">
        <v>0.27777777777777779</v>
      </c>
      <c r="P128" s="7">
        <v>0</v>
      </c>
      <c r="Q128" s="9">
        <v>0</v>
      </c>
      <c r="R128" s="7">
        <v>33</v>
      </c>
      <c r="S128" s="9">
        <v>4.583333333333333</v>
      </c>
      <c r="T128" s="7">
        <v>20</v>
      </c>
      <c r="U128" s="9">
        <v>2.7777777777777777</v>
      </c>
      <c r="V128" s="10" t="str">
        <f t="shared" si="9"/>
        <v>CONGRESSGAIN</v>
      </c>
      <c r="W128" s="11">
        <f t="shared" ref="W128:W159" si="19">G128-E128</f>
        <v>14.44444444444445</v>
      </c>
      <c r="X128" s="12" t="str">
        <f t="shared" si="11"/>
        <v>LOWMARGIN</v>
      </c>
    </row>
    <row r="129" spans="1:24">
      <c r="A129" s="7">
        <v>127</v>
      </c>
      <c r="B129" s="8" t="s">
        <v>126</v>
      </c>
      <c r="C129" s="7">
        <v>781</v>
      </c>
      <c r="D129" s="7">
        <v>347</v>
      </c>
      <c r="E129" s="9">
        <v>44.43021766965429</v>
      </c>
      <c r="F129" s="7">
        <v>408</v>
      </c>
      <c r="G129" s="9">
        <v>52.240717029449428</v>
      </c>
      <c r="H129" s="7">
        <v>8</v>
      </c>
      <c r="I129" s="9">
        <v>1.0243277848911652</v>
      </c>
      <c r="J129" s="7">
        <v>0</v>
      </c>
      <c r="K129" s="9">
        <v>0</v>
      </c>
      <c r="L129" s="7">
        <v>0</v>
      </c>
      <c r="M129" s="9">
        <v>0</v>
      </c>
      <c r="N129" s="7">
        <v>0</v>
      </c>
      <c r="O129" s="9">
        <v>0</v>
      </c>
      <c r="P129" s="7">
        <v>0</v>
      </c>
      <c r="Q129" s="9">
        <v>0</v>
      </c>
      <c r="R129" s="7">
        <v>2</v>
      </c>
      <c r="S129" s="9">
        <v>0.25608194622279129</v>
      </c>
      <c r="T129" s="7">
        <v>16</v>
      </c>
      <c r="U129" s="9">
        <v>2.0486555697823303</v>
      </c>
      <c r="V129" s="10" t="str">
        <f t="shared" si="9"/>
        <v>CONGRESSGAIN</v>
      </c>
      <c r="W129" s="11">
        <f t="shared" si="19"/>
        <v>7.8104993597951378</v>
      </c>
      <c r="X129" s="13" t="str">
        <f t="shared" si="11"/>
        <v>NARROWMARGIN</v>
      </c>
    </row>
    <row r="130" spans="1:24">
      <c r="A130" s="7">
        <v>128</v>
      </c>
      <c r="B130" s="8" t="s">
        <v>126</v>
      </c>
      <c r="C130" s="7">
        <v>485</v>
      </c>
      <c r="D130" s="7">
        <v>206</v>
      </c>
      <c r="E130" s="9">
        <v>42.474226804123717</v>
      </c>
      <c r="F130" s="7">
        <v>266</v>
      </c>
      <c r="G130" s="9">
        <v>54.845360824742272</v>
      </c>
      <c r="H130" s="7">
        <v>1</v>
      </c>
      <c r="I130" s="9">
        <v>0.2061855670103093</v>
      </c>
      <c r="J130" s="7">
        <v>0</v>
      </c>
      <c r="K130" s="9">
        <v>0</v>
      </c>
      <c r="L130" s="7">
        <v>0</v>
      </c>
      <c r="M130" s="9">
        <v>0</v>
      </c>
      <c r="N130" s="7">
        <v>0</v>
      </c>
      <c r="O130" s="9">
        <v>0</v>
      </c>
      <c r="P130" s="7">
        <v>0</v>
      </c>
      <c r="Q130" s="9">
        <v>0</v>
      </c>
      <c r="R130" s="7">
        <v>1</v>
      </c>
      <c r="S130" s="9">
        <v>0.2061855670103093</v>
      </c>
      <c r="T130" s="7">
        <v>11</v>
      </c>
      <c r="U130" s="9">
        <v>2.2680412371134024</v>
      </c>
      <c r="V130" s="10" t="str">
        <f t="shared" si="9"/>
        <v>CONGRESSGAIN</v>
      </c>
      <c r="W130" s="11">
        <f t="shared" si="19"/>
        <v>12.371134020618555</v>
      </c>
      <c r="X130" s="12" t="str">
        <f t="shared" si="11"/>
        <v>LOWMARGIN</v>
      </c>
    </row>
    <row r="131" spans="1:24">
      <c r="A131" s="7">
        <v>129</v>
      </c>
      <c r="B131" s="8" t="s">
        <v>126</v>
      </c>
      <c r="C131" s="7">
        <v>592</v>
      </c>
      <c r="D131" s="7">
        <v>263</v>
      </c>
      <c r="E131" s="9">
        <v>44.425675675675677</v>
      </c>
      <c r="F131" s="7">
        <v>313</v>
      </c>
      <c r="G131" s="9">
        <v>52.871621621621621</v>
      </c>
      <c r="H131" s="7">
        <v>4</v>
      </c>
      <c r="I131" s="9">
        <v>0.67567567567567566</v>
      </c>
      <c r="J131" s="7">
        <v>0</v>
      </c>
      <c r="K131" s="9">
        <v>0</v>
      </c>
      <c r="L131" s="7">
        <v>0</v>
      </c>
      <c r="M131" s="9">
        <v>0</v>
      </c>
      <c r="N131" s="7">
        <v>0</v>
      </c>
      <c r="O131" s="9">
        <v>0</v>
      </c>
      <c r="P131" s="7">
        <v>0</v>
      </c>
      <c r="Q131" s="9">
        <v>0</v>
      </c>
      <c r="R131" s="7">
        <v>3</v>
      </c>
      <c r="S131" s="9">
        <v>0.5067567567567568</v>
      </c>
      <c r="T131" s="7">
        <v>9</v>
      </c>
      <c r="U131" s="9">
        <v>1.5202702702702704</v>
      </c>
      <c r="V131" s="10" t="str">
        <f t="shared" si="9"/>
        <v>CONGRESSGAIN</v>
      </c>
      <c r="W131" s="11">
        <f t="shared" si="19"/>
        <v>8.4459459459459438</v>
      </c>
      <c r="X131" s="13" t="str">
        <f t="shared" si="11"/>
        <v>NARROWMARGIN</v>
      </c>
    </row>
    <row r="132" spans="1:24">
      <c r="A132" s="7">
        <v>130</v>
      </c>
      <c r="B132" s="8" t="s">
        <v>126</v>
      </c>
      <c r="C132" s="7">
        <v>530</v>
      </c>
      <c r="D132" s="7">
        <v>142</v>
      </c>
      <c r="E132" s="9">
        <v>26.79245283018868</v>
      </c>
      <c r="F132" s="7">
        <v>362</v>
      </c>
      <c r="G132" s="9">
        <v>68.301886792452834</v>
      </c>
      <c r="H132" s="7">
        <v>1</v>
      </c>
      <c r="I132" s="9">
        <v>0.18867924528301888</v>
      </c>
      <c r="J132" s="7">
        <v>0</v>
      </c>
      <c r="K132" s="9">
        <v>0</v>
      </c>
      <c r="L132" s="7">
        <v>0</v>
      </c>
      <c r="M132" s="9">
        <v>0</v>
      </c>
      <c r="N132" s="7">
        <v>0</v>
      </c>
      <c r="O132" s="9">
        <v>0</v>
      </c>
      <c r="P132" s="7">
        <v>0</v>
      </c>
      <c r="Q132" s="9">
        <v>0</v>
      </c>
      <c r="R132" s="7">
        <v>4</v>
      </c>
      <c r="S132" s="9">
        <v>0.75471698113207553</v>
      </c>
      <c r="T132" s="7">
        <v>21</v>
      </c>
      <c r="U132" s="9">
        <v>3.9622641509433962</v>
      </c>
      <c r="V132" s="10" t="str">
        <f t="shared" ref="V132:V195" si="20">IF(E132&gt;G132,"BJP GAIN","CONGRESSGAIN")</f>
        <v>CONGRESSGAIN</v>
      </c>
      <c r="W132" s="11">
        <f t="shared" si="19"/>
        <v>41.509433962264154</v>
      </c>
      <c r="X132" s="18" t="str">
        <f t="shared" ref="X132:X194" si="21">IF(W132&gt;=50,"VERYHIGHMARGIN",IF(W132&gt;=40,"HIGHMARGIN",IF(W132&gt;=30,"MEDIUMMARGIN",IF(W132&gt;10,"LOWMARGIN",IF(W132&gt;1,"NARROWMARGIN")))))</f>
        <v>HIGHMARGIN</v>
      </c>
    </row>
    <row r="133" spans="1:24">
      <c r="A133" s="7">
        <v>131</v>
      </c>
      <c r="B133" s="8" t="s">
        <v>126</v>
      </c>
      <c r="C133" s="7">
        <v>695</v>
      </c>
      <c r="D133" s="7">
        <v>142</v>
      </c>
      <c r="E133" s="9">
        <v>20.431654676258994</v>
      </c>
      <c r="F133" s="7">
        <v>490</v>
      </c>
      <c r="G133" s="9">
        <v>70.503597122302153</v>
      </c>
      <c r="H133" s="7">
        <v>4</v>
      </c>
      <c r="I133" s="9">
        <v>0.57553956834532372</v>
      </c>
      <c r="J133" s="7">
        <v>0</v>
      </c>
      <c r="K133" s="9">
        <v>0</v>
      </c>
      <c r="L133" s="7">
        <v>0</v>
      </c>
      <c r="M133" s="9">
        <v>0</v>
      </c>
      <c r="N133" s="7">
        <v>0</v>
      </c>
      <c r="O133" s="9">
        <v>0</v>
      </c>
      <c r="P133" s="7">
        <v>0</v>
      </c>
      <c r="Q133" s="9">
        <v>0</v>
      </c>
      <c r="R133" s="7">
        <v>11</v>
      </c>
      <c r="S133" s="9">
        <v>1.5827338129496402</v>
      </c>
      <c r="T133" s="7">
        <v>48</v>
      </c>
      <c r="U133" s="9">
        <v>6.9064748201438846</v>
      </c>
      <c r="V133" s="10" t="str">
        <f t="shared" si="20"/>
        <v>CONGRESSGAIN</v>
      </c>
      <c r="W133" s="11">
        <f t="shared" si="19"/>
        <v>50.07194244604316</v>
      </c>
      <c r="X133" s="10" t="str">
        <f t="shared" si="21"/>
        <v>VERYHIGHMARGIN</v>
      </c>
    </row>
    <row r="134" spans="1:24">
      <c r="A134" s="7">
        <v>132</v>
      </c>
      <c r="B134" s="8" t="s">
        <v>126</v>
      </c>
      <c r="C134" s="7">
        <v>615</v>
      </c>
      <c r="D134" s="7">
        <v>233</v>
      </c>
      <c r="E134" s="9">
        <v>37.886178861788615</v>
      </c>
      <c r="F134" s="7">
        <v>352</v>
      </c>
      <c r="G134" s="9">
        <v>57.235772357723576</v>
      </c>
      <c r="H134" s="7">
        <v>11</v>
      </c>
      <c r="I134" s="9">
        <v>1.7886178861788617</v>
      </c>
      <c r="J134" s="7">
        <v>0</v>
      </c>
      <c r="K134" s="9">
        <v>0</v>
      </c>
      <c r="L134" s="7">
        <v>0</v>
      </c>
      <c r="M134" s="9">
        <v>0</v>
      </c>
      <c r="N134" s="7">
        <v>1</v>
      </c>
      <c r="O134" s="9">
        <v>0.16260162601626016</v>
      </c>
      <c r="P134" s="7">
        <v>0</v>
      </c>
      <c r="Q134" s="9">
        <v>0</v>
      </c>
      <c r="R134" s="7">
        <v>9</v>
      </c>
      <c r="S134" s="9">
        <v>1.4634146341463414</v>
      </c>
      <c r="T134" s="7">
        <v>9</v>
      </c>
      <c r="U134" s="9">
        <v>1.4634146341463414</v>
      </c>
      <c r="V134" s="10" t="str">
        <f t="shared" si="20"/>
        <v>CONGRESSGAIN</v>
      </c>
      <c r="W134" s="11">
        <f t="shared" si="19"/>
        <v>19.349593495934961</v>
      </c>
      <c r="X134" s="12" t="str">
        <f t="shared" si="21"/>
        <v>LOWMARGIN</v>
      </c>
    </row>
    <row r="135" spans="1:24">
      <c r="A135" s="14">
        <v>133</v>
      </c>
      <c r="B135" s="15" t="s">
        <v>126</v>
      </c>
      <c r="C135" s="14">
        <v>545</v>
      </c>
      <c r="D135" s="14">
        <v>311</v>
      </c>
      <c r="E135" s="16">
        <v>57.064220183486235</v>
      </c>
      <c r="F135" s="14">
        <v>217</v>
      </c>
      <c r="G135" s="16">
        <v>39.816513761467888</v>
      </c>
      <c r="H135" s="14">
        <v>5</v>
      </c>
      <c r="I135" s="16">
        <v>0.9174311926605504</v>
      </c>
      <c r="J135" s="14">
        <v>0</v>
      </c>
      <c r="K135" s="16">
        <v>0</v>
      </c>
      <c r="L135" s="14">
        <v>0</v>
      </c>
      <c r="M135" s="16">
        <v>0</v>
      </c>
      <c r="N135" s="14">
        <v>0</v>
      </c>
      <c r="O135" s="16">
        <v>0</v>
      </c>
      <c r="P135" s="14">
        <v>0</v>
      </c>
      <c r="Q135" s="16">
        <v>0</v>
      </c>
      <c r="R135" s="14">
        <v>8</v>
      </c>
      <c r="S135" s="16">
        <v>1.4678899082568806</v>
      </c>
      <c r="T135" s="14">
        <v>4</v>
      </c>
      <c r="U135" s="16">
        <v>0.7339449541284403</v>
      </c>
      <c r="V135" s="17" t="str">
        <f t="shared" si="20"/>
        <v>BJP GAIN</v>
      </c>
      <c r="W135" s="11">
        <f t="shared" ref="W135:W195" si="22">E135-G135</f>
        <v>17.247706422018346</v>
      </c>
      <c r="X135" s="12" t="str">
        <f t="shared" si="21"/>
        <v>LOWMARGIN</v>
      </c>
    </row>
    <row r="136" spans="1:24">
      <c r="A136" s="7">
        <v>134</v>
      </c>
      <c r="B136" s="8" t="s">
        <v>126</v>
      </c>
      <c r="C136" s="7">
        <v>538</v>
      </c>
      <c r="D136" s="7">
        <v>256</v>
      </c>
      <c r="E136" s="9">
        <v>47.583643122676584</v>
      </c>
      <c r="F136" s="7">
        <v>258</v>
      </c>
      <c r="G136" s="9">
        <v>47.955390334572492</v>
      </c>
      <c r="H136" s="7">
        <v>7</v>
      </c>
      <c r="I136" s="9">
        <v>1.3011152416356877</v>
      </c>
      <c r="J136" s="7">
        <v>0</v>
      </c>
      <c r="K136" s="9">
        <v>0</v>
      </c>
      <c r="L136" s="7">
        <v>0</v>
      </c>
      <c r="M136" s="9">
        <v>0</v>
      </c>
      <c r="N136" s="7">
        <v>1</v>
      </c>
      <c r="O136" s="9">
        <v>0.18587360594795541</v>
      </c>
      <c r="P136" s="7">
        <v>0</v>
      </c>
      <c r="Q136" s="9">
        <v>0</v>
      </c>
      <c r="R136" s="7">
        <v>11</v>
      </c>
      <c r="S136" s="9">
        <v>2.0446096654275094</v>
      </c>
      <c r="T136" s="7">
        <v>5</v>
      </c>
      <c r="U136" s="9">
        <v>0.92936802973977695</v>
      </c>
      <c r="V136" s="10" t="str">
        <f t="shared" si="20"/>
        <v>CONGRESSGAIN</v>
      </c>
      <c r="W136" s="11">
        <f t="shared" si="19"/>
        <v>0.37174721189590798</v>
      </c>
      <c r="X136" s="13" t="str">
        <f>IF(W136&gt;=50,"VERYHIGHMARGIN",IF(W136&gt;=40,"HIGHMARGIN",IF(W136&gt;=30,"MEDIUMMARGIN",IF(W136&gt;10,"LOWMARGIN",IF(W136&lt;1,"NARROWMARGIN")))))</f>
        <v>NARROWMARGIN</v>
      </c>
    </row>
    <row r="137" spans="1:24">
      <c r="A137" s="7">
        <v>135</v>
      </c>
      <c r="B137" s="8" t="s">
        <v>126</v>
      </c>
      <c r="C137" s="7">
        <v>936</v>
      </c>
      <c r="D137" s="7">
        <v>399</v>
      </c>
      <c r="E137" s="9">
        <v>42.628205128205131</v>
      </c>
      <c r="F137" s="7">
        <v>498</v>
      </c>
      <c r="G137" s="9">
        <v>53.205128205128212</v>
      </c>
      <c r="H137" s="7">
        <v>7</v>
      </c>
      <c r="I137" s="9">
        <v>0.74786324786324787</v>
      </c>
      <c r="J137" s="7">
        <v>0</v>
      </c>
      <c r="K137" s="9">
        <v>0</v>
      </c>
      <c r="L137" s="7">
        <v>0</v>
      </c>
      <c r="M137" s="9">
        <v>0</v>
      </c>
      <c r="N137" s="7">
        <v>0</v>
      </c>
      <c r="O137" s="9">
        <v>0</v>
      </c>
      <c r="P137" s="7">
        <v>0</v>
      </c>
      <c r="Q137" s="9">
        <v>0</v>
      </c>
      <c r="R137" s="7">
        <v>21</v>
      </c>
      <c r="S137" s="9">
        <v>2.2435897435897436</v>
      </c>
      <c r="T137" s="7">
        <v>11</v>
      </c>
      <c r="U137" s="9">
        <v>1.1752136752136753</v>
      </c>
      <c r="V137" s="10" t="str">
        <f t="shared" si="20"/>
        <v>CONGRESSGAIN</v>
      </c>
      <c r="W137" s="11">
        <f t="shared" si="19"/>
        <v>10.57692307692308</v>
      </c>
      <c r="X137" s="12" t="str">
        <f t="shared" si="21"/>
        <v>LOWMARGIN</v>
      </c>
    </row>
    <row r="138" spans="1:24">
      <c r="A138" s="7">
        <v>136</v>
      </c>
      <c r="B138" s="8" t="s">
        <v>126</v>
      </c>
      <c r="C138" s="7">
        <v>428</v>
      </c>
      <c r="D138" s="7">
        <v>131</v>
      </c>
      <c r="E138" s="9">
        <v>30.607476635514018</v>
      </c>
      <c r="F138" s="7">
        <v>279</v>
      </c>
      <c r="G138" s="9">
        <v>65.186915887850461</v>
      </c>
      <c r="H138" s="7">
        <v>5</v>
      </c>
      <c r="I138" s="9">
        <v>1.1682242990654206</v>
      </c>
      <c r="J138" s="7">
        <v>0</v>
      </c>
      <c r="K138" s="9">
        <v>0</v>
      </c>
      <c r="L138" s="7">
        <v>0</v>
      </c>
      <c r="M138" s="9">
        <v>0</v>
      </c>
      <c r="N138" s="7">
        <v>1</v>
      </c>
      <c r="O138" s="9">
        <v>0.23364485981308411</v>
      </c>
      <c r="P138" s="7">
        <v>0</v>
      </c>
      <c r="Q138" s="9">
        <v>0</v>
      </c>
      <c r="R138" s="7">
        <v>4</v>
      </c>
      <c r="S138" s="9">
        <v>0.93457943925233644</v>
      </c>
      <c r="T138" s="7">
        <v>8</v>
      </c>
      <c r="U138" s="9">
        <v>1.8691588785046729</v>
      </c>
      <c r="V138" s="10" t="str">
        <f t="shared" si="20"/>
        <v>CONGRESSGAIN</v>
      </c>
      <c r="W138" s="11">
        <f t="shared" si="19"/>
        <v>34.579439252336442</v>
      </c>
      <c r="X138" s="19" t="str">
        <f t="shared" si="21"/>
        <v>MEDIUMMARGIN</v>
      </c>
    </row>
    <row r="139" spans="1:24">
      <c r="A139" s="7">
        <v>137</v>
      </c>
      <c r="B139" s="8" t="s">
        <v>126</v>
      </c>
      <c r="C139" s="7">
        <v>829</v>
      </c>
      <c r="D139" s="7">
        <v>206</v>
      </c>
      <c r="E139" s="9">
        <v>24.849215922798557</v>
      </c>
      <c r="F139" s="7">
        <v>544</v>
      </c>
      <c r="G139" s="9">
        <v>65.621230398069969</v>
      </c>
      <c r="H139" s="7">
        <v>34</v>
      </c>
      <c r="I139" s="9">
        <v>4.101326899879373</v>
      </c>
      <c r="J139" s="7">
        <v>0</v>
      </c>
      <c r="K139" s="9">
        <v>0</v>
      </c>
      <c r="L139" s="7">
        <v>0</v>
      </c>
      <c r="M139" s="9">
        <v>0</v>
      </c>
      <c r="N139" s="7">
        <v>3</v>
      </c>
      <c r="O139" s="9">
        <v>0.36188178528347409</v>
      </c>
      <c r="P139" s="7">
        <v>0</v>
      </c>
      <c r="Q139" s="9">
        <v>0</v>
      </c>
      <c r="R139" s="7">
        <v>18</v>
      </c>
      <c r="S139" s="9">
        <v>2.1712907117008444</v>
      </c>
      <c r="T139" s="7">
        <v>24</v>
      </c>
      <c r="U139" s="9">
        <v>2.8950542822677927</v>
      </c>
      <c r="V139" s="10" t="str">
        <f t="shared" si="20"/>
        <v>CONGRESSGAIN</v>
      </c>
      <c r="W139" s="11">
        <f t="shared" si="19"/>
        <v>40.772014475271412</v>
      </c>
      <c r="X139" s="18" t="str">
        <f t="shared" si="21"/>
        <v>HIGHMARGIN</v>
      </c>
    </row>
    <row r="140" spans="1:24">
      <c r="A140" s="7">
        <v>138</v>
      </c>
      <c r="B140" s="8" t="s">
        <v>126</v>
      </c>
      <c r="C140" s="7">
        <v>624</v>
      </c>
      <c r="D140" s="7">
        <v>271</v>
      </c>
      <c r="E140" s="9">
        <v>43.429487179487175</v>
      </c>
      <c r="F140" s="7">
        <v>299</v>
      </c>
      <c r="G140" s="9">
        <v>47.916666666666664</v>
      </c>
      <c r="H140" s="7">
        <v>17</v>
      </c>
      <c r="I140" s="9">
        <v>2.7243589743589745</v>
      </c>
      <c r="J140" s="7">
        <v>0</v>
      </c>
      <c r="K140" s="9">
        <v>0</v>
      </c>
      <c r="L140" s="7">
        <v>0</v>
      </c>
      <c r="M140" s="9">
        <v>0</v>
      </c>
      <c r="N140" s="7">
        <v>0</v>
      </c>
      <c r="O140" s="9">
        <v>0</v>
      </c>
      <c r="P140" s="7">
        <v>0</v>
      </c>
      <c r="Q140" s="9">
        <v>0</v>
      </c>
      <c r="R140" s="7">
        <v>26</v>
      </c>
      <c r="S140" s="9">
        <v>4.166666666666667</v>
      </c>
      <c r="T140" s="7">
        <v>11</v>
      </c>
      <c r="U140" s="9">
        <v>1.7628205128205128</v>
      </c>
      <c r="V140" s="10" t="str">
        <f t="shared" si="20"/>
        <v>CONGRESSGAIN</v>
      </c>
      <c r="W140" s="11">
        <f t="shared" si="19"/>
        <v>4.487179487179489</v>
      </c>
      <c r="X140" s="13" t="str">
        <f t="shared" si="21"/>
        <v>NARROWMARGIN</v>
      </c>
    </row>
    <row r="141" spans="1:24">
      <c r="A141" s="7">
        <v>139</v>
      </c>
      <c r="B141" s="8" t="s">
        <v>126</v>
      </c>
      <c r="C141" s="7">
        <v>380</v>
      </c>
      <c r="D141" s="7">
        <v>17</v>
      </c>
      <c r="E141" s="9">
        <v>4.4736842105263159</v>
      </c>
      <c r="F141" s="7">
        <v>355</v>
      </c>
      <c r="G141" s="9">
        <v>93.421052631578945</v>
      </c>
      <c r="H141" s="7">
        <v>5</v>
      </c>
      <c r="I141" s="9">
        <v>1.3157894736842106</v>
      </c>
      <c r="J141" s="7">
        <v>0</v>
      </c>
      <c r="K141" s="9">
        <v>0</v>
      </c>
      <c r="L141" s="7">
        <v>0</v>
      </c>
      <c r="M141" s="9">
        <v>0</v>
      </c>
      <c r="N141" s="7">
        <v>0</v>
      </c>
      <c r="O141" s="9">
        <v>0</v>
      </c>
      <c r="P141" s="7">
        <v>0</v>
      </c>
      <c r="Q141" s="9">
        <v>0</v>
      </c>
      <c r="R141" s="7">
        <v>0</v>
      </c>
      <c r="S141" s="9">
        <v>0</v>
      </c>
      <c r="T141" s="7">
        <v>3</v>
      </c>
      <c r="U141" s="9">
        <v>0.78947368421052633</v>
      </c>
      <c r="V141" s="10" t="str">
        <f t="shared" si="20"/>
        <v>CONGRESSGAIN</v>
      </c>
      <c r="W141" s="11">
        <f t="shared" si="19"/>
        <v>88.94736842105263</v>
      </c>
      <c r="X141" s="10" t="str">
        <f t="shared" si="21"/>
        <v>VERYHIGHMARGIN</v>
      </c>
    </row>
    <row r="142" spans="1:24">
      <c r="A142" s="7">
        <v>140</v>
      </c>
      <c r="B142" s="8" t="s">
        <v>126</v>
      </c>
      <c r="C142" s="7">
        <v>594</v>
      </c>
      <c r="D142" s="7">
        <v>35</v>
      </c>
      <c r="E142" s="9">
        <v>5.8922558922558919</v>
      </c>
      <c r="F142" s="7">
        <v>517</v>
      </c>
      <c r="G142" s="9">
        <v>87.037037037037038</v>
      </c>
      <c r="H142" s="7">
        <v>6</v>
      </c>
      <c r="I142" s="9">
        <v>1.0101010101010099</v>
      </c>
      <c r="J142" s="7">
        <v>0</v>
      </c>
      <c r="K142" s="9">
        <v>0</v>
      </c>
      <c r="L142" s="7">
        <v>0</v>
      </c>
      <c r="M142" s="9">
        <v>0</v>
      </c>
      <c r="N142" s="7">
        <v>1</v>
      </c>
      <c r="O142" s="9">
        <v>0.16835016835016833</v>
      </c>
      <c r="P142" s="7">
        <v>0</v>
      </c>
      <c r="Q142" s="9">
        <v>0</v>
      </c>
      <c r="R142" s="7">
        <v>5</v>
      </c>
      <c r="S142" s="9">
        <v>0.84175084175084169</v>
      </c>
      <c r="T142" s="7">
        <v>30</v>
      </c>
      <c r="U142" s="9">
        <v>5.0505050505050502</v>
      </c>
      <c r="V142" s="10" t="str">
        <f t="shared" si="20"/>
        <v>CONGRESSGAIN</v>
      </c>
      <c r="W142" s="11">
        <f t="shared" si="19"/>
        <v>81.144781144781149</v>
      </c>
      <c r="X142" s="10" t="str">
        <f t="shared" si="21"/>
        <v>VERYHIGHMARGIN</v>
      </c>
    </row>
    <row r="143" spans="1:24">
      <c r="A143" s="7">
        <v>141</v>
      </c>
      <c r="B143" s="8" t="s">
        <v>126</v>
      </c>
      <c r="C143" s="7">
        <v>438</v>
      </c>
      <c r="D143" s="7">
        <v>38</v>
      </c>
      <c r="E143" s="9">
        <v>8.6757990867579906</v>
      </c>
      <c r="F143" s="7">
        <v>388</v>
      </c>
      <c r="G143" s="9">
        <v>88.584474885844756</v>
      </c>
      <c r="H143" s="7">
        <v>3</v>
      </c>
      <c r="I143" s="9">
        <v>0.68493150684931503</v>
      </c>
      <c r="J143" s="7">
        <v>0</v>
      </c>
      <c r="K143" s="9">
        <v>0</v>
      </c>
      <c r="L143" s="7">
        <v>0</v>
      </c>
      <c r="M143" s="9">
        <v>0</v>
      </c>
      <c r="N143" s="7">
        <v>2</v>
      </c>
      <c r="O143" s="9">
        <v>0.45662100456621008</v>
      </c>
      <c r="P143" s="7">
        <v>0</v>
      </c>
      <c r="Q143" s="9">
        <v>0</v>
      </c>
      <c r="R143" s="7">
        <v>1</v>
      </c>
      <c r="S143" s="9">
        <v>0.22831050228310504</v>
      </c>
      <c r="T143" s="7">
        <v>6</v>
      </c>
      <c r="U143" s="9">
        <v>1.3698630136986301</v>
      </c>
      <c r="V143" s="10" t="str">
        <f t="shared" si="20"/>
        <v>CONGRESSGAIN</v>
      </c>
      <c r="W143" s="11">
        <f t="shared" si="19"/>
        <v>79.908675799086765</v>
      </c>
      <c r="X143" s="10" t="str">
        <f t="shared" si="21"/>
        <v>VERYHIGHMARGIN</v>
      </c>
    </row>
    <row r="144" spans="1:24">
      <c r="A144" s="7">
        <v>142</v>
      </c>
      <c r="B144" s="8" t="s">
        <v>126</v>
      </c>
      <c r="C144" s="7">
        <v>447</v>
      </c>
      <c r="D144" s="7">
        <v>28</v>
      </c>
      <c r="E144" s="9">
        <v>6.2639821029082778</v>
      </c>
      <c r="F144" s="7">
        <v>389</v>
      </c>
      <c r="G144" s="9">
        <v>87.024608501118578</v>
      </c>
      <c r="H144" s="7">
        <v>6</v>
      </c>
      <c r="I144" s="9">
        <v>1.3422818791946309</v>
      </c>
      <c r="J144" s="7">
        <v>0</v>
      </c>
      <c r="K144" s="9">
        <v>0</v>
      </c>
      <c r="L144" s="7">
        <v>0</v>
      </c>
      <c r="M144" s="9">
        <v>0</v>
      </c>
      <c r="N144" s="7">
        <v>1</v>
      </c>
      <c r="O144" s="9">
        <v>0.2237136465324385</v>
      </c>
      <c r="P144" s="7">
        <v>0</v>
      </c>
      <c r="Q144" s="9">
        <v>0</v>
      </c>
      <c r="R144" s="7">
        <v>4</v>
      </c>
      <c r="S144" s="9">
        <v>0.89485458612975399</v>
      </c>
      <c r="T144" s="7">
        <v>19</v>
      </c>
      <c r="U144" s="9">
        <v>4.2505592841163313</v>
      </c>
      <c r="V144" s="10" t="str">
        <f t="shared" si="20"/>
        <v>CONGRESSGAIN</v>
      </c>
      <c r="W144" s="11">
        <f t="shared" si="19"/>
        <v>80.760626398210306</v>
      </c>
      <c r="X144" s="10" t="str">
        <f t="shared" si="21"/>
        <v>VERYHIGHMARGIN</v>
      </c>
    </row>
    <row r="145" spans="1:24">
      <c r="A145" s="7">
        <v>143</v>
      </c>
      <c r="B145" s="8" t="s">
        <v>126</v>
      </c>
      <c r="C145" s="7">
        <v>396</v>
      </c>
      <c r="D145" s="7">
        <v>56</v>
      </c>
      <c r="E145" s="9">
        <v>14.141414141414142</v>
      </c>
      <c r="F145" s="7">
        <v>329</v>
      </c>
      <c r="G145" s="9">
        <v>83.080808080808083</v>
      </c>
      <c r="H145" s="7">
        <v>3</v>
      </c>
      <c r="I145" s="9">
        <v>0.75757575757575757</v>
      </c>
      <c r="J145" s="7">
        <v>0</v>
      </c>
      <c r="K145" s="9">
        <v>0</v>
      </c>
      <c r="L145" s="7">
        <v>0</v>
      </c>
      <c r="M145" s="9">
        <v>0</v>
      </c>
      <c r="N145" s="7">
        <v>0</v>
      </c>
      <c r="O145" s="9">
        <v>0</v>
      </c>
      <c r="P145" s="7">
        <v>0</v>
      </c>
      <c r="Q145" s="9">
        <v>0</v>
      </c>
      <c r="R145" s="7">
        <v>1</v>
      </c>
      <c r="S145" s="9">
        <v>0.25252525252525254</v>
      </c>
      <c r="T145" s="7">
        <v>7</v>
      </c>
      <c r="U145" s="9">
        <v>1.7676767676767677</v>
      </c>
      <c r="V145" s="10" t="str">
        <f t="shared" si="20"/>
        <v>CONGRESSGAIN</v>
      </c>
      <c r="W145" s="11">
        <f t="shared" si="19"/>
        <v>68.939393939393938</v>
      </c>
      <c r="X145" s="10" t="str">
        <f t="shared" si="21"/>
        <v>VERYHIGHMARGIN</v>
      </c>
    </row>
    <row r="146" spans="1:24">
      <c r="A146" s="7">
        <v>144</v>
      </c>
      <c r="B146" s="8" t="s">
        <v>126</v>
      </c>
      <c r="C146" s="7">
        <v>519</v>
      </c>
      <c r="D146" s="7">
        <v>76</v>
      </c>
      <c r="E146" s="9">
        <v>14.643545279383428</v>
      </c>
      <c r="F146" s="7">
        <v>426</v>
      </c>
      <c r="G146" s="9">
        <v>82.080924855491318</v>
      </c>
      <c r="H146" s="7">
        <v>2</v>
      </c>
      <c r="I146" s="9">
        <v>0.38535645472061653</v>
      </c>
      <c r="J146" s="7">
        <v>0</v>
      </c>
      <c r="K146" s="9">
        <v>0</v>
      </c>
      <c r="L146" s="7">
        <v>0</v>
      </c>
      <c r="M146" s="9">
        <v>0</v>
      </c>
      <c r="N146" s="7">
        <v>1</v>
      </c>
      <c r="O146" s="9">
        <v>0.19267822736030826</v>
      </c>
      <c r="P146" s="7">
        <v>0</v>
      </c>
      <c r="Q146" s="9">
        <v>0</v>
      </c>
      <c r="R146" s="7">
        <v>6</v>
      </c>
      <c r="S146" s="9">
        <v>1.1560693641618496</v>
      </c>
      <c r="T146" s="7">
        <v>8</v>
      </c>
      <c r="U146" s="9">
        <v>1.5414258188824661</v>
      </c>
      <c r="V146" s="10" t="str">
        <f t="shared" si="20"/>
        <v>CONGRESSGAIN</v>
      </c>
      <c r="W146" s="11">
        <f t="shared" si="19"/>
        <v>67.437379576107887</v>
      </c>
      <c r="X146" s="10" t="str">
        <f t="shared" si="21"/>
        <v>VERYHIGHMARGIN</v>
      </c>
    </row>
    <row r="147" spans="1:24">
      <c r="A147" s="7">
        <v>145</v>
      </c>
      <c r="B147" s="8" t="s">
        <v>126</v>
      </c>
      <c r="C147" s="7">
        <v>524</v>
      </c>
      <c r="D147" s="7">
        <v>151</v>
      </c>
      <c r="E147" s="9">
        <v>28.81679389312977</v>
      </c>
      <c r="F147" s="7">
        <v>347</v>
      </c>
      <c r="G147" s="9">
        <v>66.221374045801525</v>
      </c>
      <c r="H147" s="7">
        <v>3</v>
      </c>
      <c r="I147" s="9">
        <v>0.5725190839694656</v>
      </c>
      <c r="J147" s="7">
        <v>0</v>
      </c>
      <c r="K147" s="9">
        <v>0</v>
      </c>
      <c r="L147" s="7">
        <v>0</v>
      </c>
      <c r="M147" s="9">
        <v>0</v>
      </c>
      <c r="N147" s="7">
        <v>1</v>
      </c>
      <c r="O147" s="9">
        <v>0.19083969465648853</v>
      </c>
      <c r="P147" s="7">
        <v>0</v>
      </c>
      <c r="Q147" s="9">
        <v>0</v>
      </c>
      <c r="R147" s="7">
        <v>6</v>
      </c>
      <c r="S147" s="9">
        <v>1.1450381679389312</v>
      </c>
      <c r="T147" s="7">
        <v>16</v>
      </c>
      <c r="U147" s="9">
        <v>3.0534351145038165</v>
      </c>
      <c r="V147" s="10" t="str">
        <f t="shared" si="20"/>
        <v>CONGRESSGAIN</v>
      </c>
      <c r="W147" s="11">
        <f t="shared" si="19"/>
        <v>37.404580152671755</v>
      </c>
      <c r="X147" s="19" t="str">
        <f t="shared" si="21"/>
        <v>MEDIUMMARGIN</v>
      </c>
    </row>
    <row r="148" spans="1:24">
      <c r="A148" s="7">
        <v>146</v>
      </c>
      <c r="B148" s="8" t="s">
        <v>126</v>
      </c>
      <c r="C148" s="7">
        <v>566</v>
      </c>
      <c r="D148" s="7">
        <v>173</v>
      </c>
      <c r="E148" s="9">
        <v>30.565371024734983</v>
      </c>
      <c r="F148" s="7">
        <v>376</v>
      </c>
      <c r="G148" s="9">
        <v>66.431095406360427</v>
      </c>
      <c r="H148" s="7">
        <v>6</v>
      </c>
      <c r="I148" s="9">
        <v>1.0600706713780919</v>
      </c>
      <c r="J148" s="7">
        <v>0</v>
      </c>
      <c r="K148" s="9">
        <v>0</v>
      </c>
      <c r="L148" s="7">
        <v>0</v>
      </c>
      <c r="M148" s="9">
        <v>0</v>
      </c>
      <c r="N148" s="7">
        <v>1</v>
      </c>
      <c r="O148" s="9">
        <v>0.17667844522968199</v>
      </c>
      <c r="P148" s="7">
        <v>0</v>
      </c>
      <c r="Q148" s="9">
        <v>0</v>
      </c>
      <c r="R148" s="7">
        <v>2</v>
      </c>
      <c r="S148" s="9">
        <v>0.35335689045936397</v>
      </c>
      <c r="T148" s="7">
        <v>8</v>
      </c>
      <c r="U148" s="9">
        <v>1.4134275618374559</v>
      </c>
      <c r="V148" s="10" t="str">
        <f t="shared" si="20"/>
        <v>CONGRESSGAIN</v>
      </c>
      <c r="W148" s="11">
        <f t="shared" si="19"/>
        <v>35.865724381625441</v>
      </c>
      <c r="X148" s="19" t="str">
        <f t="shared" si="21"/>
        <v>MEDIUMMARGIN</v>
      </c>
    </row>
    <row r="149" spans="1:24">
      <c r="A149" s="7">
        <v>147</v>
      </c>
      <c r="B149" s="8" t="s">
        <v>126</v>
      </c>
      <c r="C149" s="7">
        <v>504</v>
      </c>
      <c r="D149" s="7">
        <v>124</v>
      </c>
      <c r="E149" s="9">
        <v>24.603174603174605</v>
      </c>
      <c r="F149" s="7">
        <v>369</v>
      </c>
      <c r="G149" s="9">
        <v>73.214285714285708</v>
      </c>
      <c r="H149" s="7">
        <v>2</v>
      </c>
      <c r="I149" s="9">
        <v>0.3968253968253968</v>
      </c>
      <c r="J149" s="7">
        <v>0</v>
      </c>
      <c r="K149" s="9">
        <v>0</v>
      </c>
      <c r="L149" s="7">
        <v>0</v>
      </c>
      <c r="M149" s="9">
        <v>0</v>
      </c>
      <c r="N149" s="7">
        <v>0</v>
      </c>
      <c r="O149" s="9">
        <v>0</v>
      </c>
      <c r="P149" s="7">
        <v>0</v>
      </c>
      <c r="Q149" s="9">
        <v>0</v>
      </c>
      <c r="R149" s="7">
        <v>3</v>
      </c>
      <c r="S149" s="9">
        <v>0.59523809523809523</v>
      </c>
      <c r="T149" s="7">
        <v>6</v>
      </c>
      <c r="U149" s="9">
        <v>1.1904761904761905</v>
      </c>
      <c r="V149" s="10" t="str">
        <f t="shared" si="20"/>
        <v>CONGRESSGAIN</v>
      </c>
      <c r="W149" s="11">
        <f t="shared" si="19"/>
        <v>48.6111111111111</v>
      </c>
      <c r="X149" s="18" t="str">
        <f t="shared" si="21"/>
        <v>HIGHMARGIN</v>
      </c>
    </row>
    <row r="150" spans="1:24">
      <c r="A150" s="7">
        <v>148</v>
      </c>
      <c r="B150" s="8" t="s">
        <v>126</v>
      </c>
      <c r="C150" s="7">
        <v>458</v>
      </c>
      <c r="D150" s="7">
        <v>59</v>
      </c>
      <c r="E150" s="9">
        <v>12.882096069868995</v>
      </c>
      <c r="F150" s="7">
        <v>387</v>
      </c>
      <c r="G150" s="9">
        <v>84.497816593886455</v>
      </c>
      <c r="H150" s="7">
        <v>1</v>
      </c>
      <c r="I150" s="9">
        <v>0.2183406113537118</v>
      </c>
      <c r="J150" s="7">
        <v>0</v>
      </c>
      <c r="K150" s="9">
        <v>0</v>
      </c>
      <c r="L150" s="7">
        <v>0</v>
      </c>
      <c r="M150" s="9">
        <v>0</v>
      </c>
      <c r="N150" s="7">
        <v>0</v>
      </c>
      <c r="O150" s="9">
        <v>0</v>
      </c>
      <c r="P150" s="7">
        <v>0</v>
      </c>
      <c r="Q150" s="9">
        <v>0</v>
      </c>
      <c r="R150" s="7">
        <v>10</v>
      </c>
      <c r="S150" s="9">
        <v>2.1834061135371177</v>
      </c>
      <c r="T150" s="7">
        <v>1</v>
      </c>
      <c r="U150" s="9">
        <v>0.2183406113537118</v>
      </c>
      <c r="V150" s="10" t="str">
        <f t="shared" si="20"/>
        <v>CONGRESSGAIN</v>
      </c>
      <c r="W150" s="11">
        <f t="shared" si="19"/>
        <v>71.615720524017462</v>
      </c>
      <c r="X150" s="10" t="str">
        <f t="shared" si="21"/>
        <v>VERYHIGHMARGIN</v>
      </c>
    </row>
    <row r="151" spans="1:24">
      <c r="A151" s="7">
        <v>149</v>
      </c>
      <c r="B151" s="8" t="s">
        <v>126</v>
      </c>
      <c r="C151" s="7">
        <v>795</v>
      </c>
      <c r="D151" s="7">
        <v>247</v>
      </c>
      <c r="E151" s="9">
        <v>31.069182389937104</v>
      </c>
      <c r="F151" s="7">
        <v>522</v>
      </c>
      <c r="G151" s="9">
        <v>65.660377358490564</v>
      </c>
      <c r="H151" s="7">
        <v>4</v>
      </c>
      <c r="I151" s="9">
        <v>0.50314465408805031</v>
      </c>
      <c r="J151" s="7">
        <v>0</v>
      </c>
      <c r="K151" s="9">
        <v>0</v>
      </c>
      <c r="L151" s="7">
        <v>0</v>
      </c>
      <c r="M151" s="9">
        <v>0</v>
      </c>
      <c r="N151" s="7">
        <v>1</v>
      </c>
      <c r="O151" s="9">
        <v>0.12578616352201258</v>
      </c>
      <c r="P151" s="7">
        <v>0</v>
      </c>
      <c r="Q151" s="9">
        <v>0</v>
      </c>
      <c r="R151" s="7">
        <v>7</v>
      </c>
      <c r="S151" s="9">
        <v>0.88050314465408808</v>
      </c>
      <c r="T151" s="7">
        <v>14</v>
      </c>
      <c r="U151" s="9">
        <v>1.7610062893081762</v>
      </c>
      <c r="V151" s="10" t="str">
        <f t="shared" si="20"/>
        <v>CONGRESSGAIN</v>
      </c>
      <c r="W151" s="11">
        <f t="shared" si="19"/>
        <v>34.591194968553459</v>
      </c>
      <c r="X151" s="19" t="str">
        <f t="shared" si="21"/>
        <v>MEDIUMMARGIN</v>
      </c>
    </row>
    <row r="152" spans="1:24">
      <c r="A152" s="7">
        <v>150</v>
      </c>
      <c r="B152" s="8" t="s">
        <v>126</v>
      </c>
      <c r="C152" s="7">
        <v>751</v>
      </c>
      <c r="D152" s="7">
        <v>332</v>
      </c>
      <c r="E152" s="9">
        <v>44.207723035952064</v>
      </c>
      <c r="F152" s="7">
        <v>376</v>
      </c>
      <c r="G152" s="9">
        <v>50.066577896138483</v>
      </c>
      <c r="H152" s="7">
        <v>18</v>
      </c>
      <c r="I152" s="9">
        <v>2.3968042609853528</v>
      </c>
      <c r="J152" s="7">
        <v>0</v>
      </c>
      <c r="K152" s="9">
        <v>0</v>
      </c>
      <c r="L152" s="7">
        <v>0</v>
      </c>
      <c r="M152" s="9">
        <v>0</v>
      </c>
      <c r="N152" s="7">
        <v>0</v>
      </c>
      <c r="O152" s="9">
        <v>0</v>
      </c>
      <c r="P152" s="7">
        <v>0</v>
      </c>
      <c r="Q152" s="9">
        <v>0</v>
      </c>
      <c r="R152" s="7">
        <v>15</v>
      </c>
      <c r="S152" s="9">
        <v>1.9973368841544608</v>
      </c>
      <c r="T152" s="7">
        <v>10</v>
      </c>
      <c r="U152" s="9">
        <v>1.3315579227696406</v>
      </c>
      <c r="V152" s="10" t="str">
        <f t="shared" si="20"/>
        <v>CONGRESSGAIN</v>
      </c>
      <c r="W152" s="11">
        <f t="shared" si="19"/>
        <v>5.858854860186419</v>
      </c>
      <c r="X152" s="13" t="str">
        <f t="shared" si="21"/>
        <v>NARROWMARGIN</v>
      </c>
    </row>
    <row r="153" spans="1:24">
      <c r="A153" s="7">
        <v>151</v>
      </c>
      <c r="B153" s="8" t="s">
        <v>126</v>
      </c>
      <c r="C153" s="7">
        <v>464</v>
      </c>
      <c r="D153" s="7">
        <v>172</v>
      </c>
      <c r="E153" s="9">
        <v>37.068965517241381</v>
      </c>
      <c r="F153" s="7">
        <v>274</v>
      </c>
      <c r="G153" s="9">
        <v>59.051724137931039</v>
      </c>
      <c r="H153" s="7">
        <v>4</v>
      </c>
      <c r="I153" s="9">
        <v>0.86206896551724144</v>
      </c>
      <c r="J153" s="7">
        <v>0</v>
      </c>
      <c r="K153" s="9">
        <v>0</v>
      </c>
      <c r="L153" s="7">
        <v>0</v>
      </c>
      <c r="M153" s="9">
        <v>0</v>
      </c>
      <c r="N153" s="7">
        <v>0</v>
      </c>
      <c r="O153" s="9">
        <v>0</v>
      </c>
      <c r="P153" s="7">
        <v>0</v>
      </c>
      <c r="Q153" s="9">
        <v>0</v>
      </c>
      <c r="R153" s="7">
        <v>11</v>
      </c>
      <c r="S153" s="9">
        <v>2.3706896551724141</v>
      </c>
      <c r="T153" s="7">
        <v>3</v>
      </c>
      <c r="U153" s="9">
        <v>0.64655172413793105</v>
      </c>
      <c r="V153" s="10" t="str">
        <f t="shared" si="20"/>
        <v>CONGRESSGAIN</v>
      </c>
      <c r="W153" s="11">
        <f t="shared" si="19"/>
        <v>21.982758620689658</v>
      </c>
      <c r="X153" s="12" t="str">
        <f t="shared" si="21"/>
        <v>LOWMARGIN</v>
      </c>
    </row>
    <row r="154" spans="1:24">
      <c r="A154" s="7">
        <v>152</v>
      </c>
      <c r="B154" s="8" t="s">
        <v>126</v>
      </c>
      <c r="C154" s="7">
        <v>462</v>
      </c>
      <c r="D154" s="7">
        <v>104</v>
      </c>
      <c r="E154" s="9">
        <v>22.510822510822511</v>
      </c>
      <c r="F154" s="7">
        <v>351</v>
      </c>
      <c r="G154" s="9">
        <v>75.974025974025977</v>
      </c>
      <c r="H154" s="7">
        <v>5</v>
      </c>
      <c r="I154" s="9">
        <v>1.0822510822510822</v>
      </c>
      <c r="J154" s="7">
        <v>0</v>
      </c>
      <c r="K154" s="9">
        <v>0</v>
      </c>
      <c r="L154" s="7">
        <v>0</v>
      </c>
      <c r="M154" s="9">
        <v>0</v>
      </c>
      <c r="N154" s="7">
        <v>0</v>
      </c>
      <c r="O154" s="9">
        <v>0</v>
      </c>
      <c r="P154" s="7">
        <v>0</v>
      </c>
      <c r="Q154" s="9">
        <v>0</v>
      </c>
      <c r="R154" s="7">
        <v>2</v>
      </c>
      <c r="S154" s="9">
        <v>0.4329004329004329</v>
      </c>
      <c r="T154" s="7">
        <v>0</v>
      </c>
      <c r="U154" s="9">
        <v>0</v>
      </c>
      <c r="V154" s="10" t="str">
        <f t="shared" si="20"/>
        <v>CONGRESSGAIN</v>
      </c>
      <c r="W154" s="11">
        <f t="shared" si="19"/>
        <v>53.46320346320347</v>
      </c>
      <c r="X154" s="10" t="str">
        <f t="shared" si="21"/>
        <v>VERYHIGHMARGIN</v>
      </c>
    </row>
    <row r="155" spans="1:24">
      <c r="A155" s="7">
        <v>153</v>
      </c>
      <c r="B155" s="8" t="s">
        <v>126</v>
      </c>
      <c r="C155" s="7">
        <v>795</v>
      </c>
      <c r="D155" s="7">
        <v>310</v>
      </c>
      <c r="E155" s="9">
        <v>38.9937106918239</v>
      </c>
      <c r="F155" s="7">
        <v>453</v>
      </c>
      <c r="G155" s="9">
        <v>56.981132075471699</v>
      </c>
      <c r="H155" s="7">
        <v>9</v>
      </c>
      <c r="I155" s="9">
        <v>1.1320754716981132</v>
      </c>
      <c r="J155" s="7">
        <v>0</v>
      </c>
      <c r="K155" s="9">
        <v>0</v>
      </c>
      <c r="L155" s="7">
        <v>0</v>
      </c>
      <c r="M155" s="9">
        <v>0</v>
      </c>
      <c r="N155" s="7">
        <v>0</v>
      </c>
      <c r="O155" s="9">
        <v>0</v>
      </c>
      <c r="P155" s="7">
        <v>0</v>
      </c>
      <c r="Q155" s="9">
        <v>0</v>
      </c>
      <c r="R155" s="7">
        <v>16</v>
      </c>
      <c r="S155" s="9">
        <v>2.0125786163522013</v>
      </c>
      <c r="T155" s="7">
        <v>7</v>
      </c>
      <c r="U155" s="9">
        <v>0.88050314465408808</v>
      </c>
      <c r="V155" s="10" t="str">
        <f t="shared" si="20"/>
        <v>CONGRESSGAIN</v>
      </c>
      <c r="W155" s="11">
        <f t="shared" si="19"/>
        <v>17.987421383647799</v>
      </c>
      <c r="X155" s="12" t="str">
        <f t="shared" si="21"/>
        <v>LOWMARGIN</v>
      </c>
    </row>
    <row r="156" spans="1:24">
      <c r="A156" s="7">
        <v>154</v>
      </c>
      <c r="B156" s="8" t="s">
        <v>126</v>
      </c>
      <c r="C156" s="7">
        <v>599</v>
      </c>
      <c r="D156" s="7">
        <v>265</v>
      </c>
      <c r="E156" s="9">
        <v>44.240400667779632</v>
      </c>
      <c r="F156" s="7">
        <v>313</v>
      </c>
      <c r="G156" s="9">
        <v>52.253756260434052</v>
      </c>
      <c r="H156" s="7">
        <v>6</v>
      </c>
      <c r="I156" s="9">
        <v>1.001669449081803</v>
      </c>
      <c r="J156" s="7">
        <v>0</v>
      </c>
      <c r="K156" s="9">
        <v>0</v>
      </c>
      <c r="L156" s="7">
        <v>0</v>
      </c>
      <c r="M156" s="9">
        <v>0</v>
      </c>
      <c r="N156" s="7">
        <v>0</v>
      </c>
      <c r="O156" s="9">
        <v>0</v>
      </c>
      <c r="P156" s="7">
        <v>0</v>
      </c>
      <c r="Q156" s="9">
        <v>0</v>
      </c>
      <c r="R156" s="7">
        <v>8</v>
      </c>
      <c r="S156" s="9">
        <v>1.335559265442404</v>
      </c>
      <c r="T156" s="7">
        <v>7</v>
      </c>
      <c r="U156" s="9">
        <v>1.1686143572621035</v>
      </c>
      <c r="V156" s="10" t="str">
        <f t="shared" si="20"/>
        <v>CONGRESSGAIN</v>
      </c>
      <c r="W156" s="11">
        <f t="shared" si="19"/>
        <v>8.0133555926544204</v>
      </c>
      <c r="X156" s="13" t="str">
        <f t="shared" si="21"/>
        <v>NARROWMARGIN</v>
      </c>
    </row>
    <row r="157" spans="1:24">
      <c r="A157" s="7">
        <v>155</v>
      </c>
      <c r="B157" s="8" t="s">
        <v>126</v>
      </c>
      <c r="C157" s="7">
        <v>865</v>
      </c>
      <c r="D157" s="7">
        <v>394</v>
      </c>
      <c r="E157" s="9">
        <v>45.549132947976879</v>
      </c>
      <c r="F157" s="7">
        <v>434</v>
      </c>
      <c r="G157" s="9">
        <v>50.173410404624278</v>
      </c>
      <c r="H157" s="7">
        <v>9</v>
      </c>
      <c r="I157" s="9">
        <v>1.0404624277456647</v>
      </c>
      <c r="J157" s="7">
        <v>0</v>
      </c>
      <c r="K157" s="9">
        <v>0</v>
      </c>
      <c r="L157" s="7">
        <v>0</v>
      </c>
      <c r="M157" s="9">
        <v>0</v>
      </c>
      <c r="N157" s="7">
        <v>1</v>
      </c>
      <c r="O157" s="9">
        <v>0.11560693641618497</v>
      </c>
      <c r="P157" s="7">
        <v>0</v>
      </c>
      <c r="Q157" s="9">
        <v>0</v>
      </c>
      <c r="R157" s="7">
        <v>10</v>
      </c>
      <c r="S157" s="9">
        <v>1.1560693641618496</v>
      </c>
      <c r="T157" s="7">
        <v>17</v>
      </c>
      <c r="U157" s="9">
        <v>1.9653179190751444</v>
      </c>
      <c r="V157" s="10" t="str">
        <f t="shared" si="20"/>
        <v>CONGRESSGAIN</v>
      </c>
      <c r="W157" s="11">
        <f t="shared" si="19"/>
        <v>4.6242774566473983</v>
      </c>
      <c r="X157" s="13" t="str">
        <f t="shared" si="21"/>
        <v>NARROWMARGIN</v>
      </c>
    </row>
    <row r="158" spans="1:24">
      <c r="A158" s="7">
        <v>156</v>
      </c>
      <c r="B158" s="8" t="s">
        <v>126</v>
      </c>
      <c r="C158" s="7">
        <v>753</v>
      </c>
      <c r="D158" s="7">
        <v>294</v>
      </c>
      <c r="E158" s="9">
        <v>39.04382470119522</v>
      </c>
      <c r="F158" s="7">
        <v>395</v>
      </c>
      <c r="G158" s="9">
        <v>52.45683930942895</v>
      </c>
      <c r="H158" s="7">
        <v>10</v>
      </c>
      <c r="I158" s="9">
        <v>1.3280212483399734</v>
      </c>
      <c r="J158" s="7">
        <v>0</v>
      </c>
      <c r="K158" s="9">
        <v>0</v>
      </c>
      <c r="L158" s="7">
        <v>0</v>
      </c>
      <c r="M158" s="9">
        <v>0</v>
      </c>
      <c r="N158" s="7">
        <v>1</v>
      </c>
      <c r="O158" s="9">
        <v>0.13280212483399734</v>
      </c>
      <c r="P158" s="7">
        <v>0</v>
      </c>
      <c r="Q158" s="9">
        <v>0</v>
      </c>
      <c r="R158" s="7">
        <v>27</v>
      </c>
      <c r="S158" s="9">
        <v>3.5856573705179282</v>
      </c>
      <c r="T158" s="7">
        <v>26</v>
      </c>
      <c r="U158" s="9">
        <v>3.452855245683931</v>
      </c>
      <c r="V158" s="10" t="str">
        <f t="shared" si="20"/>
        <v>CONGRESSGAIN</v>
      </c>
      <c r="W158" s="11">
        <f t="shared" si="19"/>
        <v>13.41301460823373</v>
      </c>
      <c r="X158" s="12" t="str">
        <f t="shared" si="21"/>
        <v>LOWMARGIN</v>
      </c>
    </row>
    <row r="159" spans="1:24">
      <c r="A159" s="7">
        <v>157</v>
      </c>
      <c r="B159" s="8" t="s">
        <v>126</v>
      </c>
      <c r="C159" s="7">
        <v>1013</v>
      </c>
      <c r="D159" s="7">
        <v>358</v>
      </c>
      <c r="E159" s="9">
        <v>35.340572556762091</v>
      </c>
      <c r="F159" s="7">
        <v>544</v>
      </c>
      <c r="G159" s="9">
        <v>53.701875616979265</v>
      </c>
      <c r="H159" s="7">
        <v>13</v>
      </c>
      <c r="I159" s="9">
        <v>1.2833168805528132</v>
      </c>
      <c r="J159" s="7">
        <v>0</v>
      </c>
      <c r="K159" s="9">
        <v>0</v>
      </c>
      <c r="L159" s="7">
        <v>0</v>
      </c>
      <c r="M159" s="9">
        <v>0</v>
      </c>
      <c r="N159" s="7">
        <v>1</v>
      </c>
      <c r="O159" s="9">
        <v>9.8716683119447174E-2</v>
      </c>
      <c r="P159" s="7">
        <v>0</v>
      </c>
      <c r="Q159" s="9">
        <v>0</v>
      </c>
      <c r="R159" s="7">
        <v>70</v>
      </c>
      <c r="S159" s="9">
        <v>6.9101678183613027</v>
      </c>
      <c r="T159" s="7">
        <v>27</v>
      </c>
      <c r="U159" s="9">
        <v>2.6653504442250737</v>
      </c>
      <c r="V159" s="10" t="str">
        <f t="shared" si="20"/>
        <v>CONGRESSGAIN</v>
      </c>
      <c r="W159" s="11">
        <f t="shared" si="19"/>
        <v>18.361303060217175</v>
      </c>
      <c r="X159" s="12" t="str">
        <f t="shared" si="21"/>
        <v>LOWMARGIN</v>
      </c>
    </row>
    <row r="160" spans="1:24">
      <c r="A160" s="14">
        <v>158</v>
      </c>
      <c r="B160" s="15" t="s">
        <v>126</v>
      </c>
      <c r="C160" s="14">
        <v>803</v>
      </c>
      <c r="D160" s="14">
        <v>445</v>
      </c>
      <c r="E160" s="16">
        <v>55.417185554171859</v>
      </c>
      <c r="F160" s="14">
        <v>322</v>
      </c>
      <c r="G160" s="16">
        <v>40.099626400996264</v>
      </c>
      <c r="H160" s="14">
        <v>6</v>
      </c>
      <c r="I160" s="16">
        <v>0.74719800747198017</v>
      </c>
      <c r="J160" s="14">
        <v>0</v>
      </c>
      <c r="K160" s="16">
        <v>0</v>
      </c>
      <c r="L160" s="14">
        <v>0</v>
      </c>
      <c r="M160" s="16">
        <v>0</v>
      </c>
      <c r="N160" s="14">
        <v>0</v>
      </c>
      <c r="O160" s="16">
        <v>0</v>
      </c>
      <c r="P160" s="14">
        <v>0</v>
      </c>
      <c r="Q160" s="16">
        <v>0</v>
      </c>
      <c r="R160" s="14">
        <v>21</v>
      </c>
      <c r="S160" s="16">
        <v>2.6151930261519305</v>
      </c>
      <c r="T160" s="14">
        <v>9</v>
      </c>
      <c r="U160" s="16">
        <v>1.1207970112079702</v>
      </c>
      <c r="V160" s="17" t="str">
        <f t="shared" si="20"/>
        <v>BJP GAIN</v>
      </c>
      <c r="W160" s="11">
        <f t="shared" si="22"/>
        <v>15.317559153175594</v>
      </c>
      <c r="X160" s="12" t="str">
        <f t="shared" si="21"/>
        <v>LOWMARGIN</v>
      </c>
    </row>
    <row r="161" spans="1:24">
      <c r="A161" s="14">
        <v>159</v>
      </c>
      <c r="B161" s="15" t="s">
        <v>126</v>
      </c>
      <c r="C161" s="14">
        <v>723</v>
      </c>
      <c r="D161" s="14">
        <v>378</v>
      </c>
      <c r="E161" s="16">
        <v>52.282157676348547</v>
      </c>
      <c r="F161" s="14">
        <v>325</v>
      </c>
      <c r="G161" s="16">
        <v>44.951590594744118</v>
      </c>
      <c r="H161" s="14">
        <v>9</v>
      </c>
      <c r="I161" s="16">
        <v>1.2448132780082988</v>
      </c>
      <c r="J161" s="14">
        <v>0</v>
      </c>
      <c r="K161" s="16">
        <v>0</v>
      </c>
      <c r="L161" s="14">
        <v>0</v>
      </c>
      <c r="M161" s="16">
        <v>0</v>
      </c>
      <c r="N161" s="14">
        <v>0</v>
      </c>
      <c r="O161" s="16">
        <v>0</v>
      </c>
      <c r="P161" s="14">
        <v>0</v>
      </c>
      <c r="Q161" s="16">
        <v>0</v>
      </c>
      <c r="R161" s="14">
        <v>8</v>
      </c>
      <c r="S161" s="16">
        <v>1.1065006915629321</v>
      </c>
      <c r="T161" s="14">
        <v>3</v>
      </c>
      <c r="U161" s="16">
        <v>0.41493775933609955</v>
      </c>
      <c r="V161" s="17" t="str">
        <f t="shared" si="20"/>
        <v>BJP GAIN</v>
      </c>
      <c r="W161" s="11">
        <f t="shared" si="22"/>
        <v>7.3305670816044284</v>
      </c>
      <c r="X161" s="13" t="str">
        <f t="shared" si="21"/>
        <v>NARROWMARGIN</v>
      </c>
    </row>
    <row r="162" spans="1:24">
      <c r="A162" s="14">
        <v>160</v>
      </c>
      <c r="B162" s="15" t="s">
        <v>126</v>
      </c>
      <c r="C162" s="14">
        <v>852</v>
      </c>
      <c r="D162" s="14">
        <v>418</v>
      </c>
      <c r="E162" s="16">
        <v>49.061032863849768</v>
      </c>
      <c r="F162" s="14">
        <v>381</v>
      </c>
      <c r="G162" s="16">
        <v>44.718309859154935</v>
      </c>
      <c r="H162" s="14">
        <v>12</v>
      </c>
      <c r="I162" s="16">
        <v>1.4084507042253522</v>
      </c>
      <c r="J162" s="14">
        <v>0</v>
      </c>
      <c r="K162" s="16">
        <v>0</v>
      </c>
      <c r="L162" s="14">
        <v>0</v>
      </c>
      <c r="M162" s="16">
        <v>0</v>
      </c>
      <c r="N162" s="14">
        <v>1</v>
      </c>
      <c r="O162" s="16">
        <v>0.11737089201877934</v>
      </c>
      <c r="P162" s="14">
        <v>0</v>
      </c>
      <c r="Q162" s="16">
        <v>0</v>
      </c>
      <c r="R162" s="14">
        <v>20</v>
      </c>
      <c r="S162" s="16">
        <v>2.347417840375587</v>
      </c>
      <c r="T162" s="14">
        <v>20</v>
      </c>
      <c r="U162" s="16">
        <v>2.347417840375587</v>
      </c>
      <c r="V162" s="17" t="str">
        <f t="shared" si="20"/>
        <v>BJP GAIN</v>
      </c>
      <c r="W162" s="11">
        <f t="shared" si="22"/>
        <v>4.3427230046948324</v>
      </c>
      <c r="X162" s="13" t="str">
        <f t="shared" si="21"/>
        <v>NARROWMARGIN</v>
      </c>
    </row>
    <row r="163" spans="1:24">
      <c r="A163" s="14">
        <v>161</v>
      </c>
      <c r="B163" s="15" t="s">
        <v>126</v>
      </c>
      <c r="C163" s="14">
        <v>453</v>
      </c>
      <c r="D163" s="14">
        <v>260</v>
      </c>
      <c r="E163" s="16">
        <v>57.395143487858718</v>
      </c>
      <c r="F163" s="14">
        <v>159</v>
      </c>
      <c r="G163" s="16">
        <v>35.099337748344368</v>
      </c>
      <c r="H163" s="14">
        <v>5</v>
      </c>
      <c r="I163" s="16">
        <v>1.1037527593818983</v>
      </c>
      <c r="J163" s="14">
        <v>0</v>
      </c>
      <c r="K163" s="16">
        <v>0</v>
      </c>
      <c r="L163" s="14">
        <v>0</v>
      </c>
      <c r="M163" s="16">
        <v>0</v>
      </c>
      <c r="N163" s="14">
        <v>1</v>
      </c>
      <c r="O163" s="16">
        <v>0.22075055187637968</v>
      </c>
      <c r="P163" s="14">
        <v>0</v>
      </c>
      <c r="Q163" s="16">
        <v>0</v>
      </c>
      <c r="R163" s="14">
        <v>18</v>
      </c>
      <c r="S163" s="16">
        <v>3.9735099337748343</v>
      </c>
      <c r="T163" s="14">
        <v>10</v>
      </c>
      <c r="U163" s="16">
        <v>2.2075055187637966</v>
      </c>
      <c r="V163" s="17" t="str">
        <f t="shared" si="20"/>
        <v>BJP GAIN</v>
      </c>
      <c r="W163" s="11">
        <f t="shared" si="22"/>
        <v>22.29580573951435</v>
      </c>
      <c r="X163" s="12" t="str">
        <f t="shared" si="21"/>
        <v>LOWMARGIN</v>
      </c>
    </row>
    <row r="164" spans="1:24">
      <c r="A164" s="14">
        <v>162</v>
      </c>
      <c r="B164" s="15" t="s">
        <v>126</v>
      </c>
      <c r="C164" s="14">
        <v>616</v>
      </c>
      <c r="D164" s="14">
        <v>386</v>
      </c>
      <c r="E164" s="16">
        <v>62.662337662337663</v>
      </c>
      <c r="F164" s="14">
        <v>201</v>
      </c>
      <c r="G164" s="16">
        <v>32.629870129870127</v>
      </c>
      <c r="H164" s="14">
        <v>2</v>
      </c>
      <c r="I164" s="16">
        <v>0.32467532467532467</v>
      </c>
      <c r="J164" s="14">
        <v>0</v>
      </c>
      <c r="K164" s="16">
        <v>0</v>
      </c>
      <c r="L164" s="14">
        <v>0</v>
      </c>
      <c r="M164" s="16">
        <v>0</v>
      </c>
      <c r="N164" s="14">
        <v>0</v>
      </c>
      <c r="O164" s="16">
        <v>0</v>
      </c>
      <c r="P164" s="14">
        <v>0</v>
      </c>
      <c r="Q164" s="16">
        <v>0</v>
      </c>
      <c r="R164" s="14">
        <v>16</v>
      </c>
      <c r="S164" s="16">
        <v>2.5974025974025974</v>
      </c>
      <c r="T164" s="14">
        <v>11</v>
      </c>
      <c r="U164" s="16">
        <v>1.7857142857142856</v>
      </c>
      <c r="V164" s="17" t="str">
        <f t="shared" si="20"/>
        <v>BJP GAIN</v>
      </c>
      <c r="W164" s="11">
        <f t="shared" si="22"/>
        <v>30.032467532467535</v>
      </c>
      <c r="X164" s="19" t="str">
        <f t="shared" si="21"/>
        <v>MEDIUMMARGIN</v>
      </c>
    </row>
    <row r="165" spans="1:24">
      <c r="A165" s="14">
        <v>163</v>
      </c>
      <c r="B165" s="15" t="s">
        <v>126</v>
      </c>
      <c r="C165" s="14">
        <v>568</v>
      </c>
      <c r="D165" s="14">
        <v>284</v>
      </c>
      <c r="E165" s="16">
        <v>50</v>
      </c>
      <c r="F165" s="14">
        <v>265</v>
      </c>
      <c r="G165" s="16">
        <v>46.654929577464792</v>
      </c>
      <c r="H165" s="14">
        <v>7</v>
      </c>
      <c r="I165" s="16">
        <v>1.2323943661971832</v>
      </c>
      <c r="J165" s="14">
        <v>0</v>
      </c>
      <c r="K165" s="16">
        <v>0</v>
      </c>
      <c r="L165" s="14">
        <v>0</v>
      </c>
      <c r="M165" s="16">
        <v>0</v>
      </c>
      <c r="N165" s="14">
        <v>1</v>
      </c>
      <c r="O165" s="16">
        <v>0.17605633802816903</v>
      </c>
      <c r="P165" s="14">
        <v>0</v>
      </c>
      <c r="Q165" s="16">
        <v>0</v>
      </c>
      <c r="R165" s="14">
        <v>6</v>
      </c>
      <c r="S165" s="16">
        <v>1.0563380281690142</v>
      </c>
      <c r="T165" s="14">
        <v>5</v>
      </c>
      <c r="U165" s="16">
        <v>0.88028169014084512</v>
      </c>
      <c r="V165" s="17" t="str">
        <f t="shared" si="20"/>
        <v>BJP GAIN</v>
      </c>
      <c r="W165" s="11">
        <f t="shared" si="22"/>
        <v>3.3450704225352084</v>
      </c>
      <c r="X165" s="13" t="str">
        <f t="shared" si="21"/>
        <v>NARROWMARGIN</v>
      </c>
    </row>
    <row r="166" spans="1:24">
      <c r="A166" s="7">
        <v>164</v>
      </c>
      <c r="B166" s="8" t="s">
        <v>126</v>
      </c>
      <c r="C166" s="7">
        <v>932</v>
      </c>
      <c r="D166" s="7">
        <v>381</v>
      </c>
      <c r="E166" s="9">
        <v>40.87982832618026</v>
      </c>
      <c r="F166" s="7">
        <v>527</v>
      </c>
      <c r="G166" s="9">
        <v>56.545064377682401</v>
      </c>
      <c r="H166" s="7">
        <v>6</v>
      </c>
      <c r="I166" s="9">
        <v>0.64377682403433478</v>
      </c>
      <c r="J166" s="7">
        <v>0</v>
      </c>
      <c r="K166" s="9">
        <v>0</v>
      </c>
      <c r="L166" s="7">
        <v>0</v>
      </c>
      <c r="M166" s="9">
        <v>0</v>
      </c>
      <c r="N166" s="7">
        <v>0</v>
      </c>
      <c r="O166" s="9">
        <v>0</v>
      </c>
      <c r="P166" s="7">
        <v>0</v>
      </c>
      <c r="Q166" s="9">
        <v>0</v>
      </c>
      <c r="R166" s="7">
        <v>7</v>
      </c>
      <c r="S166" s="9">
        <v>0.75107296137339052</v>
      </c>
      <c r="T166" s="7">
        <v>11</v>
      </c>
      <c r="U166" s="9">
        <v>1.1802575107296136</v>
      </c>
      <c r="V166" s="10" t="str">
        <f t="shared" si="20"/>
        <v>CONGRESSGAIN</v>
      </c>
      <c r="W166" s="11">
        <f t="shared" ref="W166:W168" si="23">G166-E166</f>
        <v>15.665236051502141</v>
      </c>
      <c r="X166" s="12" t="str">
        <f t="shared" si="21"/>
        <v>LOWMARGIN</v>
      </c>
    </row>
    <row r="167" spans="1:24">
      <c r="A167" s="7">
        <v>165</v>
      </c>
      <c r="B167" s="8" t="s">
        <v>126</v>
      </c>
      <c r="C167" s="7">
        <v>571</v>
      </c>
      <c r="D167" s="7">
        <v>224</v>
      </c>
      <c r="E167" s="9">
        <v>39.229422066549915</v>
      </c>
      <c r="F167" s="7">
        <v>333</v>
      </c>
      <c r="G167" s="9">
        <v>58.318739054290717</v>
      </c>
      <c r="H167" s="7">
        <v>9</v>
      </c>
      <c r="I167" s="9">
        <v>1.5761821366024518</v>
      </c>
      <c r="J167" s="7">
        <v>0</v>
      </c>
      <c r="K167" s="9">
        <v>0</v>
      </c>
      <c r="L167" s="7">
        <v>0</v>
      </c>
      <c r="M167" s="9">
        <v>0</v>
      </c>
      <c r="N167" s="7">
        <v>0</v>
      </c>
      <c r="O167" s="9">
        <v>0</v>
      </c>
      <c r="P167" s="7">
        <v>0</v>
      </c>
      <c r="Q167" s="9">
        <v>0</v>
      </c>
      <c r="R167" s="7">
        <v>3</v>
      </c>
      <c r="S167" s="9">
        <v>0.52539404553415059</v>
      </c>
      <c r="T167" s="7">
        <v>2</v>
      </c>
      <c r="U167" s="9">
        <v>0.35026269702276708</v>
      </c>
      <c r="V167" s="10" t="str">
        <f t="shared" si="20"/>
        <v>CONGRESSGAIN</v>
      </c>
      <c r="W167" s="11">
        <f t="shared" si="23"/>
        <v>19.089316987740801</v>
      </c>
      <c r="X167" s="12" t="str">
        <f t="shared" si="21"/>
        <v>LOWMARGIN</v>
      </c>
    </row>
    <row r="168" spans="1:24">
      <c r="A168" s="7">
        <v>166</v>
      </c>
      <c r="B168" s="8" t="s">
        <v>126</v>
      </c>
      <c r="C168" s="7">
        <v>478</v>
      </c>
      <c r="D168" s="7">
        <v>146</v>
      </c>
      <c r="E168" s="9">
        <v>30.543933054393303</v>
      </c>
      <c r="F168" s="7">
        <v>313</v>
      </c>
      <c r="G168" s="9">
        <v>65.481171548117146</v>
      </c>
      <c r="H168" s="7">
        <v>6</v>
      </c>
      <c r="I168" s="9">
        <v>1.2552301255230125</v>
      </c>
      <c r="J168" s="7">
        <v>0</v>
      </c>
      <c r="K168" s="9">
        <v>0</v>
      </c>
      <c r="L168" s="7">
        <v>0</v>
      </c>
      <c r="M168" s="9">
        <v>0</v>
      </c>
      <c r="N168" s="7">
        <v>0</v>
      </c>
      <c r="O168" s="9">
        <v>0</v>
      </c>
      <c r="P168" s="7">
        <v>0</v>
      </c>
      <c r="Q168" s="9">
        <v>0</v>
      </c>
      <c r="R168" s="7">
        <v>9</v>
      </c>
      <c r="S168" s="9">
        <v>1.8828451882845187</v>
      </c>
      <c r="T168" s="7">
        <v>4</v>
      </c>
      <c r="U168" s="9">
        <v>0.83682008368200833</v>
      </c>
      <c r="V168" s="10" t="str">
        <f t="shared" si="20"/>
        <v>CONGRESSGAIN</v>
      </c>
      <c r="W168" s="11">
        <f t="shared" si="23"/>
        <v>34.937238493723839</v>
      </c>
      <c r="X168" s="19" t="str">
        <f t="shared" si="21"/>
        <v>MEDIUMMARGIN</v>
      </c>
    </row>
    <row r="169" spans="1:24">
      <c r="A169" s="14">
        <v>167</v>
      </c>
      <c r="B169" s="15" t="s">
        <v>126</v>
      </c>
      <c r="C169" s="14">
        <v>1013</v>
      </c>
      <c r="D169" s="14">
        <v>677</v>
      </c>
      <c r="E169" s="16">
        <v>66.831194471865743</v>
      </c>
      <c r="F169" s="14">
        <v>273</v>
      </c>
      <c r="G169" s="16">
        <v>26.949654491609081</v>
      </c>
      <c r="H169" s="14">
        <v>8</v>
      </c>
      <c r="I169" s="16">
        <v>0.78973346495557739</v>
      </c>
      <c r="J169" s="14">
        <v>0</v>
      </c>
      <c r="K169" s="16">
        <v>0</v>
      </c>
      <c r="L169" s="14">
        <v>0</v>
      </c>
      <c r="M169" s="16">
        <v>0</v>
      </c>
      <c r="N169" s="14">
        <v>2</v>
      </c>
      <c r="O169" s="16">
        <v>0.19743336623889435</v>
      </c>
      <c r="P169" s="14">
        <v>0</v>
      </c>
      <c r="Q169" s="16">
        <v>0</v>
      </c>
      <c r="R169" s="14">
        <v>31</v>
      </c>
      <c r="S169" s="16">
        <v>3.0602171767028628</v>
      </c>
      <c r="T169" s="14">
        <v>22</v>
      </c>
      <c r="U169" s="16">
        <v>2.1717670286278379</v>
      </c>
      <c r="V169" s="17" t="str">
        <f t="shared" si="20"/>
        <v>BJP GAIN</v>
      </c>
      <c r="W169" s="11">
        <f t="shared" si="22"/>
        <v>39.881539980256662</v>
      </c>
      <c r="X169" s="19" t="str">
        <f t="shared" si="21"/>
        <v>MEDIUMMARGIN</v>
      </c>
    </row>
    <row r="170" spans="1:24">
      <c r="A170" s="14">
        <v>168</v>
      </c>
      <c r="B170" s="15" t="s">
        <v>126</v>
      </c>
      <c r="C170" s="14">
        <v>717</v>
      </c>
      <c r="D170" s="14">
        <v>367</v>
      </c>
      <c r="E170" s="16">
        <v>51.185495118549511</v>
      </c>
      <c r="F170" s="14">
        <v>294</v>
      </c>
      <c r="G170" s="16">
        <v>41.004184100418414</v>
      </c>
      <c r="H170" s="14">
        <v>5</v>
      </c>
      <c r="I170" s="16">
        <v>0.69735006973500702</v>
      </c>
      <c r="J170" s="14">
        <v>0</v>
      </c>
      <c r="K170" s="16">
        <v>0</v>
      </c>
      <c r="L170" s="14">
        <v>0</v>
      </c>
      <c r="M170" s="16">
        <v>0</v>
      </c>
      <c r="N170" s="14">
        <v>0</v>
      </c>
      <c r="O170" s="16">
        <v>0</v>
      </c>
      <c r="P170" s="14">
        <v>0</v>
      </c>
      <c r="Q170" s="16">
        <v>0</v>
      </c>
      <c r="R170" s="14">
        <v>24</v>
      </c>
      <c r="S170" s="16">
        <v>3.3472803347280333</v>
      </c>
      <c r="T170" s="14">
        <v>27</v>
      </c>
      <c r="U170" s="16">
        <v>3.7656903765690375</v>
      </c>
      <c r="V170" s="17" t="str">
        <f t="shared" si="20"/>
        <v>BJP GAIN</v>
      </c>
      <c r="W170" s="11">
        <f t="shared" si="22"/>
        <v>10.181311018131098</v>
      </c>
      <c r="X170" s="12" t="str">
        <f t="shared" si="21"/>
        <v>LOWMARGIN</v>
      </c>
    </row>
    <row r="171" spans="1:24">
      <c r="A171" s="7">
        <v>169</v>
      </c>
      <c r="B171" s="8" t="s">
        <v>126</v>
      </c>
      <c r="C171" s="7">
        <v>806</v>
      </c>
      <c r="D171" s="7">
        <v>66</v>
      </c>
      <c r="E171" s="9">
        <v>8.1885856079404462</v>
      </c>
      <c r="F171" s="7">
        <v>501</v>
      </c>
      <c r="G171" s="9">
        <v>62.158808933002476</v>
      </c>
      <c r="H171" s="7">
        <v>4</v>
      </c>
      <c r="I171" s="9">
        <v>0.49627791563275431</v>
      </c>
      <c r="J171" s="7">
        <v>0</v>
      </c>
      <c r="K171" s="9">
        <v>0</v>
      </c>
      <c r="L171" s="7">
        <v>0</v>
      </c>
      <c r="M171" s="9">
        <v>0</v>
      </c>
      <c r="N171" s="7">
        <v>0</v>
      </c>
      <c r="O171" s="9">
        <v>0</v>
      </c>
      <c r="P171" s="7">
        <v>0</v>
      </c>
      <c r="Q171" s="9">
        <v>0</v>
      </c>
      <c r="R171" s="7">
        <v>75</v>
      </c>
      <c r="S171" s="9">
        <v>9.3052109181141436</v>
      </c>
      <c r="T171" s="7">
        <v>160</v>
      </c>
      <c r="U171" s="9">
        <v>19.851116625310173</v>
      </c>
      <c r="V171" s="10" t="str">
        <f t="shared" si="20"/>
        <v>CONGRESSGAIN</v>
      </c>
      <c r="W171" s="11">
        <f t="shared" ref="W171:W182" si="24">G171-E171</f>
        <v>53.97022332506203</v>
      </c>
      <c r="X171" s="10" t="str">
        <f t="shared" si="21"/>
        <v>VERYHIGHMARGIN</v>
      </c>
    </row>
    <row r="172" spans="1:24">
      <c r="A172" s="7">
        <v>170</v>
      </c>
      <c r="B172" s="8" t="s">
        <v>126</v>
      </c>
      <c r="C172" s="7">
        <v>719</v>
      </c>
      <c r="D172" s="7">
        <v>246</v>
      </c>
      <c r="E172" s="9">
        <v>34.21418636995827</v>
      </c>
      <c r="F172" s="7">
        <v>445</v>
      </c>
      <c r="G172" s="9">
        <v>61.891515994436716</v>
      </c>
      <c r="H172" s="7">
        <v>9</v>
      </c>
      <c r="I172" s="9">
        <v>1.2517385257301807</v>
      </c>
      <c r="J172" s="7">
        <v>0</v>
      </c>
      <c r="K172" s="9">
        <v>0</v>
      </c>
      <c r="L172" s="7">
        <v>0</v>
      </c>
      <c r="M172" s="9">
        <v>0</v>
      </c>
      <c r="N172" s="7">
        <v>2</v>
      </c>
      <c r="O172" s="9">
        <v>0.27816411682892905</v>
      </c>
      <c r="P172" s="7">
        <v>0</v>
      </c>
      <c r="Q172" s="9">
        <v>0</v>
      </c>
      <c r="R172" s="7">
        <v>12</v>
      </c>
      <c r="S172" s="9">
        <v>1.6689847009735743</v>
      </c>
      <c r="T172" s="7">
        <v>5</v>
      </c>
      <c r="U172" s="9">
        <v>0.69541029207232263</v>
      </c>
      <c r="V172" s="10" t="str">
        <f t="shared" si="20"/>
        <v>CONGRESSGAIN</v>
      </c>
      <c r="W172" s="11">
        <f t="shared" si="24"/>
        <v>27.677329624478446</v>
      </c>
      <c r="X172" s="12" t="str">
        <f t="shared" si="21"/>
        <v>LOWMARGIN</v>
      </c>
    </row>
    <row r="173" spans="1:24">
      <c r="A173" s="7">
        <v>171</v>
      </c>
      <c r="B173" s="8" t="s">
        <v>126</v>
      </c>
      <c r="C173" s="7">
        <v>816</v>
      </c>
      <c r="D173" s="7">
        <v>77</v>
      </c>
      <c r="E173" s="9">
        <v>9.4362745098039209</v>
      </c>
      <c r="F173" s="7">
        <v>529</v>
      </c>
      <c r="G173" s="9">
        <v>64.828431372549019</v>
      </c>
      <c r="H173" s="7">
        <v>12</v>
      </c>
      <c r="I173" s="9">
        <v>1.4705882352941175</v>
      </c>
      <c r="J173" s="7">
        <v>0</v>
      </c>
      <c r="K173" s="9">
        <v>0</v>
      </c>
      <c r="L173" s="7">
        <v>0</v>
      </c>
      <c r="M173" s="9">
        <v>0</v>
      </c>
      <c r="N173" s="7">
        <v>1</v>
      </c>
      <c r="O173" s="9">
        <v>0.12254901960784313</v>
      </c>
      <c r="P173" s="7">
        <v>0</v>
      </c>
      <c r="Q173" s="9">
        <v>0</v>
      </c>
      <c r="R173" s="7">
        <v>68</v>
      </c>
      <c r="S173" s="9">
        <v>8.3333333333333339</v>
      </c>
      <c r="T173" s="7">
        <v>129</v>
      </c>
      <c r="U173" s="9">
        <v>15.808823529411764</v>
      </c>
      <c r="V173" s="10" t="str">
        <f t="shared" si="20"/>
        <v>CONGRESSGAIN</v>
      </c>
      <c r="W173" s="11">
        <f t="shared" si="24"/>
        <v>55.392156862745097</v>
      </c>
      <c r="X173" s="10" t="str">
        <f t="shared" si="21"/>
        <v>VERYHIGHMARGIN</v>
      </c>
    </row>
    <row r="174" spans="1:24">
      <c r="A174" s="14">
        <v>172</v>
      </c>
      <c r="B174" s="15" t="s">
        <v>126</v>
      </c>
      <c r="C174" s="14">
        <v>535</v>
      </c>
      <c r="D174" s="14">
        <v>301</v>
      </c>
      <c r="E174" s="16">
        <v>56.261682242990659</v>
      </c>
      <c r="F174" s="14">
        <v>147</v>
      </c>
      <c r="G174" s="16">
        <v>27.476635514018692</v>
      </c>
      <c r="H174" s="14">
        <v>5</v>
      </c>
      <c r="I174" s="16">
        <v>0.93457943925233655</v>
      </c>
      <c r="J174" s="14">
        <v>0</v>
      </c>
      <c r="K174" s="16">
        <v>0</v>
      </c>
      <c r="L174" s="14">
        <v>0</v>
      </c>
      <c r="M174" s="16">
        <v>0</v>
      </c>
      <c r="N174" s="14">
        <v>1</v>
      </c>
      <c r="O174" s="16">
        <v>0.18691588785046731</v>
      </c>
      <c r="P174" s="14">
        <v>0</v>
      </c>
      <c r="Q174" s="16">
        <v>0</v>
      </c>
      <c r="R174" s="14">
        <v>60</v>
      </c>
      <c r="S174" s="16">
        <v>11.214953271028039</v>
      </c>
      <c r="T174" s="14">
        <v>21</v>
      </c>
      <c r="U174" s="16">
        <v>3.9252336448598135</v>
      </c>
      <c r="V174" s="17" t="str">
        <f t="shared" si="20"/>
        <v>BJP GAIN</v>
      </c>
      <c r="W174" s="11">
        <f t="shared" si="22"/>
        <v>28.785046728971967</v>
      </c>
      <c r="X174" s="12" t="str">
        <f t="shared" si="21"/>
        <v>LOWMARGIN</v>
      </c>
    </row>
    <row r="175" spans="1:24">
      <c r="A175" s="7">
        <v>173</v>
      </c>
      <c r="B175" s="8" t="s">
        <v>126</v>
      </c>
      <c r="C175" s="7">
        <v>724</v>
      </c>
      <c r="D175" s="7">
        <v>67</v>
      </c>
      <c r="E175" s="9">
        <v>9.2541436464088402</v>
      </c>
      <c r="F175" s="7">
        <v>558</v>
      </c>
      <c r="G175" s="9">
        <v>77.071823204419886</v>
      </c>
      <c r="H175" s="7">
        <v>11</v>
      </c>
      <c r="I175" s="9">
        <v>1.5193370165745856</v>
      </c>
      <c r="J175" s="7">
        <v>0</v>
      </c>
      <c r="K175" s="9">
        <v>0</v>
      </c>
      <c r="L175" s="7">
        <v>0</v>
      </c>
      <c r="M175" s="9">
        <v>0</v>
      </c>
      <c r="N175" s="7">
        <v>0</v>
      </c>
      <c r="O175" s="9">
        <v>0</v>
      </c>
      <c r="P175" s="7">
        <v>0</v>
      </c>
      <c r="Q175" s="9">
        <v>0</v>
      </c>
      <c r="R175" s="7">
        <v>19</v>
      </c>
      <c r="S175" s="9">
        <v>2.6243093922651934</v>
      </c>
      <c r="T175" s="7">
        <v>69</v>
      </c>
      <c r="U175" s="9">
        <v>9.5303867403314921</v>
      </c>
      <c r="V175" s="10" t="str">
        <f t="shared" si="20"/>
        <v>CONGRESSGAIN</v>
      </c>
      <c r="W175" s="11">
        <f t="shared" si="24"/>
        <v>67.817679558011051</v>
      </c>
      <c r="X175" s="10" t="str">
        <f t="shared" si="21"/>
        <v>VERYHIGHMARGIN</v>
      </c>
    </row>
    <row r="176" spans="1:24">
      <c r="A176" s="7">
        <v>174</v>
      </c>
      <c r="B176" s="8" t="s">
        <v>126</v>
      </c>
      <c r="C176" s="7">
        <v>788</v>
      </c>
      <c r="D176" s="7">
        <v>202</v>
      </c>
      <c r="E176" s="9">
        <v>25.634517766497463</v>
      </c>
      <c r="F176" s="7">
        <v>471</v>
      </c>
      <c r="G176" s="9">
        <v>59.771573604060912</v>
      </c>
      <c r="H176" s="7">
        <v>29</v>
      </c>
      <c r="I176" s="9">
        <v>3.6802030456852792</v>
      </c>
      <c r="J176" s="7">
        <v>0</v>
      </c>
      <c r="K176" s="9">
        <v>0</v>
      </c>
      <c r="L176" s="7">
        <v>0</v>
      </c>
      <c r="M176" s="9">
        <v>0</v>
      </c>
      <c r="N176" s="7">
        <v>0</v>
      </c>
      <c r="O176" s="9">
        <v>0</v>
      </c>
      <c r="P176" s="7">
        <v>0</v>
      </c>
      <c r="Q176" s="9">
        <v>0</v>
      </c>
      <c r="R176" s="7">
        <v>18</v>
      </c>
      <c r="S176" s="9">
        <v>2.2842639593908629</v>
      </c>
      <c r="T176" s="7">
        <v>68</v>
      </c>
      <c r="U176" s="9">
        <v>8.6294416243654819</v>
      </c>
      <c r="V176" s="10" t="str">
        <f t="shared" si="20"/>
        <v>CONGRESSGAIN</v>
      </c>
      <c r="W176" s="11">
        <f t="shared" si="24"/>
        <v>34.137055837563452</v>
      </c>
      <c r="X176" s="19" t="str">
        <f t="shared" si="21"/>
        <v>MEDIUMMARGIN</v>
      </c>
    </row>
    <row r="177" spans="1:24">
      <c r="A177" s="7">
        <v>175</v>
      </c>
      <c r="B177" s="8" t="s">
        <v>126</v>
      </c>
      <c r="C177" s="7">
        <v>744</v>
      </c>
      <c r="D177" s="7">
        <v>131</v>
      </c>
      <c r="E177" s="9">
        <v>17.607526881720428</v>
      </c>
      <c r="F177" s="7">
        <v>419</v>
      </c>
      <c r="G177" s="9">
        <v>56.317204301075265</v>
      </c>
      <c r="H177" s="7">
        <v>73</v>
      </c>
      <c r="I177" s="9">
        <v>9.8118279569892461</v>
      </c>
      <c r="J177" s="7">
        <v>0</v>
      </c>
      <c r="K177" s="9">
        <v>0</v>
      </c>
      <c r="L177" s="7">
        <v>0</v>
      </c>
      <c r="M177" s="9">
        <v>0</v>
      </c>
      <c r="N177" s="7">
        <v>0</v>
      </c>
      <c r="O177" s="9">
        <v>0</v>
      </c>
      <c r="P177" s="7">
        <v>0</v>
      </c>
      <c r="Q177" s="9">
        <v>0</v>
      </c>
      <c r="R177" s="7">
        <v>52</v>
      </c>
      <c r="S177" s="9">
        <v>6.989247311827957</v>
      </c>
      <c r="T177" s="7">
        <v>69</v>
      </c>
      <c r="U177" s="9">
        <v>9.2741935483870961</v>
      </c>
      <c r="V177" s="10" t="str">
        <f t="shared" si="20"/>
        <v>CONGRESSGAIN</v>
      </c>
      <c r="W177" s="11">
        <f t="shared" si="24"/>
        <v>38.709677419354833</v>
      </c>
      <c r="X177" s="19" t="str">
        <f t="shared" si="21"/>
        <v>MEDIUMMARGIN</v>
      </c>
    </row>
    <row r="178" spans="1:24">
      <c r="A178" s="14">
        <v>176</v>
      </c>
      <c r="B178" s="15" t="s">
        <v>126</v>
      </c>
      <c r="C178" s="14">
        <v>615</v>
      </c>
      <c r="D178" s="14">
        <v>314</v>
      </c>
      <c r="E178" s="16">
        <v>51.056910569105689</v>
      </c>
      <c r="F178" s="14">
        <v>234</v>
      </c>
      <c r="G178" s="16">
        <v>38.048780487804876</v>
      </c>
      <c r="H178" s="14">
        <v>10</v>
      </c>
      <c r="I178" s="16">
        <v>1.6260162601626016</v>
      </c>
      <c r="J178" s="14">
        <v>0</v>
      </c>
      <c r="K178" s="16">
        <v>0</v>
      </c>
      <c r="L178" s="14">
        <v>0</v>
      </c>
      <c r="M178" s="16">
        <v>0</v>
      </c>
      <c r="N178" s="14">
        <v>0</v>
      </c>
      <c r="O178" s="16">
        <v>0</v>
      </c>
      <c r="P178" s="14">
        <v>0</v>
      </c>
      <c r="Q178" s="16">
        <v>0</v>
      </c>
      <c r="R178" s="14">
        <v>44</v>
      </c>
      <c r="S178" s="16">
        <v>7.154471544715447</v>
      </c>
      <c r="T178" s="14">
        <v>13</v>
      </c>
      <c r="U178" s="16">
        <v>2.1138211382113821</v>
      </c>
      <c r="V178" s="17" t="str">
        <f t="shared" si="20"/>
        <v>BJP GAIN</v>
      </c>
      <c r="W178" s="11">
        <f t="shared" si="22"/>
        <v>13.008130081300813</v>
      </c>
      <c r="X178" s="12" t="str">
        <f t="shared" si="21"/>
        <v>LOWMARGIN</v>
      </c>
    </row>
    <row r="179" spans="1:24">
      <c r="A179" s="7">
        <v>177</v>
      </c>
      <c r="B179" s="8" t="s">
        <v>126</v>
      </c>
      <c r="C179" s="7">
        <v>922</v>
      </c>
      <c r="D179" s="7">
        <v>313</v>
      </c>
      <c r="E179" s="9">
        <v>33.947939262472886</v>
      </c>
      <c r="F179" s="7">
        <v>403</v>
      </c>
      <c r="G179" s="9">
        <v>43.709327548806939</v>
      </c>
      <c r="H179" s="7">
        <v>30</v>
      </c>
      <c r="I179" s="9">
        <v>3.2537960954446854</v>
      </c>
      <c r="J179" s="7">
        <v>0</v>
      </c>
      <c r="K179" s="9">
        <v>0</v>
      </c>
      <c r="L179" s="7">
        <v>0</v>
      </c>
      <c r="M179" s="9">
        <v>0</v>
      </c>
      <c r="N179" s="7">
        <v>0</v>
      </c>
      <c r="O179" s="9">
        <v>0</v>
      </c>
      <c r="P179" s="7">
        <v>0</v>
      </c>
      <c r="Q179" s="9">
        <v>0</v>
      </c>
      <c r="R179" s="7">
        <v>94</v>
      </c>
      <c r="S179" s="9">
        <v>10.195227765726681</v>
      </c>
      <c r="T179" s="7">
        <v>82</v>
      </c>
      <c r="U179" s="9">
        <v>8.8937093275488071</v>
      </c>
      <c r="V179" s="10" t="str">
        <f t="shared" si="20"/>
        <v>CONGRESSGAIN</v>
      </c>
      <c r="W179" s="11">
        <f t="shared" si="24"/>
        <v>9.7613882863340535</v>
      </c>
      <c r="X179" s="13" t="str">
        <f t="shared" si="21"/>
        <v>NARROWMARGIN</v>
      </c>
    </row>
    <row r="180" spans="1:24">
      <c r="A180" s="14">
        <v>178</v>
      </c>
      <c r="B180" s="15" t="s">
        <v>126</v>
      </c>
      <c r="C180" s="14">
        <v>565</v>
      </c>
      <c r="D180" s="14">
        <v>237</v>
      </c>
      <c r="E180" s="16">
        <v>41.946902654867252</v>
      </c>
      <c r="F180" s="14">
        <v>227</v>
      </c>
      <c r="G180" s="16">
        <v>40.176991150442475</v>
      </c>
      <c r="H180" s="14">
        <v>10</v>
      </c>
      <c r="I180" s="16">
        <v>1.7699115044247786</v>
      </c>
      <c r="J180" s="14">
        <v>0</v>
      </c>
      <c r="K180" s="16">
        <v>0</v>
      </c>
      <c r="L180" s="14">
        <v>0</v>
      </c>
      <c r="M180" s="16">
        <v>0</v>
      </c>
      <c r="N180" s="14">
        <v>2</v>
      </c>
      <c r="O180" s="16">
        <v>0.35398230088495575</v>
      </c>
      <c r="P180" s="14">
        <v>0</v>
      </c>
      <c r="Q180" s="16">
        <v>0</v>
      </c>
      <c r="R180" s="14">
        <v>73</v>
      </c>
      <c r="S180" s="16">
        <v>12.920353982300885</v>
      </c>
      <c r="T180" s="14">
        <v>16</v>
      </c>
      <c r="U180" s="16">
        <v>2.831858407079646</v>
      </c>
      <c r="V180" s="17" t="str">
        <f t="shared" si="20"/>
        <v>BJP GAIN</v>
      </c>
      <c r="W180" s="11">
        <f t="shared" si="22"/>
        <v>1.7699115044247762</v>
      </c>
      <c r="X180" s="13" t="str">
        <f t="shared" si="21"/>
        <v>NARROWMARGIN</v>
      </c>
    </row>
    <row r="181" spans="1:24">
      <c r="A181" s="7">
        <v>179</v>
      </c>
      <c r="B181" s="8" t="s">
        <v>126</v>
      </c>
      <c r="C181" s="7">
        <v>435</v>
      </c>
      <c r="D181" s="7">
        <v>190</v>
      </c>
      <c r="E181" s="9">
        <v>43.678160919540232</v>
      </c>
      <c r="F181" s="7">
        <v>199</v>
      </c>
      <c r="G181" s="9">
        <v>45.747126436781613</v>
      </c>
      <c r="H181" s="7">
        <v>2</v>
      </c>
      <c r="I181" s="9">
        <v>0.45977011494252878</v>
      </c>
      <c r="J181" s="7">
        <v>0</v>
      </c>
      <c r="K181" s="9">
        <v>0</v>
      </c>
      <c r="L181" s="7">
        <v>0</v>
      </c>
      <c r="M181" s="9">
        <v>0</v>
      </c>
      <c r="N181" s="7">
        <v>0</v>
      </c>
      <c r="O181" s="9">
        <v>0</v>
      </c>
      <c r="P181" s="7">
        <v>0</v>
      </c>
      <c r="Q181" s="9">
        <v>0</v>
      </c>
      <c r="R181" s="7">
        <v>42</v>
      </c>
      <c r="S181" s="9">
        <v>9.655172413793105</v>
      </c>
      <c r="T181" s="7">
        <v>2</v>
      </c>
      <c r="U181" s="9">
        <v>0.45977011494252878</v>
      </c>
      <c r="V181" s="10" t="str">
        <f t="shared" si="20"/>
        <v>CONGRESSGAIN</v>
      </c>
      <c r="W181" s="11">
        <f t="shared" si="24"/>
        <v>2.0689655172413808</v>
      </c>
      <c r="X181" s="13" t="str">
        <f t="shared" si="21"/>
        <v>NARROWMARGIN</v>
      </c>
    </row>
    <row r="182" spans="1:24">
      <c r="A182" s="7">
        <v>180</v>
      </c>
      <c r="B182" s="8" t="s">
        <v>126</v>
      </c>
      <c r="C182" s="7">
        <v>936</v>
      </c>
      <c r="D182" s="7">
        <v>383</v>
      </c>
      <c r="E182" s="9">
        <v>40.918803418803421</v>
      </c>
      <c r="F182" s="7">
        <v>442</v>
      </c>
      <c r="G182" s="9">
        <v>47.222222222222229</v>
      </c>
      <c r="H182" s="7">
        <v>5</v>
      </c>
      <c r="I182" s="9">
        <v>0.53418803418803418</v>
      </c>
      <c r="J182" s="7">
        <v>0</v>
      </c>
      <c r="K182" s="9">
        <v>0</v>
      </c>
      <c r="L182" s="7">
        <v>0</v>
      </c>
      <c r="M182" s="9">
        <v>0</v>
      </c>
      <c r="N182" s="7">
        <v>0</v>
      </c>
      <c r="O182" s="9">
        <v>0</v>
      </c>
      <c r="P182" s="7">
        <v>0</v>
      </c>
      <c r="Q182" s="9">
        <v>0</v>
      </c>
      <c r="R182" s="7">
        <v>93</v>
      </c>
      <c r="S182" s="9">
        <v>9.9358974358974361</v>
      </c>
      <c r="T182" s="7">
        <v>13</v>
      </c>
      <c r="U182" s="9">
        <v>1.3888888888888891</v>
      </c>
      <c r="V182" s="10" t="str">
        <f t="shared" si="20"/>
        <v>CONGRESSGAIN</v>
      </c>
      <c r="W182" s="11">
        <f t="shared" si="24"/>
        <v>6.3034188034188077</v>
      </c>
      <c r="X182" s="13" t="str">
        <f t="shared" si="21"/>
        <v>NARROWMARGIN</v>
      </c>
    </row>
    <row r="183" spans="1:24">
      <c r="A183" s="14">
        <v>181</v>
      </c>
      <c r="B183" s="15" t="s">
        <v>126</v>
      </c>
      <c r="C183" s="14">
        <v>858</v>
      </c>
      <c r="D183" s="14">
        <v>399</v>
      </c>
      <c r="E183" s="16">
        <v>46.5034965034965</v>
      </c>
      <c r="F183" s="14">
        <v>348</v>
      </c>
      <c r="G183" s="16">
        <v>40.55944055944056</v>
      </c>
      <c r="H183" s="14">
        <v>10</v>
      </c>
      <c r="I183" s="16">
        <v>1.1655011655011656</v>
      </c>
      <c r="J183" s="14">
        <v>0</v>
      </c>
      <c r="K183" s="16">
        <v>0</v>
      </c>
      <c r="L183" s="14">
        <v>0</v>
      </c>
      <c r="M183" s="16">
        <v>0</v>
      </c>
      <c r="N183" s="14">
        <v>2</v>
      </c>
      <c r="O183" s="16">
        <v>0.23310023310023309</v>
      </c>
      <c r="P183" s="14">
        <v>0</v>
      </c>
      <c r="Q183" s="16">
        <v>0</v>
      </c>
      <c r="R183" s="14">
        <v>76</v>
      </c>
      <c r="S183" s="16">
        <v>8.8578088578088572</v>
      </c>
      <c r="T183" s="14">
        <v>23</v>
      </c>
      <c r="U183" s="16">
        <v>2.6806526806526807</v>
      </c>
      <c r="V183" s="17" t="str">
        <f t="shared" si="20"/>
        <v>BJP GAIN</v>
      </c>
      <c r="W183" s="11">
        <f t="shared" si="22"/>
        <v>5.9440559440559397</v>
      </c>
      <c r="X183" s="13" t="str">
        <f t="shared" si="21"/>
        <v>NARROWMARGIN</v>
      </c>
    </row>
    <row r="184" spans="1:24">
      <c r="A184" s="14">
        <v>182</v>
      </c>
      <c r="B184" s="15" t="s">
        <v>126</v>
      </c>
      <c r="C184" s="14">
        <v>785</v>
      </c>
      <c r="D184" s="14">
        <v>414</v>
      </c>
      <c r="E184" s="16">
        <v>52.738853503184714</v>
      </c>
      <c r="F184" s="14">
        <v>285</v>
      </c>
      <c r="G184" s="16">
        <v>36.305732484076437</v>
      </c>
      <c r="H184" s="14">
        <v>11</v>
      </c>
      <c r="I184" s="16">
        <v>1.4012738853503186</v>
      </c>
      <c r="J184" s="14">
        <v>0</v>
      </c>
      <c r="K184" s="16">
        <v>0</v>
      </c>
      <c r="L184" s="14">
        <v>0</v>
      </c>
      <c r="M184" s="16">
        <v>0</v>
      </c>
      <c r="N184" s="14">
        <v>0</v>
      </c>
      <c r="O184" s="16">
        <v>0</v>
      </c>
      <c r="P184" s="14">
        <v>0</v>
      </c>
      <c r="Q184" s="16">
        <v>0</v>
      </c>
      <c r="R184" s="14">
        <v>63</v>
      </c>
      <c r="S184" s="16">
        <v>8.0254777070063703</v>
      </c>
      <c r="T184" s="14">
        <v>12</v>
      </c>
      <c r="U184" s="16">
        <v>1.5286624203821657</v>
      </c>
      <c r="V184" s="17" t="str">
        <f t="shared" si="20"/>
        <v>BJP GAIN</v>
      </c>
      <c r="W184" s="11">
        <f t="shared" si="22"/>
        <v>16.433121019108277</v>
      </c>
      <c r="X184" s="12" t="str">
        <f t="shared" si="21"/>
        <v>LOWMARGIN</v>
      </c>
    </row>
    <row r="185" spans="1:24">
      <c r="A185" s="14">
        <v>183</v>
      </c>
      <c r="B185" s="15" t="s">
        <v>126</v>
      </c>
      <c r="C185" s="14">
        <v>900</v>
      </c>
      <c r="D185" s="14">
        <v>490</v>
      </c>
      <c r="E185" s="16">
        <v>54.444444444444443</v>
      </c>
      <c r="F185" s="14">
        <v>298</v>
      </c>
      <c r="G185" s="16">
        <v>33.111111111111114</v>
      </c>
      <c r="H185" s="14">
        <v>15</v>
      </c>
      <c r="I185" s="16">
        <v>1.6666666666666667</v>
      </c>
      <c r="J185" s="14">
        <v>0</v>
      </c>
      <c r="K185" s="16">
        <v>0</v>
      </c>
      <c r="L185" s="14">
        <v>0</v>
      </c>
      <c r="M185" s="16">
        <v>0</v>
      </c>
      <c r="N185" s="14">
        <v>0</v>
      </c>
      <c r="O185" s="16">
        <v>0</v>
      </c>
      <c r="P185" s="14">
        <v>0</v>
      </c>
      <c r="Q185" s="16">
        <v>0</v>
      </c>
      <c r="R185" s="14">
        <v>77</v>
      </c>
      <c r="S185" s="16">
        <v>8.5555555555555554</v>
      </c>
      <c r="T185" s="14">
        <v>20</v>
      </c>
      <c r="U185" s="16">
        <v>2.2222222222222223</v>
      </c>
      <c r="V185" s="17" t="str">
        <f t="shared" si="20"/>
        <v>BJP GAIN</v>
      </c>
      <c r="W185" s="11">
        <f t="shared" si="22"/>
        <v>21.333333333333329</v>
      </c>
      <c r="X185" s="12" t="str">
        <f t="shared" si="21"/>
        <v>LOWMARGIN</v>
      </c>
    </row>
    <row r="186" spans="1:24">
      <c r="A186" s="7">
        <v>184</v>
      </c>
      <c r="B186" s="8" t="s">
        <v>126</v>
      </c>
      <c r="C186" s="7">
        <v>889</v>
      </c>
      <c r="D186" s="7">
        <v>408</v>
      </c>
      <c r="E186" s="9">
        <v>45.894263217097858</v>
      </c>
      <c r="F186" s="7">
        <v>419</v>
      </c>
      <c r="G186" s="9">
        <v>47.131608548931382</v>
      </c>
      <c r="H186" s="7">
        <v>8</v>
      </c>
      <c r="I186" s="9">
        <v>0.8998875140607423</v>
      </c>
      <c r="J186" s="7">
        <v>0</v>
      </c>
      <c r="K186" s="9">
        <v>0</v>
      </c>
      <c r="L186" s="7">
        <v>0</v>
      </c>
      <c r="M186" s="9">
        <v>0</v>
      </c>
      <c r="N186" s="7">
        <v>0</v>
      </c>
      <c r="O186" s="9">
        <v>0</v>
      </c>
      <c r="P186" s="7">
        <v>0</v>
      </c>
      <c r="Q186" s="9">
        <v>0</v>
      </c>
      <c r="R186" s="7">
        <v>32</v>
      </c>
      <c r="S186" s="9">
        <v>3.5995500562429692</v>
      </c>
      <c r="T186" s="7">
        <v>22</v>
      </c>
      <c r="U186" s="9">
        <v>2.4746906636670416</v>
      </c>
      <c r="V186" s="10" t="str">
        <f t="shared" si="20"/>
        <v>CONGRESSGAIN</v>
      </c>
      <c r="W186" s="11">
        <f t="shared" ref="W186:W198" si="25">G186-E186</f>
        <v>1.2373453318335237</v>
      </c>
      <c r="X186" s="13" t="str">
        <f t="shared" si="21"/>
        <v>NARROWMARGIN</v>
      </c>
    </row>
    <row r="187" spans="1:24">
      <c r="A187" s="7">
        <v>185</v>
      </c>
      <c r="B187" s="8" t="s">
        <v>126</v>
      </c>
      <c r="C187" s="7">
        <v>835</v>
      </c>
      <c r="D187" s="7">
        <v>241</v>
      </c>
      <c r="E187" s="9">
        <v>28.862275449101798</v>
      </c>
      <c r="F187" s="7">
        <v>526</v>
      </c>
      <c r="G187" s="9">
        <v>62.994011976047908</v>
      </c>
      <c r="H187" s="7">
        <v>27</v>
      </c>
      <c r="I187" s="9">
        <v>3.2335329341317367</v>
      </c>
      <c r="J187" s="7">
        <v>0</v>
      </c>
      <c r="K187" s="9">
        <v>0</v>
      </c>
      <c r="L187" s="7">
        <v>0</v>
      </c>
      <c r="M187" s="9">
        <v>0</v>
      </c>
      <c r="N187" s="7">
        <v>0</v>
      </c>
      <c r="O187" s="9">
        <v>0</v>
      </c>
      <c r="P187" s="7">
        <v>0</v>
      </c>
      <c r="Q187" s="9">
        <v>0</v>
      </c>
      <c r="R187" s="7">
        <v>21</v>
      </c>
      <c r="S187" s="9">
        <v>2.5149700598802398</v>
      </c>
      <c r="T187" s="7">
        <v>20</v>
      </c>
      <c r="U187" s="9">
        <v>2.3952095808383236</v>
      </c>
      <c r="V187" s="10" t="str">
        <f t="shared" si="20"/>
        <v>CONGRESSGAIN</v>
      </c>
      <c r="W187" s="11">
        <f t="shared" si="25"/>
        <v>34.131736526946113</v>
      </c>
      <c r="X187" s="19" t="str">
        <f t="shared" si="21"/>
        <v>MEDIUMMARGIN</v>
      </c>
    </row>
    <row r="188" spans="1:24">
      <c r="A188" s="7">
        <v>186</v>
      </c>
      <c r="B188" s="8" t="s">
        <v>126</v>
      </c>
      <c r="C188" s="7">
        <v>437</v>
      </c>
      <c r="D188" s="7">
        <v>164</v>
      </c>
      <c r="E188" s="9">
        <v>37.528604118993137</v>
      </c>
      <c r="F188" s="7">
        <v>240</v>
      </c>
      <c r="G188" s="9">
        <v>54.919908466819223</v>
      </c>
      <c r="H188" s="7">
        <v>2</v>
      </c>
      <c r="I188" s="9">
        <v>0.45766590389016015</v>
      </c>
      <c r="J188" s="7">
        <v>0</v>
      </c>
      <c r="K188" s="9">
        <v>0</v>
      </c>
      <c r="L188" s="7">
        <v>0</v>
      </c>
      <c r="M188" s="9">
        <v>0</v>
      </c>
      <c r="N188" s="7">
        <v>0</v>
      </c>
      <c r="O188" s="9">
        <v>0</v>
      </c>
      <c r="P188" s="7">
        <v>0</v>
      </c>
      <c r="Q188" s="9">
        <v>0</v>
      </c>
      <c r="R188" s="7">
        <v>8</v>
      </c>
      <c r="S188" s="9">
        <v>1.8306636155606406</v>
      </c>
      <c r="T188" s="7">
        <v>23</v>
      </c>
      <c r="U188" s="9">
        <v>5.2631578947368416</v>
      </c>
      <c r="V188" s="10" t="str">
        <f t="shared" si="20"/>
        <v>CONGRESSGAIN</v>
      </c>
      <c r="W188" s="11">
        <f t="shared" si="25"/>
        <v>17.391304347826086</v>
      </c>
      <c r="X188" s="12" t="str">
        <f t="shared" si="21"/>
        <v>LOWMARGIN</v>
      </c>
    </row>
    <row r="189" spans="1:24">
      <c r="A189" s="7">
        <v>187</v>
      </c>
      <c r="B189" s="8" t="s">
        <v>126</v>
      </c>
      <c r="C189" s="7">
        <v>552</v>
      </c>
      <c r="D189" s="7">
        <v>191</v>
      </c>
      <c r="E189" s="9">
        <v>34.60144927536232</v>
      </c>
      <c r="F189" s="7">
        <v>326</v>
      </c>
      <c r="G189" s="9">
        <v>59.057971014492757</v>
      </c>
      <c r="H189" s="7">
        <v>13</v>
      </c>
      <c r="I189" s="9">
        <v>2.3550724637681162</v>
      </c>
      <c r="J189" s="7">
        <v>0</v>
      </c>
      <c r="K189" s="9">
        <v>0</v>
      </c>
      <c r="L189" s="7">
        <v>0</v>
      </c>
      <c r="M189" s="9">
        <v>0</v>
      </c>
      <c r="N189" s="7">
        <v>0</v>
      </c>
      <c r="O189" s="9">
        <v>0</v>
      </c>
      <c r="P189" s="7">
        <v>0</v>
      </c>
      <c r="Q189" s="9">
        <v>0</v>
      </c>
      <c r="R189" s="7">
        <v>6</v>
      </c>
      <c r="S189" s="9">
        <v>1.0869565217391306</v>
      </c>
      <c r="T189" s="7">
        <v>16</v>
      </c>
      <c r="U189" s="9">
        <v>2.8985507246376816</v>
      </c>
      <c r="V189" s="10" t="str">
        <f t="shared" si="20"/>
        <v>CONGRESSGAIN</v>
      </c>
      <c r="W189" s="11">
        <f t="shared" si="25"/>
        <v>24.456521739130437</v>
      </c>
      <c r="X189" s="12" t="str">
        <f t="shared" si="21"/>
        <v>LOWMARGIN</v>
      </c>
    </row>
    <row r="190" spans="1:24">
      <c r="A190" s="7">
        <v>188</v>
      </c>
      <c r="B190" s="8" t="s">
        <v>126</v>
      </c>
      <c r="C190" s="7">
        <v>442</v>
      </c>
      <c r="D190" s="7">
        <v>158</v>
      </c>
      <c r="E190" s="9">
        <v>35.74660633484163</v>
      </c>
      <c r="F190" s="7">
        <v>261</v>
      </c>
      <c r="G190" s="9">
        <v>59.049773755656112</v>
      </c>
      <c r="H190" s="7">
        <v>3</v>
      </c>
      <c r="I190" s="9">
        <v>0.67873303167420818</v>
      </c>
      <c r="J190" s="7">
        <v>0</v>
      </c>
      <c r="K190" s="9">
        <v>0</v>
      </c>
      <c r="L190" s="7">
        <v>0</v>
      </c>
      <c r="M190" s="9">
        <v>0</v>
      </c>
      <c r="N190" s="7">
        <v>0</v>
      </c>
      <c r="O190" s="9">
        <v>0</v>
      </c>
      <c r="P190" s="7">
        <v>0</v>
      </c>
      <c r="Q190" s="9">
        <v>0</v>
      </c>
      <c r="R190" s="7">
        <v>8</v>
      </c>
      <c r="S190" s="9">
        <v>1.8099547511312217</v>
      </c>
      <c r="T190" s="7">
        <v>12</v>
      </c>
      <c r="U190" s="9">
        <v>2.7149321266968327</v>
      </c>
      <c r="V190" s="10" t="str">
        <f t="shared" si="20"/>
        <v>CONGRESSGAIN</v>
      </c>
      <c r="W190" s="11">
        <f t="shared" si="25"/>
        <v>23.303167420814482</v>
      </c>
      <c r="X190" s="12" t="str">
        <f t="shared" si="21"/>
        <v>LOWMARGIN</v>
      </c>
    </row>
    <row r="191" spans="1:24">
      <c r="A191" s="14">
        <v>189</v>
      </c>
      <c r="B191" s="15" t="s">
        <v>126</v>
      </c>
      <c r="C191" s="14">
        <v>528</v>
      </c>
      <c r="D191" s="14">
        <v>276</v>
      </c>
      <c r="E191" s="16">
        <v>52.272727272727273</v>
      </c>
      <c r="F191" s="14">
        <v>235</v>
      </c>
      <c r="G191" s="16">
        <v>44.507575757575758</v>
      </c>
      <c r="H191" s="14">
        <v>6</v>
      </c>
      <c r="I191" s="16">
        <v>1.1363636363636362</v>
      </c>
      <c r="J191" s="14">
        <v>0</v>
      </c>
      <c r="K191" s="16">
        <v>0</v>
      </c>
      <c r="L191" s="14">
        <v>0</v>
      </c>
      <c r="M191" s="16">
        <v>0</v>
      </c>
      <c r="N191" s="14">
        <v>0</v>
      </c>
      <c r="O191" s="16">
        <v>0</v>
      </c>
      <c r="P191" s="14">
        <v>0</v>
      </c>
      <c r="Q191" s="16">
        <v>0</v>
      </c>
      <c r="R191" s="14">
        <v>6</v>
      </c>
      <c r="S191" s="16">
        <v>1.1363636363636362</v>
      </c>
      <c r="T191" s="14">
        <v>5</v>
      </c>
      <c r="U191" s="16">
        <v>0.94696969696969691</v>
      </c>
      <c r="V191" s="17" t="str">
        <f t="shared" si="20"/>
        <v>BJP GAIN</v>
      </c>
      <c r="W191" s="11">
        <f t="shared" si="22"/>
        <v>7.7651515151515156</v>
      </c>
      <c r="X191" s="13" t="str">
        <f t="shared" si="21"/>
        <v>NARROWMARGIN</v>
      </c>
    </row>
    <row r="192" spans="1:24">
      <c r="A192" s="7">
        <v>190</v>
      </c>
      <c r="B192" s="8" t="s">
        <v>126</v>
      </c>
      <c r="C192" s="7">
        <v>686</v>
      </c>
      <c r="D192" s="7">
        <v>263</v>
      </c>
      <c r="E192" s="9">
        <v>38.33819241982507</v>
      </c>
      <c r="F192" s="7">
        <v>394</v>
      </c>
      <c r="G192" s="9">
        <v>57.434402332361515</v>
      </c>
      <c r="H192" s="7">
        <v>7</v>
      </c>
      <c r="I192" s="9">
        <v>1.0204081632653061</v>
      </c>
      <c r="J192" s="7">
        <v>0</v>
      </c>
      <c r="K192" s="9">
        <v>0</v>
      </c>
      <c r="L192" s="7">
        <v>0</v>
      </c>
      <c r="M192" s="9">
        <v>0</v>
      </c>
      <c r="N192" s="7">
        <v>2</v>
      </c>
      <c r="O192" s="9">
        <v>0.29154518950437314</v>
      </c>
      <c r="P192" s="7">
        <v>0</v>
      </c>
      <c r="Q192" s="9">
        <v>0</v>
      </c>
      <c r="R192" s="7">
        <v>7</v>
      </c>
      <c r="S192" s="9">
        <v>1.0204081632653061</v>
      </c>
      <c r="T192" s="7">
        <v>13</v>
      </c>
      <c r="U192" s="9">
        <v>1.8950437317784257</v>
      </c>
      <c r="V192" s="10" t="str">
        <f t="shared" si="20"/>
        <v>CONGRESSGAIN</v>
      </c>
      <c r="W192" s="11">
        <f t="shared" si="25"/>
        <v>19.096209912536445</v>
      </c>
      <c r="X192" s="12" t="str">
        <f t="shared" si="21"/>
        <v>LOWMARGIN</v>
      </c>
    </row>
    <row r="193" spans="1:24">
      <c r="A193" s="14">
        <v>191</v>
      </c>
      <c r="B193" s="15" t="s">
        <v>126</v>
      </c>
      <c r="C193" s="14">
        <v>656</v>
      </c>
      <c r="D193" s="14">
        <v>370</v>
      </c>
      <c r="E193" s="16">
        <v>56.402439024390247</v>
      </c>
      <c r="F193" s="14">
        <v>256</v>
      </c>
      <c r="G193" s="16">
        <v>39.024390243902438</v>
      </c>
      <c r="H193" s="14">
        <v>13</v>
      </c>
      <c r="I193" s="16">
        <v>1.9817073170731709</v>
      </c>
      <c r="J193" s="14">
        <v>0</v>
      </c>
      <c r="K193" s="16">
        <v>0</v>
      </c>
      <c r="L193" s="14">
        <v>0</v>
      </c>
      <c r="M193" s="16">
        <v>0</v>
      </c>
      <c r="N193" s="14">
        <v>0</v>
      </c>
      <c r="O193" s="16">
        <v>0</v>
      </c>
      <c r="P193" s="14">
        <v>0</v>
      </c>
      <c r="Q193" s="16">
        <v>0</v>
      </c>
      <c r="R193" s="14">
        <v>7</v>
      </c>
      <c r="S193" s="16">
        <v>1.0670731707317074</v>
      </c>
      <c r="T193" s="14">
        <v>10</v>
      </c>
      <c r="U193" s="16">
        <v>1.524390243902439</v>
      </c>
      <c r="V193" s="17" t="str">
        <f t="shared" si="20"/>
        <v>BJP GAIN</v>
      </c>
      <c r="W193" s="11">
        <f t="shared" si="22"/>
        <v>17.378048780487809</v>
      </c>
      <c r="X193" s="12" t="str">
        <f t="shared" si="21"/>
        <v>LOWMARGIN</v>
      </c>
    </row>
    <row r="194" spans="1:24">
      <c r="A194" s="7">
        <v>192</v>
      </c>
      <c r="B194" s="8" t="s">
        <v>126</v>
      </c>
      <c r="C194" s="7">
        <v>500</v>
      </c>
      <c r="D194" s="7">
        <v>208</v>
      </c>
      <c r="E194" s="9">
        <v>41.6</v>
      </c>
      <c r="F194" s="7">
        <v>279</v>
      </c>
      <c r="G194" s="9">
        <v>55.8</v>
      </c>
      <c r="H194" s="7">
        <v>3</v>
      </c>
      <c r="I194" s="9">
        <v>0.6</v>
      </c>
      <c r="J194" s="7">
        <v>0</v>
      </c>
      <c r="K194" s="9">
        <v>0</v>
      </c>
      <c r="L194" s="7">
        <v>0</v>
      </c>
      <c r="M194" s="9">
        <v>0</v>
      </c>
      <c r="N194" s="7">
        <v>0</v>
      </c>
      <c r="O194" s="9">
        <v>0</v>
      </c>
      <c r="P194" s="7">
        <v>0</v>
      </c>
      <c r="Q194" s="9">
        <v>0</v>
      </c>
      <c r="R194" s="7">
        <v>5</v>
      </c>
      <c r="S194" s="9">
        <v>1</v>
      </c>
      <c r="T194" s="7">
        <v>5</v>
      </c>
      <c r="U194" s="9">
        <v>1</v>
      </c>
      <c r="V194" s="10" t="str">
        <f t="shared" si="20"/>
        <v>CONGRESSGAIN</v>
      </c>
      <c r="W194" s="11">
        <f t="shared" si="25"/>
        <v>14.199999999999996</v>
      </c>
      <c r="X194" s="12" t="str">
        <f t="shared" si="21"/>
        <v>LOWMARGIN</v>
      </c>
    </row>
    <row r="195" spans="1:24">
      <c r="A195" s="14">
        <v>193</v>
      </c>
      <c r="B195" s="15" t="s">
        <v>126</v>
      </c>
      <c r="C195" s="14">
        <v>662</v>
      </c>
      <c r="D195" s="14">
        <v>318</v>
      </c>
      <c r="E195" s="16">
        <v>48.036253776435046</v>
      </c>
      <c r="F195" s="14">
        <v>314</v>
      </c>
      <c r="G195" s="16">
        <v>47.432024169184288</v>
      </c>
      <c r="H195" s="14">
        <v>7</v>
      </c>
      <c r="I195" s="16">
        <v>1.0574018126888218</v>
      </c>
      <c r="J195" s="14">
        <v>0</v>
      </c>
      <c r="K195" s="16">
        <v>0</v>
      </c>
      <c r="L195" s="14">
        <v>0</v>
      </c>
      <c r="M195" s="16">
        <v>0</v>
      </c>
      <c r="N195" s="14">
        <v>0</v>
      </c>
      <c r="O195" s="16">
        <v>0</v>
      </c>
      <c r="P195" s="14">
        <v>0</v>
      </c>
      <c r="Q195" s="16">
        <v>0</v>
      </c>
      <c r="R195" s="14">
        <v>14</v>
      </c>
      <c r="S195" s="16">
        <v>2.1148036253776437</v>
      </c>
      <c r="T195" s="14">
        <v>9</v>
      </c>
      <c r="U195" s="16">
        <v>1.3595166163141994</v>
      </c>
      <c r="V195" s="17" t="str">
        <f t="shared" si="20"/>
        <v>BJP GAIN</v>
      </c>
      <c r="W195" s="11">
        <f t="shared" si="22"/>
        <v>0.60422960725075825</v>
      </c>
      <c r="X195" s="13" t="str">
        <f>IF(W195&gt;=50,"VERYHIGHMARGIN",IF(W195&gt;=40,"HIGHMARGIN",IF(W195&gt;=30,"MEDIUMMARGIN",IF(W195&gt;10,"LOWMARGIN",IF(W195&lt;1,"NARROWMARGIN")))))</f>
        <v>NARROWMARGIN</v>
      </c>
    </row>
    <row r="196" spans="1:24">
      <c r="A196" s="7">
        <v>194</v>
      </c>
      <c r="B196" s="8" t="s">
        <v>126</v>
      </c>
      <c r="C196" s="7">
        <v>701</v>
      </c>
      <c r="D196" s="7">
        <v>243</v>
      </c>
      <c r="E196" s="9">
        <v>34.664764621968615</v>
      </c>
      <c r="F196" s="7">
        <v>417</v>
      </c>
      <c r="G196" s="9">
        <v>59.486447931526392</v>
      </c>
      <c r="H196" s="7">
        <v>5</v>
      </c>
      <c r="I196" s="9">
        <v>0.71326676176890158</v>
      </c>
      <c r="J196" s="7">
        <v>0</v>
      </c>
      <c r="K196" s="9">
        <v>0</v>
      </c>
      <c r="L196" s="7">
        <v>0</v>
      </c>
      <c r="M196" s="9">
        <v>0</v>
      </c>
      <c r="N196" s="7">
        <v>0</v>
      </c>
      <c r="O196" s="9">
        <v>0</v>
      </c>
      <c r="P196" s="7">
        <v>0</v>
      </c>
      <c r="Q196" s="9">
        <v>0</v>
      </c>
      <c r="R196" s="7">
        <v>12</v>
      </c>
      <c r="S196" s="9">
        <v>1.7118402282453637</v>
      </c>
      <c r="T196" s="7">
        <v>24</v>
      </c>
      <c r="U196" s="9">
        <v>3.4236804564907275</v>
      </c>
      <c r="V196" s="10" t="str">
        <f t="shared" ref="V196:V210" si="26">IF(E196&gt;G196,"BJP GAIN","CONGRESSGAIN")</f>
        <v>CONGRESSGAIN</v>
      </c>
      <c r="W196" s="11">
        <f t="shared" si="25"/>
        <v>24.821683309557777</v>
      </c>
      <c r="X196" s="12" t="str">
        <f t="shared" ref="X196:X210" si="27">IF(W196&gt;=50,"VERYHIGHMARGIN",IF(W196&gt;=40,"HIGHMARGIN",IF(W196&gt;=30,"MEDIUMMARGIN",IF(W196&gt;10,"LOWMARGIN",IF(W196&gt;1,"NARROWMARGIN")))))</f>
        <v>LOWMARGIN</v>
      </c>
    </row>
    <row r="197" spans="1:24">
      <c r="A197" s="14">
        <v>195</v>
      </c>
      <c r="B197" s="15" t="s">
        <v>126</v>
      </c>
      <c r="C197" s="14">
        <v>764</v>
      </c>
      <c r="D197" s="14">
        <v>399</v>
      </c>
      <c r="E197" s="16">
        <v>52.225130890052355</v>
      </c>
      <c r="F197" s="14">
        <v>323</v>
      </c>
      <c r="G197" s="16">
        <v>42.277486910994767</v>
      </c>
      <c r="H197" s="14">
        <v>4</v>
      </c>
      <c r="I197" s="16">
        <v>0.52356020942408377</v>
      </c>
      <c r="J197" s="14">
        <v>0</v>
      </c>
      <c r="K197" s="16">
        <v>0</v>
      </c>
      <c r="L197" s="14">
        <v>0</v>
      </c>
      <c r="M197" s="16">
        <v>0</v>
      </c>
      <c r="N197" s="14">
        <v>0</v>
      </c>
      <c r="O197" s="16">
        <v>0</v>
      </c>
      <c r="P197" s="14">
        <v>0</v>
      </c>
      <c r="Q197" s="16">
        <v>0</v>
      </c>
      <c r="R197" s="14">
        <v>31</v>
      </c>
      <c r="S197" s="16">
        <v>4.0575916230366493</v>
      </c>
      <c r="T197" s="14">
        <v>7</v>
      </c>
      <c r="U197" s="16">
        <v>0.91623036649214662</v>
      </c>
      <c r="V197" s="17" t="str">
        <f t="shared" si="26"/>
        <v>BJP GAIN</v>
      </c>
      <c r="W197" s="11">
        <f t="shared" ref="W197:W209" si="28">E197-G197</f>
        <v>9.9476439790575881</v>
      </c>
      <c r="X197" s="13" t="str">
        <f t="shared" si="27"/>
        <v>NARROWMARGIN</v>
      </c>
    </row>
    <row r="198" spans="1:24">
      <c r="A198" s="7">
        <v>196</v>
      </c>
      <c r="B198" s="8" t="s">
        <v>126</v>
      </c>
      <c r="C198" s="7">
        <v>767</v>
      </c>
      <c r="D198" s="7">
        <v>333</v>
      </c>
      <c r="E198" s="9">
        <v>43.415906127770533</v>
      </c>
      <c r="F198" s="7">
        <v>409</v>
      </c>
      <c r="G198" s="9">
        <v>53.32464146023468</v>
      </c>
      <c r="H198" s="7">
        <v>6</v>
      </c>
      <c r="I198" s="9">
        <v>0.78226857887874834</v>
      </c>
      <c r="J198" s="7">
        <v>0</v>
      </c>
      <c r="K198" s="9">
        <v>0</v>
      </c>
      <c r="L198" s="7">
        <v>0</v>
      </c>
      <c r="M198" s="9">
        <v>0</v>
      </c>
      <c r="N198" s="7">
        <v>0</v>
      </c>
      <c r="O198" s="9">
        <v>0</v>
      </c>
      <c r="P198" s="7">
        <v>0</v>
      </c>
      <c r="Q198" s="9">
        <v>0</v>
      </c>
      <c r="R198" s="7">
        <v>8</v>
      </c>
      <c r="S198" s="9">
        <v>1.0430247718383312</v>
      </c>
      <c r="T198" s="7">
        <v>11</v>
      </c>
      <c r="U198" s="9">
        <v>1.4341590612777053</v>
      </c>
      <c r="V198" s="10" t="str">
        <f t="shared" si="26"/>
        <v>CONGRESSGAIN</v>
      </c>
      <c r="W198" s="11">
        <f t="shared" si="25"/>
        <v>9.9087353324641469</v>
      </c>
      <c r="X198" s="13" t="str">
        <f t="shared" si="27"/>
        <v>NARROWMARGIN</v>
      </c>
    </row>
    <row r="199" spans="1:24">
      <c r="A199" s="14">
        <v>197</v>
      </c>
      <c r="B199" s="15" t="s">
        <v>126</v>
      </c>
      <c r="C199" s="14">
        <v>700</v>
      </c>
      <c r="D199" s="14">
        <v>369</v>
      </c>
      <c r="E199" s="16">
        <v>52.714285714285715</v>
      </c>
      <c r="F199" s="14">
        <v>308</v>
      </c>
      <c r="G199" s="16">
        <v>44</v>
      </c>
      <c r="H199" s="14">
        <v>5</v>
      </c>
      <c r="I199" s="16">
        <v>0.7142857142857143</v>
      </c>
      <c r="J199" s="14">
        <v>0</v>
      </c>
      <c r="K199" s="16">
        <v>0</v>
      </c>
      <c r="L199" s="14">
        <v>0</v>
      </c>
      <c r="M199" s="16">
        <v>0</v>
      </c>
      <c r="N199" s="14">
        <v>0</v>
      </c>
      <c r="O199" s="16">
        <v>0</v>
      </c>
      <c r="P199" s="14">
        <v>0</v>
      </c>
      <c r="Q199" s="16">
        <v>0</v>
      </c>
      <c r="R199" s="14">
        <v>4</v>
      </c>
      <c r="S199" s="16">
        <v>0.5714285714285714</v>
      </c>
      <c r="T199" s="14">
        <v>14</v>
      </c>
      <c r="U199" s="16">
        <v>2</v>
      </c>
      <c r="V199" s="17" t="str">
        <f t="shared" si="26"/>
        <v>BJP GAIN</v>
      </c>
      <c r="W199" s="11">
        <f t="shared" si="28"/>
        <v>8.7142857142857153</v>
      </c>
      <c r="X199" s="13" t="str">
        <f t="shared" si="27"/>
        <v>NARROWMARGIN</v>
      </c>
    </row>
    <row r="200" spans="1:24">
      <c r="A200" s="14">
        <v>198</v>
      </c>
      <c r="B200" s="15" t="s">
        <v>126</v>
      </c>
      <c r="C200" s="14">
        <v>511</v>
      </c>
      <c r="D200" s="14">
        <v>247</v>
      </c>
      <c r="E200" s="16">
        <v>48.336594911937375</v>
      </c>
      <c r="F200" s="14">
        <v>241</v>
      </c>
      <c r="G200" s="16">
        <v>47.162426614481404</v>
      </c>
      <c r="H200" s="14">
        <v>5</v>
      </c>
      <c r="I200" s="16">
        <v>0.97847358121330719</v>
      </c>
      <c r="J200" s="14">
        <v>0</v>
      </c>
      <c r="K200" s="16">
        <v>0</v>
      </c>
      <c r="L200" s="14">
        <v>0</v>
      </c>
      <c r="M200" s="16">
        <v>0</v>
      </c>
      <c r="N200" s="14">
        <v>0</v>
      </c>
      <c r="O200" s="16">
        <v>0</v>
      </c>
      <c r="P200" s="14">
        <v>0</v>
      </c>
      <c r="Q200" s="16">
        <v>0</v>
      </c>
      <c r="R200" s="14">
        <v>6</v>
      </c>
      <c r="S200" s="16">
        <v>1.1741682974559686</v>
      </c>
      <c r="T200" s="14">
        <v>12</v>
      </c>
      <c r="U200" s="16">
        <v>2.3483365949119372</v>
      </c>
      <c r="V200" s="17" t="str">
        <f t="shared" si="26"/>
        <v>BJP GAIN</v>
      </c>
      <c r="W200" s="11">
        <f t="shared" si="28"/>
        <v>1.1741682974559708</v>
      </c>
      <c r="X200" s="13" t="str">
        <f t="shared" si="27"/>
        <v>NARROWMARGIN</v>
      </c>
    </row>
    <row r="201" spans="1:24">
      <c r="A201" s="14">
        <v>199</v>
      </c>
      <c r="B201" s="15" t="s">
        <v>126</v>
      </c>
      <c r="C201" s="14">
        <v>720</v>
      </c>
      <c r="D201" s="14">
        <v>404</v>
      </c>
      <c r="E201" s="16">
        <v>56.111111111111107</v>
      </c>
      <c r="F201" s="14">
        <v>268</v>
      </c>
      <c r="G201" s="16">
        <v>37.222222222222221</v>
      </c>
      <c r="H201" s="14">
        <v>9</v>
      </c>
      <c r="I201" s="16">
        <v>1.25</v>
      </c>
      <c r="J201" s="14">
        <v>0</v>
      </c>
      <c r="K201" s="16">
        <v>0</v>
      </c>
      <c r="L201" s="14">
        <v>0</v>
      </c>
      <c r="M201" s="16">
        <v>0</v>
      </c>
      <c r="N201" s="14">
        <v>0</v>
      </c>
      <c r="O201" s="16">
        <v>0</v>
      </c>
      <c r="P201" s="14">
        <v>0</v>
      </c>
      <c r="Q201" s="16">
        <v>0</v>
      </c>
      <c r="R201" s="14">
        <v>30</v>
      </c>
      <c r="S201" s="16">
        <v>4.166666666666667</v>
      </c>
      <c r="T201" s="14">
        <v>9</v>
      </c>
      <c r="U201" s="16">
        <v>1.25</v>
      </c>
      <c r="V201" s="17" t="str">
        <f t="shared" si="26"/>
        <v>BJP GAIN</v>
      </c>
      <c r="W201" s="11">
        <f t="shared" si="28"/>
        <v>18.888888888888886</v>
      </c>
      <c r="X201" s="12" t="str">
        <f t="shared" si="27"/>
        <v>LOWMARGIN</v>
      </c>
    </row>
    <row r="202" spans="1:24">
      <c r="A202" s="14">
        <v>200</v>
      </c>
      <c r="B202" s="15" t="s">
        <v>126</v>
      </c>
      <c r="C202" s="14">
        <v>552</v>
      </c>
      <c r="D202" s="14">
        <v>283</v>
      </c>
      <c r="E202" s="16">
        <v>51.268115942028992</v>
      </c>
      <c r="F202" s="14">
        <v>248</v>
      </c>
      <c r="G202" s="16">
        <v>44.927536231884062</v>
      </c>
      <c r="H202" s="14">
        <v>7</v>
      </c>
      <c r="I202" s="16">
        <v>1.2681159420289856</v>
      </c>
      <c r="J202" s="14">
        <v>0</v>
      </c>
      <c r="K202" s="16">
        <v>0</v>
      </c>
      <c r="L202" s="14">
        <v>0</v>
      </c>
      <c r="M202" s="16">
        <v>0</v>
      </c>
      <c r="N202" s="14">
        <v>1</v>
      </c>
      <c r="O202" s="16">
        <v>0.1811594202898551</v>
      </c>
      <c r="P202" s="14">
        <v>0</v>
      </c>
      <c r="Q202" s="16">
        <v>0</v>
      </c>
      <c r="R202" s="14">
        <v>7</v>
      </c>
      <c r="S202" s="16">
        <v>1.2681159420289856</v>
      </c>
      <c r="T202" s="14">
        <v>6</v>
      </c>
      <c r="U202" s="16">
        <v>1.0869565217391306</v>
      </c>
      <c r="V202" s="17" t="str">
        <f t="shared" si="26"/>
        <v>BJP GAIN</v>
      </c>
      <c r="W202" s="11">
        <f t="shared" si="28"/>
        <v>6.3405797101449295</v>
      </c>
      <c r="X202" s="13" t="str">
        <f t="shared" si="27"/>
        <v>NARROWMARGIN</v>
      </c>
    </row>
    <row r="203" spans="1:24">
      <c r="A203" s="14">
        <v>201</v>
      </c>
      <c r="B203" s="15" t="s">
        <v>126</v>
      </c>
      <c r="C203" s="14">
        <v>711</v>
      </c>
      <c r="D203" s="14">
        <v>360</v>
      </c>
      <c r="E203" s="16">
        <v>50.632911392405063</v>
      </c>
      <c r="F203" s="14">
        <v>321</v>
      </c>
      <c r="G203" s="16">
        <v>45.147679324894511</v>
      </c>
      <c r="H203" s="14">
        <v>2</v>
      </c>
      <c r="I203" s="16">
        <v>0.28129395218002812</v>
      </c>
      <c r="J203" s="14">
        <v>0</v>
      </c>
      <c r="K203" s="16">
        <v>0</v>
      </c>
      <c r="L203" s="14">
        <v>0</v>
      </c>
      <c r="M203" s="16">
        <v>0</v>
      </c>
      <c r="N203" s="14">
        <v>0</v>
      </c>
      <c r="O203" s="16">
        <v>0</v>
      </c>
      <c r="P203" s="14">
        <v>0</v>
      </c>
      <c r="Q203" s="16">
        <v>0</v>
      </c>
      <c r="R203" s="14">
        <v>16</v>
      </c>
      <c r="S203" s="16">
        <v>2.2503516174402249</v>
      </c>
      <c r="T203" s="14">
        <v>12</v>
      </c>
      <c r="U203" s="16">
        <v>1.6877637130801686</v>
      </c>
      <c r="V203" s="17" t="str">
        <f t="shared" si="26"/>
        <v>BJP GAIN</v>
      </c>
      <c r="W203" s="11">
        <f t="shared" si="28"/>
        <v>5.4852320675105517</v>
      </c>
      <c r="X203" s="13" t="str">
        <f t="shared" si="27"/>
        <v>NARROWMARGIN</v>
      </c>
    </row>
    <row r="204" spans="1:24">
      <c r="A204" s="7">
        <v>202</v>
      </c>
      <c r="B204" s="8" t="s">
        <v>126</v>
      </c>
      <c r="C204" s="7">
        <v>682</v>
      </c>
      <c r="D204" s="7">
        <v>294</v>
      </c>
      <c r="E204" s="9">
        <v>43.10850439882698</v>
      </c>
      <c r="F204" s="7">
        <v>353</v>
      </c>
      <c r="G204" s="9">
        <v>51.759530791788855</v>
      </c>
      <c r="H204" s="7">
        <v>6</v>
      </c>
      <c r="I204" s="9">
        <v>0.87976539589442815</v>
      </c>
      <c r="J204" s="7">
        <v>0</v>
      </c>
      <c r="K204" s="9">
        <v>0</v>
      </c>
      <c r="L204" s="7">
        <v>0</v>
      </c>
      <c r="M204" s="9">
        <v>0</v>
      </c>
      <c r="N204" s="7">
        <v>0</v>
      </c>
      <c r="O204" s="9">
        <v>0</v>
      </c>
      <c r="P204" s="7">
        <v>0</v>
      </c>
      <c r="Q204" s="9">
        <v>0</v>
      </c>
      <c r="R204" s="7">
        <v>17</v>
      </c>
      <c r="S204" s="9">
        <v>2.4926686217008798</v>
      </c>
      <c r="T204" s="7">
        <v>12</v>
      </c>
      <c r="U204" s="9">
        <v>1.7595307917888563</v>
      </c>
      <c r="V204" s="10" t="str">
        <f t="shared" si="26"/>
        <v>CONGRESSGAIN</v>
      </c>
      <c r="W204" s="11">
        <f t="shared" ref="W204" si="29">G204-E204</f>
        <v>8.6510263929618745</v>
      </c>
      <c r="X204" s="13" t="str">
        <f t="shared" si="27"/>
        <v>NARROWMARGIN</v>
      </c>
    </row>
    <row r="205" spans="1:24">
      <c r="A205" s="14">
        <v>203</v>
      </c>
      <c r="B205" s="15" t="s">
        <v>126</v>
      </c>
      <c r="C205" s="14">
        <v>651</v>
      </c>
      <c r="D205" s="14">
        <v>346</v>
      </c>
      <c r="E205" s="16">
        <v>53.149001536098311</v>
      </c>
      <c r="F205" s="14">
        <v>277</v>
      </c>
      <c r="G205" s="16">
        <v>42.549923195084489</v>
      </c>
      <c r="H205" s="14">
        <v>3</v>
      </c>
      <c r="I205" s="16">
        <v>0.46082949308755761</v>
      </c>
      <c r="J205" s="14">
        <v>0</v>
      </c>
      <c r="K205" s="16">
        <v>0</v>
      </c>
      <c r="L205" s="14">
        <v>0</v>
      </c>
      <c r="M205" s="16">
        <v>0</v>
      </c>
      <c r="N205" s="14">
        <v>0</v>
      </c>
      <c r="O205" s="16">
        <v>0</v>
      </c>
      <c r="P205" s="14">
        <v>0</v>
      </c>
      <c r="Q205" s="16">
        <v>0</v>
      </c>
      <c r="R205" s="14">
        <v>12</v>
      </c>
      <c r="S205" s="16">
        <v>1.8433179723502304</v>
      </c>
      <c r="T205" s="14">
        <v>13</v>
      </c>
      <c r="U205" s="16">
        <v>1.9969278033794164</v>
      </c>
      <c r="V205" s="17" t="str">
        <f t="shared" si="26"/>
        <v>BJP GAIN</v>
      </c>
      <c r="W205" s="11">
        <f t="shared" si="28"/>
        <v>10.599078341013822</v>
      </c>
      <c r="X205" s="12" t="str">
        <f t="shared" si="27"/>
        <v>LOWMARGIN</v>
      </c>
    </row>
    <row r="206" spans="1:24">
      <c r="A206" s="7">
        <v>204</v>
      </c>
      <c r="B206" s="8" t="s">
        <v>126</v>
      </c>
      <c r="C206" s="7">
        <v>664</v>
      </c>
      <c r="D206" s="7">
        <v>242</v>
      </c>
      <c r="E206" s="9">
        <v>36.445783132530124</v>
      </c>
      <c r="F206" s="7">
        <v>378</v>
      </c>
      <c r="G206" s="9">
        <v>56.927710843373497</v>
      </c>
      <c r="H206" s="7">
        <v>5</v>
      </c>
      <c r="I206" s="9">
        <v>0.75301204819277112</v>
      </c>
      <c r="J206" s="7">
        <v>0</v>
      </c>
      <c r="K206" s="9">
        <v>0</v>
      </c>
      <c r="L206" s="7">
        <v>0</v>
      </c>
      <c r="M206" s="9">
        <v>0</v>
      </c>
      <c r="N206" s="7">
        <v>0</v>
      </c>
      <c r="O206" s="9">
        <v>0</v>
      </c>
      <c r="P206" s="7">
        <v>0</v>
      </c>
      <c r="Q206" s="9">
        <v>0</v>
      </c>
      <c r="R206" s="7">
        <v>20</v>
      </c>
      <c r="S206" s="9">
        <v>3.0120481927710845</v>
      </c>
      <c r="T206" s="7">
        <v>19</v>
      </c>
      <c r="U206" s="9">
        <v>2.8614457831325302</v>
      </c>
      <c r="V206" s="10" t="str">
        <f t="shared" si="26"/>
        <v>CONGRESSGAIN</v>
      </c>
      <c r="W206" s="11">
        <f t="shared" ref="W206:W210" si="30">G206-E206</f>
        <v>20.481927710843372</v>
      </c>
      <c r="X206" s="12" t="str">
        <f t="shared" si="27"/>
        <v>LOWMARGIN</v>
      </c>
    </row>
    <row r="207" spans="1:24">
      <c r="A207" s="7">
        <v>205</v>
      </c>
      <c r="B207" s="8" t="s">
        <v>126</v>
      </c>
      <c r="C207" s="7">
        <v>540</v>
      </c>
      <c r="D207" s="7">
        <v>148</v>
      </c>
      <c r="E207" s="9">
        <v>27.407407407407405</v>
      </c>
      <c r="F207" s="7">
        <v>373</v>
      </c>
      <c r="G207" s="9">
        <v>69.074074074074076</v>
      </c>
      <c r="H207" s="7">
        <v>7</v>
      </c>
      <c r="I207" s="9">
        <v>1.2962962962962963</v>
      </c>
      <c r="J207" s="7">
        <v>0</v>
      </c>
      <c r="K207" s="9">
        <v>0</v>
      </c>
      <c r="L207" s="7">
        <v>0</v>
      </c>
      <c r="M207" s="9">
        <v>0</v>
      </c>
      <c r="N207" s="7">
        <v>0</v>
      </c>
      <c r="O207" s="9">
        <v>0</v>
      </c>
      <c r="P207" s="7">
        <v>0</v>
      </c>
      <c r="Q207" s="9">
        <v>0</v>
      </c>
      <c r="R207" s="7">
        <v>3</v>
      </c>
      <c r="S207" s="9">
        <v>0.55555555555555547</v>
      </c>
      <c r="T207" s="7">
        <v>9</v>
      </c>
      <c r="U207" s="9">
        <v>1.6666666666666665</v>
      </c>
      <c r="V207" s="10" t="str">
        <f t="shared" si="26"/>
        <v>CONGRESSGAIN</v>
      </c>
      <c r="W207" s="11">
        <f t="shared" si="30"/>
        <v>41.666666666666671</v>
      </c>
      <c r="X207" s="18" t="str">
        <f t="shared" si="27"/>
        <v>HIGHMARGIN</v>
      </c>
    </row>
    <row r="208" spans="1:24">
      <c r="A208" s="7">
        <v>206</v>
      </c>
      <c r="B208" s="8" t="s">
        <v>126</v>
      </c>
      <c r="C208" s="7">
        <v>580</v>
      </c>
      <c r="D208" s="7">
        <v>83</v>
      </c>
      <c r="E208" s="9">
        <v>14.310344827586208</v>
      </c>
      <c r="F208" s="7">
        <v>440</v>
      </c>
      <c r="G208" s="9">
        <v>75.862068965517238</v>
      </c>
      <c r="H208" s="7">
        <v>7</v>
      </c>
      <c r="I208" s="9">
        <v>1.2068965517241379</v>
      </c>
      <c r="J208" s="7">
        <v>0</v>
      </c>
      <c r="K208" s="9">
        <v>0</v>
      </c>
      <c r="L208" s="7">
        <v>0</v>
      </c>
      <c r="M208" s="9">
        <v>0</v>
      </c>
      <c r="N208" s="7">
        <v>0</v>
      </c>
      <c r="O208" s="9">
        <v>0</v>
      </c>
      <c r="P208" s="7">
        <v>0</v>
      </c>
      <c r="Q208" s="9">
        <v>0</v>
      </c>
      <c r="R208" s="7">
        <v>4</v>
      </c>
      <c r="S208" s="9">
        <v>0.68965517241379315</v>
      </c>
      <c r="T208" s="7">
        <v>46</v>
      </c>
      <c r="U208" s="9">
        <v>7.931034482758621</v>
      </c>
      <c r="V208" s="10" t="str">
        <f t="shared" si="26"/>
        <v>CONGRESSGAIN</v>
      </c>
      <c r="W208" s="11">
        <f t="shared" si="30"/>
        <v>61.551724137931032</v>
      </c>
      <c r="X208" s="10" t="str">
        <f t="shared" si="27"/>
        <v>VERYHIGHMARGIN</v>
      </c>
    </row>
    <row r="209" spans="1:25">
      <c r="A209" s="14">
        <v>207</v>
      </c>
      <c r="B209" s="15" t="s">
        <v>126</v>
      </c>
      <c r="C209" s="14">
        <v>616</v>
      </c>
      <c r="D209" s="14">
        <v>297</v>
      </c>
      <c r="E209" s="16">
        <v>48.214285714285715</v>
      </c>
      <c r="F209" s="14">
        <v>267</v>
      </c>
      <c r="G209" s="16">
        <v>43.344155844155843</v>
      </c>
      <c r="H209" s="14">
        <v>5</v>
      </c>
      <c r="I209" s="16">
        <v>0.81168831168831168</v>
      </c>
      <c r="J209" s="14">
        <v>0</v>
      </c>
      <c r="K209" s="16">
        <v>0</v>
      </c>
      <c r="L209" s="14">
        <v>0</v>
      </c>
      <c r="M209" s="16">
        <v>0</v>
      </c>
      <c r="N209" s="14">
        <v>0</v>
      </c>
      <c r="O209" s="16">
        <v>0</v>
      </c>
      <c r="P209" s="14">
        <v>0</v>
      </c>
      <c r="Q209" s="16">
        <v>0</v>
      </c>
      <c r="R209" s="14">
        <v>13</v>
      </c>
      <c r="S209" s="16">
        <v>2.1103896103896105</v>
      </c>
      <c r="T209" s="14">
        <v>34</v>
      </c>
      <c r="U209" s="16">
        <v>5.5194805194805197</v>
      </c>
      <c r="V209" s="17" t="str">
        <f t="shared" si="26"/>
        <v>BJP GAIN</v>
      </c>
      <c r="W209" s="11">
        <f t="shared" si="28"/>
        <v>4.8701298701298725</v>
      </c>
      <c r="X209" s="13" t="str">
        <f t="shared" si="27"/>
        <v>NARROWMARGIN</v>
      </c>
    </row>
    <row r="210" spans="1:25">
      <c r="A210" s="7">
        <v>208</v>
      </c>
      <c r="B210" s="8" t="s">
        <v>126</v>
      </c>
      <c r="C210" s="7">
        <v>448</v>
      </c>
      <c r="D210" s="7">
        <v>23</v>
      </c>
      <c r="E210" s="9">
        <v>5.1339285714285712</v>
      </c>
      <c r="F210" s="7">
        <v>416</v>
      </c>
      <c r="G210" s="9">
        <v>92.857142857142847</v>
      </c>
      <c r="H210" s="7">
        <v>2</v>
      </c>
      <c r="I210" s="9">
        <v>0.4464285714285714</v>
      </c>
      <c r="J210" s="7">
        <v>0</v>
      </c>
      <c r="K210" s="9">
        <v>0</v>
      </c>
      <c r="L210" s="7">
        <v>0</v>
      </c>
      <c r="M210" s="9">
        <v>0</v>
      </c>
      <c r="N210" s="7">
        <v>0</v>
      </c>
      <c r="O210" s="9">
        <v>0</v>
      </c>
      <c r="P210" s="7">
        <v>0</v>
      </c>
      <c r="Q210" s="9">
        <v>0</v>
      </c>
      <c r="R210" s="7">
        <v>4</v>
      </c>
      <c r="S210" s="9">
        <v>0.89285714285714279</v>
      </c>
      <c r="T210" s="7">
        <v>3</v>
      </c>
      <c r="U210" s="9">
        <v>0.6696428571428571</v>
      </c>
      <c r="V210" s="10" t="str">
        <f t="shared" si="26"/>
        <v>CONGRESSGAIN</v>
      </c>
      <c r="W210" s="11">
        <f t="shared" si="30"/>
        <v>87.723214285714278</v>
      </c>
      <c r="X210" s="10" t="str">
        <f t="shared" si="27"/>
        <v>VERYHIGHMARGIN</v>
      </c>
    </row>
    <row r="211" spans="1:25" ht="15.75">
      <c r="A211" s="65" t="s">
        <v>9</v>
      </c>
      <c r="B211" s="65"/>
      <c r="C211" s="20">
        <f>SUM(C3:C210)</f>
        <v>131867</v>
      </c>
      <c r="D211" s="20">
        <f t="shared" ref="D211:U211" si="31">SUM(D3:D210)</f>
        <v>55976</v>
      </c>
      <c r="E211" s="20">
        <f t="shared" si="31"/>
        <v>8737.9527404679557</v>
      </c>
      <c r="F211" s="20">
        <f t="shared" si="31"/>
        <v>67628</v>
      </c>
      <c r="G211" s="20">
        <f t="shared" si="31"/>
        <v>10794.152086117192</v>
      </c>
      <c r="H211" s="20">
        <f t="shared" si="31"/>
        <v>1665</v>
      </c>
      <c r="I211" s="20">
        <f t="shared" si="31"/>
        <v>262.91808571616752</v>
      </c>
      <c r="J211" s="20">
        <f t="shared" si="31"/>
        <v>0</v>
      </c>
      <c r="K211" s="20">
        <f t="shared" si="31"/>
        <v>0</v>
      </c>
      <c r="L211" s="20">
        <f t="shared" si="31"/>
        <v>0</v>
      </c>
      <c r="M211" s="20">
        <f t="shared" si="31"/>
        <v>0</v>
      </c>
      <c r="N211" s="20">
        <f t="shared" si="31"/>
        <v>94</v>
      </c>
      <c r="O211" s="20">
        <f t="shared" si="31"/>
        <v>14.763082578192584</v>
      </c>
      <c r="P211" s="20">
        <f t="shared" si="31"/>
        <v>0</v>
      </c>
      <c r="Q211" s="20">
        <f t="shared" si="31"/>
        <v>0</v>
      </c>
      <c r="R211" s="20">
        <f t="shared" si="31"/>
        <v>3015</v>
      </c>
      <c r="S211" s="20">
        <f t="shared" si="31"/>
        <v>443.94798474250877</v>
      </c>
      <c r="T211" s="20">
        <f t="shared" si="31"/>
        <v>3489</v>
      </c>
      <c r="U211" s="20">
        <f t="shared" si="31"/>
        <v>546.26602037797943</v>
      </c>
    </row>
    <row r="212" spans="1:25">
      <c r="V212" s="21" t="s">
        <v>90</v>
      </c>
      <c r="W212" s="22">
        <f>COUNTIF(V3:V210, "BJP GAIN")</f>
        <v>79</v>
      </c>
      <c r="X212" s="23" t="s">
        <v>144</v>
      </c>
      <c r="Y212" s="24">
        <f>COUNTIF(X3:X210,"NARROWMARGIN")</f>
        <v>61</v>
      </c>
    </row>
    <row r="213" spans="1:25">
      <c r="V213" s="25" t="s">
        <v>89</v>
      </c>
      <c r="W213" s="26">
        <f>COUNTIF(V3:V210, "CONGRESSGAIN")</f>
        <v>129</v>
      </c>
      <c r="X213" s="27" t="s">
        <v>0</v>
      </c>
      <c r="Y213" s="28">
        <f>COUNTIF(X3:X210,"LOWMARGIN")</f>
        <v>72</v>
      </c>
    </row>
    <row r="214" spans="1:25">
      <c r="V214" s="29"/>
      <c r="W214" s="29"/>
      <c r="X214" s="30" t="s">
        <v>4</v>
      </c>
      <c r="Y214" s="31">
        <f>COUNTIF(X3:X210,"MEDIUMMARGIN")</f>
        <v>25</v>
      </c>
    </row>
    <row r="215" spans="1:25">
      <c r="V215" s="29"/>
      <c r="W215" s="29"/>
      <c r="X215" s="32" t="s">
        <v>3</v>
      </c>
      <c r="Y215" s="33">
        <f>COUNTIF(X3:X210,"HIGHMARGIN")</f>
        <v>22</v>
      </c>
    </row>
    <row r="216" spans="1:25">
      <c r="V216" s="29"/>
      <c r="W216" s="29"/>
      <c r="X216" s="25" t="s">
        <v>2</v>
      </c>
      <c r="Y216" s="34">
        <f>COUNTIF(X3:X210,"VERYHIGHMARGIN")</f>
        <v>28</v>
      </c>
    </row>
  </sheetData>
  <mergeCells count="2">
    <mergeCell ref="A1:X1"/>
    <mergeCell ref="A211:B2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52"/>
  <sheetViews>
    <sheetView workbookViewId="0">
      <selection activeCell="D14" sqref="D14"/>
    </sheetView>
  </sheetViews>
  <sheetFormatPr defaultRowHeight="15"/>
  <cols>
    <col min="1" max="1" width="10.7109375" style="35" bestFit="1" customWidth="1"/>
    <col min="2" max="2" width="15.7109375" style="35" bestFit="1" customWidth="1"/>
    <col min="3" max="3" width="26.5703125" style="35" bestFit="1" customWidth="1"/>
    <col min="4" max="4" width="12.85546875" style="35" customWidth="1"/>
    <col min="5" max="5" width="35.85546875" style="35" bestFit="1" customWidth="1"/>
    <col min="6" max="6" width="13.7109375" style="35" bestFit="1" customWidth="1"/>
    <col min="7" max="7" width="20.42578125" style="35" bestFit="1" customWidth="1"/>
    <col min="8" max="9" width="16.5703125" style="35" bestFit="1" customWidth="1"/>
    <col min="10" max="10" width="16.5703125" style="35" customWidth="1"/>
    <col min="11" max="14" width="16.5703125" style="35" bestFit="1" customWidth="1"/>
    <col min="15" max="15" width="16.5703125" style="35" customWidth="1"/>
    <col min="16" max="17" width="16.5703125" style="35" bestFit="1" customWidth="1"/>
    <col min="18" max="18" width="15.42578125" style="35" customWidth="1"/>
    <col min="19" max="19" width="24.42578125" style="35" bestFit="1" customWidth="1"/>
    <col min="20" max="20" width="21.7109375" style="35" bestFit="1" customWidth="1"/>
    <col min="21" max="21" width="22.85546875" style="35" bestFit="1" customWidth="1"/>
    <col min="22" max="22" width="19.140625" style="35" bestFit="1" customWidth="1"/>
    <col min="23" max="16384" width="9.140625" style="35"/>
  </cols>
  <sheetData>
    <row r="1" spans="1:22" ht="46.5">
      <c r="A1" s="66" t="s">
        <v>142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2" spans="1:22">
      <c r="A2" s="68" t="s">
        <v>96</v>
      </c>
      <c r="B2" s="68" t="s">
        <v>95</v>
      </c>
      <c r="C2" s="68" t="s">
        <v>94</v>
      </c>
      <c r="D2" s="67" t="s">
        <v>93</v>
      </c>
      <c r="E2" s="68" t="s">
        <v>92</v>
      </c>
      <c r="F2" s="80" t="s">
        <v>91</v>
      </c>
      <c r="G2" s="68" t="s">
        <v>91</v>
      </c>
      <c r="H2" s="68"/>
      <c r="I2" s="68"/>
      <c r="J2" s="71" t="s">
        <v>90</v>
      </c>
      <c r="K2" s="72"/>
      <c r="L2" s="72"/>
      <c r="M2" s="72"/>
      <c r="N2" s="73"/>
      <c r="O2" s="74" t="s">
        <v>89</v>
      </c>
      <c r="P2" s="75"/>
      <c r="Q2" s="75"/>
      <c r="R2" s="75"/>
      <c r="S2" s="76"/>
      <c r="T2" s="67" t="s">
        <v>88</v>
      </c>
      <c r="U2" s="67" t="s">
        <v>87</v>
      </c>
      <c r="V2" s="67" t="s">
        <v>1</v>
      </c>
    </row>
    <row r="3" spans="1:22" ht="30">
      <c r="A3" s="68"/>
      <c r="B3" s="68"/>
      <c r="C3" s="68"/>
      <c r="D3" s="67"/>
      <c r="E3" s="68"/>
      <c r="F3" s="81"/>
      <c r="G3" s="36" t="s">
        <v>86</v>
      </c>
      <c r="H3" s="36" t="s">
        <v>128</v>
      </c>
      <c r="I3" s="36" t="s">
        <v>84</v>
      </c>
      <c r="J3" s="36" t="s">
        <v>129</v>
      </c>
      <c r="K3" s="36" t="s">
        <v>86</v>
      </c>
      <c r="L3" s="36" t="s">
        <v>85</v>
      </c>
      <c r="M3" s="36" t="s">
        <v>128</v>
      </c>
      <c r="N3" s="36" t="s">
        <v>84</v>
      </c>
      <c r="O3" s="36" t="s">
        <v>130</v>
      </c>
      <c r="P3" s="36" t="s">
        <v>86</v>
      </c>
      <c r="Q3" s="36" t="s">
        <v>85</v>
      </c>
      <c r="R3" s="36" t="s">
        <v>128</v>
      </c>
      <c r="S3" s="36" t="s">
        <v>84</v>
      </c>
      <c r="T3" s="67"/>
      <c r="U3" s="67"/>
      <c r="V3" s="67"/>
    </row>
    <row r="4" spans="1:22">
      <c r="A4" s="37">
        <v>1</v>
      </c>
      <c r="B4" s="37">
        <v>21</v>
      </c>
      <c r="C4" s="38" t="s">
        <v>83</v>
      </c>
      <c r="D4" s="37">
        <v>6</v>
      </c>
      <c r="E4" s="37" t="s">
        <v>82</v>
      </c>
      <c r="F4" s="37">
        <v>4261</v>
      </c>
      <c r="G4" s="39">
        <v>710.16666666666663</v>
      </c>
      <c r="H4" s="39">
        <v>174.5531596836779</v>
      </c>
      <c r="I4" s="39">
        <v>30468.805555555555</v>
      </c>
      <c r="J4" s="40">
        <v>1918</v>
      </c>
      <c r="K4" s="39">
        <v>319.66666666666669</v>
      </c>
      <c r="L4" s="39">
        <f>(K4/G4)*100</f>
        <v>45.012907768129551</v>
      </c>
      <c r="M4" s="39">
        <v>118.43657468122854</v>
      </c>
      <c r="N4" s="39">
        <v>14027.222222222223</v>
      </c>
      <c r="O4" s="40">
        <v>2116</v>
      </c>
      <c r="P4" s="39">
        <v>352.66666666666669</v>
      </c>
      <c r="Q4" s="39">
        <f>(P4/G4)*100</f>
        <v>49.659704294766492</v>
      </c>
      <c r="R4" s="39">
        <v>96.798186392560496</v>
      </c>
      <c r="S4" s="39">
        <v>9369.8888888888887</v>
      </c>
      <c r="T4" s="10" t="str">
        <f>IF(K4&gt;P4,"BJP GAIN","CONGRESS GAIN")</f>
        <v>CONGRESS GAIN</v>
      </c>
      <c r="U4" s="39">
        <f>((P4-K4)/G4)*100</f>
        <v>4.6467965266369395</v>
      </c>
      <c r="V4" s="13" t="str">
        <f t="shared" ref="V4:V41" si="0">IF(U4&gt;=50,"VERYHIGHMARGIN",IF(U4&gt;=40,"HIGHMARGIN",IF(U4&gt;=30,"MEDIUMMARGIN",IF(U4&gt;10,"LOWMARGIN",IF(U4&gt;1,"NARROWMARGIN")))))</f>
        <v>NARROWMARGIN</v>
      </c>
    </row>
    <row r="5" spans="1:22">
      <c r="A5" s="37">
        <v>2</v>
      </c>
      <c r="B5" s="37">
        <v>24</v>
      </c>
      <c r="C5" s="38" t="s">
        <v>81</v>
      </c>
      <c r="D5" s="37">
        <v>6</v>
      </c>
      <c r="E5" s="37" t="s">
        <v>80</v>
      </c>
      <c r="F5" s="37">
        <v>3247</v>
      </c>
      <c r="G5" s="39">
        <v>541.16666666666663</v>
      </c>
      <c r="H5" s="39">
        <v>177.68269158499623</v>
      </c>
      <c r="I5" s="39">
        <v>31571.138888888891</v>
      </c>
      <c r="J5" s="40">
        <v>1442</v>
      </c>
      <c r="K5" s="39">
        <v>240.333333333333</v>
      </c>
      <c r="L5" s="39">
        <f t="shared" ref="L5:L41" si="1">(K5/G5)*100</f>
        <v>44.410224822913399</v>
      </c>
      <c r="M5" s="39">
        <v>61.540411293898764</v>
      </c>
      <c r="N5" s="39">
        <v>3787.2222222222222</v>
      </c>
      <c r="O5" s="40">
        <v>1679</v>
      </c>
      <c r="P5" s="39">
        <v>279.83333333333331</v>
      </c>
      <c r="Q5" s="39">
        <f t="shared" ref="Q5:Q41" si="2">(P5/G5)*100</f>
        <v>51.709270095472746</v>
      </c>
      <c r="R5" s="39">
        <v>115.06145700836962</v>
      </c>
      <c r="S5" s="39">
        <v>13239.138888888889</v>
      </c>
      <c r="T5" s="10" t="str">
        <f t="shared" ref="T5:T41" si="3">IF(K5&gt;P5,"BJP GAIN","CONGRESS GAIN")</f>
        <v>CONGRESS GAIN</v>
      </c>
      <c r="U5" s="39">
        <f t="shared" ref="U5:U41" si="4">((P5-K5)/G5)*100</f>
        <v>7.2990452725593444</v>
      </c>
      <c r="V5" s="13" t="str">
        <f t="shared" si="0"/>
        <v>NARROWMARGIN</v>
      </c>
    </row>
    <row r="6" spans="1:22">
      <c r="A6" s="37">
        <v>3</v>
      </c>
      <c r="B6" s="37">
        <v>25</v>
      </c>
      <c r="C6" s="38" t="s">
        <v>79</v>
      </c>
      <c r="D6" s="37">
        <v>6</v>
      </c>
      <c r="E6" s="37" t="s">
        <v>78</v>
      </c>
      <c r="F6" s="37">
        <v>3895</v>
      </c>
      <c r="G6" s="39">
        <v>649.16666666666663</v>
      </c>
      <c r="H6" s="39">
        <v>147.52786930686088</v>
      </c>
      <c r="I6" s="39">
        <v>21764.472222222223</v>
      </c>
      <c r="J6" s="40">
        <v>1640</v>
      </c>
      <c r="K6" s="39">
        <v>273.33333333333331</v>
      </c>
      <c r="L6" s="39">
        <f t="shared" si="1"/>
        <v>42.105263157894733</v>
      </c>
      <c r="M6" s="39">
        <v>34.600899153377824</v>
      </c>
      <c r="N6" s="39">
        <v>1197.2222222222222</v>
      </c>
      <c r="O6" s="40">
        <v>1936</v>
      </c>
      <c r="P6" s="39">
        <v>322.66666666666669</v>
      </c>
      <c r="Q6" s="39">
        <f t="shared" si="2"/>
        <v>49.704749679075746</v>
      </c>
      <c r="R6" s="39">
        <v>101.02254973794491</v>
      </c>
      <c r="S6" s="39">
        <v>10205.555555555555</v>
      </c>
      <c r="T6" s="10" t="str">
        <f t="shared" si="3"/>
        <v>CONGRESS GAIN</v>
      </c>
      <c r="U6" s="39">
        <f t="shared" si="4"/>
        <v>7.5994865211810074</v>
      </c>
      <c r="V6" s="13" t="str">
        <f t="shared" si="0"/>
        <v>NARROWMARGIN</v>
      </c>
    </row>
    <row r="7" spans="1:22">
      <c r="A7" s="37">
        <v>4</v>
      </c>
      <c r="B7" s="37">
        <v>26</v>
      </c>
      <c r="C7" s="38" t="s">
        <v>77</v>
      </c>
      <c r="D7" s="37">
        <v>7</v>
      </c>
      <c r="E7" s="40" t="s">
        <v>76</v>
      </c>
      <c r="F7" s="40">
        <v>5771</v>
      </c>
      <c r="G7" s="39">
        <v>721.375</v>
      </c>
      <c r="H7" s="39">
        <v>179.96036890104443</v>
      </c>
      <c r="I7" s="39">
        <v>32385.734375</v>
      </c>
      <c r="J7" s="40">
        <v>2885</v>
      </c>
      <c r="K7" s="39">
        <v>360.625</v>
      </c>
      <c r="L7" s="39">
        <f t="shared" si="1"/>
        <v>49.991335990296307</v>
      </c>
      <c r="M7" s="39">
        <v>121.03402156005558</v>
      </c>
      <c r="N7" s="39">
        <v>14649.234375</v>
      </c>
      <c r="O7" s="40">
        <v>2648</v>
      </c>
      <c r="P7" s="39">
        <v>331</v>
      </c>
      <c r="Q7" s="39">
        <f t="shared" si="2"/>
        <v>45.884595390746838</v>
      </c>
      <c r="R7" s="39">
        <v>71.382771030550501</v>
      </c>
      <c r="S7" s="39">
        <v>5095.5</v>
      </c>
      <c r="T7" s="17" t="str">
        <f t="shared" si="3"/>
        <v>BJP GAIN</v>
      </c>
      <c r="U7" s="39">
        <f>((K7-P7)/G7)*100</f>
        <v>4.1067405995494717</v>
      </c>
      <c r="V7" s="13" t="str">
        <f t="shared" si="0"/>
        <v>NARROWMARGIN</v>
      </c>
    </row>
    <row r="8" spans="1:22">
      <c r="A8" s="37">
        <v>5</v>
      </c>
      <c r="B8" s="37">
        <v>27</v>
      </c>
      <c r="C8" s="38" t="s">
        <v>15</v>
      </c>
      <c r="D8" s="37">
        <v>6</v>
      </c>
      <c r="E8" s="40" t="s">
        <v>75</v>
      </c>
      <c r="F8" s="40">
        <v>4046</v>
      </c>
      <c r="G8" s="39">
        <v>674.33333333333337</v>
      </c>
      <c r="H8" s="39">
        <v>127.83670138978955</v>
      </c>
      <c r="I8" s="39">
        <v>16342.222222222223</v>
      </c>
      <c r="J8" s="40">
        <v>1998</v>
      </c>
      <c r="K8" s="39">
        <v>333</v>
      </c>
      <c r="L8" s="39">
        <f t="shared" si="1"/>
        <v>49.382105783489862</v>
      </c>
      <c r="M8" s="39">
        <v>134.18643746668289</v>
      </c>
      <c r="N8" s="39">
        <v>18006</v>
      </c>
      <c r="O8" s="40">
        <v>1823</v>
      </c>
      <c r="P8" s="39">
        <v>303.83333333333331</v>
      </c>
      <c r="Q8" s="39">
        <f t="shared" si="2"/>
        <v>45.056846267918928</v>
      </c>
      <c r="R8" s="39">
        <v>108.3780676869428</v>
      </c>
      <c r="S8" s="39">
        <v>11745.805555555555</v>
      </c>
      <c r="T8" s="17" t="str">
        <f t="shared" si="3"/>
        <v>BJP GAIN</v>
      </c>
      <c r="U8" s="39">
        <f t="shared" ref="U8:U11" si="5">((K8-P8)/G8)*100</f>
        <v>4.325259515570937</v>
      </c>
      <c r="V8" s="13" t="str">
        <f t="shared" si="0"/>
        <v>NARROWMARGIN</v>
      </c>
    </row>
    <row r="9" spans="1:22">
      <c r="A9" s="37">
        <v>6</v>
      </c>
      <c r="B9" s="37">
        <v>28</v>
      </c>
      <c r="C9" s="38" t="s">
        <v>74</v>
      </c>
      <c r="D9" s="37">
        <v>4</v>
      </c>
      <c r="E9" s="40" t="s">
        <v>73</v>
      </c>
      <c r="F9" s="40">
        <v>2883</v>
      </c>
      <c r="G9" s="39">
        <v>720.75</v>
      </c>
      <c r="H9" s="39">
        <v>115.63601298903383</v>
      </c>
      <c r="I9" s="39">
        <v>13371.6875</v>
      </c>
      <c r="J9" s="40">
        <v>1851</v>
      </c>
      <c r="K9" s="39">
        <v>462.75</v>
      </c>
      <c r="L9" s="39">
        <f t="shared" si="1"/>
        <v>64.203954214360039</v>
      </c>
      <c r="M9" s="39">
        <v>75.833287545773729</v>
      </c>
      <c r="N9" s="39">
        <v>5750.6875</v>
      </c>
      <c r="O9" s="40">
        <v>915</v>
      </c>
      <c r="P9" s="39">
        <v>228.75</v>
      </c>
      <c r="Q9" s="39">
        <f t="shared" si="2"/>
        <v>31.737773152965659</v>
      </c>
      <c r="R9" s="39">
        <v>34.346579160085213</v>
      </c>
      <c r="S9" s="39">
        <v>1179.6875</v>
      </c>
      <c r="T9" s="17" t="str">
        <f t="shared" si="3"/>
        <v>BJP GAIN</v>
      </c>
      <c r="U9" s="39">
        <f t="shared" si="5"/>
        <v>32.46618106139438</v>
      </c>
      <c r="V9" s="19" t="str">
        <f t="shared" si="0"/>
        <v>MEDIUMMARGIN</v>
      </c>
    </row>
    <row r="10" spans="1:22">
      <c r="A10" s="37">
        <v>7</v>
      </c>
      <c r="B10" s="37">
        <v>29</v>
      </c>
      <c r="C10" s="38" t="s">
        <v>72</v>
      </c>
      <c r="D10" s="37">
        <v>4</v>
      </c>
      <c r="E10" s="40" t="s">
        <v>71</v>
      </c>
      <c r="F10" s="40">
        <v>2366</v>
      </c>
      <c r="G10" s="39">
        <v>591.5</v>
      </c>
      <c r="H10" s="39">
        <v>108.67497412007974</v>
      </c>
      <c r="I10" s="39">
        <v>11810.25</v>
      </c>
      <c r="J10" s="40">
        <v>1567</v>
      </c>
      <c r="K10" s="39">
        <v>391.75</v>
      </c>
      <c r="L10" s="39">
        <f t="shared" si="1"/>
        <v>66.22992392223162</v>
      </c>
      <c r="M10" s="39">
        <v>103.09310112708803</v>
      </c>
      <c r="N10" s="39">
        <v>10628.1875</v>
      </c>
      <c r="O10" s="40">
        <v>708</v>
      </c>
      <c r="P10" s="39">
        <v>177</v>
      </c>
      <c r="Q10" s="39">
        <f t="shared" si="2"/>
        <v>29.92392223161454</v>
      </c>
      <c r="R10" s="39">
        <v>34.604912945996553</v>
      </c>
      <c r="S10" s="39">
        <v>1197.5</v>
      </c>
      <c r="T10" s="17" t="str">
        <f t="shared" si="3"/>
        <v>BJP GAIN</v>
      </c>
      <c r="U10" s="39">
        <f t="shared" si="5"/>
        <v>36.306001690617073</v>
      </c>
      <c r="V10" s="19" t="str">
        <f t="shared" si="0"/>
        <v>MEDIUMMARGIN</v>
      </c>
    </row>
    <row r="11" spans="1:22">
      <c r="A11" s="37">
        <v>8</v>
      </c>
      <c r="B11" s="37">
        <v>30</v>
      </c>
      <c r="C11" s="38" t="s">
        <v>70</v>
      </c>
      <c r="D11" s="37">
        <v>5</v>
      </c>
      <c r="E11" s="40" t="s">
        <v>69</v>
      </c>
      <c r="F11" s="40">
        <v>3150</v>
      </c>
      <c r="G11" s="39">
        <v>630</v>
      </c>
      <c r="H11" s="39">
        <v>113.95262173377145</v>
      </c>
      <c r="I11" s="39">
        <v>12985.2</v>
      </c>
      <c r="J11" s="40">
        <v>1544</v>
      </c>
      <c r="K11" s="39">
        <v>308.8</v>
      </c>
      <c r="L11" s="39">
        <f t="shared" si="1"/>
        <v>49.015873015873019</v>
      </c>
      <c r="M11" s="39">
        <v>73.111968924383376</v>
      </c>
      <c r="N11" s="39">
        <v>5345.36</v>
      </c>
      <c r="O11" s="40">
        <v>1496</v>
      </c>
      <c r="P11" s="39">
        <v>299.2</v>
      </c>
      <c r="Q11" s="39">
        <f t="shared" si="2"/>
        <v>47.492063492063494</v>
      </c>
      <c r="R11" s="39">
        <v>43.199074064150956</v>
      </c>
      <c r="S11" s="39">
        <v>1866.16</v>
      </c>
      <c r="T11" s="17" t="str">
        <f t="shared" si="3"/>
        <v>BJP GAIN</v>
      </c>
      <c r="U11" s="39">
        <f t="shared" si="5"/>
        <v>1.5238095238095275</v>
      </c>
      <c r="V11" s="13" t="str">
        <f t="shared" si="0"/>
        <v>NARROWMARGIN</v>
      </c>
    </row>
    <row r="12" spans="1:22">
      <c r="A12" s="37">
        <v>9</v>
      </c>
      <c r="B12" s="37">
        <v>31</v>
      </c>
      <c r="C12" s="38" t="s">
        <v>68</v>
      </c>
      <c r="D12" s="37">
        <v>6</v>
      </c>
      <c r="E12" s="40" t="s">
        <v>67</v>
      </c>
      <c r="F12" s="40">
        <v>3532</v>
      </c>
      <c r="G12" s="39">
        <v>588.66666666666663</v>
      </c>
      <c r="H12" s="39">
        <v>97.93138187300103</v>
      </c>
      <c r="I12" s="39">
        <v>9590.5555555555547</v>
      </c>
      <c r="J12" s="40">
        <v>1481</v>
      </c>
      <c r="K12" s="39">
        <v>246.83333333333334</v>
      </c>
      <c r="L12" s="39">
        <f t="shared" si="1"/>
        <v>41.930917327293322</v>
      </c>
      <c r="M12" s="39">
        <v>49.245699191796319</v>
      </c>
      <c r="N12" s="39">
        <v>2425.1388888888887</v>
      </c>
      <c r="O12" s="40">
        <v>1903</v>
      </c>
      <c r="P12" s="39">
        <v>317.16666666666669</v>
      </c>
      <c r="Q12" s="39">
        <f t="shared" si="2"/>
        <v>53.878822197055499</v>
      </c>
      <c r="R12" s="39">
        <v>49.424746388378722</v>
      </c>
      <c r="S12" s="39">
        <v>2442.8055555555557</v>
      </c>
      <c r="T12" s="10" t="str">
        <f t="shared" si="3"/>
        <v>CONGRESS GAIN</v>
      </c>
      <c r="U12" s="39">
        <f t="shared" si="4"/>
        <v>11.947904869762176</v>
      </c>
      <c r="V12" s="12" t="str">
        <f t="shared" si="0"/>
        <v>LOWMARGIN</v>
      </c>
    </row>
    <row r="13" spans="1:22">
      <c r="A13" s="37">
        <v>10</v>
      </c>
      <c r="B13" s="37">
        <v>32</v>
      </c>
      <c r="C13" s="38" t="s">
        <v>66</v>
      </c>
      <c r="D13" s="37">
        <v>5</v>
      </c>
      <c r="E13" s="40" t="s">
        <v>65</v>
      </c>
      <c r="F13" s="40">
        <v>3086</v>
      </c>
      <c r="G13" s="39">
        <v>617.20000000000005</v>
      </c>
      <c r="H13" s="39">
        <v>162.55632869870064</v>
      </c>
      <c r="I13" s="39">
        <v>26424.560000000001</v>
      </c>
      <c r="J13" s="40">
        <v>1572</v>
      </c>
      <c r="K13" s="39">
        <v>314.39999999999998</v>
      </c>
      <c r="L13" s="39">
        <f t="shared" si="1"/>
        <v>50.939727802981196</v>
      </c>
      <c r="M13" s="39">
        <v>87.103616457641991</v>
      </c>
      <c r="N13" s="39">
        <v>7587.04</v>
      </c>
      <c r="O13" s="40">
        <v>1301</v>
      </c>
      <c r="P13" s="39">
        <v>260.2</v>
      </c>
      <c r="Q13" s="39">
        <f t="shared" si="2"/>
        <v>42.15813350615683</v>
      </c>
      <c r="R13" s="39">
        <v>78.147040890874422</v>
      </c>
      <c r="S13" s="39">
        <v>6106.96</v>
      </c>
      <c r="T13" s="17" t="str">
        <f t="shared" si="3"/>
        <v>BJP GAIN</v>
      </c>
      <c r="U13" s="39">
        <f>((K13-P13)/G13)*100</f>
        <v>8.7815942968243661</v>
      </c>
      <c r="V13" s="13" t="str">
        <f t="shared" si="0"/>
        <v>NARROWMARGIN</v>
      </c>
    </row>
    <row r="14" spans="1:22">
      <c r="A14" s="37">
        <v>11</v>
      </c>
      <c r="B14" s="37">
        <v>33</v>
      </c>
      <c r="C14" s="38" t="s">
        <v>64</v>
      </c>
      <c r="D14" s="37">
        <v>4</v>
      </c>
      <c r="E14" s="40" t="s">
        <v>63</v>
      </c>
      <c r="F14" s="40">
        <v>2543</v>
      </c>
      <c r="G14" s="39">
        <v>635.75</v>
      </c>
      <c r="H14" s="39">
        <v>55.255655819110501</v>
      </c>
      <c r="I14" s="39">
        <v>3053.1875</v>
      </c>
      <c r="J14" s="40">
        <v>1330</v>
      </c>
      <c r="K14" s="39">
        <v>332.5</v>
      </c>
      <c r="L14" s="39">
        <f t="shared" si="1"/>
        <v>52.300432559968549</v>
      </c>
      <c r="M14" s="39">
        <v>59.238923015193315</v>
      </c>
      <c r="N14" s="39">
        <v>3509.25</v>
      </c>
      <c r="O14" s="40">
        <v>1151</v>
      </c>
      <c r="P14" s="39">
        <v>287.75</v>
      </c>
      <c r="Q14" s="39">
        <f t="shared" si="2"/>
        <v>45.261502162799843</v>
      </c>
      <c r="R14" s="39">
        <v>100.35530628721133</v>
      </c>
      <c r="S14" s="39">
        <v>10071.1875</v>
      </c>
      <c r="T14" s="17" t="str">
        <f t="shared" si="3"/>
        <v>BJP GAIN</v>
      </c>
      <c r="U14" s="39">
        <f>((K14-P14)/G14)*100</f>
        <v>7.0389303971686985</v>
      </c>
      <c r="V14" s="13" t="str">
        <f t="shared" si="0"/>
        <v>NARROWMARGIN</v>
      </c>
    </row>
    <row r="15" spans="1:22">
      <c r="A15" s="37">
        <v>12</v>
      </c>
      <c r="B15" s="37">
        <v>34</v>
      </c>
      <c r="C15" s="38" t="s">
        <v>62</v>
      </c>
      <c r="D15" s="37">
        <v>5</v>
      </c>
      <c r="E15" s="40" t="s">
        <v>61</v>
      </c>
      <c r="F15" s="40">
        <v>3374</v>
      </c>
      <c r="G15" s="39">
        <v>674.8</v>
      </c>
      <c r="H15" s="39">
        <v>121.0874064467482</v>
      </c>
      <c r="I15" s="39">
        <v>14662.16</v>
      </c>
      <c r="J15" s="40">
        <v>1287</v>
      </c>
      <c r="K15" s="39">
        <v>257.39999999999998</v>
      </c>
      <c r="L15" s="39">
        <f t="shared" si="1"/>
        <v>38.144635447540011</v>
      </c>
      <c r="M15" s="39">
        <v>104.72936550939282</v>
      </c>
      <c r="N15" s="39">
        <v>10968.24</v>
      </c>
      <c r="O15" s="40">
        <v>1972</v>
      </c>
      <c r="P15" s="39">
        <v>394.4</v>
      </c>
      <c r="Q15" s="39">
        <f t="shared" si="2"/>
        <v>58.446947243627747</v>
      </c>
      <c r="R15" s="39">
        <v>102.05018373329858</v>
      </c>
      <c r="S15" s="39">
        <v>10414.24</v>
      </c>
      <c r="T15" s="10" t="str">
        <f t="shared" si="3"/>
        <v>CONGRESS GAIN</v>
      </c>
      <c r="U15" s="39">
        <f t="shared" si="4"/>
        <v>20.302311796087729</v>
      </c>
      <c r="V15" s="12" t="str">
        <f t="shared" si="0"/>
        <v>LOWMARGIN</v>
      </c>
    </row>
    <row r="16" spans="1:22">
      <c r="A16" s="37">
        <v>13</v>
      </c>
      <c r="B16" s="37">
        <v>35</v>
      </c>
      <c r="C16" s="38" t="s">
        <v>60</v>
      </c>
      <c r="D16" s="37">
        <v>7</v>
      </c>
      <c r="E16" s="40" t="s">
        <v>59</v>
      </c>
      <c r="F16" s="40">
        <v>4819</v>
      </c>
      <c r="G16" s="39">
        <v>688.42857142857144</v>
      </c>
      <c r="H16" s="39">
        <v>106.87089292741051</v>
      </c>
      <c r="I16" s="39">
        <v>11421.387755102041</v>
      </c>
      <c r="J16" s="40">
        <v>1868</v>
      </c>
      <c r="K16" s="39">
        <v>266.85714285714283</v>
      </c>
      <c r="L16" s="39">
        <f t="shared" si="1"/>
        <v>38.763228885660922</v>
      </c>
      <c r="M16" s="39">
        <v>55.835033987704918</v>
      </c>
      <c r="N16" s="39">
        <v>3117.5510204081634</v>
      </c>
      <c r="O16" s="40">
        <v>2730</v>
      </c>
      <c r="P16" s="39">
        <v>390</v>
      </c>
      <c r="Q16" s="39">
        <f t="shared" si="2"/>
        <v>56.650757418551564</v>
      </c>
      <c r="R16" s="39">
        <v>91.61409748037066</v>
      </c>
      <c r="S16" s="39">
        <v>8393.1428571428569</v>
      </c>
      <c r="T16" s="10" t="str">
        <f t="shared" si="3"/>
        <v>CONGRESS GAIN</v>
      </c>
      <c r="U16" s="39">
        <f t="shared" si="4"/>
        <v>17.887528532890645</v>
      </c>
      <c r="V16" s="12" t="str">
        <f t="shared" si="0"/>
        <v>LOWMARGIN</v>
      </c>
    </row>
    <row r="17" spans="1:22">
      <c r="A17" s="37">
        <v>14</v>
      </c>
      <c r="B17" s="37">
        <v>36</v>
      </c>
      <c r="C17" s="38" t="s">
        <v>58</v>
      </c>
      <c r="D17" s="37">
        <v>3</v>
      </c>
      <c r="E17" s="40" t="s">
        <v>57</v>
      </c>
      <c r="F17" s="40">
        <v>2103</v>
      </c>
      <c r="G17" s="39">
        <v>701</v>
      </c>
      <c r="H17" s="39">
        <v>83.968247967113541</v>
      </c>
      <c r="I17" s="39">
        <v>7050.666666666667</v>
      </c>
      <c r="J17" s="40">
        <v>688</v>
      </c>
      <c r="K17" s="39">
        <v>229.33333333333334</v>
      </c>
      <c r="L17" s="39">
        <f t="shared" si="1"/>
        <v>32.715168806466956</v>
      </c>
      <c r="M17" s="39">
        <v>10.964589468932351</v>
      </c>
      <c r="N17" s="39">
        <v>120.22222222222221</v>
      </c>
      <c r="O17" s="40">
        <v>1303</v>
      </c>
      <c r="P17" s="39">
        <v>434.33333333333331</v>
      </c>
      <c r="Q17" s="39">
        <f t="shared" si="2"/>
        <v>61.959106038991919</v>
      </c>
      <c r="R17" s="39">
        <v>83.347998709560443</v>
      </c>
      <c r="S17" s="39">
        <v>6946.8888888888887</v>
      </c>
      <c r="T17" s="10" t="str">
        <f t="shared" si="3"/>
        <v>CONGRESS GAIN</v>
      </c>
      <c r="U17" s="39">
        <f t="shared" si="4"/>
        <v>29.243937232524956</v>
      </c>
      <c r="V17" s="12" t="str">
        <f t="shared" si="0"/>
        <v>LOWMARGIN</v>
      </c>
    </row>
    <row r="18" spans="1:22">
      <c r="A18" s="37">
        <v>15</v>
      </c>
      <c r="B18" s="37">
        <v>37</v>
      </c>
      <c r="C18" s="38" t="s">
        <v>56</v>
      </c>
      <c r="D18" s="37">
        <v>6</v>
      </c>
      <c r="E18" s="40" t="s">
        <v>55</v>
      </c>
      <c r="F18" s="40">
        <v>3746</v>
      </c>
      <c r="G18" s="39">
        <v>624.33333333333337</v>
      </c>
      <c r="H18" s="39">
        <v>143.56725098557664</v>
      </c>
      <c r="I18" s="39">
        <v>20611.555555555555</v>
      </c>
      <c r="J18" s="40">
        <v>1517</v>
      </c>
      <c r="K18" s="39">
        <v>252.83333333333334</v>
      </c>
      <c r="L18" s="39">
        <f t="shared" si="1"/>
        <v>40.496529631607046</v>
      </c>
      <c r="M18" s="39">
        <v>41.009822671593639</v>
      </c>
      <c r="N18" s="39">
        <v>1681.8055555555557</v>
      </c>
      <c r="O18" s="40">
        <v>2049</v>
      </c>
      <c r="P18" s="39">
        <v>341.5</v>
      </c>
      <c r="Q18" s="39">
        <f t="shared" si="2"/>
        <v>54.698344901227969</v>
      </c>
      <c r="R18" s="39">
        <v>135.87218258348543</v>
      </c>
      <c r="S18" s="39">
        <v>18461.25</v>
      </c>
      <c r="T18" s="10" t="str">
        <f t="shared" si="3"/>
        <v>CONGRESS GAIN</v>
      </c>
      <c r="U18" s="39">
        <f t="shared" si="4"/>
        <v>14.201815269620926</v>
      </c>
      <c r="V18" s="12" t="str">
        <f t="shared" si="0"/>
        <v>LOWMARGIN</v>
      </c>
    </row>
    <row r="19" spans="1:22">
      <c r="A19" s="37">
        <v>16</v>
      </c>
      <c r="B19" s="37">
        <v>38</v>
      </c>
      <c r="C19" s="38" t="s">
        <v>54</v>
      </c>
      <c r="D19" s="37">
        <v>7</v>
      </c>
      <c r="E19" s="40" t="s">
        <v>53</v>
      </c>
      <c r="F19" s="40">
        <v>4993</v>
      </c>
      <c r="G19" s="39">
        <v>713.28571428571433</v>
      </c>
      <c r="H19" s="39">
        <v>153.87538026942849</v>
      </c>
      <c r="I19" s="39">
        <v>23677.632653061224</v>
      </c>
      <c r="J19" s="40">
        <v>1730</v>
      </c>
      <c r="K19" s="39">
        <v>247.14285714285714</v>
      </c>
      <c r="L19" s="39">
        <f t="shared" si="1"/>
        <v>34.648507911075505</v>
      </c>
      <c r="M19" s="39">
        <v>98.447126594400288</v>
      </c>
      <c r="N19" s="39">
        <v>9691.8367346938776</v>
      </c>
      <c r="O19" s="40">
        <v>3096</v>
      </c>
      <c r="P19" s="39">
        <v>442.28571428571428</v>
      </c>
      <c r="Q19" s="39">
        <f t="shared" si="2"/>
        <v>62.006809533346683</v>
      </c>
      <c r="R19" s="39">
        <v>144.28811879184576</v>
      </c>
      <c r="S19" s="39">
        <v>20819.061224489797</v>
      </c>
      <c r="T19" s="10" t="str">
        <f t="shared" si="3"/>
        <v>CONGRESS GAIN</v>
      </c>
      <c r="U19" s="39">
        <f t="shared" si="4"/>
        <v>27.358301622271174</v>
      </c>
      <c r="V19" s="12" t="str">
        <f t="shared" si="0"/>
        <v>LOWMARGIN</v>
      </c>
    </row>
    <row r="20" spans="1:22">
      <c r="A20" s="37">
        <v>17</v>
      </c>
      <c r="B20" s="37">
        <v>39</v>
      </c>
      <c r="C20" s="38" t="s">
        <v>52</v>
      </c>
      <c r="D20" s="37">
        <v>6</v>
      </c>
      <c r="E20" s="40" t="s">
        <v>51</v>
      </c>
      <c r="F20" s="40">
        <v>3577</v>
      </c>
      <c r="G20" s="39">
        <v>596.16666666666663</v>
      </c>
      <c r="H20" s="39">
        <v>124.39643171016692</v>
      </c>
      <c r="I20" s="39">
        <v>15474.472222222223</v>
      </c>
      <c r="J20" s="40">
        <v>1183</v>
      </c>
      <c r="K20" s="39">
        <v>197.16666666666666</v>
      </c>
      <c r="L20" s="39">
        <f t="shared" si="1"/>
        <v>33.072407045009783</v>
      </c>
      <c r="M20" s="39">
        <v>104.95620779904138</v>
      </c>
      <c r="N20" s="39">
        <v>11015.805555555555</v>
      </c>
      <c r="O20" s="40">
        <v>2265</v>
      </c>
      <c r="P20" s="39">
        <v>377.5</v>
      </c>
      <c r="Q20" s="39">
        <f t="shared" si="2"/>
        <v>63.321218898518318</v>
      </c>
      <c r="R20" s="39">
        <v>42.248274126485533</v>
      </c>
      <c r="S20" s="39">
        <v>1784.9166666666667</v>
      </c>
      <c r="T20" s="10" t="str">
        <f t="shared" si="3"/>
        <v>CONGRESS GAIN</v>
      </c>
      <c r="U20" s="39">
        <f t="shared" si="4"/>
        <v>30.248811853508528</v>
      </c>
      <c r="V20" s="19" t="str">
        <f t="shared" si="0"/>
        <v>MEDIUMMARGIN</v>
      </c>
    </row>
    <row r="21" spans="1:22">
      <c r="A21" s="37">
        <v>18</v>
      </c>
      <c r="B21" s="37">
        <v>40</v>
      </c>
      <c r="C21" s="38" t="s">
        <v>50</v>
      </c>
      <c r="D21" s="37">
        <v>5</v>
      </c>
      <c r="E21" s="40" t="s">
        <v>49</v>
      </c>
      <c r="F21" s="40">
        <v>2679</v>
      </c>
      <c r="G21" s="39">
        <v>535.79999999999995</v>
      </c>
      <c r="H21" s="39">
        <v>51.673590933860979</v>
      </c>
      <c r="I21" s="39">
        <v>2670.16</v>
      </c>
      <c r="J21" s="40">
        <v>968</v>
      </c>
      <c r="K21" s="39">
        <v>193.6</v>
      </c>
      <c r="L21" s="39">
        <f t="shared" si="1"/>
        <v>36.132885405001872</v>
      </c>
      <c r="M21" s="39">
        <v>42.528108352006441</v>
      </c>
      <c r="N21" s="39">
        <v>1808.64</v>
      </c>
      <c r="O21" s="40">
        <v>1604</v>
      </c>
      <c r="P21" s="39">
        <v>320.8</v>
      </c>
      <c r="Q21" s="39">
        <f t="shared" si="2"/>
        <v>59.873086972751032</v>
      </c>
      <c r="R21" s="39">
        <v>63.199367085438439</v>
      </c>
      <c r="S21" s="39">
        <v>3994.16</v>
      </c>
      <c r="T21" s="10" t="str">
        <f t="shared" si="3"/>
        <v>CONGRESS GAIN</v>
      </c>
      <c r="U21" s="39">
        <f t="shared" si="4"/>
        <v>23.740201567749164</v>
      </c>
      <c r="V21" s="12" t="str">
        <f t="shared" si="0"/>
        <v>LOWMARGIN</v>
      </c>
    </row>
    <row r="22" spans="1:22">
      <c r="A22" s="37">
        <v>19</v>
      </c>
      <c r="B22" s="37">
        <v>41</v>
      </c>
      <c r="C22" s="38" t="s">
        <v>48</v>
      </c>
      <c r="D22" s="37">
        <v>5</v>
      </c>
      <c r="E22" s="40" t="s">
        <v>47</v>
      </c>
      <c r="F22" s="40">
        <v>2718</v>
      </c>
      <c r="G22" s="39">
        <v>543.6</v>
      </c>
      <c r="H22" s="39">
        <v>69.967420990057931</v>
      </c>
      <c r="I22" s="39">
        <v>4895.4399999999996</v>
      </c>
      <c r="J22" s="40">
        <v>1672</v>
      </c>
      <c r="K22" s="39">
        <v>334.4</v>
      </c>
      <c r="L22" s="39">
        <f t="shared" si="1"/>
        <v>61.515820456217796</v>
      </c>
      <c r="M22" s="39">
        <v>122.93347794640808</v>
      </c>
      <c r="N22" s="39">
        <v>15112.64</v>
      </c>
      <c r="O22" s="40">
        <v>966</v>
      </c>
      <c r="P22" s="39">
        <v>193.2</v>
      </c>
      <c r="Q22" s="39">
        <f t="shared" si="2"/>
        <v>35.540838852097131</v>
      </c>
      <c r="R22" s="39">
        <v>72.067745906195796</v>
      </c>
      <c r="S22" s="39">
        <v>5193.76</v>
      </c>
      <c r="T22" s="17" t="str">
        <f t="shared" si="3"/>
        <v>BJP GAIN</v>
      </c>
      <c r="U22" s="39">
        <f>((K22-P22)/G22)*100</f>
        <v>25.974981604120671</v>
      </c>
      <c r="V22" s="12" t="str">
        <f t="shared" si="0"/>
        <v>LOWMARGIN</v>
      </c>
    </row>
    <row r="23" spans="1:22">
      <c r="A23" s="37">
        <v>20</v>
      </c>
      <c r="B23" s="37">
        <v>42</v>
      </c>
      <c r="C23" s="38" t="s">
        <v>46</v>
      </c>
      <c r="D23" s="37">
        <v>7</v>
      </c>
      <c r="E23" s="37" t="s">
        <v>45</v>
      </c>
      <c r="F23" s="37">
        <v>3883</v>
      </c>
      <c r="G23" s="39">
        <v>554.71428571428567</v>
      </c>
      <c r="H23" s="39">
        <v>127.28563411894221</v>
      </c>
      <c r="I23" s="39">
        <v>16201.632653061224</v>
      </c>
      <c r="J23" s="40">
        <v>2207</v>
      </c>
      <c r="K23" s="39">
        <v>315.28571428571428</v>
      </c>
      <c r="L23" s="39">
        <f t="shared" si="1"/>
        <v>56.837496780839558</v>
      </c>
      <c r="M23" s="39">
        <v>191.27147071689515</v>
      </c>
      <c r="N23" s="39">
        <v>36584.775510204083</v>
      </c>
      <c r="O23" s="40">
        <v>1474</v>
      </c>
      <c r="P23" s="39">
        <v>210.57142857142858</v>
      </c>
      <c r="Q23" s="39">
        <f t="shared" si="2"/>
        <v>37.960339943342781</v>
      </c>
      <c r="R23" s="39">
        <v>73.496077918401568</v>
      </c>
      <c r="S23" s="39">
        <v>5401.6734693877552</v>
      </c>
      <c r="T23" s="17" t="str">
        <f t="shared" si="3"/>
        <v>BJP GAIN</v>
      </c>
      <c r="U23" s="39">
        <f>((K23-P23)/G23)*100</f>
        <v>18.877156837496777</v>
      </c>
      <c r="V23" s="12" t="str">
        <f t="shared" si="0"/>
        <v>LOWMARGIN</v>
      </c>
    </row>
    <row r="24" spans="1:22">
      <c r="A24" s="37">
        <v>21</v>
      </c>
      <c r="B24" s="37">
        <v>43</v>
      </c>
      <c r="C24" s="38" t="s">
        <v>44</v>
      </c>
      <c r="D24" s="37">
        <v>5</v>
      </c>
      <c r="E24" s="37" t="s">
        <v>43</v>
      </c>
      <c r="F24" s="37">
        <v>2821</v>
      </c>
      <c r="G24" s="39">
        <v>564.20000000000005</v>
      </c>
      <c r="H24" s="39">
        <v>152.79450251890609</v>
      </c>
      <c r="I24" s="39">
        <v>23346.16</v>
      </c>
      <c r="J24" s="40">
        <v>1092</v>
      </c>
      <c r="K24" s="39">
        <v>218.4</v>
      </c>
      <c r="L24" s="39">
        <f t="shared" si="1"/>
        <v>38.70967741935484</v>
      </c>
      <c r="M24" s="39">
        <v>124.42122005510153</v>
      </c>
      <c r="N24" s="39">
        <v>15480.64</v>
      </c>
      <c r="O24" s="40">
        <v>1522</v>
      </c>
      <c r="P24" s="39">
        <v>304.39999999999998</v>
      </c>
      <c r="Q24" s="39">
        <f t="shared" si="2"/>
        <v>53.952499113789429</v>
      </c>
      <c r="R24" s="39">
        <v>152.06524915311849</v>
      </c>
      <c r="S24" s="39">
        <v>23123.84</v>
      </c>
      <c r="T24" s="10" t="str">
        <f t="shared" si="3"/>
        <v>CONGRESS GAIN</v>
      </c>
      <c r="U24" s="39">
        <f t="shared" si="4"/>
        <v>15.242821694434591</v>
      </c>
      <c r="V24" s="12" t="str">
        <f t="shared" si="0"/>
        <v>LOWMARGIN</v>
      </c>
    </row>
    <row r="25" spans="1:22">
      <c r="A25" s="37">
        <v>22</v>
      </c>
      <c r="B25" s="37">
        <v>44</v>
      </c>
      <c r="C25" s="38" t="s">
        <v>42</v>
      </c>
      <c r="D25" s="37">
        <v>6</v>
      </c>
      <c r="E25" s="37" t="s">
        <v>104</v>
      </c>
      <c r="F25" s="37">
        <v>3149</v>
      </c>
      <c r="G25" s="39">
        <v>524.83333333333337</v>
      </c>
      <c r="H25" s="39">
        <v>103.00391038963305</v>
      </c>
      <c r="I25" s="39">
        <v>10609.805555555555</v>
      </c>
      <c r="J25" s="40">
        <v>1416</v>
      </c>
      <c r="K25" s="39">
        <v>236</v>
      </c>
      <c r="L25" s="39">
        <f t="shared" si="1"/>
        <v>44.966656081295646</v>
      </c>
      <c r="M25" s="39">
        <v>136.03308421115798</v>
      </c>
      <c r="N25" s="39">
        <v>18505</v>
      </c>
      <c r="O25" s="40">
        <v>1576</v>
      </c>
      <c r="P25" s="39">
        <v>262.66666666666669</v>
      </c>
      <c r="Q25" s="39">
        <f t="shared" si="2"/>
        <v>50.047634169577648</v>
      </c>
      <c r="R25" s="39">
        <v>134.33622825664796</v>
      </c>
      <c r="S25" s="39">
        <v>18046.222222222223</v>
      </c>
      <c r="T25" s="10" t="str">
        <f t="shared" si="3"/>
        <v>CONGRESS GAIN</v>
      </c>
      <c r="U25" s="39">
        <f t="shared" si="4"/>
        <v>5.0809780882819977</v>
      </c>
      <c r="V25" s="13" t="str">
        <f t="shared" si="0"/>
        <v>NARROWMARGIN</v>
      </c>
    </row>
    <row r="26" spans="1:22">
      <c r="A26" s="37">
        <v>23</v>
      </c>
      <c r="B26" s="37">
        <v>45</v>
      </c>
      <c r="C26" s="38" t="s">
        <v>41</v>
      </c>
      <c r="D26" s="37">
        <v>6</v>
      </c>
      <c r="E26" s="37" t="s">
        <v>40</v>
      </c>
      <c r="F26" s="37">
        <v>2507</v>
      </c>
      <c r="G26" s="39">
        <v>626.75</v>
      </c>
      <c r="H26" s="39">
        <v>207.2116973049543</v>
      </c>
      <c r="I26" s="39">
        <v>42936.6875</v>
      </c>
      <c r="J26" s="40">
        <v>695</v>
      </c>
      <c r="K26" s="39">
        <v>173.75</v>
      </c>
      <c r="L26" s="39">
        <f t="shared" si="1"/>
        <v>27.722377343438371</v>
      </c>
      <c r="M26" s="39">
        <v>138.11114183873798</v>
      </c>
      <c r="N26" s="39">
        <v>19074.6875</v>
      </c>
      <c r="O26" s="40">
        <v>1683</v>
      </c>
      <c r="P26" s="39">
        <v>420.75</v>
      </c>
      <c r="Q26" s="39">
        <f t="shared" si="2"/>
        <v>67.132030315117674</v>
      </c>
      <c r="R26" s="39">
        <v>87.861752201967832</v>
      </c>
      <c r="S26" s="39">
        <v>7719.6875</v>
      </c>
      <c r="T26" s="10" t="str">
        <f t="shared" si="3"/>
        <v>CONGRESS GAIN</v>
      </c>
      <c r="U26" s="39">
        <f t="shared" si="4"/>
        <v>39.4096529716793</v>
      </c>
      <c r="V26" s="19" t="str">
        <f t="shared" si="0"/>
        <v>MEDIUMMARGIN</v>
      </c>
    </row>
    <row r="27" spans="1:22">
      <c r="A27" s="37">
        <v>24</v>
      </c>
      <c r="B27" s="37">
        <v>46</v>
      </c>
      <c r="C27" s="38" t="s">
        <v>39</v>
      </c>
      <c r="D27" s="37">
        <v>5</v>
      </c>
      <c r="E27" s="37" t="s">
        <v>38</v>
      </c>
      <c r="F27" s="37">
        <v>2966</v>
      </c>
      <c r="G27" s="39">
        <v>593.20000000000005</v>
      </c>
      <c r="H27" s="39">
        <v>126.76655710399332</v>
      </c>
      <c r="I27" s="39">
        <v>16069.76</v>
      </c>
      <c r="J27" s="40">
        <v>1292</v>
      </c>
      <c r="K27" s="39">
        <v>258.39999999999998</v>
      </c>
      <c r="L27" s="39">
        <f t="shared" si="1"/>
        <v>43.560350640593384</v>
      </c>
      <c r="M27" s="39">
        <v>54.635519582044793</v>
      </c>
      <c r="N27" s="39">
        <v>2985.04</v>
      </c>
      <c r="O27" s="40">
        <v>1526</v>
      </c>
      <c r="P27" s="39">
        <v>305.2</v>
      </c>
      <c r="Q27" s="39">
        <f t="shared" si="2"/>
        <v>51.449763991908291</v>
      </c>
      <c r="R27" s="39">
        <v>136.79093537219489</v>
      </c>
      <c r="S27" s="39">
        <v>18711.759999999998</v>
      </c>
      <c r="T27" s="10" t="str">
        <f t="shared" si="3"/>
        <v>CONGRESS GAIN</v>
      </c>
      <c r="U27" s="39">
        <f t="shared" si="4"/>
        <v>7.8894133513149027</v>
      </c>
      <c r="V27" s="13" t="str">
        <f t="shared" si="0"/>
        <v>NARROWMARGIN</v>
      </c>
    </row>
    <row r="28" spans="1:22">
      <c r="A28" s="37">
        <v>25</v>
      </c>
      <c r="B28" s="37">
        <v>47</v>
      </c>
      <c r="C28" s="38" t="s">
        <v>37</v>
      </c>
      <c r="D28" s="37">
        <v>5</v>
      </c>
      <c r="E28" s="37" t="s">
        <v>36</v>
      </c>
      <c r="F28" s="37">
        <v>3178</v>
      </c>
      <c r="G28" s="39">
        <v>635.6</v>
      </c>
      <c r="H28" s="39">
        <v>142.24289085926227</v>
      </c>
      <c r="I28" s="39">
        <v>20233.04</v>
      </c>
      <c r="J28" s="40">
        <v>1233</v>
      </c>
      <c r="K28" s="39">
        <v>246.6</v>
      </c>
      <c r="L28" s="39">
        <f t="shared" si="1"/>
        <v>38.797986154814346</v>
      </c>
      <c r="M28" s="39">
        <v>94.084217592537811</v>
      </c>
      <c r="N28" s="39">
        <v>8851.84</v>
      </c>
      <c r="O28" s="40">
        <v>1791</v>
      </c>
      <c r="P28" s="39">
        <v>358.2</v>
      </c>
      <c r="Q28" s="39">
        <f t="shared" si="2"/>
        <v>56.356198867212079</v>
      </c>
      <c r="R28" s="39">
        <v>45.836230211482274</v>
      </c>
      <c r="S28" s="39">
        <v>2100.96</v>
      </c>
      <c r="T28" s="10" t="str">
        <f t="shared" si="3"/>
        <v>CONGRESS GAIN</v>
      </c>
      <c r="U28" s="39">
        <f t="shared" si="4"/>
        <v>17.558212712397733</v>
      </c>
      <c r="V28" s="12" t="str">
        <f t="shared" si="0"/>
        <v>LOWMARGIN</v>
      </c>
    </row>
    <row r="29" spans="1:22">
      <c r="A29" s="37">
        <v>26</v>
      </c>
      <c r="B29" s="37">
        <v>48</v>
      </c>
      <c r="C29" s="38" t="s">
        <v>35</v>
      </c>
      <c r="D29" s="37">
        <v>6</v>
      </c>
      <c r="E29" s="37" t="s">
        <v>34</v>
      </c>
      <c r="F29" s="37">
        <v>4355</v>
      </c>
      <c r="G29" s="39">
        <v>725.83333333333337</v>
      </c>
      <c r="H29" s="39">
        <v>154.89180811851293</v>
      </c>
      <c r="I29" s="39">
        <v>23991.472222222223</v>
      </c>
      <c r="J29" s="40">
        <v>1658</v>
      </c>
      <c r="K29" s="39">
        <v>276.33333333333331</v>
      </c>
      <c r="L29" s="39">
        <f t="shared" si="1"/>
        <v>38.071182548794482</v>
      </c>
      <c r="M29" s="39">
        <v>101.62786144666345</v>
      </c>
      <c r="N29" s="39">
        <v>10328.222222222223</v>
      </c>
      <c r="O29" s="40">
        <v>2431</v>
      </c>
      <c r="P29" s="39">
        <v>405.16666666666669</v>
      </c>
      <c r="Q29" s="39">
        <f t="shared" si="2"/>
        <v>55.820895522388057</v>
      </c>
      <c r="R29" s="39">
        <v>73.917559182886691</v>
      </c>
      <c r="S29" s="39">
        <v>5463.8055555555557</v>
      </c>
      <c r="T29" s="10" t="str">
        <f t="shared" si="3"/>
        <v>CONGRESS GAIN</v>
      </c>
      <c r="U29" s="39">
        <f t="shared" si="4"/>
        <v>17.749712973593574</v>
      </c>
      <c r="V29" s="12" t="str">
        <f t="shared" si="0"/>
        <v>LOWMARGIN</v>
      </c>
    </row>
    <row r="30" spans="1:22">
      <c r="A30" s="37">
        <v>27</v>
      </c>
      <c r="B30" s="37">
        <v>49</v>
      </c>
      <c r="C30" s="38" t="s">
        <v>33</v>
      </c>
      <c r="D30" s="37">
        <v>6</v>
      </c>
      <c r="E30" s="37" t="s">
        <v>32</v>
      </c>
      <c r="F30" s="37">
        <v>4831</v>
      </c>
      <c r="G30" s="39">
        <v>805.16666666666663</v>
      </c>
      <c r="H30" s="39">
        <v>217.92155826249856</v>
      </c>
      <c r="I30" s="39">
        <v>47489.805555555555</v>
      </c>
      <c r="J30" s="40">
        <v>2378</v>
      </c>
      <c r="K30" s="39">
        <v>396.33333333333331</v>
      </c>
      <c r="L30" s="39">
        <f t="shared" si="1"/>
        <v>49.223763196025665</v>
      </c>
      <c r="M30" s="39">
        <v>136.71950198205894</v>
      </c>
      <c r="N30" s="39">
        <v>18692.222222222223</v>
      </c>
      <c r="O30" s="40">
        <v>2149</v>
      </c>
      <c r="P30" s="39">
        <v>358.16666666666669</v>
      </c>
      <c r="Q30" s="39">
        <f t="shared" si="2"/>
        <v>44.483543779755749</v>
      </c>
      <c r="R30" s="39">
        <v>140.92600501287507</v>
      </c>
      <c r="S30" s="39">
        <v>19860.138888888891</v>
      </c>
      <c r="T30" s="17" t="str">
        <f t="shared" si="3"/>
        <v>BJP GAIN</v>
      </c>
      <c r="U30" s="39">
        <f>((K30-P30)/G30)*100</f>
        <v>4.7402194162699187</v>
      </c>
      <c r="V30" s="13" t="str">
        <f t="shared" si="0"/>
        <v>NARROWMARGIN</v>
      </c>
    </row>
    <row r="31" spans="1:22">
      <c r="A31" s="37">
        <v>28</v>
      </c>
      <c r="B31" s="37">
        <v>50</v>
      </c>
      <c r="C31" s="38" t="s">
        <v>31</v>
      </c>
      <c r="D31" s="37">
        <v>8</v>
      </c>
      <c r="E31" s="37" t="s">
        <v>30</v>
      </c>
      <c r="F31" s="37">
        <v>5603</v>
      </c>
      <c r="G31" s="39">
        <v>700.375</v>
      </c>
      <c r="H31" s="39">
        <v>154.45625392000156</v>
      </c>
      <c r="I31" s="39">
        <v>23856.734375</v>
      </c>
      <c r="J31" s="40">
        <v>2411</v>
      </c>
      <c r="K31" s="39">
        <v>301.375</v>
      </c>
      <c r="L31" s="39">
        <f t="shared" si="1"/>
        <v>43.030519364626088</v>
      </c>
      <c r="M31" s="39">
        <v>171.33150432713768</v>
      </c>
      <c r="N31" s="39">
        <v>29354.484375</v>
      </c>
      <c r="O31" s="40">
        <v>2711</v>
      </c>
      <c r="P31" s="39">
        <v>338.875</v>
      </c>
      <c r="Q31" s="39">
        <f t="shared" si="2"/>
        <v>48.384793860431913</v>
      </c>
      <c r="R31" s="39">
        <v>90.323636856583676</v>
      </c>
      <c r="S31" s="39">
        <v>8158.359375</v>
      </c>
      <c r="T31" s="10" t="str">
        <f t="shared" si="3"/>
        <v>CONGRESS GAIN</v>
      </c>
      <c r="U31" s="39">
        <f t="shared" si="4"/>
        <v>5.3542744958058188</v>
      </c>
      <c r="V31" s="13" t="str">
        <f t="shared" si="0"/>
        <v>NARROWMARGIN</v>
      </c>
    </row>
    <row r="32" spans="1:22">
      <c r="A32" s="37">
        <v>29</v>
      </c>
      <c r="B32" s="37">
        <v>51</v>
      </c>
      <c r="C32" s="38" t="s">
        <v>29</v>
      </c>
      <c r="D32" s="37">
        <v>8</v>
      </c>
      <c r="E32" s="37" t="s">
        <v>28</v>
      </c>
      <c r="F32" s="37">
        <v>4463</v>
      </c>
      <c r="G32" s="39">
        <v>637.57142857142856</v>
      </c>
      <c r="H32" s="39">
        <v>133.23540621541918</v>
      </c>
      <c r="I32" s="39">
        <v>17751.673469387755</v>
      </c>
      <c r="J32" s="40">
        <v>1343</v>
      </c>
      <c r="K32" s="39">
        <v>191.85714285714286</v>
      </c>
      <c r="L32" s="39">
        <f t="shared" si="1"/>
        <v>30.091866457539773</v>
      </c>
      <c r="M32" s="39">
        <v>84.114596272718615</v>
      </c>
      <c r="N32" s="39">
        <v>7075.2653061224491</v>
      </c>
      <c r="O32" s="40">
        <v>2491</v>
      </c>
      <c r="P32" s="39">
        <v>355.85714285714283</v>
      </c>
      <c r="Q32" s="39">
        <f t="shared" si="2"/>
        <v>55.814474568675777</v>
      </c>
      <c r="R32" s="39">
        <v>151.62965086159159</v>
      </c>
      <c r="S32" s="39">
        <v>22991.551020408162</v>
      </c>
      <c r="T32" s="10" t="str">
        <f t="shared" si="3"/>
        <v>CONGRESS GAIN</v>
      </c>
      <c r="U32" s="39">
        <f t="shared" si="4"/>
        <v>25.722608111136005</v>
      </c>
      <c r="V32" s="12" t="str">
        <f t="shared" si="0"/>
        <v>LOWMARGIN</v>
      </c>
    </row>
    <row r="33" spans="1:22">
      <c r="A33" s="37">
        <v>30</v>
      </c>
      <c r="B33" s="37">
        <v>52</v>
      </c>
      <c r="C33" s="38" t="s">
        <v>27</v>
      </c>
      <c r="D33" s="37">
        <v>6</v>
      </c>
      <c r="E33" s="37" t="s">
        <v>26</v>
      </c>
      <c r="F33" s="37">
        <v>4640</v>
      </c>
      <c r="G33" s="39">
        <v>773.33333333333337</v>
      </c>
      <c r="H33" s="39">
        <v>144.37412818399594</v>
      </c>
      <c r="I33" s="39">
        <v>20843.888888888891</v>
      </c>
      <c r="J33" s="40">
        <v>1777</v>
      </c>
      <c r="K33" s="39">
        <v>296.16666666666669</v>
      </c>
      <c r="L33" s="39">
        <f t="shared" si="1"/>
        <v>38.297413793103445</v>
      </c>
      <c r="M33" s="39">
        <v>90.826605255410826</v>
      </c>
      <c r="N33" s="39">
        <v>8249.4722222222226</v>
      </c>
      <c r="O33" s="40">
        <v>2073</v>
      </c>
      <c r="P33" s="39">
        <v>345.5</v>
      </c>
      <c r="Q33" s="39">
        <f t="shared" si="2"/>
        <v>44.676724137931032</v>
      </c>
      <c r="R33" s="39">
        <v>86.121522668068678</v>
      </c>
      <c r="S33" s="39">
        <v>7416.916666666667</v>
      </c>
      <c r="T33" s="10" t="str">
        <f t="shared" si="3"/>
        <v>CONGRESS GAIN</v>
      </c>
      <c r="U33" s="39">
        <f t="shared" si="4"/>
        <v>6.3793103448275836</v>
      </c>
      <c r="V33" s="13" t="str">
        <f t="shared" si="0"/>
        <v>NARROWMARGIN</v>
      </c>
    </row>
    <row r="34" spans="1:22">
      <c r="A34" s="37">
        <v>31</v>
      </c>
      <c r="B34" s="37">
        <v>53</v>
      </c>
      <c r="C34" s="38" t="s">
        <v>25</v>
      </c>
      <c r="D34" s="37">
        <v>7</v>
      </c>
      <c r="E34" s="37" t="s">
        <v>24</v>
      </c>
      <c r="F34" s="37">
        <v>4852</v>
      </c>
      <c r="G34" s="39">
        <v>691.42857142857144</v>
      </c>
      <c r="H34" s="39">
        <v>192.09138981437019</v>
      </c>
      <c r="I34" s="39">
        <v>36899.102040816324</v>
      </c>
      <c r="J34" s="40">
        <v>2066</v>
      </c>
      <c r="K34" s="39">
        <v>295.14285714285717</v>
      </c>
      <c r="L34" s="39">
        <f t="shared" si="1"/>
        <v>42.685950413223146</v>
      </c>
      <c r="M34" s="39">
        <v>127.96029358630699</v>
      </c>
      <c r="N34" s="39">
        <v>16373.836734693878</v>
      </c>
      <c r="O34" s="40">
        <v>2355</v>
      </c>
      <c r="P34" s="39">
        <v>336.42857142857144</v>
      </c>
      <c r="Q34" s="39">
        <f t="shared" si="2"/>
        <v>48.65702479338843</v>
      </c>
      <c r="R34" s="39">
        <v>94.092442603548349</v>
      </c>
      <c r="S34" s="39">
        <v>8853.3877551020414</v>
      </c>
      <c r="T34" s="10" t="str">
        <f t="shared" si="3"/>
        <v>CONGRESS GAIN</v>
      </c>
      <c r="U34" s="39">
        <f t="shared" si="4"/>
        <v>5.9710743801652884</v>
      </c>
      <c r="V34" s="13" t="str">
        <f t="shared" si="0"/>
        <v>NARROWMARGIN</v>
      </c>
    </row>
    <row r="35" spans="1:22">
      <c r="A35" s="37">
        <v>32</v>
      </c>
      <c r="B35" s="37">
        <v>54</v>
      </c>
      <c r="C35" s="38" t="s">
        <v>23</v>
      </c>
      <c r="D35" s="37">
        <v>5</v>
      </c>
      <c r="E35" s="37" t="s">
        <v>22</v>
      </c>
      <c r="F35" s="37">
        <v>2627</v>
      </c>
      <c r="G35" s="39">
        <v>656.75</v>
      </c>
      <c r="H35" s="39">
        <v>97.543259633867066</v>
      </c>
      <c r="I35" s="39">
        <v>9514.6875</v>
      </c>
      <c r="J35" s="40">
        <v>1168</v>
      </c>
      <c r="K35" s="39">
        <v>292</v>
      </c>
      <c r="L35" s="39">
        <f t="shared" si="1"/>
        <v>44.461362771221921</v>
      </c>
      <c r="M35" s="39">
        <v>73.454067280171756</v>
      </c>
      <c r="N35" s="39">
        <v>5395.5</v>
      </c>
      <c r="O35" s="40">
        <v>1333</v>
      </c>
      <c r="P35" s="39">
        <v>333.25</v>
      </c>
      <c r="Q35" s="39">
        <f t="shared" si="2"/>
        <v>50.742291587362011</v>
      </c>
      <c r="R35" s="39">
        <v>51.070417072900433</v>
      </c>
      <c r="S35" s="39">
        <v>2608.1875</v>
      </c>
      <c r="T35" s="10" t="str">
        <f t="shared" si="3"/>
        <v>CONGRESS GAIN</v>
      </c>
      <c r="U35" s="39">
        <f t="shared" si="4"/>
        <v>6.2809288161400838</v>
      </c>
      <c r="V35" s="13" t="str">
        <f t="shared" si="0"/>
        <v>NARROWMARGIN</v>
      </c>
    </row>
    <row r="36" spans="1:22">
      <c r="A36" s="37">
        <v>33</v>
      </c>
      <c r="B36" s="37">
        <v>55</v>
      </c>
      <c r="C36" s="38" t="s">
        <v>21</v>
      </c>
      <c r="D36" s="37">
        <v>8</v>
      </c>
      <c r="E36" s="37" t="s">
        <v>20</v>
      </c>
      <c r="F36" s="37">
        <v>4081</v>
      </c>
      <c r="G36" s="39">
        <v>510.125</v>
      </c>
      <c r="H36" s="39">
        <v>217.66283416100234</v>
      </c>
      <c r="I36" s="39">
        <v>47377.109375</v>
      </c>
      <c r="J36" s="40">
        <v>1626</v>
      </c>
      <c r="K36" s="39">
        <v>203.25</v>
      </c>
      <c r="L36" s="39">
        <f t="shared" si="1"/>
        <v>39.843175692232293</v>
      </c>
      <c r="M36" s="39">
        <v>152.04666224550937</v>
      </c>
      <c r="N36" s="39">
        <v>23118.1875</v>
      </c>
      <c r="O36" s="40">
        <v>2236</v>
      </c>
      <c r="P36" s="39">
        <v>279.5</v>
      </c>
      <c r="Q36" s="39">
        <f t="shared" si="2"/>
        <v>54.790492526341581</v>
      </c>
      <c r="R36" s="39">
        <v>134.17619013819106</v>
      </c>
      <c r="S36" s="39">
        <v>18003.25</v>
      </c>
      <c r="T36" s="10" t="str">
        <f t="shared" si="3"/>
        <v>CONGRESS GAIN</v>
      </c>
      <c r="U36" s="39">
        <f t="shared" si="4"/>
        <v>14.947316834109287</v>
      </c>
      <c r="V36" s="12" t="str">
        <f t="shared" si="0"/>
        <v>LOWMARGIN</v>
      </c>
    </row>
    <row r="37" spans="1:22">
      <c r="A37" s="37">
        <v>34</v>
      </c>
      <c r="B37" s="37">
        <v>56</v>
      </c>
      <c r="C37" s="38" t="s">
        <v>19</v>
      </c>
      <c r="D37" s="37">
        <v>5</v>
      </c>
      <c r="E37" s="37" t="s">
        <v>18</v>
      </c>
      <c r="F37" s="37">
        <v>3269</v>
      </c>
      <c r="G37" s="39">
        <v>653.79999999999995</v>
      </c>
      <c r="H37" s="39">
        <v>55.951407488998882</v>
      </c>
      <c r="I37" s="39">
        <v>3130.56</v>
      </c>
      <c r="J37" s="40">
        <v>1569</v>
      </c>
      <c r="K37" s="39">
        <v>313.8</v>
      </c>
      <c r="L37" s="39">
        <f t="shared" si="1"/>
        <v>47.996329152646069</v>
      </c>
      <c r="M37" s="39">
        <v>55.979996427295347</v>
      </c>
      <c r="N37" s="39">
        <v>3133.76</v>
      </c>
      <c r="O37" s="40">
        <v>1524</v>
      </c>
      <c r="P37" s="39">
        <v>304.8</v>
      </c>
      <c r="Q37" s="39">
        <f t="shared" si="2"/>
        <v>46.619761394922001</v>
      </c>
      <c r="R37" s="39">
        <v>51.058397938047371</v>
      </c>
      <c r="S37" s="39">
        <v>2606.96</v>
      </c>
      <c r="T37" s="17" t="str">
        <f t="shared" si="3"/>
        <v>BJP GAIN</v>
      </c>
      <c r="U37" s="39">
        <f>((K37-P37)/G37)*100</f>
        <v>1.3765677577240747</v>
      </c>
      <c r="V37" s="13" t="str">
        <f t="shared" si="0"/>
        <v>NARROWMARGIN</v>
      </c>
    </row>
    <row r="38" spans="1:22">
      <c r="A38" s="37">
        <v>35</v>
      </c>
      <c r="B38" s="37">
        <v>57</v>
      </c>
      <c r="C38" s="38" t="s">
        <v>17</v>
      </c>
      <c r="D38" s="37">
        <v>5</v>
      </c>
      <c r="E38" s="37" t="s">
        <v>16</v>
      </c>
      <c r="F38" s="37">
        <v>1196</v>
      </c>
      <c r="G38" s="39">
        <v>598</v>
      </c>
      <c r="H38" s="39">
        <v>18</v>
      </c>
      <c r="I38" s="39">
        <v>324</v>
      </c>
      <c r="J38" s="40">
        <v>380</v>
      </c>
      <c r="K38" s="39">
        <v>190</v>
      </c>
      <c r="L38" s="39">
        <f t="shared" si="1"/>
        <v>31.77257525083612</v>
      </c>
      <c r="M38" s="39">
        <v>107</v>
      </c>
      <c r="N38" s="39">
        <v>11449</v>
      </c>
      <c r="O38" s="40">
        <v>707</v>
      </c>
      <c r="P38" s="39">
        <v>353.5</v>
      </c>
      <c r="Q38" s="39">
        <f t="shared" si="2"/>
        <v>59.113712374581937</v>
      </c>
      <c r="R38" s="39">
        <v>86.5</v>
      </c>
      <c r="S38" s="39">
        <v>7482.25</v>
      </c>
      <c r="T38" s="10" t="str">
        <f t="shared" si="3"/>
        <v>CONGRESS GAIN</v>
      </c>
      <c r="U38" s="39">
        <f t="shared" si="4"/>
        <v>27.341137123745817</v>
      </c>
      <c r="V38" s="12" t="str">
        <f t="shared" si="0"/>
        <v>LOWMARGIN</v>
      </c>
    </row>
    <row r="39" spans="1:22">
      <c r="A39" s="37">
        <v>36</v>
      </c>
      <c r="B39" s="37">
        <v>58</v>
      </c>
      <c r="C39" s="38" t="s">
        <v>15</v>
      </c>
      <c r="D39" s="37">
        <v>4</v>
      </c>
      <c r="E39" s="37" t="s">
        <v>14</v>
      </c>
      <c r="F39" s="37">
        <v>1251</v>
      </c>
      <c r="G39" s="39">
        <v>312.75</v>
      </c>
      <c r="H39" s="39">
        <v>318.53993077791677</v>
      </c>
      <c r="I39" s="39">
        <v>101467.6875</v>
      </c>
      <c r="J39" s="40">
        <v>508</v>
      </c>
      <c r="K39" s="39">
        <v>127</v>
      </c>
      <c r="L39" s="39">
        <f t="shared" si="1"/>
        <v>40.607513988808954</v>
      </c>
      <c r="M39" s="39">
        <v>147.46864073422526</v>
      </c>
      <c r="N39" s="39">
        <v>21747</v>
      </c>
      <c r="O39" s="40">
        <v>694</v>
      </c>
      <c r="P39" s="39">
        <v>173.5</v>
      </c>
      <c r="Q39" s="39">
        <f t="shared" si="2"/>
        <v>55.475619504396477</v>
      </c>
      <c r="R39" s="39">
        <v>174.47134435201673</v>
      </c>
      <c r="S39" s="39">
        <v>30440.25</v>
      </c>
      <c r="T39" s="10" t="str">
        <f t="shared" si="3"/>
        <v>CONGRESS GAIN</v>
      </c>
      <c r="U39" s="39">
        <f t="shared" si="4"/>
        <v>14.86810551558753</v>
      </c>
      <c r="V39" s="12" t="str">
        <f t="shared" si="0"/>
        <v>LOWMARGIN</v>
      </c>
    </row>
    <row r="40" spans="1:22">
      <c r="A40" s="37">
        <v>37</v>
      </c>
      <c r="B40" s="37">
        <v>59</v>
      </c>
      <c r="C40" s="38" t="s">
        <v>13</v>
      </c>
      <c r="D40" s="37">
        <v>6</v>
      </c>
      <c r="E40" s="37" t="s">
        <v>12</v>
      </c>
      <c r="F40" s="37">
        <v>2048</v>
      </c>
      <c r="G40" s="39">
        <v>512</v>
      </c>
      <c r="H40" s="39">
        <v>148.47727098785188</v>
      </c>
      <c r="I40" s="39">
        <v>22045.5</v>
      </c>
      <c r="J40" s="40">
        <v>455</v>
      </c>
      <c r="K40" s="39">
        <v>113.75</v>
      </c>
      <c r="L40" s="39">
        <f t="shared" si="1"/>
        <v>22.216796875</v>
      </c>
      <c r="M40" s="39">
        <v>126.98105173607595</v>
      </c>
      <c r="N40" s="39">
        <v>16124.1875</v>
      </c>
      <c r="O40" s="40">
        <v>1515</v>
      </c>
      <c r="P40" s="39">
        <v>378.75</v>
      </c>
      <c r="Q40" s="39">
        <f t="shared" si="2"/>
        <v>73.974609375</v>
      </c>
      <c r="R40" s="39">
        <v>29.919684156086941</v>
      </c>
      <c r="S40" s="39">
        <v>895.1875</v>
      </c>
      <c r="T40" s="10" t="str">
        <f t="shared" si="3"/>
        <v>CONGRESS GAIN</v>
      </c>
      <c r="U40" s="39">
        <f t="shared" si="4"/>
        <v>51.7578125</v>
      </c>
      <c r="V40" s="41" t="str">
        <f t="shared" si="0"/>
        <v>VERYHIGHMARGIN</v>
      </c>
    </row>
    <row r="41" spans="1:22">
      <c r="A41" s="37">
        <v>38</v>
      </c>
      <c r="B41" s="37">
        <v>60</v>
      </c>
      <c r="C41" s="38" t="s">
        <v>11</v>
      </c>
      <c r="D41" s="37">
        <v>7</v>
      </c>
      <c r="E41" s="37" t="s">
        <v>10</v>
      </c>
      <c r="F41" s="37">
        <v>4601</v>
      </c>
      <c r="G41" s="39">
        <v>657.28571428571433</v>
      </c>
      <c r="H41" s="39">
        <v>184.36587403910758</v>
      </c>
      <c r="I41" s="39">
        <v>33990.775510204083</v>
      </c>
      <c r="J41" s="40">
        <v>1657</v>
      </c>
      <c r="K41" s="39">
        <v>236.71428571428572</v>
      </c>
      <c r="L41" s="39">
        <f t="shared" si="1"/>
        <v>36.01391001956096</v>
      </c>
      <c r="M41" s="39">
        <v>187.10861191581009</v>
      </c>
      <c r="N41" s="39">
        <v>35009.632653061228</v>
      </c>
      <c r="O41" s="40">
        <v>2407</v>
      </c>
      <c r="P41" s="39">
        <v>343.85714285714283</v>
      </c>
      <c r="Q41" s="39">
        <f t="shared" si="2"/>
        <v>52.314714192566825</v>
      </c>
      <c r="R41" s="39">
        <v>111.48020781597906</v>
      </c>
      <c r="S41" s="39">
        <v>12427.836734693878</v>
      </c>
      <c r="T41" s="10" t="str">
        <f t="shared" si="3"/>
        <v>CONGRESS GAIN</v>
      </c>
      <c r="U41" s="39">
        <f t="shared" si="4"/>
        <v>16.300804173005861</v>
      </c>
      <c r="V41" s="12" t="str">
        <f t="shared" si="0"/>
        <v>LOWMARGIN</v>
      </c>
    </row>
    <row r="42" spans="1:22" s="46" customFormat="1" ht="23.25">
      <c r="A42" s="79" t="s">
        <v>9</v>
      </c>
      <c r="B42" s="79"/>
      <c r="C42" s="79"/>
      <c r="D42" s="42"/>
      <c r="E42" s="42"/>
      <c r="F42" s="43">
        <f>SUM(F4:F41)</f>
        <v>133110</v>
      </c>
      <c r="G42" s="42"/>
      <c r="H42" s="42"/>
      <c r="I42" s="42"/>
      <c r="J42" s="44">
        <f>SUM(J4:J41)</f>
        <v>57072</v>
      </c>
      <c r="K42" s="43"/>
      <c r="L42" s="43"/>
      <c r="M42" s="43"/>
      <c r="N42" s="43"/>
      <c r="O42" s="45">
        <f>SUM(O4:O41)</f>
        <v>67859</v>
      </c>
      <c r="P42" s="43"/>
      <c r="Q42" s="43"/>
      <c r="R42" s="43"/>
      <c r="S42" s="43"/>
      <c r="T42" s="43"/>
      <c r="U42" s="42"/>
      <c r="V42" s="42"/>
    </row>
    <row r="43" spans="1:22" s="46" customFormat="1" ht="23.25">
      <c r="A43" s="79" t="s">
        <v>8</v>
      </c>
      <c r="B43" s="79"/>
      <c r="C43" s="79"/>
      <c r="D43" s="47"/>
      <c r="E43" s="47"/>
      <c r="F43" s="47"/>
      <c r="G43" s="48">
        <f>AVERAGE(G4:G41)</f>
        <v>628.71594611528826</v>
      </c>
      <c r="H43" s="47"/>
      <c r="I43" s="47"/>
      <c r="J43" s="49"/>
      <c r="K43" s="44">
        <f>AVERAGE(K4:K41)</f>
        <v>269.60219298245607</v>
      </c>
      <c r="L43" s="44">
        <f>(K43/G43)*100</f>
        <v>42.881398928765016</v>
      </c>
      <c r="M43" s="49"/>
      <c r="N43" s="49"/>
      <c r="O43" s="49"/>
      <c r="P43" s="50">
        <f>AVERAGE(P4:P41)</f>
        <v>321.65855263157891</v>
      </c>
      <c r="Q43" s="50">
        <f>(P43/G43)*100</f>
        <v>51.161188867412001</v>
      </c>
      <c r="R43" s="49"/>
      <c r="S43" s="44" t="s">
        <v>7</v>
      </c>
      <c r="T43" s="44">
        <f>COUNTIF(T4:T41,"BJP GAIN")</f>
        <v>11</v>
      </c>
      <c r="U43" s="77" t="s">
        <v>1</v>
      </c>
      <c r="V43" s="77"/>
    </row>
    <row r="44" spans="1:22" ht="18.75">
      <c r="S44" s="51" t="s">
        <v>6</v>
      </c>
      <c r="T44" s="52">
        <f>COUNTIF(T4:T41,"CONGRESS GAIN")</f>
        <v>27</v>
      </c>
      <c r="U44" s="78"/>
      <c r="V44" s="78"/>
    </row>
    <row r="45" spans="1:22" ht="18.75">
      <c r="A45" s="82" t="s">
        <v>143</v>
      </c>
      <c r="B45" s="82"/>
      <c r="C45" s="82"/>
      <c r="D45" s="82"/>
      <c r="E45" s="82"/>
      <c r="F45" s="82"/>
      <c r="S45" s="53"/>
      <c r="T45" s="53"/>
      <c r="U45" s="24" t="s">
        <v>5</v>
      </c>
      <c r="V45" s="24">
        <f>COUNTIF(V4:V41,"NARROWMARGIN")</f>
        <v>16</v>
      </c>
    </row>
    <row r="46" spans="1:22">
      <c r="A46" s="82"/>
      <c r="B46" s="82"/>
      <c r="C46" s="82"/>
      <c r="D46" s="82"/>
      <c r="E46" s="82"/>
      <c r="F46" s="82"/>
      <c r="S46" s="54"/>
      <c r="T46" s="54"/>
      <c r="U46" s="28" t="s">
        <v>0</v>
      </c>
      <c r="V46" s="28">
        <f>COUNTIF(V4:V41,"LOWMARGIN")</f>
        <v>17</v>
      </c>
    </row>
    <row r="47" spans="1:22">
      <c r="S47" s="54"/>
      <c r="T47" s="54"/>
      <c r="U47" s="31" t="s">
        <v>4</v>
      </c>
      <c r="V47" s="31">
        <f>COUNTIF(V4:V41,"MEDIUMMARGIN")</f>
        <v>4</v>
      </c>
    </row>
    <row r="48" spans="1:22">
      <c r="U48" s="33" t="s">
        <v>3</v>
      </c>
      <c r="V48" s="33">
        <f>COUNTIF(V5:V42,"HIGHMARGIN")</f>
        <v>0</v>
      </c>
    </row>
    <row r="49" spans="21:22">
      <c r="U49" s="34" t="s">
        <v>2</v>
      </c>
      <c r="V49" s="34">
        <f>COUNTIF(V6:V45,"VERYHIGHMARGIN")</f>
        <v>1</v>
      </c>
    </row>
    <row r="50" spans="21:22" ht="21">
      <c r="U50" s="55" t="s">
        <v>1</v>
      </c>
      <c r="V50" s="55" t="s">
        <v>0</v>
      </c>
    </row>
    <row r="51" spans="21:22">
      <c r="U51" s="69"/>
    </row>
    <row r="52" spans="21:22">
      <c r="U52" s="70"/>
    </row>
  </sheetData>
  <mergeCells count="18">
    <mergeCell ref="U51:U52"/>
    <mergeCell ref="J2:N2"/>
    <mergeCell ref="O2:S2"/>
    <mergeCell ref="U43:V44"/>
    <mergeCell ref="A42:C42"/>
    <mergeCell ref="A43:C43"/>
    <mergeCell ref="F2:F3"/>
    <mergeCell ref="A2:A3"/>
    <mergeCell ref="B2:B3"/>
    <mergeCell ref="C2:C3"/>
    <mergeCell ref="D2:D3"/>
    <mergeCell ref="E2:E3"/>
    <mergeCell ref="A45:F46"/>
    <mergeCell ref="A1:V1"/>
    <mergeCell ref="T2:T3"/>
    <mergeCell ref="U2:U3"/>
    <mergeCell ref="V2:V3"/>
    <mergeCell ref="G2:I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>
      <selection activeCell="D16" sqref="D16"/>
    </sheetView>
  </sheetViews>
  <sheetFormatPr defaultRowHeight="15"/>
  <cols>
    <col min="1" max="1" width="17.140625" style="1" customWidth="1"/>
    <col min="2" max="2" width="22.7109375" style="1" customWidth="1"/>
    <col min="3" max="3" width="14.28515625" style="1" customWidth="1"/>
    <col min="4" max="4" width="21.42578125" style="1" customWidth="1"/>
    <col min="5" max="7" width="9.140625" style="1"/>
    <col min="8" max="8" width="21" style="1" customWidth="1"/>
    <col min="9" max="9" width="25" style="1" customWidth="1"/>
    <col min="10" max="11" width="19.140625" style="1" customWidth="1"/>
    <col min="12" max="15" width="9.140625" style="1"/>
    <col min="16" max="16" width="15.5703125" style="1" bestFit="1" customWidth="1"/>
    <col min="17" max="17" width="12" style="1" bestFit="1" customWidth="1"/>
    <col min="18" max="18" width="17.5703125" style="1" bestFit="1" customWidth="1"/>
    <col min="19" max="16384" width="9.140625" style="1"/>
  </cols>
  <sheetData>
    <row r="1" spans="1:11" ht="15" customHeight="1">
      <c r="D1" s="99" t="s">
        <v>90</v>
      </c>
      <c r="E1" s="99"/>
      <c r="F1" s="99"/>
      <c r="G1" s="99"/>
      <c r="H1" s="99"/>
    </row>
    <row r="2" spans="1:11" ht="15" customHeight="1">
      <c r="D2" s="99"/>
      <c r="E2" s="99"/>
      <c r="F2" s="99"/>
      <c r="G2" s="99"/>
      <c r="H2" s="99"/>
    </row>
    <row r="3" spans="1:11" ht="15" customHeight="1">
      <c r="D3" s="99"/>
      <c r="E3" s="99"/>
      <c r="F3" s="99"/>
      <c r="G3" s="99"/>
      <c r="H3" s="99"/>
    </row>
    <row r="4" spans="1:11">
      <c r="A4" s="83" t="s">
        <v>131</v>
      </c>
      <c r="B4" s="84"/>
      <c r="C4" s="84"/>
      <c r="D4" s="85"/>
      <c r="H4" s="89" t="s">
        <v>132</v>
      </c>
      <c r="I4" s="90"/>
      <c r="J4" s="90"/>
      <c r="K4" s="91"/>
    </row>
    <row r="5" spans="1:11">
      <c r="A5" s="86"/>
      <c r="B5" s="87"/>
      <c r="C5" s="87"/>
      <c r="D5" s="88"/>
      <c r="H5" s="92"/>
      <c r="I5" s="93"/>
      <c r="J5" s="93"/>
      <c r="K5" s="94"/>
    </row>
    <row r="6" spans="1:11">
      <c r="A6" s="56" t="s">
        <v>133</v>
      </c>
      <c r="B6" s="56" t="s">
        <v>134</v>
      </c>
      <c r="C6" s="56" t="s">
        <v>87</v>
      </c>
      <c r="D6" s="56" t="s">
        <v>1</v>
      </c>
      <c r="H6" s="56" t="s">
        <v>133</v>
      </c>
      <c r="I6" s="56" t="s">
        <v>134</v>
      </c>
      <c r="J6" s="56" t="s">
        <v>135</v>
      </c>
      <c r="K6" s="56" t="s">
        <v>1</v>
      </c>
    </row>
    <row r="7" spans="1:11">
      <c r="A7" s="37">
        <v>1</v>
      </c>
      <c r="B7" s="37">
        <v>26</v>
      </c>
      <c r="C7" s="39">
        <v>4.1067405995494717</v>
      </c>
      <c r="D7" s="13" t="s">
        <v>98</v>
      </c>
      <c r="H7" s="37">
        <v>1</v>
      </c>
      <c r="I7" s="37">
        <v>21</v>
      </c>
      <c r="J7" s="39">
        <v>4.6467965266369395</v>
      </c>
      <c r="K7" s="13" t="s">
        <v>98</v>
      </c>
    </row>
    <row r="8" spans="1:11">
      <c r="A8" s="37">
        <v>2</v>
      </c>
      <c r="B8" s="37">
        <v>27</v>
      </c>
      <c r="C8" s="39">
        <v>4.325259515570937</v>
      </c>
      <c r="D8" s="13" t="s">
        <v>98</v>
      </c>
      <c r="H8" s="37">
        <v>2</v>
      </c>
      <c r="I8" s="37">
        <v>24</v>
      </c>
      <c r="J8" s="39">
        <v>7.2990452725593444</v>
      </c>
      <c r="K8" s="13" t="s">
        <v>98</v>
      </c>
    </row>
    <row r="9" spans="1:11">
      <c r="A9" s="37">
        <v>3</v>
      </c>
      <c r="B9" s="37">
        <v>28</v>
      </c>
      <c r="C9" s="39">
        <v>32.46618106139438</v>
      </c>
      <c r="D9" s="19" t="s">
        <v>101</v>
      </c>
      <c r="H9" s="37">
        <v>3</v>
      </c>
      <c r="I9" s="37">
        <v>25</v>
      </c>
      <c r="J9" s="39">
        <v>7.5994865211810074</v>
      </c>
      <c r="K9" s="13" t="s">
        <v>98</v>
      </c>
    </row>
    <row r="10" spans="1:11">
      <c r="A10" s="37">
        <v>4</v>
      </c>
      <c r="B10" s="37">
        <v>29</v>
      </c>
      <c r="C10" s="39">
        <v>36.306001690617073</v>
      </c>
      <c r="D10" s="19" t="s">
        <v>101</v>
      </c>
      <c r="H10" s="37">
        <v>4</v>
      </c>
      <c r="I10" s="37">
        <v>31</v>
      </c>
      <c r="J10" s="39">
        <v>11.947904869762176</v>
      </c>
      <c r="K10" s="12" t="s">
        <v>100</v>
      </c>
    </row>
    <row r="11" spans="1:11">
      <c r="A11" s="37">
        <v>5</v>
      </c>
      <c r="B11" s="37">
        <v>30</v>
      </c>
      <c r="C11" s="39">
        <v>1.5238095238095275</v>
      </c>
      <c r="D11" s="13" t="s">
        <v>98</v>
      </c>
      <c r="H11" s="37">
        <v>5</v>
      </c>
      <c r="I11" s="37">
        <v>34</v>
      </c>
      <c r="J11" s="39">
        <v>20.302311796087729</v>
      </c>
      <c r="K11" s="12" t="s">
        <v>100</v>
      </c>
    </row>
    <row r="12" spans="1:11">
      <c r="A12" s="37">
        <v>6</v>
      </c>
      <c r="B12" s="37">
        <v>32</v>
      </c>
      <c r="C12" s="39">
        <v>8.7815942968243661</v>
      </c>
      <c r="D12" s="13" t="s">
        <v>98</v>
      </c>
      <c r="H12" s="37">
        <v>6</v>
      </c>
      <c r="I12" s="37">
        <v>35</v>
      </c>
      <c r="J12" s="39">
        <v>17.887528532890645</v>
      </c>
      <c r="K12" s="12" t="s">
        <v>100</v>
      </c>
    </row>
    <row r="13" spans="1:11">
      <c r="A13" s="37">
        <v>7</v>
      </c>
      <c r="B13" s="37">
        <v>33</v>
      </c>
      <c r="C13" s="39">
        <v>7.0389303971686985</v>
      </c>
      <c r="D13" s="13" t="s">
        <v>98</v>
      </c>
      <c r="H13" s="37">
        <v>7</v>
      </c>
      <c r="I13" s="37">
        <v>36</v>
      </c>
      <c r="J13" s="39">
        <v>29.243937232524956</v>
      </c>
      <c r="K13" s="12" t="s">
        <v>100</v>
      </c>
    </row>
    <row r="14" spans="1:11">
      <c r="A14" s="37">
        <v>8</v>
      </c>
      <c r="B14" s="37">
        <v>41</v>
      </c>
      <c r="C14" s="39">
        <v>25.974981604120671</v>
      </c>
      <c r="D14" s="12" t="s">
        <v>100</v>
      </c>
      <c r="H14" s="37">
        <v>8</v>
      </c>
      <c r="I14" s="37">
        <v>37</v>
      </c>
      <c r="J14" s="39">
        <v>14.201815269620926</v>
      </c>
      <c r="K14" s="12" t="s">
        <v>100</v>
      </c>
    </row>
    <row r="15" spans="1:11">
      <c r="A15" s="37">
        <v>9</v>
      </c>
      <c r="B15" s="37">
        <v>42</v>
      </c>
      <c r="C15" s="39">
        <v>18.877156837496777</v>
      </c>
      <c r="D15" s="12" t="s">
        <v>100</v>
      </c>
      <c r="H15" s="37">
        <v>9</v>
      </c>
      <c r="I15" s="37">
        <v>38</v>
      </c>
      <c r="J15" s="39">
        <v>27.358301622271174</v>
      </c>
      <c r="K15" s="12" t="s">
        <v>100</v>
      </c>
    </row>
    <row r="16" spans="1:11">
      <c r="A16" s="37">
        <v>10</v>
      </c>
      <c r="B16" s="37">
        <v>49</v>
      </c>
      <c r="C16" s="39">
        <v>4.7402194162699187</v>
      </c>
      <c r="D16" s="13" t="s">
        <v>98</v>
      </c>
      <c r="H16" s="37">
        <v>10</v>
      </c>
      <c r="I16" s="37">
        <v>39</v>
      </c>
      <c r="J16" s="39">
        <v>30.248811853508528</v>
      </c>
      <c r="K16" s="19" t="s">
        <v>101</v>
      </c>
    </row>
    <row r="17" spans="1:11">
      <c r="A17" s="37">
        <v>11</v>
      </c>
      <c r="B17" s="37">
        <v>56</v>
      </c>
      <c r="C17" s="39">
        <v>1.3765677577240747</v>
      </c>
      <c r="D17" s="13" t="s">
        <v>98</v>
      </c>
      <c r="H17" s="37">
        <v>11</v>
      </c>
      <c r="I17" s="37">
        <v>40</v>
      </c>
      <c r="J17" s="39">
        <v>23.740201567749164</v>
      </c>
      <c r="K17" s="12" t="s">
        <v>100</v>
      </c>
    </row>
    <row r="18" spans="1:11">
      <c r="A18" s="37">
        <v>12</v>
      </c>
      <c r="B18" s="37">
        <v>57</v>
      </c>
      <c r="C18" s="39">
        <v>27.341137123745817</v>
      </c>
      <c r="D18" s="12" t="s">
        <v>100</v>
      </c>
      <c r="H18" s="37">
        <v>12</v>
      </c>
      <c r="I18" s="37">
        <v>43</v>
      </c>
      <c r="J18" s="39">
        <v>15.242821694434591</v>
      </c>
      <c r="K18" s="12" t="s">
        <v>100</v>
      </c>
    </row>
    <row r="19" spans="1:11">
      <c r="A19" s="37">
        <v>13</v>
      </c>
      <c r="B19" s="37">
        <v>58</v>
      </c>
      <c r="C19" s="39">
        <v>14.86810551558753</v>
      </c>
      <c r="D19" s="12" t="s">
        <v>100</v>
      </c>
      <c r="H19" s="37">
        <v>13</v>
      </c>
      <c r="I19" s="37">
        <v>44</v>
      </c>
      <c r="J19" s="39">
        <v>5.0809780882819977</v>
      </c>
      <c r="K19" s="13" t="s">
        <v>98</v>
      </c>
    </row>
    <row r="20" spans="1:11">
      <c r="A20" s="37">
        <v>14</v>
      </c>
      <c r="B20" s="37">
        <v>59</v>
      </c>
      <c r="C20" s="39">
        <v>51.7578125</v>
      </c>
      <c r="D20" s="41" t="s">
        <v>136</v>
      </c>
      <c r="H20" s="37">
        <v>14</v>
      </c>
      <c r="I20" s="37">
        <v>45</v>
      </c>
      <c r="J20" s="39">
        <v>39.4096529716793</v>
      </c>
      <c r="K20" s="19" t="s">
        <v>101</v>
      </c>
    </row>
    <row r="21" spans="1:11">
      <c r="A21" s="37">
        <v>15</v>
      </c>
      <c r="B21" s="37">
        <v>60</v>
      </c>
      <c r="C21" s="39">
        <v>16.300804173005861</v>
      </c>
      <c r="D21" s="12" t="s">
        <v>100</v>
      </c>
      <c r="H21" s="37">
        <v>15</v>
      </c>
      <c r="I21" s="37">
        <v>46</v>
      </c>
      <c r="J21" s="39">
        <v>7.8894133513149027</v>
      </c>
      <c r="K21" s="13" t="s">
        <v>98</v>
      </c>
    </row>
    <row r="22" spans="1:11">
      <c r="H22" s="37">
        <v>16</v>
      </c>
      <c r="I22" s="37">
        <v>47</v>
      </c>
      <c r="J22" s="39">
        <v>17.558212712397733</v>
      </c>
      <c r="K22" s="12" t="s">
        <v>100</v>
      </c>
    </row>
    <row r="23" spans="1:11">
      <c r="A23" s="67" t="s">
        <v>137</v>
      </c>
      <c r="B23" s="67"/>
      <c r="H23" s="37">
        <v>17</v>
      </c>
      <c r="I23" s="37">
        <v>48</v>
      </c>
      <c r="J23" s="39">
        <v>17.749712973593574</v>
      </c>
      <c r="K23" s="12" t="s">
        <v>100</v>
      </c>
    </row>
    <row r="24" spans="1:11">
      <c r="A24" s="67"/>
      <c r="B24" s="67"/>
      <c r="H24" s="37">
        <v>18</v>
      </c>
      <c r="I24" s="37">
        <v>50</v>
      </c>
      <c r="J24" s="39">
        <v>5.3542744958058188</v>
      </c>
      <c r="K24" s="13" t="s">
        <v>98</v>
      </c>
    </row>
    <row r="25" spans="1:11">
      <c r="A25" s="13" t="s">
        <v>5</v>
      </c>
      <c r="B25" s="13">
        <f>COUNTIF(D7:D21,"NARROWMARGIN")</f>
        <v>7</v>
      </c>
      <c r="H25" s="37">
        <v>19</v>
      </c>
      <c r="I25" s="37">
        <v>51</v>
      </c>
      <c r="J25" s="39">
        <v>25.722608111136005</v>
      </c>
      <c r="K25" s="12" t="s">
        <v>100</v>
      </c>
    </row>
    <row r="26" spans="1:11">
      <c r="A26" s="12" t="s">
        <v>0</v>
      </c>
      <c r="B26" s="12">
        <f>COUNTIF(D7:D21,"LOWMARGIN")</f>
        <v>5</v>
      </c>
      <c r="H26" s="37">
        <v>20</v>
      </c>
      <c r="I26" s="37">
        <v>52</v>
      </c>
      <c r="J26" s="39">
        <v>6.3793103448275836</v>
      </c>
      <c r="K26" s="13" t="s">
        <v>98</v>
      </c>
    </row>
    <row r="27" spans="1:11">
      <c r="A27" s="19" t="s">
        <v>4</v>
      </c>
      <c r="B27" s="19">
        <f>COUNTIF(D7:D21,"MEDIUMMARGIN")</f>
        <v>2</v>
      </c>
      <c r="H27" s="37">
        <v>21</v>
      </c>
      <c r="I27" s="37">
        <v>53</v>
      </c>
      <c r="J27" s="39">
        <v>5.9710743801652884</v>
      </c>
      <c r="K27" s="13" t="s">
        <v>98</v>
      </c>
    </row>
    <row r="28" spans="1:11">
      <c r="A28" s="57" t="s">
        <v>138</v>
      </c>
      <c r="B28" s="57">
        <f>COUNTIF(D11:D21,"HIGHMARGIN")</f>
        <v>0</v>
      </c>
      <c r="H28" s="37">
        <v>22</v>
      </c>
      <c r="I28" s="37">
        <v>54</v>
      </c>
      <c r="J28" s="39">
        <v>6.2809288161400838</v>
      </c>
      <c r="K28" s="13" t="s">
        <v>98</v>
      </c>
    </row>
    <row r="29" spans="1:11">
      <c r="A29" s="41" t="s">
        <v>136</v>
      </c>
      <c r="B29" s="58">
        <f>COUNTIF(D7:D21,"VERYHIGHMARGIN")</f>
        <v>1</v>
      </c>
      <c r="H29" s="37">
        <v>23</v>
      </c>
      <c r="I29" s="37">
        <v>55</v>
      </c>
      <c r="J29" s="39">
        <v>14.947316834109287</v>
      </c>
      <c r="K29" s="12" t="s">
        <v>100</v>
      </c>
    </row>
    <row r="31" spans="1:11">
      <c r="H31" s="95" t="s">
        <v>139</v>
      </c>
      <c r="I31" s="96"/>
    </row>
    <row r="32" spans="1:11">
      <c r="H32" s="97"/>
      <c r="I32" s="98"/>
    </row>
    <row r="33" spans="8:9">
      <c r="H33" s="13" t="s">
        <v>5</v>
      </c>
      <c r="I33" s="13">
        <f>COUNTIF(K7:K29,"NARROWMARGIN")</f>
        <v>9</v>
      </c>
    </row>
    <row r="34" spans="8:9">
      <c r="H34" s="12" t="s">
        <v>0</v>
      </c>
      <c r="I34" s="12">
        <f>COUNTIF(K7:K29,"LOWMARGIN")</f>
        <v>12</v>
      </c>
    </row>
    <row r="35" spans="8:9">
      <c r="H35" s="19" t="s">
        <v>4</v>
      </c>
      <c r="I35" s="19">
        <f>COUNTIF(K7:K29,"MEDIUMMARGIN")</f>
        <v>2</v>
      </c>
    </row>
    <row r="36" spans="8:9">
      <c r="H36" s="57" t="s">
        <v>138</v>
      </c>
      <c r="I36" s="57">
        <f>COUNTIF(K7:K29,"HIGHMARGIN")</f>
        <v>0</v>
      </c>
    </row>
    <row r="37" spans="8:9">
      <c r="H37" s="41" t="s">
        <v>136</v>
      </c>
      <c r="I37" s="58">
        <f>COUNTIF(K7:K29,"VERYHIGHMARGIN")</f>
        <v>0</v>
      </c>
    </row>
  </sheetData>
  <mergeCells count="5">
    <mergeCell ref="A4:D5"/>
    <mergeCell ref="H4:K5"/>
    <mergeCell ref="A23:B24"/>
    <mergeCell ref="H31:I32"/>
    <mergeCell ref="D1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V24"/>
  <sheetViews>
    <sheetView workbookViewId="0">
      <selection activeCell="E14" sqref="E14:E15"/>
    </sheetView>
  </sheetViews>
  <sheetFormatPr defaultRowHeight="15"/>
  <cols>
    <col min="1" max="1" width="10.42578125" style="35" bestFit="1" customWidth="1"/>
    <col min="2" max="2" width="15.140625" style="35" bestFit="1" customWidth="1"/>
    <col min="3" max="3" width="21.28515625" style="35" customWidth="1"/>
    <col min="4" max="4" width="30.85546875" style="35" bestFit="1" customWidth="1"/>
    <col min="5" max="5" width="25.5703125" style="35" bestFit="1" customWidth="1"/>
    <col min="6" max="6" width="22" style="35" bestFit="1" customWidth="1"/>
    <col min="7" max="7" width="14.7109375" style="35" bestFit="1" customWidth="1"/>
    <col min="8" max="8" width="17" style="35" bestFit="1" customWidth="1"/>
    <col min="9" max="9" width="9.85546875" style="35" customWidth="1"/>
    <col min="10" max="10" width="12.28515625" style="35" bestFit="1" customWidth="1"/>
    <col min="11" max="12" width="9.140625" style="35"/>
    <col min="13" max="13" width="17" style="35" bestFit="1" customWidth="1"/>
    <col min="14" max="14" width="14.7109375" style="35" bestFit="1" customWidth="1"/>
    <col min="15" max="15" width="16.85546875" style="35" bestFit="1" customWidth="1"/>
    <col min="16" max="17" width="14.7109375" style="35" bestFit="1" customWidth="1"/>
    <col min="18" max="18" width="17" style="35" bestFit="1" customWidth="1"/>
    <col min="19" max="19" width="14.7109375" style="35" bestFit="1" customWidth="1"/>
    <col min="20" max="20" width="21.28515625" style="35" bestFit="1" customWidth="1"/>
    <col min="21" max="21" width="18.42578125" style="35" bestFit="1" customWidth="1"/>
    <col min="22" max="22" width="24.140625" style="35" bestFit="1" customWidth="1"/>
    <col min="23" max="16384" width="9.140625" style="35"/>
  </cols>
  <sheetData>
    <row r="1" spans="1:22" ht="28.5">
      <c r="A1" s="102" t="s">
        <v>102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</row>
    <row r="2" spans="1:22" ht="26.25">
      <c r="A2" s="103" t="s">
        <v>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5"/>
    </row>
    <row r="3" spans="1:22">
      <c r="A3" s="68" t="s">
        <v>96</v>
      </c>
      <c r="B3" s="68" t="s">
        <v>95</v>
      </c>
      <c r="C3" s="68" t="s">
        <v>94</v>
      </c>
      <c r="D3" s="67" t="s">
        <v>93</v>
      </c>
      <c r="E3" s="68" t="s">
        <v>92</v>
      </c>
      <c r="F3" s="100" t="s">
        <v>91</v>
      </c>
      <c r="G3" s="68" t="s">
        <v>91</v>
      </c>
      <c r="H3" s="68"/>
      <c r="I3" s="68"/>
      <c r="J3" s="71" t="s">
        <v>90</v>
      </c>
      <c r="K3" s="72"/>
      <c r="L3" s="72"/>
      <c r="M3" s="72"/>
      <c r="N3" s="73"/>
      <c r="O3" s="74" t="s">
        <v>89</v>
      </c>
      <c r="P3" s="75"/>
      <c r="Q3" s="75"/>
      <c r="R3" s="75"/>
      <c r="S3" s="76"/>
      <c r="T3" s="67" t="s">
        <v>88</v>
      </c>
      <c r="U3" s="67" t="s">
        <v>87</v>
      </c>
      <c r="V3" s="67" t="s">
        <v>1</v>
      </c>
    </row>
    <row r="4" spans="1:22" ht="30">
      <c r="A4" s="68"/>
      <c r="B4" s="68"/>
      <c r="C4" s="68"/>
      <c r="D4" s="67"/>
      <c r="E4" s="68"/>
      <c r="F4" s="101"/>
      <c r="G4" s="36" t="s">
        <v>86</v>
      </c>
      <c r="H4" s="36" t="s">
        <v>128</v>
      </c>
      <c r="I4" s="36" t="s">
        <v>84</v>
      </c>
      <c r="J4" s="36" t="s">
        <v>129</v>
      </c>
      <c r="K4" s="36" t="s">
        <v>86</v>
      </c>
      <c r="L4" s="36" t="s">
        <v>85</v>
      </c>
      <c r="M4" s="36" t="s">
        <v>128</v>
      </c>
      <c r="N4" s="36" t="s">
        <v>84</v>
      </c>
      <c r="O4" s="36" t="s">
        <v>130</v>
      </c>
      <c r="P4" s="36" t="s">
        <v>86</v>
      </c>
      <c r="Q4" s="36" t="s">
        <v>85</v>
      </c>
      <c r="R4" s="36" t="s">
        <v>128</v>
      </c>
      <c r="S4" s="36" t="s">
        <v>84</v>
      </c>
      <c r="T4" s="67"/>
      <c r="U4" s="67"/>
      <c r="V4" s="67"/>
    </row>
    <row r="5" spans="1:22">
      <c r="A5" s="37">
        <v>1</v>
      </c>
      <c r="B5" s="37">
        <v>26</v>
      </c>
      <c r="C5" s="38" t="s">
        <v>77</v>
      </c>
      <c r="D5" s="37">
        <v>7</v>
      </c>
      <c r="E5" s="40" t="s">
        <v>76</v>
      </c>
      <c r="F5" s="40">
        <v>5771</v>
      </c>
      <c r="G5" s="39">
        <v>721.375</v>
      </c>
      <c r="H5" s="39">
        <v>179.96036890104443</v>
      </c>
      <c r="I5" s="39">
        <v>32385.734375</v>
      </c>
      <c r="J5" s="40">
        <v>2885</v>
      </c>
      <c r="K5" s="39">
        <v>360.625</v>
      </c>
      <c r="L5" s="39">
        <v>49.991335990296307</v>
      </c>
      <c r="M5" s="39">
        <v>121.03402156005558</v>
      </c>
      <c r="N5" s="39">
        <v>14649.234375</v>
      </c>
      <c r="O5" s="40">
        <v>2648</v>
      </c>
      <c r="P5" s="39">
        <v>331</v>
      </c>
      <c r="Q5" s="39">
        <v>45.884595390746838</v>
      </c>
      <c r="R5" s="39">
        <v>71.382771030550501</v>
      </c>
      <c r="S5" s="39">
        <v>5095.5</v>
      </c>
      <c r="T5" s="17" t="s">
        <v>97</v>
      </c>
      <c r="U5" s="39">
        <v>4.1067405995494717</v>
      </c>
      <c r="V5" s="13" t="s">
        <v>98</v>
      </c>
    </row>
    <row r="6" spans="1:22">
      <c r="A6" s="37">
        <v>2</v>
      </c>
      <c r="B6" s="37">
        <v>27</v>
      </c>
      <c r="C6" s="38" t="s">
        <v>15</v>
      </c>
      <c r="D6" s="37">
        <v>6</v>
      </c>
      <c r="E6" s="40" t="s">
        <v>75</v>
      </c>
      <c r="F6" s="40">
        <v>4046</v>
      </c>
      <c r="G6" s="39">
        <v>674.33333333333337</v>
      </c>
      <c r="H6" s="39">
        <v>127.83670138978955</v>
      </c>
      <c r="I6" s="39">
        <v>16342.222222222223</v>
      </c>
      <c r="J6" s="40">
        <v>1998</v>
      </c>
      <c r="K6" s="39">
        <v>333</v>
      </c>
      <c r="L6" s="39">
        <v>49.382105783489862</v>
      </c>
      <c r="M6" s="39">
        <v>134.18643746668289</v>
      </c>
      <c r="N6" s="39">
        <v>18006</v>
      </c>
      <c r="O6" s="40">
        <v>1823</v>
      </c>
      <c r="P6" s="39">
        <v>303.83333333333331</v>
      </c>
      <c r="Q6" s="39">
        <v>45.056846267918928</v>
      </c>
      <c r="R6" s="39">
        <v>108.3780676869428</v>
      </c>
      <c r="S6" s="39">
        <v>11745.805555555555</v>
      </c>
      <c r="T6" s="17" t="s">
        <v>97</v>
      </c>
      <c r="U6" s="39">
        <v>4.325259515570937</v>
      </c>
      <c r="V6" s="13" t="s">
        <v>98</v>
      </c>
    </row>
    <row r="7" spans="1:22">
      <c r="A7" s="37">
        <v>3</v>
      </c>
      <c r="B7" s="37">
        <v>30</v>
      </c>
      <c r="C7" s="38" t="s">
        <v>70</v>
      </c>
      <c r="D7" s="37">
        <v>5</v>
      </c>
      <c r="E7" s="40" t="s">
        <v>69</v>
      </c>
      <c r="F7" s="40">
        <v>3150</v>
      </c>
      <c r="G7" s="39">
        <v>630</v>
      </c>
      <c r="H7" s="39">
        <v>113.95262173377145</v>
      </c>
      <c r="I7" s="39">
        <v>12985.2</v>
      </c>
      <c r="J7" s="40">
        <v>1544</v>
      </c>
      <c r="K7" s="39">
        <v>308.8</v>
      </c>
      <c r="L7" s="39">
        <v>49.015873015873019</v>
      </c>
      <c r="M7" s="39">
        <v>73.111968924383376</v>
      </c>
      <c r="N7" s="39">
        <v>5345.36</v>
      </c>
      <c r="O7" s="40">
        <v>1496</v>
      </c>
      <c r="P7" s="39">
        <v>299.2</v>
      </c>
      <c r="Q7" s="39">
        <v>47.492063492063494</v>
      </c>
      <c r="R7" s="39">
        <v>43.199074064150956</v>
      </c>
      <c r="S7" s="39">
        <v>1866.16</v>
      </c>
      <c r="T7" s="17" t="s">
        <v>97</v>
      </c>
      <c r="U7" s="39">
        <v>1.5238095238095275</v>
      </c>
      <c r="V7" s="13" t="s">
        <v>98</v>
      </c>
    </row>
    <row r="8" spans="1:22">
      <c r="A8" s="37">
        <v>4</v>
      </c>
      <c r="B8" s="37">
        <v>32</v>
      </c>
      <c r="C8" s="38" t="s">
        <v>66</v>
      </c>
      <c r="D8" s="37">
        <v>5</v>
      </c>
      <c r="E8" s="40" t="s">
        <v>65</v>
      </c>
      <c r="F8" s="40">
        <v>3086</v>
      </c>
      <c r="G8" s="39">
        <v>617.20000000000005</v>
      </c>
      <c r="H8" s="39">
        <v>162.55632869870064</v>
      </c>
      <c r="I8" s="39">
        <v>26424.560000000001</v>
      </c>
      <c r="J8" s="40">
        <v>1572</v>
      </c>
      <c r="K8" s="39">
        <v>314.39999999999998</v>
      </c>
      <c r="L8" s="39">
        <v>50.939727802981196</v>
      </c>
      <c r="M8" s="39">
        <v>87.103616457641991</v>
      </c>
      <c r="N8" s="39">
        <v>7587.04</v>
      </c>
      <c r="O8" s="40">
        <v>1301</v>
      </c>
      <c r="P8" s="39">
        <v>260.2</v>
      </c>
      <c r="Q8" s="39">
        <v>42.15813350615683</v>
      </c>
      <c r="R8" s="39">
        <v>78.147040890874422</v>
      </c>
      <c r="S8" s="39">
        <v>6106.96</v>
      </c>
      <c r="T8" s="17" t="s">
        <v>97</v>
      </c>
      <c r="U8" s="39">
        <v>8.7815942968243661</v>
      </c>
      <c r="V8" s="13" t="s">
        <v>98</v>
      </c>
    </row>
    <row r="9" spans="1:22">
      <c r="A9" s="37">
        <v>5</v>
      </c>
      <c r="B9" s="37">
        <v>33</v>
      </c>
      <c r="C9" s="38" t="s">
        <v>64</v>
      </c>
      <c r="D9" s="37">
        <v>4</v>
      </c>
      <c r="E9" s="40" t="s">
        <v>63</v>
      </c>
      <c r="F9" s="40">
        <v>2543</v>
      </c>
      <c r="G9" s="39">
        <v>635.75</v>
      </c>
      <c r="H9" s="39">
        <v>55.255655819110501</v>
      </c>
      <c r="I9" s="39">
        <v>3053.1875</v>
      </c>
      <c r="J9" s="40">
        <v>1330</v>
      </c>
      <c r="K9" s="39">
        <v>332.5</v>
      </c>
      <c r="L9" s="39">
        <v>52.300432559968549</v>
      </c>
      <c r="M9" s="39">
        <v>59.238923015193315</v>
      </c>
      <c r="N9" s="39">
        <v>3509.25</v>
      </c>
      <c r="O9" s="40">
        <v>1151</v>
      </c>
      <c r="P9" s="39">
        <v>287.75</v>
      </c>
      <c r="Q9" s="39">
        <v>45.261502162799843</v>
      </c>
      <c r="R9" s="39">
        <v>100.35530628721133</v>
      </c>
      <c r="S9" s="39">
        <v>10071.1875</v>
      </c>
      <c r="T9" s="17" t="s">
        <v>97</v>
      </c>
      <c r="U9" s="39">
        <v>7.0389303971686985</v>
      </c>
      <c r="V9" s="13" t="s">
        <v>98</v>
      </c>
    </row>
    <row r="10" spans="1:22">
      <c r="A10" s="37">
        <v>6</v>
      </c>
      <c r="B10" s="37">
        <v>49</v>
      </c>
      <c r="C10" s="38" t="s">
        <v>33</v>
      </c>
      <c r="D10" s="37">
        <v>6</v>
      </c>
      <c r="E10" s="37" t="s">
        <v>32</v>
      </c>
      <c r="F10" s="37">
        <v>4831</v>
      </c>
      <c r="G10" s="39">
        <v>805.16666666666663</v>
      </c>
      <c r="H10" s="39">
        <v>217.92155826249856</v>
      </c>
      <c r="I10" s="39">
        <v>47489.805555555555</v>
      </c>
      <c r="J10" s="40">
        <v>2378</v>
      </c>
      <c r="K10" s="39">
        <v>396.33333333333331</v>
      </c>
      <c r="L10" s="39">
        <v>49.223763196025665</v>
      </c>
      <c r="M10" s="39">
        <v>136.71950198205894</v>
      </c>
      <c r="N10" s="39">
        <v>18692.222222222223</v>
      </c>
      <c r="O10" s="40">
        <v>2149</v>
      </c>
      <c r="P10" s="39">
        <v>358.16666666666669</v>
      </c>
      <c r="Q10" s="39">
        <v>44.483543779755749</v>
      </c>
      <c r="R10" s="39">
        <v>140.92600501287507</v>
      </c>
      <c r="S10" s="39">
        <v>19860.138888888891</v>
      </c>
      <c r="T10" s="17" t="s">
        <v>97</v>
      </c>
      <c r="U10" s="39">
        <v>4.7402194162699187</v>
      </c>
      <c r="V10" s="13" t="s">
        <v>98</v>
      </c>
    </row>
    <row r="11" spans="1:22">
      <c r="A11" s="37">
        <v>7</v>
      </c>
      <c r="B11" s="37">
        <v>56</v>
      </c>
      <c r="C11" s="38" t="s">
        <v>19</v>
      </c>
      <c r="D11" s="37">
        <v>5</v>
      </c>
      <c r="E11" s="37" t="s">
        <v>18</v>
      </c>
      <c r="F11" s="37">
        <v>3269</v>
      </c>
      <c r="G11" s="39">
        <v>653.79999999999995</v>
      </c>
      <c r="H11" s="39">
        <v>55.951407488998882</v>
      </c>
      <c r="I11" s="39">
        <v>3130.56</v>
      </c>
      <c r="J11" s="40">
        <v>1569</v>
      </c>
      <c r="K11" s="39">
        <v>313.8</v>
      </c>
      <c r="L11" s="39">
        <v>47.996329152646069</v>
      </c>
      <c r="M11" s="39">
        <v>55.979996427295347</v>
      </c>
      <c r="N11" s="39">
        <v>3133.76</v>
      </c>
      <c r="O11" s="40">
        <v>1524</v>
      </c>
      <c r="P11" s="39">
        <v>304.8</v>
      </c>
      <c r="Q11" s="39">
        <v>46.619761394922001</v>
      </c>
      <c r="R11" s="39">
        <v>51.058397938047371</v>
      </c>
      <c r="S11" s="39">
        <v>2606.96</v>
      </c>
      <c r="T11" s="17" t="s">
        <v>97</v>
      </c>
      <c r="U11" s="39">
        <v>1.3765677577240747</v>
      </c>
      <c r="V11" s="13" t="s">
        <v>98</v>
      </c>
    </row>
    <row r="12" spans="1:22" s="61" customFormat="1" ht="15.75">
      <c r="A12" s="59"/>
      <c r="B12" s="59"/>
      <c r="C12" s="60"/>
      <c r="D12" s="59"/>
      <c r="E12" s="59"/>
      <c r="F12" s="59">
        <f>SUM(F5:F11)</f>
        <v>26696</v>
      </c>
      <c r="G12" s="59"/>
      <c r="H12" s="59"/>
      <c r="I12" s="59"/>
      <c r="J12" s="59">
        <f>SUM(J5:J11)</f>
        <v>13276</v>
      </c>
      <c r="K12" s="59"/>
      <c r="L12" s="59"/>
      <c r="M12" s="59"/>
      <c r="N12" s="59"/>
      <c r="O12" s="59">
        <f>SUM(O5:O11)</f>
        <v>12092</v>
      </c>
      <c r="P12" s="59"/>
      <c r="Q12" s="59"/>
      <c r="R12" s="59"/>
      <c r="S12" s="59"/>
      <c r="T12" s="59"/>
      <c r="U12" s="59"/>
      <c r="V12" s="59"/>
    </row>
    <row r="13" spans="1:22" ht="26.25">
      <c r="A13" s="106" t="s">
        <v>0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</row>
    <row r="14" spans="1:22">
      <c r="A14" s="68" t="s">
        <v>96</v>
      </c>
      <c r="B14" s="68" t="s">
        <v>95</v>
      </c>
      <c r="C14" s="68" t="s">
        <v>94</v>
      </c>
      <c r="D14" s="67" t="s">
        <v>93</v>
      </c>
      <c r="E14" s="68" t="s">
        <v>92</v>
      </c>
      <c r="F14" s="100" t="s">
        <v>91</v>
      </c>
      <c r="G14" s="68" t="s">
        <v>91</v>
      </c>
      <c r="H14" s="68"/>
      <c r="I14" s="68"/>
      <c r="J14" s="71" t="s">
        <v>90</v>
      </c>
      <c r="K14" s="72"/>
      <c r="L14" s="72"/>
      <c r="M14" s="72"/>
      <c r="N14" s="73"/>
      <c r="O14" s="74" t="s">
        <v>89</v>
      </c>
      <c r="P14" s="75"/>
      <c r="Q14" s="75"/>
      <c r="R14" s="75"/>
      <c r="S14" s="76"/>
      <c r="T14" s="67" t="s">
        <v>88</v>
      </c>
      <c r="U14" s="67" t="s">
        <v>87</v>
      </c>
      <c r="V14" s="67" t="s">
        <v>1</v>
      </c>
    </row>
    <row r="15" spans="1:22" ht="30">
      <c r="A15" s="68"/>
      <c r="B15" s="68"/>
      <c r="C15" s="68"/>
      <c r="D15" s="67"/>
      <c r="E15" s="68"/>
      <c r="F15" s="101"/>
      <c r="G15" s="36" t="s">
        <v>86</v>
      </c>
      <c r="H15" s="36" t="s">
        <v>128</v>
      </c>
      <c r="I15" s="36" t="s">
        <v>84</v>
      </c>
      <c r="J15" s="36" t="s">
        <v>129</v>
      </c>
      <c r="K15" s="36" t="s">
        <v>86</v>
      </c>
      <c r="L15" s="36" t="s">
        <v>85</v>
      </c>
      <c r="M15" s="36" t="s">
        <v>128</v>
      </c>
      <c r="N15" s="36" t="s">
        <v>84</v>
      </c>
      <c r="O15" s="36" t="s">
        <v>130</v>
      </c>
      <c r="P15" s="36" t="s">
        <v>86</v>
      </c>
      <c r="Q15" s="36" t="s">
        <v>85</v>
      </c>
      <c r="R15" s="36" t="s">
        <v>128</v>
      </c>
      <c r="S15" s="36" t="s">
        <v>84</v>
      </c>
      <c r="T15" s="67"/>
      <c r="U15" s="67"/>
      <c r="V15" s="67"/>
    </row>
    <row r="16" spans="1:22">
      <c r="A16" s="37">
        <v>1</v>
      </c>
      <c r="B16" s="37">
        <v>41</v>
      </c>
      <c r="C16" s="38" t="s">
        <v>48</v>
      </c>
      <c r="D16" s="37">
        <v>5</v>
      </c>
      <c r="E16" s="40" t="s">
        <v>47</v>
      </c>
      <c r="F16" s="40">
        <v>2718</v>
      </c>
      <c r="G16" s="39">
        <v>543.6</v>
      </c>
      <c r="H16" s="39">
        <v>69.967420990057931</v>
      </c>
      <c r="I16" s="39">
        <v>4895.4399999999996</v>
      </c>
      <c r="J16" s="40">
        <v>1672</v>
      </c>
      <c r="K16" s="39">
        <v>334.4</v>
      </c>
      <c r="L16" s="39">
        <f>(K16/G16)*100</f>
        <v>61.515820456217796</v>
      </c>
      <c r="M16" s="39">
        <v>122.93347794640808</v>
      </c>
      <c r="N16" s="39">
        <v>15112.64</v>
      </c>
      <c r="O16" s="40">
        <v>966</v>
      </c>
      <c r="P16" s="39">
        <v>193.2</v>
      </c>
      <c r="Q16" s="39">
        <f>(P16/G16)*100</f>
        <v>35.540838852097131</v>
      </c>
      <c r="R16" s="39">
        <v>72.067745906195796</v>
      </c>
      <c r="S16" s="39">
        <v>5193.76</v>
      </c>
      <c r="T16" s="17" t="str">
        <f t="shared" ref="T16:T17" si="0">IF(K16&gt;P16,"BJP GAIN","CONGRESS GAIN")</f>
        <v>BJP GAIN</v>
      </c>
      <c r="U16" s="39">
        <f>((K16-P16)/G16)*100</f>
        <v>25.974981604120671</v>
      </c>
      <c r="V16" s="12" t="str">
        <f>IF(U16&gt;=50,"VERYHIGHMARGIN",IF(U16&gt;=40,"HIGHMARGIN",IF(U16&gt;=30,"MEDIUMMARGIN",IF(U16&gt;10,"LOWMARGIN",IF(U16&gt;1,"NARROWMARGIN")))))</f>
        <v>LOWMARGIN</v>
      </c>
    </row>
    <row r="17" spans="1:22">
      <c r="A17" s="37">
        <v>2</v>
      </c>
      <c r="B17" s="37">
        <v>42</v>
      </c>
      <c r="C17" s="38" t="s">
        <v>46</v>
      </c>
      <c r="D17" s="37">
        <v>7</v>
      </c>
      <c r="E17" s="37" t="s">
        <v>45</v>
      </c>
      <c r="F17" s="37">
        <v>3883</v>
      </c>
      <c r="G17" s="39">
        <v>554.71428571428567</v>
      </c>
      <c r="H17" s="39">
        <v>127.28563411894221</v>
      </c>
      <c r="I17" s="39">
        <v>16201.632653061224</v>
      </c>
      <c r="J17" s="40">
        <v>2207</v>
      </c>
      <c r="K17" s="39">
        <v>315.28571428571428</v>
      </c>
      <c r="L17" s="39">
        <f>(K17/G17)*100</f>
        <v>56.837496780839558</v>
      </c>
      <c r="M17" s="39">
        <v>191.27147071689515</v>
      </c>
      <c r="N17" s="39">
        <v>36584.775510204083</v>
      </c>
      <c r="O17" s="40">
        <v>1474</v>
      </c>
      <c r="P17" s="39">
        <v>210.57142857142858</v>
      </c>
      <c r="Q17" s="39">
        <f>(P17/G17)*100</f>
        <v>37.960339943342781</v>
      </c>
      <c r="R17" s="39">
        <v>73.496077918401568</v>
      </c>
      <c r="S17" s="39">
        <v>5401.6734693877552</v>
      </c>
      <c r="T17" s="17" t="str">
        <f t="shared" si="0"/>
        <v>BJP GAIN</v>
      </c>
      <c r="U17" s="39">
        <f>((K17-P17)/G17)*100</f>
        <v>18.877156837496777</v>
      </c>
      <c r="V17" s="12" t="str">
        <f>IF(U17&gt;=50,"VERYHIGHMARGIN",IF(U17&gt;=40,"HIGHMARGIN",IF(U17&gt;=30,"MEDIUMMARGIN",IF(U17&gt;10,"LOWMARGIN",IF(U17&gt;1,"NARROWMARGIN")))))</f>
        <v>LOWMARGIN</v>
      </c>
    </row>
    <row r="18" spans="1:22" s="61" customFormat="1" ht="15.75">
      <c r="A18" s="59"/>
      <c r="B18" s="59"/>
      <c r="C18" s="60"/>
      <c r="D18" s="59"/>
      <c r="E18" s="59"/>
      <c r="F18" s="59">
        <f>SUM(F16:F17)</f>
        <v>6601</v>
      </c>
      <c r="G18" s="59"/>
      <c r="H18" s="59"/>
      <c r="I18" s="59"/>
      <c r="J18" s="59">
        <f>SUM(J16:J17)</f>
        <v>3879</v>
      </c>
      <c r="K18" s="59"/>
      <c r="L18" s="59"/>
      <c r="M18" s="59"/>
      <c r="N18" s="59"/>
      <c r="O18" s="59">
        <f>SUM(O16:O17)</f>
        <v>2440</v>
      </c>
      <c r="P18" s="59"/>
      <c r="Q18" s="59"/>
      <c r="R18" s="59"/>
      <c r="S18" s="59"/>
      <c r="T18" s="59"/>
      <c r="U18" s="59"/>
      <c r="V18" s="59"/>
    </row>
    <row r="19" spans="1:22" ht="26.25">
      <c r="A19" s="106" t="s">
        <v>4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</row>
    <row r="20" spans="1:22">
      <c r="A20" s="68" t="s">
        <v>96</v>
      </c>
      <c r="B20" s="68" t="s">
        <v>95</v>
      </c>
      <c r="C20" s="68" t="s">
        <v>94</v>
      </c>
      <c r="D20" s="67" t="s">
        <v>93</v>
      </c>
      <c r="E20" s="68" t="s">
        <v>92</v>
      </c>
      <c r="F20" s="100" t="s">
        <v>91</v>
      </c>
      <c r="G20" s="68" t="s">
        <v>91</v>
      </c>
      <c r="H20" s="68"/>
      <c r="I20" s="68"/>
      <c r="J20" s="71" t="s">
        <v>90</v>
      </c>
      <c r="K20" s="72"/>
      <c r="L20" s="72"/>
      <c r="M20" s="72"/>
      <c r="N20" s="73"/>
      <c r="O20" s="74" t="s">
        <v>89</v>
      </c>
      <c r="P20" s="75"/>
      <c r="Q20" s="75"/>
      <c r="R20" s="75"/>
      <c r="S20" s="76"/>
      <c r="T20" s="67" t="s">
        <v>88</v>
      </c>
      <c r="U20" s="67" t="s">
        <v>87</v>
      </c>
      <c r="V20" s="67" t="s">
        <v>1</v>
      </c>
    </row>
    <row r="21" spans="1:22" ht="30">
      <c r="A21" s="68"/>
      <c r="B21" s="68"/>
      <c r="C21" s="68"/>
      <c r="D21" s="67"/>
      <c r="E21" s="68"/>
      <c r="F21" s="101"/>
      <c r="G21" s="36" t="s">
        <v>86</v>
      </c>
      <c r="H21" s="36" t="s">
        <v>128</v>
      </c>
      <c r="I21" s="36" t="s">
        <v>84</v>
      </c>
      <c r="J21" s="36" t="s">
        <v>129</v>
      </c>
      <c r="K21" s="36" t="s">
        <v>86</v>
      </c>
      <c r="L21" s="36" t="s">
        <v>85</v>
      </c>
      <c r="M21" s="36" t="s">
        <v>128</v>
      </c>
      <c r="N21" s="36" t="s">
        <v>84</v>
      </c>
      <c r="O21" s="36" t="s">
        <v>130</v>
      </c>
      <c r="P21" s="36" t="s">
        <v>86</v>
      </c>
      <c r="Q21" s="36" t="s">
        <v>85</v>
      </c>
      <c r="R21" s="36" t="s">
        <v>128</v>
      </c>
      <c r="S21" s="36" t="s">
        <v>84</v>
      </c>
      <c r="T21" s="67"/>
      <c r="U21" s="67"/>
      <c r="V21" s="67"/>
    </row>
    <row r="22" spans="1:22">
      <c r="A22" s="37">
        <v>1</v>
      </c>
      <c r="B22" s="37">
        <v>28</v>
      </c>
      <c r="C22" s="38" t="s">
        <v>74</v>
      </c>
      <c r="D22" s="37">
        <v>4</v>
      </c>
      <c r="E22" s="40" t="s">
        <v>73</v>
      </c>
      <c r="F22" s="40">
        <v>2883</v>
      </c>
      <c r="G22" s="39">
        <v>720.75</v>
      </c>
      <c r="H22" s="39">
        <v>115.63601298903383</v>
      </c>
      <c r="I22" s="39">
        <v>13371.6875</v>
      </c>
      <c r="J22" s="40">
        <v>1851</v>
      </c>
      <c r="K22" s="39">
        <v>462.75</v>
      </c>
      <c r="L22" s="39">
        <f>(K22/G22)*100</f>
        <v>64.203954214360039</v>
      </c>
      <c r="M22" s="39">
        <v>75.833287545773729</v>
      </c>
      <c r="N22" s="39">
        <v>5750.6875</v>
      </c>
      <c r="O22" s="40">
        <v>915</v>
      </c>
      <c r="P22" s="39">
        <v>228.75</v>
      </c>
      <c r="Q22" s="39">
        <f>(P22/G22)*100</f>
        <v>31.737773152965659</v>
      </c>
      <c r="R22" s="39">
        <v>34.346579160085213</v>
      </c>
      <c r="S22" s="39">
        <v>1179.6875</v>
      </c>
      <c r="T22" s="17" t="str">
        <f t="shared" ref="T22:T23" si="1">IF(K22&gt;P22,"BJP GAIN","CONGRESS GAIN")</f>
        <v>BJP GAIN</v>
      </c>
      <c r="U22" s="39">
        <f>((K22-P22)/G22)*100</f>
        <v>32.46618106139438</v>
      </c>
      <c r="V22" s="19" t="str">
        <f>IF(U22&gt;=50,"VERYHIGHMARGIN",IF(U22&gt;=40,"HIGHMARGIN",IF(U22&gt;=30,"MEDIUMMARGIN",IF(U22&gt;10,"LOWMARGIN",IF(U22&gt;1,"NARROWMARGIN")))))</f>
        <v>MEDIUMMARGIN</v>
      </c>
    </row>
    <row r="23" spans="1:22">
      <c r="A23" s="37">
        <v>2</v>
      </c>
      <c r="B23" s="37">
        <v>29</v>
      </c>
      <c r="C23" s="38" t="s">
        <v>72</v>
      </c>
      <c r="D23" s="37">
        <v>4</v>
      </c>
      <c r="E23" s="40" t="s">
        <v>71</v>
      </c>
      <c r="F23" s="40">
        <v>2366</v>
      </c>
      <c r="G23" s="39">
        <v>591.5</v>
      </c>
      <c r="H23" s="39">
        <v>108.67497412007974</v>
      </c>
      <c r="I23" s="39">
        <v>11810.25</v>
      </c>
      <c r="J23" s="40">
        <v>1567</v>
      </c>
      <c r="K23" s="39">
        <v>391.75</v>
      </c>
      <c r="L23" s="39">
        <f>(K23/G23)*100</f>
        <v>66.22992392223162</v>
      </c>
      <c r="M23" s="39">
        <v>103.09310112708803</v>
      </c>
      <c r="N23" s="39">
        <v>10628.1875</v>
      </c>
      <c r="O23" s="40">
        <v>708</v>
      </c>
      <c r="P23" s="39">
        <v>177</v>
      </c>
      <c r="Q23" s="39">
        <f>(P23/G23)*100</f>
        <v>29.92392223161454</v>
      </c>
      <c r="R23" s="39">
        <v>34.604912945996553</v>
      </c>
      <c r="S23" s="39">
        <v>1197.5</v>
      </c>
      <c r="T23" s="17" t="str">
        <f t="shared" si="1"/>
        <v>BJP GAIN</v>
      </c>
      <c r="U23" s="39">
        <f>((K23-P23)/G23)*100</f>
        <v>36.306001690617073</v>
      </c>
      <c r="V23" s="19" t="str">
        <f>IF(U23&gt;=50,"VERYHIGHMARGIN",IF(U23&gt;=40,"HIGHMARGIN",IF(U23&gt;=30,"MEDIUMMARGIN",IF(U23&gt;10,"LOWMARGIN",IF(U23&gt;1,"NARROWMARGIN")))))</f>
        <v>MEDIUMMARGIN</v>
      </c>
    </row>
    <row r="24" spans="1:22" s="63" customFormat="1" ht="15.75">
      <c r="A24" s="62"/>
      <c r="B24" s="62"/>
      <c r="C24" s="62"/>
      <c r="D24" s="62"/>
      <c r="E24" s="62"/>
      <c r="F24" s="62">
        <f>SUM(F22:F23)</f>
        <v>5249</v>
      </c>
      <c r="G24" s="62"/>
      <c r="H24" s="62"/>
      <c r="I24" s="62"/>
      <c r="J24" s="62">
        <f>SUM(J22:J23)</f>
        <v>3418</v>
      </c>
      <c r="K24" s="62"/>
      <c r="L24" s="62"/>
      <c r="M24" s="62"/>
      <c r="N24" s="62"/>
      <c r="O24" s="62">
        <f>SUM(O22:O23)</f>
        <v>1623</v>
      </c>
      <c r="P24" s="62"/>
      <c r="Q24" s="62"/>
      <c r="R24" s="62"/>
      <c r="S24" s="62"/>
      <c r="T24" s="62"/>
      <c r="U24" s="62"/>
      <c r="V24" s="62"/>
    </row>
  </sheetData>
  <mergeCells count="40">
    <mergeCell ref="A1:V1"/>
    <mergeCell ref="A2:V2"/>
    <mergeCell ref="A13:V13"/>
    <mergeCell ref="A19:V19"/>
    <mergeCell ref="G14:I14"/>
    <mergeCell ref="T14:T15"/>
    <mergeCell ref="U14:U15"/>
    <mergeCell ref="V14:V15"/>
    <mergeCell ref="A14:A15"/>
    <mergeCell ref="B14:B15"/>
    <mergeCell ref="C14:C15"/>
    <mergeCell ref="D14:D15"/>
    <mergeCell ref="E14:E15"/>
    <mergeCell ref="F14:F15"/>
    <mergeCell ref="J14:N14"/>
    <mergeCell ref="O14:S14"/>
    <mergeCell ref="V20:V21"/>
    <mergeCell ref="A20:A21"/>
    <mergeCell ref="B20:B21"/>
    <mergeCell ref="C20:C21"/>
    <mergeCell ref="D20:D21"/>
    <mergeCell ref="E20:E21"/>
    <mergeCell ref="F20:F21"/>
    <mergeCell ref="G20:I20"/>
    <mergeCell ref="T20:T21"/>
    <mergeCell ref="U20:U21"/>
    <mergeCell ref="J20:N20"/>
    <mergeCell ref="O20:S20"/>
    <mergeCell ref="V3:V4"/>
    <mergeCell ref="A3:A4"/>
    <mergeCell ref="B3:B4"/>
    <mergeCell ref="C3:C4"/>
    <mergeCell ref="D3:D4"/>
    <mergeCell ref="E3:E4"/>
    <mergeCell ref="F3:F4"/>
    <mergeCell ref="G3:I3"/>
    <mergeCell ref="T3:T4"/>
    <mergeCell ref="U3:U4"/>
    <mergeCell ref="J3:N3"/>
    <mergeCell ref="O3:S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3"/>
  <sheetViews>
    <sheetView tabSelected="1" workbookViewId="0">
      <selection activeCell="E5" sqref="E5"/>
    </sheetView>
  </sheetViews>
  <sheetFormatPr defaultRowHeight="15"/>
  <cols>
    <col min="1" max="1" width="9.5703125" style="35" bestFit="1" customWidth="1"/>
    <col min="2" max="2" width="13.42578125" style="35" bestFit="1" customWidth="1"/>
    <col min="3" max="3" width="20.42578125" style="35" customWidth="1"/>
    <col min="4" max="4" width="20.5703125" style="35" customWidth="1"/>
    <col min="5" max="5" width="35.28515625" style="35" bestFit="1" customWidth="1"/>
    <col min="6" max="6" width="19.42578125" style="35" bestFit="1" customWidth="1"/>
    <col min="7" max="8" width="14.5703125" style="35" bestFit="1" customWidth="1"/>
    <col min="9" max="9" width="13" style="35" bestFit="1" customWidth="1"/>
    <col min="10" max="10" width="9.28515625" style="35" customWidth="1"/>
    <col min="11" max="13" width="14.5703125" style="35" bestFit="1" customWidth="1"/>
    <col min="14" max="14" width="13" style="35" bestFit="1" customWidth="1"/>
    <col min="15" max="15" width="11" style="35" bestFit="1" customWidth="1"/>
    <col min="16" max="16" width="10" style="35" customWidth="1"/>
    <col min="17" max="19" width="14.5703125" style="35" bestFit="1" customWidth="1"/>
    <col min="20" max="20" width="18.7109375" style="35" bestFit="1" customWidth="1"/>
    <col min="21" max="21" width="15.5703125" style="35" bestFit="1" customWidth="1"/>
    <col min="22" max="22" width="20.85546875" style="35" bestFit="1" customWidth="1"/>
    <col min="23" max="16384" width="9.140625" style="35"/>
  </cols>
  <sheetData>
    <row r="1" spans="1:22" ht="28.5">
      <c r="A1" s="102" t="s">
        <v>103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</row>
    <row r="2" spans="1:22" ht="26.25">
      <c r="A2" s="103" t="s">
        <v>5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5"/>
    </row>
    <row r="3" spans="1:22">
      <c r="A3" s="68" t="s">
        <v>96</v>
      </c>
      <c r="B3" s="68" t="s">
        <v>95</v>
      </c>
      <c r="C3" s="68" t="s">
        <v>94</v>
      </c>
      <c r="D3" s="67" t="s">
        <v>93</v>
      </c>
      <c r="E3" s="68" t="s">
        <v>92</v>
      </c>
      <c r="F3" s="100" t="s">
        <v>91</v>
      </c>
      <c r="G3" s="68" t="s">
        <v>91</v>
      </c>
      <c r="H3" s="68"/>
      <c r="I3" s="68"/>
      <c r="J3" s="71" t="s">
        <v>90</v>
      </c>
      <c r="K3" s="72"/>
      <c r="L3" s="72"/>
      <c r="M3" s="72"/>
      <c r="N3" s="73"/>
      <c r="O3" s="74" t="s">
        <v>89</v>
      </c>
      <c r="P3" s="75"/>
      <c r="Q3" s="75"/>
      <c r="R3" s="75"/>
      <c r="S3" s="76"/>
      <c r="T3" s="67" t="s">
        <v>88</v>
      </c>
      <c r="U3" s="67" t="s">
        <v>87</v>
      </c>
      <c r="V3" s="67" t="s">
        <v>1</v>
      </c>
    </row>
    <row r="4" spans="1:22" ht="30">
      <c r="A4" s="68"/>
      <c r="B4" s="68"/>
      <c r="C4" s="68"/>
      <c r="D4" s="67"/>
      <c r="E4" s="68"/>
      <c r="F4" s="101"/>
      <c r="G4" s="36" t="s">
        <v>86</v>
      </c>
      <c r="H4" s="36" t="s">
        <v>128</v>
      </c>
      <c r="I4" s="36" t="s">
        <v>84</v>
      </c>
      <c r="J4" s="36" t="s">
        <v>129</v>
      </c>
      <c r="K4" s="36" t="s">
        <v>86</v>
      </c>
      <c r="L4" s="36" t="s">
        <v>85</v>
      </c>
      <c r="M4" s="36" t="s">
        <v>128</v>
      </c>
      <c r="N4" s="36" t="s">
        <v>84</v>
      </c>
      <c r="O4" s="36" t="s">
        <v>130</v>
      </c>
      <c r="P4" s="36" t="s">
        <v>86</v>
      </c>
      <c r="Q4" s="36" t="s">
        <v>85</v>
      </c>
      <c r="R4" s="36" t="s">
        <v>128</v>
      </c>
      <c r="S4" s="36" t="s">
        <v>84</v>
      </c>
      <c r="T4" s="67"/>
      <c r="U4" s="67"/>
      <c r="V4" s="67"/>
    </row>
    <row r="5" spans="1:22">
      <c r="A5" s="37">
        <v>1</v>
      </c>
      <c r="B5" s="37">
        <v>21</v>
      </c>
      <c r="C5" s="38" t="s">
        <v>83</v>
      </c>
      <c r="D5" s="37">
        <v>6</v>
      </c>
      <c r="E5" s="37" t="s">
        <v>82</v>
      </c>
      <c r="F5" s="37">
        <v>4261</v>
      </c>
      <c r="G5" s="39">
        <v>710.16666666666663</v>
      </c>
      <c r="H5" s="39">
        <v>174.5531596836779</v>
      </c>
      <c r="I5" s="39">
        <v>30468.805555555555</v>
      </c>
      <c r="J5" s="40">
        <v>1918</v>
      </c>
      <c r="K5" s="39">
        <v>319.66666666666669</v>
      </c>
      <c r="L5" s="39">
        <v>45.012907768129551</v>
      </c>
      <c r="M5" s="39">
        <v>118.43657468122854</v>
      </c>
      <c r="N5" s="39">
        <v>14027.222222222223</v>
      </c>
      <c r="O5" s="40">
        <v>2116</v>
      </c>
      <c r="P5" s="39">
        <v>352.66666666666669</v>
      </c>
      <c r="Q5" s="39">
        <v>49.659704294766492</v>
      </c>
      <c r="R5" s="39">
        <v>96.798186392560496</v>
      </c>
      <c r="S5" s="39">
        <v>9369.8888888888887</v>
      </c>
      <c r="T5" s="10" t="s">
        <v>99</v>
      </c>
      <c r="U5" s="39">
        <v>4.6467965266369395</v>
      </c>
      <c r="V5" s="13" t="s">
        <v>98</v>
      </c>
    </row>
    <row r="6" spans="1:22">
      <c r="A6" s="37">
        <v>2</v>
      </c>
      <c r="B6" s="37">
        <v>24</v>
      </c>
      <c r="C6" s="38" t="s">
        <v>81</v>
      </c>
      <c r="D6" s="37">
        <v>6</v>
      </c>
      <c r="E6" s="37" t="s">
        <v>80</v>
      </c>
      <c r="F6" s="37">
        <v>3247</v>
      </c>
      <c r="G6" s="39">
        <v>541.16666666666663</v>
      </c>
      <c r="H6" s="39">
        <v>177.68269158499623</v>
      </c>
      <c r="I6" s="39">
        <v>31571.138888888891</v>
      </c>
      <c r="J6" s="40">
        <v>1442</v>
      </c>
      <c r="K6" s="39">
        <v>240.333333333333</v>
      </c>
      <c r="L6" s="39">
        <v>44.410224822913399</v>
      </c>
      <c r="M6" s="39">
        <v>61.540411293898764</v>
      </c>
      <c r="N6" s="39">
        <v>3787.2222222222222</v>
      </c>
      <c r="O6" s="40">
        <v>1679</v>
      </c>
      <c r="P6" s="39">
        <v>279.83333333333331</v>
      </c>
      <c r="Q6" s="39">
        <v>51.709270095472746</v>
      </c>
      <c r="R6" s="39">
        <v>115.06145700836962</v>
      </c>
      <c r="S6" s="39">
        <v>13239.138888888889</v>
      </c>
      <c r="T6" s="10" t="s">
        <v>99</v>
      </c>
      <c r="U6" s="39">
        <v>7.2990452725593444</v>
      </c>
      <c r="V6" s="13" t="s">
        <v>98</v>
      </c>
    </row>
    <row r="7" spans="1:22">
      <c r="A7" s="37">
        <v>3</v>
      </c>
      <c r="B7" s="37">
        <v>25</v>
      </c>
      <c r="C7" s="38" t="s">
        <v>79</v>
      </c>
      <c r="D7" s="37">
        <v>6</v>
      </c>
      <c r="E7" s="37" t="s">
        <v>78</v>
      </c>
      <c r="F7" s="37">
        <v>3895</v>
      </c>
      <c r="G7" s="39">
        <v>649.16666666666663</v>
      </c>
      <c r="H7" s="39">
        <v>147.52786930686088</v>
      </c>
      <c r="I7" s="39">
        <v>21764.472222222223</v>
      </c>
      <c r="J7" s="40">
        <v>1640</v>
      </c>
      <c r="K7" s="39">
        <v>273.33333333333331</v>
      </c>
      <c r="L7" s="39">
        <v>42.105263157894733</v>
      </c>
      <c r="M7" s="39">
        <v>34.600899153377824</v>
      </c>
      <c r="N7" s="39">
        <v>1197.2222222222222</v>
      </c>
      <c r="O7" s="40">
        <v>1936</v>
      </c>
      <c r="P7" s="39">
        <v>322.66666666666669</v>
      </c>
      <c r="Q7" s="39">
        <v>49.704749679075746</v>
      </c>
      <c r="R7" s="39">
        <v>101.02254973794491</v>
      </c>
      <c r="S7" s="39">
        <v>10205.555555555555</v>
      </c>
      <c r="T7" s="10" t="s">
        <v>99</v>
      </c>
      <c r="U7" s="39">
        <v>7.5994865211810074</v>
      </c>
      <c r="V7" s="13" t="s">
        <v>98</v>
      </c>
    </row>
    <row r="8" spans="1:22">
      <c r="A8" s="37">
        <v>4</v>
      </c>
      <c r="B8" s="37">
        <v>44</v>
      </c>
      <c r="C8" s="38" t="s">
        <v>42</v>
      </c>
      <c r="D8" s="37">
        <v>6</v>
      </c>
      <c r="E8" s="37" t="s">
        <v>104</v>
      </c>
      <c r="F8" s="37">
        <v>3149</v>
      </c>
      <c r="G8" s="39">
        <v>524.83333333333337</v>
      </c>
      <c r="H8" s="39">
        <v>103.00391038963305</v>
      </c>
      <c r="I8" s="39">
        <v>10609.805555555555</v>
      </c>
      <c r="J8" s="40">
        <v>1416</v>
      </c>
      <c r="K8" s="39">
        <v>236</v>
      </c>
      <c r="L8" s="39">
        <v>44.966656081295646</v>
      </c>
      <c r="M8" s="39">
        <v>136.03308421115798</v>
      </c>
      <c r="N8" s="39">
        <v>18505</v>
      </c>
      <c r="O8" s="40">
        <v>1576</v>
      </c>
      <c r="P8" s="39">
        <v>262.66666666666669</v>
      </c>
      <c r="Q8" s="39">
        <v>50.047634169577648</v>
      </c>
      <c r="R8" s="39">
        <v>134.33622825664796</v>
      </c>
      <c r="S8" s="39">
        <v>18046.222222222223</v>
      </c>
      <c r="T8" s="10" t="s">
        <v>99</v>
      </c>
      <c r="U8" s="39">
        <v>5.0809780882819977</v>
      </c>
      <c r="V8" s="13" t="s">
        <v>98</v>
      </c>
    </row>
    <row r="9" spans="1:22">
      <c r="A9" s="37">
        <v>5</v>
      </c>
      <c r="B9" s="37">
        <v>46</v>
      </c>
      <c r="C9" s="38" t="s">
        <v>39</v>
      </c>
      <c r="D9" s="37">
        <v>5</v>
      </c>
      <c r="E9" s="37" t="s">
        <v>38</v>
      </c>
      <c r="F9" s="37">
        <v>2966</v>
      </c>
      <c r="G9" s="39">
        <v>593.20000000000005</v>
      </c>
      <c r="H9" s="39">
        <v>126.76655710399332</v>
      </c>
      <c r="I9" s="39">
        <v>16069.76</v>
      </c>
      <c r="J9" s="40">
        <v>1292</v>
      </c>
      <c r="K9" s="39">
        <v>258.39999999999998</v>
      </c>
      <c r="L9" s="39">
        <v>43.560350640593384</v>
      </c>
      <c r="M9" s="39">
        <v>54.635519582044793</v>
      </c>
      <c r="N9" s="39">
        <v>2985.04</v>
      </c>
      <c r="O9" s="40">
        <v>1526</v>
      </c>
      <c r="P9" s="39">
        <v>305.2</v>
      </c>
      <c r="Q9" s="39">
        <v>51.449763991908291</v>
      </c>
      <c r="R9" s="39">
        <v>136.79093537219489</v>
      </c>
      <c r="S9" s="39">
        <v>18711.759999999998</v>
      </c>
      <c r="T9" s="10" t="s">
        <v>99</v>
      </c>
      <c r="U9" s="39">
        <v>7.8894133513149027</v>
      </c>
      <c r="V9" s="13" t="s">
        <v>98</v>
      </c>
    </row>
    <row r="10" spans="1:22">
      <c r="A10" s="37">
        <v>6</v>
      </c>
      <c r="B10" s="37">
        <v>50</v>
      </c>
      <c r="C10" s="38" t="s">
        <v>31</v>
      </c>
      <c r="D10" s="37">
        <v>8</v>
      </c>
      <c r="E10" s="37" t="s">
        <v>30</v>
      </c>
      <c r="F10" s="37">
        <v>5603</v>
      </c>
      <c r="G10" s="39">
        <v>700.375</v>
      </c>
      <c r="H10" s="39">
        <v>154.45625392000156</v>
      </c>
      <c r="I10" s="39">
        <v>23856.734375</v>
      </c>
      <c r="J10" s="40">
        <v>2411</v>
      </c>
      <c r="K10" s="39">
        <v>301.375</v>
      </c>
      <c r="L10" s="39">
        <v>43.030519364626088</v>
      </c>
      <c r="M10" s="39">
        <v>171.33150432713768</v>
      </c>
      <c r="N10" s="39">
        <v>29354.484375</v>
      </c>
      <c r="O10" s="40">
        <v>2711</v>
      </c>
      <c r="P10" s="39">
        <v>338.875</v>
      </c>
      <c r="Q10" s="39">
        <v>48.384793860431913</v>
      </c>
      <c r="R10" s="39">
        <v>90.323636856583676</v>
      </c>
      <c r="S10" s="39">
        <v>8158.359375</v>
      </c>
      <c r="T10" s="10" t="s">
        <v>99</v>
      </c>
      <c r="U10" s="39">
        <v>5.3542744958058188</v>
      </c>
      <c r="V10" s="13" t="s">
        <v>98</v>
      </c>
    </row>
    <row r="11" spans="1:22">
      <c r="A11" s="37">
        <v>7</v>
      </c>
      <c r="B11" s="37">
        <v>52</v>
      </c>
      <c r="C11" s="38" t="s">
        <v>27</v>
      </c>
      <c r="D11" s="37">
        <v>6</v>
      </c>
      <c r="E11" s="37" t="s">
        <v>26</v>
      </c>
      <c r="F11" s="37">
        <v>4640</v>
      </c>
      <c r="G11" s="39">
        <v>773.33333333333337</v>
      </c>
      <c r="H11" s="39">
        <v>144.37412818399594</v>
      </c>
      <c r="I11" s="39">
        <v>20843.888888888891</v>
      </c>
      <c r="J11" s="40">
        <v>1777</v>
      </c>
      <c r="K11" s="39">
        <v>296.16666666666669</v>
      </c>
      <c r="L11" s="39">
        <v>38.297413793103445</v>
      </c>
      <c r="M11" s="39">
        <v>90.826605255410826</v>
      </c>
      <c r="N11" s="39">
        <v>8249.4722222222226</v>
      </c>
      <c r="O11" s="40">
        <v>2073</v>
      </c>
      <c r="P11" s="39">
        <v>345.5</v>
      </c>
      <c r="Q11" s="39">
        <v>44.676724137931032</v>
      </c>
      <c r="R11" s="39">
        <v>86.121522668068678</v>
      </c>
      <c r="S11" s="39">
        <v>7416.916666666667</v>
      </c>
      <c r="T11" s="10" t="s">
        <v>99</v>
      </c>
      <c r="U11" s="39">
        <v>6.3793103448275836</v>
      </c>
      <c r="V11" s="13" t="s">
        <v>98</v>
      </c>
    </row>
    <row r="12" spans="1:22">
      <c r="A12" s="37">
        <v>8</v>
      </c>
      <c r="B12" s="37">
        <v>53</v>
      </c>
      <c r="C12" s="38" t="s">
        <v>25</v>
      </c>
      <c r="D12" s="37">
        <v>7</v>
      </c>
      <c r="E12" s="37" t="s">
        <v>24</v>
      </c>
      <c r="F12" s="37">
        <v>4852</v>
      </c>
      <c r="G12" s="39">
        <v>691.42857142857144</v>
      </c>
      <c r="H12" s="39">
        <v>192.09138981437019</v>
      </c>
      <c r="I12" s="39">
        <v>36899.102040816324</v>
      </c>
      <c r="J12" s="40">
        <v>2066</v>
      </c>
      <c r="K12" s="39">
        <v>295.14285714285717</v>
      </c>
      <c r="L12" s="39">
        <v>42.685950413223146</v>
      </c>
      <c r="M12" s="39">
        <v>127.96029358630699</v>
      </c>
      <c r="N12" s="39">
        <v>16373.836734693878</v>
      </c>
      <c r="O12" s="40">
        <v>2355</v>
      </c>
      <c r="P12" s="39">
        <v>336.42857142857144</v>
      </c>
      <c r="Q12" s="39">
        <v>48.65702479338843</v>
      </c>
      <c r="R12" s="39">
        <v>94.092442603548349</v>
      </c>
      <c r="S12" s="39">
        <v>8853.3877551020414</v>
      </c>
      <c r="T12" s="10" t="s">
        <v>99</v>
      </c>
      <c r="U12" s="39">
        <v>5.9710743801652884</v>
      </c>
      <c r="V12" s="13" t="s">
        <v>98</v>
      </c>
    </row>
    <row r="13" spans="1:22">
      <c r="A13" s="37">
        <v>9</v>
      </c>
      <c r="B13" s="37">
        <v>54</v>
      </c>
      <c r="C13" s="38" t="s">
        <v>23</v>
      </c>
      <c r="D13" s="37">
        <v>5</v>
      </c>
      <c r="E13" s="37" t="s">
        <v>22</v>
      </c>
      <c r="F13" s="37">
        <v>2627</v>
      </c>
      <c r="G13" s="39">
        <v>656.75</v>
      </c>
      <c r="H13" s="39">
        <v>97.543259633867066</v>
      </c>
      <c r="I13" s="39">
        <v>9514.6875</v>
      </c>
      <c r="J13" s="40">
        <v>1168</v>
      </c>
      <c r="K13" s="39">
        <v>292</v>
      </c>
      <c r="L13" s="39">
        <v>44.461362771221921</v>
      </c>
      <c r="M13" s="39">
        <v>73.454067280171756</v>
      </c>
      <c r="N13" s="39">
        <v>5395.5</v>
      </c>
      <c r="O13" s="40">
        <v>1333</v>
      </c>
      <c r="P13" s="39">
        <v>333.25</v>
      </c>
      <c r="Q13" s="39">
        <v>50.742291587362011</v>
      </c>
      <c r="R13" s="39">
        <v>51.070417072900433</v>
      </c>
      <c r="S13" s="39">
        <v>2608.1875</v>
      </c>
      <c r="T13" s="10" t="s">
        <v>99</v>
      </c>
      <c r="U13" s="39">
        <v>6.2809288161400838</v>
      </c>
      <c r="V13" s="13" t="s">
        <v>98</v>
      </c>
    </row>
    <row r="14" spans="1:22" s="61" customFormat="1" ht="15.75">
      <c r="A14" s="59"/>
      <c r="B14" s="59"/>
      <c r="C14" s="60"/>
      <c r="D14" s="59"/>
      <c r="E14" s="59"/>
      <c r="F14" s="59">
        <f>SUM(F5:F13)</f>
        <v>35240</v>
      </c>
      <c r="G14" s="59"/>
      <c r="H14" s="59"/>
      <c r="I14" s="59"/>
      <c r="J14" s="59">
        <f>SUM(J5:J13)</f>
        <v>15130</v>
      </c>
      <c r="K14" s="59"/>
      <c r="L14" s="59"/>
      <c r="M14" s="59"/>
      <c r="N14" s="59"/>
      <c r="O14" s="59">
        <f>SUM(O5:O13)</f>
        <v>17305</v>
      </c>
      <c r="P14" s="59"/>
      <c r="Q14" s="59"/>
      <c r="R14" s="59"/>
      <c r="S14" s="59"/>
      <c r="T14" s="59"/>
      <c r="U14" s="59"/>
      <c r="V14" s="59"/>
    </row>
    <row r="15" spans="1:22" ht="27.75" customHeight="1">
      <c r="A15" s="106" t="s">
        <v>0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</row>
    <row r="16" spans="1:22">
      <c r="A16" s="68" t="s">
        <v>96</v>
      </c>
      <c r="B16" s="68" t="s">
        <v>95</v>
      </c>
      <c r="C16" s="68" t="s">
        <v>94</v>
      </c>
      <c r="D16" s="67" t="s">
        <v>93</v>
      </c>
      <c r="E16" s="68" t="s">
        <v>92</v>
      </c>
      <c r="F16" s="100" t="s">
        <v>91</v>
      </c>
      <c r="G16" s="68" t="s">
        <v>91</v>
      </c>
      <c r="H16" s="68"/>
      <c r="I16" s="68"/>
      <c r="J16" s="71" t="s">
        <v>90</v>
      </c>
      <c r="K16" s="72"/>
      <c r="L16" s="72"/>
      <c r="M16" s="72"/>
      <c r="N16" s="73"/>
      <c r="O16" s="74" t="s">
        <v>89</v>
      </c>
      <c r="P16" s="75"/>
      <c r="Q16" s="75"/>
      <c r="R16" s="75"/>
      <c r="S16" s="76"/>
      <c r="T16" s="67" t="s">
        <v>88</v>
      </c>
      <c r="U16" s="67" t="s">
        <v>87</v>
      </c>
      <c r="V16" s="67" t="s">
        <v>1</v>
      </c>
    </row>
    <row r="17" spans="1:22" ht="30">
      <c r="A17" s="68"/>
      <c r="B17" s="68"/>
      <c r="C17" s="68"/>
      <c r="D17" s="67"/>
      <c r="E17" s="68"/>
      <c r="F17" s="101"/>
      <c r="G17" s="36" t="s">
        <v>86</v>
      </c>
      <c r="H17" s="36" t="s">
        <v>128</v>
      </c>
      <c r="I17" s="36" t="s">
        <v>84</v>
      </c>
      <c r="J17" s="36" t="s">
        <v>129</v>
      </c>
      <c r="K17" s="36" t="s">
        <v>86</v>
      </c>
      <c r="L17" s="36" t="s">
        <v>85</v>
      </c>
      <c r="M17" s="36" t="s">
        <v>128</v>
      </c>
      <c r="N17" s="36" t="s">
        <v>84</v>
      </c>
      <c r="O17" s="36" t="s">
        <v>130</v>
      </c>
      <c r="P17" s="36" t="s">
        <v>86</v>
      </c>
      <c r="Q17" s="36" t="s">
        <v>85</v>
      </c>
      <c r="R17" s="36" t="s">
        <v>128</v>
      </c>
      <c r="S17" s="36" t="s">
        <v>84</v>
      </c>
      <c r="T17" s="67"/>
      <c r="U17" s="67"/>
      <c r="V17" s="67"/>
    </row>
    <row r="18" spans="1:22">
      <c r="A18" s="37">
        <v>1</v>
      </c>
      <c r="B18" s="37">
        <v>31</v>
      </c>
      <c r="C18" s="38" t="s">
        <v>68</v>
      </c>
      <c r="D18" s="37">
        <v>6</v>
      </c>
      <c r="E18" s="40" t="s">
        <v>67</v>
      </c>
      <c r="F18" s="40">
        <v>3532</v>
      </c>
      <c r="G18" s="39">
        <v>588.66666666666663</v>
      </c>
      <c r="H18" s="39">
        <v>97.93138187300103</v>
      </c>
      <c r="I18" s="39">
        <v>9590.5555555555547</v>
      </c>
      <c r="J18" s="40">
        <v>1481</v>
      </c>
      <c r="K18" s="39">
        <v>246.83333333333334</v>
      </c>
      <c r="L18" s="39">
        <v>41.930917327293322</v>
      </c>
      <c r="M18" s="39">
        <v>49.245699191796319</v>
      </c>
      <c r="N18" s="39">
        <v>2425.1388888888887</v>
      </c>
      <c r="O18" s="40">
        <v>1903</v>
      </c>
      <c r="P18" s="39">
        <v>317.16666666666669</v>
      </c>
      <c r="Q18" s="39">
        <v>53.878822197055499</v>
      </c>
      <c r="R18" s="39">
        <v>49.424746388378722</v>
      </c>
      <c r="S18" s="39">
        <v>2442.8055555555557</v>
      </c>
      <c r="T18" s="10" t="s">
        <v>99</v>
      </c>
      <c r="U18" s="39">
        <v>11.947904869762176</v>
      </c>
      <c r="V18" s="12" t="s">
        <v>100</v>
      </c>
    </row>
    <row r="19" spans="1:22">
      <c r="A19" s="37">
        <v>2</v>
      </c>
      <c r="B19" s="37">
        <v>34</v>
      </c>
      <c r="C19" s="38" t="s">
        <v>62</v>
      </c>
      <c r="D19" s="37">
        <v>5</v>
      </c>
      <c r="E19" s="40" t="s">
        <v>61</v>
      </c>
      <c r="F19" s="40">
        <v>3374</v>
      </c>
      <c r="G19" s="39">
        <v>674.8</v>
      </c>
      <c r="H19" s="39">
        <v>121.0874064467482</v>
      </c>
      <c r="I19" s="39">
        <v>14662.16</v>
      </c>
      <c r="J19" s="40">
        <v>1287</v>
      </c>
      <c r="K19" s="39">
        <v>257.39999999999998</v>
      </c>
      <c r="L19" s="39">
        <v>38.144635447540011</v>
      </c>
      <c r="M19" s="39">
        <v>104.72936550939282</v>
      </c>
      <c r="N19" s="39">
        <v>10968.24</v>
      </c>
      <c r="O19" s="40">
        <v>1972</v>
      </c>
      <c r="P19" s="39">
        <v>394.4</v>
      </c>
      <c r="Q19" s="39">
        <v>58.446947243627747</v>
      </c>
      <c r="R19" s="39">
        <v>102.05018373329858</v>
      </c>
      <c r="S19" s="39">
        <v>10414.24</v>
      </c>
      <c r="T19" s="10" t="s">
        <v>99</v>
      </c>
      <c r="U19" s="39">
        <v>20.302311796087729</v>
      </c>
      <c r="V19" s="12" t="s">
        <v>100</v>
      </c>
    </row>
    <row r="20" spans="1:22">
      <c r="A20" s="37">
        <v>3</v>
      </c>
      <c r="B20" s="37">
        <v>35</v>
      </c>
      <c r="C20" s="38" t="s">
        <v>60</v>
      </c>
      <c r="D20" s="37">
        <v>7</v>
      </c>
      <c r="E20" s="40" t="s">
        <v>59</v>
      </c>
      <c r="F20" s="40">
        <v>4819</v>
      </c>
      <c r="G20" s="39">
        <v>688.42857142857144</v>
      </c>
      <c r="H20" s="39">
        <v>106.87089292741051</v>
      </c>
      <c r="I20" s="39">
        <v>11421.387755102041</v>
      </c>
      <c r="J20" s="40">
        <v>1868</v>
      </c>
      <c r="K20" s="39">
        <v>266.85714285714283</v>
      </c>
      <c r="L20" s="39">
        <v>38.763228885660922</v>
      </c>
      <c r="M20" s="39">
        <v>55.835033987704918</v>
      </c>
      <c r="N20" s="39">
        <v>3117.5510204081634</v>
      </c>
      <c r="O20" s="40">
        <v>2730</v>
      </c>
      <c r="P20" s="39">
        <v>390</v>
      </c>
      <c r="Q20" s="39">
        <v>56.650757418551564</v>
      </c>
      <c r="R20" s="39">
        <v>91.61409748037066</v>
      </c>
      <c r="S20" s="39">
        <v>8393.1428571428569</v>
      </c>
      <c r="T20" s="10" t="s">
        <v>99</v>
      </c>
      <c r="U20" s="39">
        <v>17.887528532890645</v>
      </c>
      <c r="V20" s="12" t="s">
        <v>100</v>
      </c>
    </row>
    <row r="21" spans="1:22">
      <c r="A21" s="37">
        <v>4</v>
      </c>
      <c r="B21" s="37">
        <v>36</v>
      </c>
      <c r="C21" s="38" t="s">
        <v>58</v>
      </c>
      <c r="D21" s="37">
        <v>3</v>
      </c>
      <c r="E21" s="40" t="s">
        <v>57</v>
      </c>
      <c r="F21" s="40">
        <v>2103</v>
      </c>
      <c r="G21" s="39">
        <v>701</v>
      </c>
      <c r="H21" s="39">
        <v>83.968247967113541</v>
      </c>
      <c r="I21" s="39">
        <v>7050.666666666667</v>
      </c>
      <c r="J21" s="40">
        <v>688</v>
      </c>
      <c r="K21" s="39">
        <v>229.33333333333334</v>
      </c>
      <c r="L21" s="39">
        <v>32.715168806466956</v>
      </c>
      <c r="M21" s="39">
        <v>10.964589468932351</v>
      </c>
      <c r="N21" s="39">
        <v>120.22222222222221</v>
      </c>
      <c r="O21" s="40">
        <v>1303</v>
      </c>
      <c r="P21" s="39">
        <v>434.33333333333331</v>
      </c>
      <c r="Q21" s="39">
        <v>61.959106038991919</v>
      </c>
      <c r="R21" s="39">
        <v>83.347998709560443</v>
      </c>
      <c r="S21" s="39">
        <v>6946.8888888888887</v>
      </c>
      <c r="T21" s="10" t="s">
        <v>99</v>
      </c>
      <c r="U21" s="39">
        <v>29.243937232524956</v>
      </c>
      <c r="V21" s="12" t="s">
        <v>100</v>
      </c>
    </row>
    <row r="22" spans="1:22">
      <c r="A22" s="37">
        <v>5</v>
      </c>
      <c r="B22" s="37">
        <v>37</v>
      </c>
      <c r="C22" s="38" t="s">
        <v>56</v>
      </c>
      <c r="D22" s="37">
        <v>6</v>
      </c>
      <c r="E22" s="40" t="s">
        <v>55</v>
      </c>
      <c r="F22" s="40">
        <v>3746</v>
      </c>
      <c r="G22" s="39">
        <v>624.33333333333337</v>
      </c>
      <c r="H22" s="39">
        <v>143.56725098557664</v>
      </c>
      <c r="I22" s="39">
        <v>20611.555555555555</v>
      </c>
      <c r="J22" s="40">
        <v>1517</v>
      </c>
      <c r="K22" s="39">
        <v>252.83333333333334</v>
      </c>
      <c r="L22" s="39">
        <v>40.496529631607046</v>
      </c>
      <c r="M22" s="39">
        <v>41.009822671593639</v>
      </c>
      <c r="N22" s="39">
        <v>1681.8055555555557</v>
      </c>
      <c r="O22" s="40">
        <v>2049</v>
      </c>
      <c r="P22" s="39">
        <v>341.5</v>
      </c>
      <c r="Q22" s="39">
        <v>54.698344901227969</v>
      </c>
      <c r="R22" s="39">
        <v>135.87218258348543</v>
      </c>
      <c r="S22" s="39">
        <v>18461.25</v>
      </c>
      <c r="T22" s="10" t="s">
        <v>99</v>
      </c>
      <c r="U22" s="39">
        <v>14.201815269620926</v>
      </c>
      <c r="V22" s="12" t="s">
        <v>100</v>
      </c>
    </row>
    <row r="23" spans="1:22">
      <c r="A23" s="37">
        <v>6</v>
      </c>
      <c r="B23" s="37">
        <v>38</v>
      </c>
      <c r="C23" s="38" t="s">
        <v>54</v>
      </c>
      <c r="D23" s="37">
        <v>7</v>
      </c>
      <c r="E23" s="40" t="s">
        <v>53</v>
      </c>
      <c r="F23" s="40">
        <v>4993</v>
      </c>
      <c r="G23" s="39">
        <v>713.28571428571433</v>
      </c>
      <c r="H23" s="39">
        <v>153.87538026942849</v>
      </c>
      <c r="I23" s="39">
        <v>23677.632653061224</v>
      </c>
      <c r="J23" s="40">
        <v>1730</v>
      </c>
      <c r="K23" s="39">
        <v>247.14285714285714</v>
      </c>
      <c r="L23" s="39">
        <v>34.648507911075505</v>
      </c>
      <c r="M23" s="39">
        <v>98.447126594400288</v>
      </c>
      <c r="N23" s="39">
        <v>9691.8367346938776</v>
      </c>
      <c r="O23" s="40">
        <v>3096</v>
      </c>
      <c r="P23" s="39">
        <v>442.28571428571428</v>
      </c>
      <c r="Q23" s="39">
        <v>62.006809533346683</v>
      </c>
      <c r="R23" s="39">
        <v>144.28811879184576</v>
      </c>
      <c r="S23" s="39">
        <v>20819.061224489797</v>
      </c>
      <c r="T23" s="10" t="s">
        <v>99</v>
      </c>
      <c r="U23" s="39">
        <v>27.358301622271174</v>
      </c>
      <c r="V23" s="12" t="s">
        <v>100</v>
      </c>
    </row>
    <row r="24" spans="1:22">
      <c r="A24" s="37">
        <v>7</v>
      </c>
      <c r="B24" s="37">
        <v>40</v>
      </c>
      <c r="C24" s="38" t="s">
        <v>50</v>
      </c>
      <c r="D24" s="37">
        <v>5</v>
      </c>
      <c r="E24" s="40" t="s">
        <v>49</v>
      </c>
      <c r="F24" s="40">
        <v>2679</v>
      </c>
      <c r="G24" s="39">
        <v>535.79999999999995</v>
      </c>
      <c r="H24" s="39">
        <v>51.673590933860979</v>
      </c>
      <c r="I24" s="39">
        <v>2670.16</v>
      </c>
      <c r="J24" s="40">
        <v>968</v>
      </c>
      <c r="K24" s="39">
        <v>193.6</v>
      </c>
      <c r="L24" s="39">
        <v>36.132885405001872</v>
      </c>
      <c r="M24" s="39">
        <v>42.528108352006441</v>
      </c>
      <c r="N24" s="39">
        <v>1808.64</v>
      </c>
      <c r="O24" s="40">
        <v>1604</v>
      </c>
      <c r="P24" s="39">
        <v>320.8</v>
      </c>
      <c r="Q24" s="39">
        <v>59.873086972751032</v>
      </c>
      <c r="R24" s="39">
        <v>63.199367085438439</v>
      </c>
      <c r="S24" s="39">
        <v>3994.16</v>
      </c>
      <c r="T24" s="10" t="s">
        <v>99</v>
      </c>
      <c r="U24" s="39">
        <v>23.740201567749164</v>
      </c>
      <c r="V24" s="12" t="s">
        <v>100</v>
      </c>
    </row>
    <row r="25" spans="1:22">
      <c r="A25" s="37">
        <v>8</v>
      </c>
      <c r="B25" s="37">
        <v>43</v>
      </c>
      <c r="C25" s="38" t="s">
        <v>44</v>
      </c>
      <c r="D25" s="37">
        <v>5</v>
      </c>
      <c r="E25" s="37" t="s">
        <v>43</v>
      </c>
      <c r="F25" s="37">
        <v>2821</v>
      </c>
      <c r="G25" s="39">
        <v>564.20000000000005</v>
      </c>
      <c r="H25" s="39">
        <v>152.79450251890609</v>
      </c>
      <c r="I25" s="39">
        <v>23346.16</v>
      </c>
      <c r="J25" s="40">
        <v>1092</v>
      </c>
      <c r="K25" s="39">
        <v>218.4</v>
      </c>
      <c r="L25" s="39">
        <v>38.70967741935484</v>
      </c>
      <c r="M25" s="39">
        <v>124.42122005510153</v>
      </c>
      <c r="N25" s="39">
        <v>15480.64</v>
      </c>
      <c r="O25" s="40">
        <v>1522</v>
      </c>
      <c r="P25" s="39">
        <v>304.39999999999998</v>
      </c>
      <c r="Q25" s="39">
        <v>53.952499113789429</v>
      </c>
      <c r="R25" s="39">
        <v>152.06524915311849</v>
      </c>
      <c r="S25" s="39">
        <v>23123.84</v>
      </c>
      <c r="T25" s="10" t="s">
        <v>99</v>
      </c>
      <c r="U25" s="39">
        <v>15.242821694434591</v>
      </c>
      <c r="V25" s="12" t="s">
        <v>100</v>
      </c>
    </row>
    <row r="26" spans="1:22">
      <c r="A26" s="37">
        <v>9</v>
      </c>
      <c r="B26" s="37">
        <v>47</v>
      </c>
      <c r="C26" s="38" t="s">
        <v>37</v>
      </c>
      <c r="D26" s="37">
        <v>5</v>
      </c>
      <c r="E26" s="37" t="s">
        <v>36</v>
      </c>
      <c r="F26" s="37">
        <v>3178</v>
      </c>
      <c r="G26" s="39">
        <v>635.6</v>
      </c>
      <c r="H26" s="39">
        <v>142.24289085926227</v>
      </c>
      <c r="I26" s="39">
        <v>20233.04</v>
      </c>
      <c r="J26" s="40">
        <v>1233</v>
      </c>
      <c r="K26" s="39">
        <v>246.6</v>
      </c>
      <c r="L26" s="39">
        <v>38.797986154814346</v>
      </c>
      <c r="M26" s="39">
        <v>94.084217592537811</v>
      </c>
      <c r="N26" s="39">
        <v>8851.84</v>
      </c>
      <c r="O26" s="40">
        <v>1791</v>
      </c>
      <c r="P26" s="39">
        <v>358.2</v>
      </c>
      <c r="Q26" s="39">
        <v>56.356198867212079</v>
      </c>
      <c r="R26" s="39">
        <v>45.836230211482274</v>
      </c>
      <c r="S26" s="39">
        <v>2100.96</v>
      </c>
      <c r="T26" s="10" t="s">
        <v>99</v>
      </c>
      <c r="U26" s="39">
        <v>17.558212712397733</v>
      </c>
      <c r="V26" s="12" t="s">
        <v>100</v>
      </c>
    </row>
    <row r="27" spans="1:22">
      <c r="A27" s="37">
        <v>10</v>
      </c>
      <c r="B27" s="37">
        <v>48</v>
      </c>
      <c r="C27" s="38" t="s">
        <v>35</v>
      </c>
      <c r="D27" s="37">
        <v>6</v>
      </c>
      <c r="E27" s="37" t="s">
        <v>34</v>
      </c>
      <c r="F27" s="37">
        <v>4355</v>
      </c>
      <c r="G27" s="39">
        <v>725.83333333333337</v>
      </c>
      <c r="H27" s="39">
        <v>154.89180811851293</v>
      </c>
      <c r="I27" s="39">
        <v>23991.472222222223</v>
      </c>
      <c r="J27" s="40">
        <v>1658</v>
      </c>
      <c r="K27" s="39">
        <v>276.33333333333331</v>
      </c>
      <c r="L27" s="39">
        <v>38.071182548794482</v>
      </c>
      <c r="M27" s="39">
        <v>101.62786144666345</v>
      </c>
      <c r="N27" s="39">
        <v>10328.222222222223</v>
      </c>
      <c r="O27" s="40">
        <v>2431</v>
      </c>
      <c r="P27" s="39">
        <v>405.16666666666669</v>
      </c>
      <c r="Q27" s="39">
        <v>55.820895522388057</v>
      </c>
      <c r="R27" s="39">
        <v>73.917559182886691</v>
      </c>
      <c r="S27" s="39">
        <v>5463.8055555555557</v>
      </c>
      <c r="T27" s="10" t="s">
        <v>99</v>
      </c>
      <c r="U27" s="39">
        <v>17.749712973593574</v>
      </c>
      <c r="V27" s="12" t="s">
        <v>100</v>
      </c>
    </row>
    <row r="28" spans="1:22" ht="19.5" customHeight="1">
      <c r="A28" s="37">
        <v>11</v>
      </c>
      <c r="B28" s="37">
        <v>51</v>
      </c>
      <c r="C28" s="38" t="s">
        <v>29</v>
      </c>
      <c r="D28" s="37">
        <v>8</v>
      </c>
      <c r="E28" s="37" t="s">
        <v>28</v>
      </c>
      <c r="F28" s="37">
        <v>4463</v>
      </c>
      <c r="G28" s="39">
        <v>637.57142857142856</v>
      </c>
      <c r="H28" s="39">
        <v>133.23540621541918</v>
      </c>
      <c r="I28" s="39">
        <v>17751.673469387755</v>
      </c>
      <c r="J28" s="40">
        <v>1343</v>
      </c>
      <c r="K28" s="39">
        <v>191.85714285714286</v>
      </c>
      <c r="L28" s="39">
        <v>30.091866457539773</v>
      </c>
      <c r="M28" s="39">
        <v>84.114596272718615</v>
      </c>
      <c r="N28" s="39">
        <v>7075.2653061224491</v>
      </c>
      <c r="O28" s="40">
        <v>2491</v>
      </c>
      <c r="P28" s="39">
        <v>355.85714285714283</v>
      </c>
      <c r="Q28" s="39">
        <v>55.814474568675777</v>
      </c>
      <c r="R28" s="39">
        <v>151.62965086159159</v>
      </c>
      <c r="S28" s="39">
        <v>22991.551020408162</v>
      </c>
      <c r="T28" s="10" t="s">
        <v>99</v>
      </c>
      <c r="U28" s="39">
        <v>25.722608111136005</v>
      </c>
      <c r="V28" s="12" t="s">
        <v>100</v>
      </c>
    </row>
    <row r="29" spans="1:22">
      <c r="A29" s="37">
        <v>12</v>
      </c>
      <c r="B29" s="37">
        <v>55</v>
      </c>
      <c r="C29" s="38" t="s">
        <v>21</v>
      </c>
      <c r="D29" s="37">
        <v>8</v>
      </c>
      <c r="E29" s="37" t="s">
        <v>20</v>
      </c>
      <c r="F29" s="37">
        <v>4081</v>
      </c>
      <c r="G29" s="39">
        <v>510.125</v>
      </c>
      <c r="H29" s="39">
        <v>217.66283416100234</v>
      </c>
      <c r="I29" s="39">
        <v>47377.109375</v>
      </c>
      <c r="J29" s="40">
        <v>1626</v>
      </c>
      <c r="K29" s="39">
        <v>203.25</v>
      </c>
      <c r="L29" s="39">
        <v>39.843175692232293</v>
      </c>
      <c r="M29" s="39">
        <v>152.04666224550937</v>
      </c>
      <c r="N29" s="39">
        <v>23118.1875</v>
      </c>
      <c r="O29" s="40">
        <v>2236</v>
      </c>
      <c r="P29" s="39">
        <v>279.5</v>
      </c>
      <c r="Q29" s="39">
        <v>54.790492526341581</v>
      </c>
      <c r="R29" s="39">
        <v>134.17619013819106</v>
      </c>
      <c r="S29" s="39">
        <v>18003.25</v>
      </c>
      <c r="T29" s="10" t="s">
        <v>99</v>
      </c>
      <c r="U29" s="39">
        <v>14.947316834109287</v>
      </c>
      <c r="V29" s="12" t="s">
        <v>100</v>
      </c>
    </row>
    <row r="30" spans="1:22">
      <c r="A30" s="37">
        <v>13</v>
      </c>
      <c r="B30" s="37">
        <v>57</v>
      </c>
      <c r="C30" s="38" t="s">
        <v>17</v>
      </c>
      <c r="D30" s="37">
        <v>5</v>
      </c>
      <c r="E30" s="37" t="s">
        <v>16</v>
      </c>
      <c r="F30" s="37">
        <v>1196</v>
      </c>
      <c r="G30" s="39">
        <v>598</v>
      </c>
      <c r="H30" s="39">
        <v>18</v>
      </c>
      <c r="I30" s="39">
        <v>324</v>
      </c>
      <c r="J30" s="40">
        <v>380</v>
      </c>
      <c r="K30" s="39">
        <v>190</v>
      </c>
      <c r="L30" s="39">
        <v>31.77257525083612</v>
      </c>
      <c r="M30" s="39">
        <v>107</v>
      </c>
      <c r="N30" s="39">
        <v>11449</v>
      </c>
      <c r="O30" s="40">
        <v>707</v>
      </c>
      <c r="P30" s="39">
        <v>353.5</v>
      </c>
      <c r="Q30" s="39">
        <v>59.113712374581937</v>
      </c>
      <c r="R30" s="39">
        <v>86.5</v>
      </c>
      <c r="S30" s="39">
        <v>7482.25</v>
      </c>
      <c r="T30" s="10" t="s">
        <v>99</v>
      </c>
      <c r="U30" s="39">
        <v>27.341137123745817</v>
      </c>
      <c r="V30" s="12" t="s">
        <v>100</v>
      </c>
    </row>
    <row r="31" spans="1:22">
      <c r="A31" s="37">
        <v>14</v>
      </c>
      <c r="B31" s="37">
        <v>58</v>
      </c>
      <c r="C31" s="38" t="s">
        <v>15</v>
      </c>
      <c r="D31" s="37">
        <v>4</v>
      </c>
      <c r="E31" s="37" t="s">
        <v>14</v>
      </c>
      <c r="F31" s="37">
        <v>1251</v>
      </c>
      <c r="G31" s="39">
        <v>312.75</v>
      </c>
      <c r="H31" s="39">
        <v>318.53993077791677</v>
      </c>
      <c r="I31" s="39">
        <v>101467.6875</v>
      </c>
      <c r="J31" s="40">
        <v>508</v>
      </c>
      <c r="K31" s="39">
        <v>127</v>
      </c>
      <c r="L31" s="39">
        <v>40.607513988808954</v>
      </c>
      <c r="M31" s="39">
        <v>147.46864073422526</v>
      </c>
      <c r="N31" s="39">
        <v>21747</v>
      </c>
      <c r="O31" s="40">
        <v>694</v>
      </c>
      <c r="P31" s="39">
        <v>173.5</v>
      </c>
      <c r="Q31" s="39">
        <v>55.475619504396477</v>
      </c>
      <c r="R31" s="39">
        <v>174.47134435201673</v>
      </c>
      <c r="S31" s="39">
        <v>30440.25</v>
      </c>
      <c r="T31" s="10" t="s">
        <v>99</v>
      </c>
      <c r="U31" s="39">
        <v>14.86810551558753</v>
      </c>
      <c r="V31" s="12" t="s">
        <v>100</v>
      </c>
    </row>
    <row r="32" spans="1:22">
      <c r="A32" s="37">
        <v>15</v>
      </c>
      <c r="B32" s="37">
        <v>60</v>
      </c>
      <c r="C32" s="38" t="s">
        <v>11</v>
      </c>
      <c r="D32" s="37">
        <v>7</v>
      </c>
      <c r="E32" s="37" t="s">
        <v>10</v>
      </c>
      <c r="F32" s="37">
        <v>4601</v>
      </c>
      <c r="G32" s="39">
        <v>657.28571428571433</v>
      </c>
      <c r="H32" s="39">
        <v>184.36587403910758</v>
      </c>
      <c r="I32" s="39">
        <v>33990.775510204083</v>
      </c>
      <c r="J32" s="40">
        <v>1657</v>
      </c>
      <c r="K32" s="39">
        <v>236.71428571428572</v>
      </c>
      <c r="L32" s="39">
        <v>36.01391001956096</v>
      </c>
      <c r="M32" s="39">
        <v>187.10861191581009</v>
      </c>
      <c r="N32" s="39">
        <v>35009.632653061228</v>
      </c>
      <c r="O32" s="40">
        <v>2407</v>
      </c>
      <c r="P32" s="39">
        <v>343.85714285714283</v>
      </c>
      <c r="Q32" s="39">
        <v>52.314714192566825</v>
      </c>
      <c r="R32" s="39">
        <v>111.48020781597906</v>
      </c>
      <c r="S32" s="39">
        <v>12427.836734693878</v>
      </c>
      <c r="T32" s="10" t="s">
        <v>99</v>
      </c>
      <c r="U32" s="39">
        <v>16.300804173005861</v>
      </c>
      <c r="V32" s="12" t="s">
        <v>100</v>
      </c>
    </row>
    <row r="33" spans="1:22" s="61" customFormat="1" ht="15.75">
      <c r="A33" s="59"/>
      <c r="B33" s="59"/>
      <c r="C33" s="60"/>
      <c r="D33" s="59"/>
      <c r="E33" s="59"/>
      <c r="F33" s="59">
        <f>SUM(F18:F32)</f>
        <v>51192</v>
      </c>
      <c r="G33" s="59"/>
      <c r="H33" s="59"/>
      <c r="I33" s="59"/>
      <c r="J33" s="59">
        <f>SUM(J18:J32)</f>
        <v>19036</v>
      </c>
      <c r="K33" s="59"/>
      <c r="L33" s="59"/>
      <c r="M33" s="59"/>
      <c r="N33" s="59"/>
      <c r="O33" s="59">
        <f>SUM(O18:O32)</f>
        <v>28936</v>
      </c>
      <c r="P33" s="59"/>
      <c r="Q33" s="59"/>
      <c r="R33" s="59"/>
      <c r="S33" s="59"/>
      <c r="T33" s="59"/>
      <c r="U33" s="59"/>
      <c r="V33" s="59"/>
    </row>
    <row r="34" spans="1:22" ht="26.25">
      <c r="A34" s="106" t="s">
        <v>4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</row>
    <row r="35" spans="1:22">
      <c r="A35" s="68" t="s">
        <v>96</v>
      </c>
      <c r="B35" s="68" t="s">
        <v>95</v>
      </c>
      <c r="C35" s="68" t="s">
        <v>94</v>
      </c>
      <c r="D35" s="67" t="s">
        <v>93</v>
      </c>
      <c r="E35" s="68" t="s">
        <v>92</v>
      </c>
      <c r="F35" s="100" t="s">
        <v>91</v>
      </c>
      <c r="G35" s="68" t="s">
        <v>91</v>
      </c>
      <c r="H35" s="68"/>
      <c r="I35" s="68"/>
      <c r="J35" s="71" t="s">
        <v>90</v>
      </c>
      <c r="K35" s="72"/>
      <c r="L35" s="72"/>
      <c r="M35" s="72"/>
      <c r="N35" s="73"/>
      <c r="O35" s="74" t="s">
        <v>89</v>
      </c>
      <c r="P35" s="75"/>
      <c r="Q35" s="75"/>
      <c r="R35" s="75"/>
      <c r="S35" s="76"/>
      <c r="T35" s="67" t="s">
        <v>88</v>
      </c>
      <c r="U35" s="67" t="s">
        <v>87</v>
      </c>
      <c r="V35" s="67" t="s">
        <v>1</v>
      </c>
    </row>
    <row r="36" spans="1:22" ht="30">
      <c r="A36" s="68"/>
      <c r="B36" s="68"/>
      <c r="C36" s="68"/>
      <c r="D36" s="67"/>
      <c r="E36" s="68"/>
      <c r="F36" s="101"/>
      <c r="G36" s="36" t="s">
        <v>86</v>
      </c>
      <c r="H36" s="36" t="s">
        <v>128</v>
      </c>
      <c r="I36" s="36" t="s">
        <v>84</v>
      </c>
      <c r="J36" s="36" t="s">
        <v>129</v>
      </c>
      <c r="K36" s="36" t="s">
        <v>86</v>
      </c>
      <c r="L36" s="36" t="s">
        <v>85</v>
      </c>
      <c r="M36" s="36" t="s">
        <v>128</v>
      </c>
      <c r="N36" s="36" t="s">
        <v>84</v>
      </c>
      <c r="O36" s="36" t="s">
        <v>130</v>
      </c>
      <c r="P36" s="36" t="s">
        <v>86</v>
      </c>
      <c r="Q36" s="36" t="s">
        <v>85</v>
      </c>
      <c r="R36" s="36" t="s">
        <v>128</v>
      </c>
      <c r="S36" s="36" t="s">
        <v>84</v>
      </c>
      <c r="T36" s="67"/>
      <c r="U36" s="67"/>
      <c r="V36" s="67"/>
    </row>
    <row r="37" spans="1:22">
      <c r="A37" s="37">
        <v>1</v>
      </c>
      <c r="B37" s="37">
        <v>39</v>
      </c>
      <c r="C37" s="38" t="s">
        <v>52</v>
      </c>
      <c r="D37" s="37">
        <v>6</v>
      </c>
      <c r="E37" s="40" t="s">
        <v>51</v>
      </c>
      <c r="F37" s="40">
        <v>3577</v>
      </c>
      <c r="G37" s="39">
        <v>596.16666666666663</v>
      </c>
      <c r="H37" s="39">
        <v>124.39643171016692</v>
      </c>
      <c r="I37" s="39">
        <v>15474.472222222223</v>
      </c>
      <c r="J37" s="40">
        <v>1183</v>
      </c>
      <c r="K37" s="39">
        <v>197.16666666666666</v>
      </c>
      <c r="L37" s="39">
        <v>33.072407045009783</v>
      </c>
      <c r="M37" s="39">
        <v>104.95620779904138</v>
      </c>
      <c r="N37" s="39">
        <v>11015.805555555555</v>
      </c>
      <c r="O37" s="40">
        <v>2265</v>
      </c>
      <c r="P37" s="39">
        <v>377.5</v>
      </c>
      <c r="Q37" s="39">
        <v>63.321218898518318</v>
      </c>
      <c r="R37" s="39">
        <v>42.248274126485533</v>
      </c>
      <c r="S37" s="39">
        <v>1784.9166666666667</v>
      </c>
      <c r="T37" s="10" t="s">
        <v>99</v>
      </c>
      <c r="U37" s="39">
        <v>30.248811853508528</v>
      </c>
      <c r="V37" s="19" t="s">
        <v>101</v>
      </c>
    </row>
    <row r="38" spans="1:22">
      <c r="A38" s="37">
        <v>2</v>
      </c>
      <c r="B38" s="37">
        <v>45</v>
      </c>
      <c r="C38" s="38" t="s">
        <v>41</v>
      </c>
      <c r="D38" s="37">
        <v>6</v>
      </c>
      <c r="E38" s="37" t="s">
        <v>40</v>
      </c>
      <c r="F38" s="37">
        <v>2507</v>
      </c>
      <c r="G38" s="39">
        <v>626.75</v>
      </c>
      <c r="H38" s="39">
        <v>207.2116973049543</v>
      </c>
      <c r="I38" s="39">
        <v>42936.6875</v>
      </c>
      <c r="J38" s="40">
        <v>695</v>
      </c>
      <c r="K38" s="39">
        <v>173.75</v>
      </c>
      <c r="L38" s="39">
        <v>27.722377343438371</v>
      </c>
      <c r="M38" s="39">
        <v>138.11114183873798</v>
      </c>
      <c r="N38" s="39">
        <v>19074.6875</v>
      </c>
      <c r="O38" s="40">
        <v>1683</v>
      </c>
      <c r="P38" s="39">
        <v>420.75</v>
      </c>
      <c r="Q38" s="39">
        <v>67.132030315117674</v>
      </c>
      <c r="R38" s="39">
        <v>87.861752201967832</v>
      </c>
      <c r="S38" s="39">
        <v>7719.6875</v>
      </c>
      <c r="T38" s="10" t="s">
        <v>99</v>
      </c>
      <c r="U38" s="39">
        <v>39.4096529716793</v>
      </c>
      <c r="V38" s="19" t="s">
        <v>101</v>
      </c>
    </row>
    <row r="39" spans="1:22" s="61" customFormat="1" ht="15.75">
      <c r="A39" s="59"/>
      <c r="B39" s="59"/>
      <c r="C39" s="60"/>
      <c r="D39" s="59"/>
      <c r="E39" s="59"/>
      <c r="F39" s="59">
        <f>SUM(F37:F38)</f>
        <v>6084</v>
      </c>
      <c r="G39" s="59"/>
      <c r="H39" s="59"/>
      <c r="I39" s="59"/>
      <c r="J39" s="59">
        <f>SUM(J37:J38)</f>
        <v>1878</v>
      </c>
      <c r="K39" s="59"/>
      <c r="L39" s="59"/>
      <c r="M39" s="59"/>
      <c r="N39" s="59"/>
      <c r="O39" s="59">
        <f>SUM(O37:O38)</f>
        <v>3948</v>
      </c>
      <c r="P39" s="59"/>
      <c r="Q39" s="59"/>
      <c r="R39" s="59"/>
      <c r="S39" s="59"/>
      <c r="T39" s="59"/>
      <c r="U39" s="59"/>
      <c r="V39" s="59"/>
    </row>
    <row r="40" spans="1:22" ht="26.25">
      <c r="A40" s="106" t="s">
        <v>2</v>
      </c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</row>
    <row r="41" spans="1:22">
      <c r="A41" s="68" t="s">
        <v>96</v>
      </c>
      <c r="B41" s="68" t="s">
        <v>95</v>
      </c>
      <c r="C41" s="68" t="s">
        <v>94</v>
      </c>
      <c r="D41" s="67" t="s">
        <v>93</v>
      </c>
      <c r="E41" s="68" t="s">
        <v>92</v>
      </c>
      <c r="F41" s="100" t="s">
        <v>91</v>
      </c>
      <c r="G41" s="68" t="s">
        <v>91</v>
      </c>
      <c r="H41" s="68"/>
      <c r="I41" s="68"/>
      <c r="J41" s="71" t="s">
        <v>90</v>
      </c>
      <c r="K41" s="72"/>
      <c r="L41" s="72"/>
      <c r="M41" s="72"/>
      <c r="N41" s="73"/>
      <c r="O41" s="74" t="s">
        <v>89</v>
      </c>
      <c r="P41" s="75"/>
      <c r="Q41" s="75"/>
      <c r="R41" s="75"/>
      <c r="S41" s="76"/>
      <c r="T41" s="67" t="s">
        <v>88</v>
      </c>
      <c r="U41" s="67" t="s">
        <v>87</v>
      </c>
      <c r="V41" s="67" t="s">
        <v>1</v>
      </c>
    </row>
    <row r="42" spans="1:22" ht="30">
      <c r="A42" s="68"/>
      <c r="B42" s="68"/>
      <c r="C42" s="68"/>
      <c r="D42" s="67"/>
      <c r="E42" s="68"/>
      <c r="F42" s="101"/>
      <c r="G42" s="36" t="s">
        <v>86</v>
      </c>
      <c r="H42" s="36" t="s">
        <v>128</v>
      </c>
      <c r="I42" s="36" t="s">
        <v>84</v>
      </c>
      <c r="J42" s="36" t="s">
        <v>129</v>
      </c>
      <c r="K42" s="36" t="s">
        <v>86</v>
      </c>
      <c r="L42" s="36" t="s">
        <v>85</v>
      </c>
      <c r="M42" s="36" t="s">
        <v>128</v>
      </c>
      <c r="N42" s="36" t="s">
        <v>84</v>
      </c>
      <c r="O42" s="36" t="s">
        <v>130</v>
      </c>
      <c r="P42" s="36" t="s">
        <v>86</v>
      </c>
      <c r="Q42" s="36" t="s">
        <v>85</v>
      </c>
      <c r="R42" s="36" t="s">
        <v>128</v>
      </c>
      <c r="S42" s="36" t="s">
        <v>84</v>
      </c>
      <c r="T42" s="67"/>
      <c r="U42" s="67"/>
      <c r="V42" s="67"/>
    </row>
    <row r="43" spans="1:22">
      <c r="A43" s="37">
        <v>1</v>
      </c>
      <c r="B43" s="37">
        <v>59</v>
      </c>
      <c r="C43" s="38" t="s">
        <v>13</v>
      </c>
      <c r="D43" s="37">
        <v>6</v>
      </c>
      <c r="E43" s="37" t="s">
        <v>12</v>
      </c>
      <c r="F43" s="37">
        <v>2048</v>
      </c>
      <c r="G43" s="39">
        <v>512</v>
      </c>
      <c r="H43" s="39">
        <v>148.47727098785188</v>
      </c>
      <c r="I43" s="39">
        <v>22045.5</v>
      </c>
      <c r="J43" s="40">
        <v>455</v>
      </c>
      <c r="K43" s="39">
        <v>113.75</v>
      </c>
      <c r="L43" s="39">
        <f t="shared" ref="L43" si="0">(K43/G43)*100</f>
        <v>22.216796875</v>
      </c>
      <c r="M43" s="39">
        <v>126.98105173607595</v>
      </c>
      <c r="N43" s="39">
        <v>16124.1875</v>
      </c>
      <c r="O43" s="40">
        <v>1515</v>
      </c>
      <c r="P43" s="39">
        <v>378.75</v>
      </c>
      <c r="Q43" s="39">
        <f t="shared" ref="Q43" si="1">(P43/G43)*100</f>
        <v>73.974609375</v>
      </c>
      <c r="R43" s="39">
        <v>29.919684156086941</v>
      </c>
      <c r="S43" s="39">
        <v>895.1875</v>
      </c>
      <c r="T43" s="10" t="str">
        <f t="shared" ref="T43" si="2">IF(K43&gt;P43,"BJP GAIN","CONGRESS GAIN")</f>
        <v>CONGRESS GAIN</v>
      </c>
      <c r="U43" s="39">
        <f t="shared" ref="U43" si="3">((P43-K43)/G43)*100</f>
        <v>51.7578125</v>
      </c>
      <c r="V43" s="41" t="str">
        <f>IF(U43&gt;=50,"VERYHIGHMARGIN",IF(U43&gt;=40,"HIGHMARGIN",IF(U43&gt;=30,"MEDIUMMARGIN",IF(U43&gt;10,"LOWMARGIN",IF(U43&gt;1,"NARROWMARGIN")))))</f>
        <v>VERYHIGHMARGIN</v>
      </c>
    </row>
  </sheetData>
  <mergeCells count="53">
    <mergeCell ref="J41:N41"/>
    <mergeCell ref="O41:S41"/>
    <mergeCell ref="J3:N3"/>
    <mergeCell ref="O3:S3"/>
    <mergeCell ref="J16:N16"/>
    <mergeCell ref="O16:S16"/>
    <mergeCell ref="J35:N35"/>
    <mergeCell ref="O35:S35"/>
    <mergeCell ref="A15:V15"/>
    <mergeCell ref="G35:I35"/>
    <mergeCell ref="T35:T36"/>
    <mergeCell ref="F35:F36"/>
    <mergeCell ref="A34:V34"/>
    <mergeCell ref="U35:U36"/>
    <mergeCell ref="V35:V36"/>
    <mergeCell ref="D35:D36"/>
    <mergeCell ref="D16:D17"/>
    <mergeCell ref="E16:E17"/>
    <mergeCell ref="A40:V40"/>
    <mergeCell ref="G41:I41"/>
    <mergeCell ref="T41:T42"/>
    <mergeCell ref="U41:U42"/>
    <mergeCell ref="V41:V42"/>
    <mergeCell ref="A41:A42"/>
    <mergeCell ref="B41:B42"/>
    <mergeCell ref="C41:C42"/>
    <mergeCell ref="D41:D42"/>
    <mergeCell ref="E41:E42"/>
    <mergeCell ref="F41:F42"/>
    <mergeCell ref="A35:A36"/>
    <mergeCell ref="B35:B36"/>
    <mergeCell ref="C35:C36"/>
    <mergeCell ref="U16:U17"/>
    <mergeCell ref="V16:V17"/>
    <mergeCell ref="F16:F17"/>
    <mergeCell ref="T16:T17"/>
    <mergeCell ref="G16:I16"/>
    <mergeCell ref="E35:E36"/>
    <mergeCell ref="A1:V1"/>
    <mergeCell ref="A2:V2"/>
    <mergeCell ref="A3:A4"/>
    <mergeCell ref="B3:B4"/>
    <mergeCell ref="C3:C4"/>
    <mergeCell ref="D3:D4"/>
    <mergeCell ref="E3:E4"/>
    <mergeCell ref="F3:F4"/>
    <mergeCell ref="G3:I3"/>
    <mergeCell ref="T3:T4"/>
    <mergeCell ref="U3:U4"/>
    <mergeCell ref="V3:V4"/>
    <mergeCell ref="A16:A17"/>
    <mergeCell ref="B16:B17"/>
    <mergeCell ref="C16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2013+  BOOTH WISE ANALYSIS</vt:lpstr>
      <vt:lpstr>WARD WISE ANALYSIS</vt:lpstr>
      <vt:lpstr>BJP WIN OR LOSS</vt:lpstr>
      <vt:lpstr>BJP</vt:lpstr>
      <vt:lpstr>CONGRESS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win7</cp:lastModifiedBy>
  <dcterms:created xsi:type="dcterms:W3CDTF">2018-11-09T23:01:29Z</dcterms:created>
  <dcterms:modified xsi:type="dcterms:W3CDTF">2018-11-22T05:46:57Z</dcterms:modified>
</cp:coreProperties>
</file>