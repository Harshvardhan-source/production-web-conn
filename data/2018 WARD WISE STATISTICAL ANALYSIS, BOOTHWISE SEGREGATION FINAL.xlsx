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drawings/drawing3.xml" ContentType="application/vnd.openxmlformats-officedocument.drawingml.chartshap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 activeTab="5"/>
  </bookViews>
  <sheets>
    <sheet name="2018 BOOTHWISE" sheetId="7" r:id="rId1"/>
    <sheet name="WARDWISE ANALYISIS" sheetId="1" r:id="rId2"/>
    <sheet name="BJP WIN OR LOSS" sheetId="8" r:id="rId3"/>
    <sheet name="BJP" sheetId="6" r:id="rId4"/>
    <sheet name="CONGRESS" sheetId="5" r:id="rId5"/>
    <sheet name="WARD-BOOTH" sheetId="9" r:id="rId6"/>
  </sheets>
  <definedNames>
    <definedName name="_xlnm._FilterDatabase" localSheetId="1" hidden="1">'WARDWISE ANALYISIS'!$A$3:$AF$46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<sst xmlns="http://schemas.openxmlformats.org/spreadsheetml/2006/main" count="1405" uniqueCount="389">
  <si>
    <t>2018 BOOTH WISE VOTER LIST</t>
  </si>
  <si>
    <t>BOOTH NO</t>
  </si>
  <si>
    <t>PS ADDRESS</t>
  </si>
  <si>
    <t>TOTAL POLLED</t>
  </si>
  <si>
    <t>BJP</t>
  </si>
  <si>
    <t>BJP %</t>
  </si>
  <si>
    <t>INC</t>
  </si>
  <si>
    <t>INC %</t>
  </si>
  <si>
    <t>JDS</t>
  </si>
  <si>
    <t>JDS %</t>
  </si>
  <si>
    <t>CPI</t>
  </si>
  <si>
    <t>CPI%</t>
  </si>
  <si>
    <t>MALE VOTERS</t>
  </si>
  <si>
    <t>FEMALE VOTERS</t>
  </si>
  <si>
    <t>TOTAL VOTERS</t>
  </si>
  <si>
    <t>PERCENTAGE POLLING</t>
  </si>
  <si>
    <t>HINDU</t>
  </si>
  <si>
    <t>HINDU PERCENTAGE IN THE CONSTITUENCY</t>
  </si>
  <si>
    <t>HINDU NOT POLLED</t>
  </si>
  <si>
    <t>% of HINDU NON VOTERS</t>
  </si>
  <si>
    <t xml:space="preserve">HINDU POLLED </t>
  </si>
  <si>
    <t>% OF HINDU VOTERS</t>
  </si>
  <si>
    <t>others</t>
  </si>
  <si>
    <t>OTHERS %</t>
  </si>
  <si>
    <t>others  NOT POLLED</t>
  </si>
  <si>
    <t>% OF OTHERS NOT POLLED</t>
  </si>
  <si>
    <t>others polled</t>
  </si>
  <si>
    <t>%</t>
  </si>
  <si>
    <t>BOOTH STATUS(POOLING)</t>
  </si>
  <si>
    <t>HINDU POPULATION STATUS</t>
  </si>
  <si>
    <t>OTHERS POPULATION STATUS</t>
  </si>
  <si>
    <t>GENDER RATIO</t>
  </si>
  <si>
    <t xml:space="preserve">ratio of comparision non voters </t>
  </si>
  <si>
    <t>VOTE TRANSITION</t>
  </si>
  <si>
    <t>WIN STATUS</t>
  </si>
  <si>
    <t>WIN MARGIN</t>
  </si>
  <si>
    <t>Ashoka Nagar Higher Primary School  Ashoknagar  Ashoka Sadana (North Portion)</t>
  </si>
  <si>
    <t>Ashoka Nagar Higher Primary School, Ashoka Sadana (Middle Portion)</t>
  </si>
  <si>
    <t>Ashoka Nagar Higher Primary School. Ashoknagar  Sharada Sadana (East Portion)</t>
  </si>
  <si>
    <t>Ashoka Nagar Higher Primary School, Ashokanagara  Sharada Sadansa (Middle Wing )</t>
  </si>
  <si>
    <t>Saintt Peters Higher Primary School, Kottara (East Portion of New Building )</t>
  </si>
  <si>
    <t>Saint Peters Higher Primary School, Kottara (Middle Portion of New Building)</t>
  </si>
  <si>
    <t>Saint Peters Higher Primary School, Kottara( East part of Middle portion of New Building</t>
  </si>
  <si>
    <t>Saint Peters Higher Primary School, Kottara (West wing of New Building)</t>
  </si>
  <si>
    <t>Saint Peters Higher Primary School, Kottara (West wing of Old  Building)</t>
  </si>
  <si>
    <t>Lady Hill Higher Primary School, Lady Hill (Middle Division)</t>
  </si>
  <si>
    <t>Lady Hill Higher Primary School, Lady Hill (East wing)</t>
  </si>
  <si>
    <t>Ladyhill Victoria Girls High School, Lady Hill (North Wing)</t>
  </si>
  <si>
    <t>Lady Hill Victoria Girls High School, Lady Hill (South Wing)</t>
  </si>
  <si>
    <t>Dakshina Kannada Zilla Panchayath Higher Priamary School, Bejai, Kapikad (first room)</t>
  </si>
  <si>
    <t>Daskhina Kannada Zilla Panchayath Higher Primary School, Kapikad (2nd Room of middle Wing )</t>
  </si>
  <si>
    <t>Dakshina Kannada Zilla Panchayath Higher Primary School, Kapikad (2nd Room  of South wing)</t>
  </si>
  <si>
    <t>Dakshina Kannada Zilla Panchayath Higher Primary School, Kapikad (First Room  of East Building)</t>
  </si>
  <si>
    <t>St Francis Xavier Higher Primary School, Bejai (South Wing of South Building)</t>
  </si>
  <si>
    <t>St Francis Xaiver Higher Primary School, Bejai (North Wing  of South Building)</t>
  </si>
  <si>
    <t>St Francis Xavier High School, Bejai (North wing)</t>
  </si>
  <si>
    <t>Lourds High School, Bejai (East Wing)</t>
  </si>
  <si>
    <t>Lourds High School, Bejai (North wing of North Building)</t>
  </si>
  <si>
    <t>Lourds High School, Bejai, (South wing of North Building)</t>
  </si>
  <si>
    <t>Padavu High School, Padavu (East Wing)</t>
  </si>
  <si>
    <t>Padavu High School, Padavu (South Portion of East Wing)</t>
  </si>
  <si>
    <t>Padavu High School, Padavu (South Wing)</t>
  </si>
  <si>
    <t>K.S.S.I.D.C. Office Building, Yeyyadi</t>
  </si>
  <si>
    <t>Dakshina Kannda Zilla Panchayath Higher Primary School, Nalyapadavu, Shakthinagar (New Building)</t>
  </si>
  <si>
    <t>D. K.Zilla Panchayath Higher Primary School, Nalyapadavu, Shakthinagar ( East Wing of New Building )</t>
  </si>
  <si>
    <t>D. K. Zilla Panchayath Higher Primary School, Nalyapadavu, Shakthi Nagar(West Wing of new Building)</t>
  </si>
  <si>
    <t>D .K. Zilla Panchayath Higher Primary School, Nalyapadavu, Shakthi nagar (West portion of New Building)</t>
  </si>
  <si>
    <t>Sacred Heart High School, Kulashekar (1st room of East  Portion)</t>
  </si>
  <si>
    <t>Sacred Heart High School, Kulashekara (2nd Room of East Portion)</t>
  </si>
  <si>
    <t>Saint Joseph Higher Primary School, Kulashekara (Room no 1 of South building</t>
  </si>
  <si>
    <t>Saint Joseph Higher Primary School, Kulashekar (Room no 2 of South Building)</t>
  </si>
  <si>
    <t>Saint Joseph Higher Primary School, Kulashekar (Room no 3 of South Building)</t>
  </si>
  <si>
    <t>Saint Joseph Higher Primary School, Kulashekarr (Room no 4 of South Building)</t>
  </si>
  <si>
    <t>Saint Joseph Higher Primary School, Kulashekar (Room no 1  South Building )</t>
  </si>
  <si>
    <t>Saint Joseph Higher Primary School, Kulashekar (Room no 2 of South  Building)</t>
  </si>
  <si>
    <t>Anganavadi Centre, Saripalla, (Club Builiding) North wing</t>
  </si>
  <si>
    <t>Anganavadi Centre, Saripalla, (Club Builiding) South Wing</t>
  </si>
  <si>
    <t>Guardian Anglels Higher Primary School, Maroli (Middle Wing of East Building)</t>
  </si>
  <si>
    <t>Guardian Anglels Higher Primary School, Maroli (Stage Building)</t>
  </si>
  <si>
    <t>Guardian Angels Higher Primary School, Muroli (North Wing  of West Bulding)</t>
  </si>
  <si>
    <t>Guardian Angels Higher Primary SChool, Maroli (South Wing  of West Building)</t>
  </si>
  <si>
    <t>Guardian Angels Higher Primary School, Maroli (North Wing of West Building)</t>
  </si>
  <si>
    <t>Guardian Angles Higher Primary School, Maroli (North Wing  of  West Buliding)</t>
  </si>
  <si>
    <t>D. K Zilla Panchayath Higher Primary School, Bikarnakatte padavu(Left portion of building)</t>
  </si>
  <si>
    <t>Dakshina Kannada Zilla Panchayath Higher Primary School,  (Left portion of middle Building)</t>
  </si>
  <si>
    <t>D. K.Zilla Panchayath Higher Primary School, Bikarna Katte, Right Wing of the middle Buliding)</t>
  </si>
  <si>
    <t>Dakshina Kannada zilla Panchayath Higher Primary School, Bikarnakatte , (Right portion of Middle  Building)</t>
  </si>
  <si>
    <t>St Joseph Higher Primary School, Nanthuru Padavu, Kalvari (South Wing of Ground Floor of New Bilding</t>
  </si>
  <si>
    <t>St Joseph Higher Primary School, Nanthuru Padavu, Kalvari (North wing of ground floor of new Bilding</t>
  </si>
  <si>
    <t>Dakshina Kannada Zilla Panchayath Higher Primary School, Kadri, Mallikatte (East Wing)</t>
  </si>
  <si>
    <t>Dakshina Kannada Zilla Panchayath Higher Primary School, Kadri, Mallikatte (West wing )</t>
  </si>
  <si>
    <t>Dakshina Kannada Zilla Panchayath Higher Primary School, Kadri, Mallikatte(North Wing of East Bldng)</t>
  </si>
  <si>
    <t>Dakshina Kannada Zilla Panchayath High School, Kadri Mallikatte (East Wing)</t>
  </si>
  <si>
    <t>Dakshina Kannada Zilla Panchayath High School, Kadri Mallikatte (West Wing)</t>
  </si>
  <si>
    <t>District Education and Training Institute ,Kodialbail (West  Wing)</t>
  </si>
  <si>
    <t>District Education and Training Institute , Kodialbail, Mangalore (Middle Wing of Middle Building)</t>
  </si>
  <si>
    <t>District Education and Training Institute, Kodilbail, Mangalore (North wing of Middle Building)</t>
  </si>
  <si>
    <t>Canara College ,Kodialbail, Mangalore (Room no  14 of East Portin of South Building)</t>
  </si>
  <si>
    <t>Canara College, Kodialbail, Mangalore (Room no  15 of West Wing of South Building )</t>
  </si>
  <si>
    <t>Sri Dharmasthala Manjunatheshwara Law College ,  Kodialbail, Mangalore(west wing of north building)</t>
  </si>
  <si>
    <t>Sri Dharmasthala Manjunatheshwara Law College , (Middle Wing of North portion)</t>
  </si>
  <si>
    <t>Dakshina Kannada Zilla Panchayath Higher Primary School, Mannugudde (Back Side Building)</t>
  </si>
  <si>
    <t>Dakshina Kannada Zilla Panchayath Higher Primary School, Mannugudde (Middle Wing)</t>
  </si>
  <si>
    <t>Dakshina Kannada Zilla Panchayath Higher Primary School, Mannugudde (West wing)</t>
  </si>
  <si>
    <t>D.Kannada Zilla Panchayalth Model Higher Primary School, Bokkapatna ,Matadakani Road (East wing Of Old Bldng)</t>
  </si>
  <si>
    <t>D.K Z. Panchayath Model Higher Primary School, Bokkapattana , Matadakani Road(West Wing)</t>
  </si>
  <si>
    <t>D.K.Zilla Panchayath Model Higher Primary School, Bokkapattana, Matadakani Road (North West Building)</t>
  </si>
  <si>
    <t>Dakshina Kannada Zilla Panchayath Higher Primary School, Gandhinagar (Middle Wing)</t>
  </si>
  <si>
    <t>Dakshina Kannada Zilla Panchayath Higher Primary School, Gandhinagar (North Wing)</t>
  </si>
  <si>
    <t>Dakshina Kannada Zilla Panchayath Higher Primary School, Gandhinagar (South Wing)</t>
  </si>
  <si>
    <t>Saint Aloysiws English Medium Higher Primary School, Urva (West Wing)</t>
  </si>
  <si>
    <t>Saint Aloysiws English Medium Higher Primary School, Urva (South Wing)</t>
  </si>
  <si>
    <t>Saint Aloysiws Higher Primary School, Urva (East wing of South Building)</t>
  </si>
  <si>
    <t>Saint Aloysiws Higher Primary School, Urva (West wing of South Building)</t>
  </si>
  <si>
    <t>Saint Aloysiws English Medium Higher primary School, Urva (East Wing)</t>
  </si>
  <si>
    <t>Saint Aloysiws English Medium Higher Primary School, Urva (Middle Wing</t>
  </si>
  <si>
    <t>D.K. Z. Panchayath Higher Primary School, Bokkapattana , Boloor Road (East Wing of West  Building)</t>
  </si>
  <si>
    <t>D.K. Z. Panchayath Higher Primary School, Bokkapattana , Boloor Road (East Building)</t>
  </si>
  <si>
    <t>D. K. Z. Panchayath Higher Primary School, Bokkapattana, Boloor Road (West Wing Of West Building)</t>
  </si>
  <si>
    <t>Anganavadi Centre, Kudroli Bengre</t>
  </si>
  <si>
    <t>Dakshina Kannada Zilla Panchayath Higher Primary School, Kasba, Bengre (North Portion)</t>
  </si>
  <si>
    <t>Dakshina Kannada Zilla Panchayath Higher Primary School, Kasba, Bengre (West Portion)</t>
  </si>
  <si>
    <t>Dakshina Kannada Zilla Panchayath Higher Primary School, Kasba, Bengre (North Portion of the Hall)</t>
  </si>
  <si>
    <t>Dakshina Kannada Zilla Panchayath Higher Primary School, Kasba, Bengre (North Portion of East wing)</t>
  </si>
  <si>
    <t>Dakshina Kannada Zilla Panchayath Higher Primary School, Kasba Bengre (South Wing)</t>
  </si>
  <si>
    <t>Dakshina Kannada Zilla Panchayath Higher Primary SChool, Kasba, Bengre,(West portion of South Wing)</t>
  </si>
  <si>
    <t>Dakshina Kannada Zilla Panchayath Higher Primary School, Sandpit, Bangre(South Portion of New Building)</t>
  </si>
  <si>
    <t>Dakshina Kannada Zilla Panchayath Higher Primary School, Sandpit, Bangre(North Portion of the New Building)</t>
  </si>
  <si>
    <t>Dakshina Kananda Zilla Panchayath Higher Primary School, Sandpit , Bengre,(North portion)</t>
  </si>
  <si>
    <t>Vishranthi Nilaya, Community Hall, Bokkapatna (East Portion)</t>
  </si>
  <si>
    <t>Vishranthi Nilaya, Community Hall, Bokkapatna (West Portion)</t>
  </si>
  <si>
    <t>United Bosel Mission Higher Primary School, Bokkapattana (East Wing of New Building)</t>
  </si>
  <si>
    <t>United Bosel Mission Higher Primary School, Bokkapattana (South  Portion of Old Building)</t>
  </si>
  <si>
    <t>D.K.Z.P.Urdu H. P.School,Kudroli ( Sarvasikshana Abhiyana Building North Portion)</t>
  </si>
  <si>
    <t>Dakshina Kananda Zilla Panchayath Urdu Higher Primary SChool, Kudroli (Sarva Shikshana Abhiyana Building South Portion)</t>
  </si>
  <si>
    <t>Dakshina Kananda Zilla Panchayath Urdu Higher Primary School, Kudroli (East Side Of Middle Wing)</t>
  </si>
  <si>
    <t>Government Girls Pre-University College Car Street (South Wing West Building)</t>
  </si>
  <si>
    <t>Government Girls Pre- University College, Car street (North Wing Of West Building)</t>
  </si>
  <si>
    <t>B.E.M Higer Primary School,Carstreet (North Wing East Portion - 1st Std. Class Room)</t>
  </si>
  <si>
    <t>B.E.M Higer Primary School,Carstreet (North Wing East Portion - 5th Std. Class Room)</t>
  </si>
  <si>
    <t>Dakshina Kannada Zilla Panchayath Lower Primary School, Kandathapalli (Middle Wing)</t>
  </si>
  <si>
    <t>Dakshina Kannada Zilla Panchayath Lower Primary School,  Kandathapalli (East Wing)</t>
  </si>
  <si>
    <t>Dakshina Kannada Zilla Panchayath Urdu High School, Bunder (South Portion Of East Building)</t>
  </si>
  <si>
    <t>Govt High School(Urdu), Bunder (North portion of New Building)</t>
  </si>
  <si>
    <t>Dakshina Kannada Zilla Panchayath Higher Primary School, Bastigarden (West Wing)</t>
  </si>
  <si>
    <t>Dakshina Kannada Zilla Panchayath Higher Primary School, Bastigarden (East Wing)</t>
  </si>
  <si>
    <t>Ganapathi Composite Aided Pre-University College (South Wing Of Hall)</t>
  </si>
  <si>
    <t>Ganapathi Composite Aided Pre-University College  ( North Wing Of Hall)</t>
  </si>
  <si>
    <t>Ganapathi Kannada Medium Higher  Primary School, Hampanakatte (North  Wing )</t>
  </si>
  <si>
    <t>Milagrese English Medium Higher Primary School, Hampanakatta ,(East Portion - LKG Room No. 106)</t>
  </si>
  <si>
    <t>Milagrese English Medium Higher Primary School, Hampanakatta ,(East Portion - LKG Room No. 101)</t>
  </si>
  <si>
    <t>Government  Girls Pre-University College, Balmatta (West Wing of Old  Building)</t>
  </si>
  <si>
    <t>Government Girls Pre-University college, Balmatta (West Wing of New Building)</t>
  </si>
  <si>
    <t>Saint Agnes High School, Bendoor (North wing of Meeting hall)</t>
  </si>
  <si>
    <t>St Agnes High School, Bendoor (South wing of Meeting Hall)</t>
  </si>
  <si>
    <t>Saint Joseph Higher Primary School, Kankanady (North Wing)</t>
  </si>
  <si>
    <t>Saint Joseph Higher Primary School, Kankanady (South Wing)</t>
  </si>
  <si>
    <t>Saint Sebastian Higher Primary School, Bendoor (East Wing)</t>
  </si>
  <si>
    <t>St Sebastian Higher Primary School, Bendoor (West  Wing)</t>
  </si>
  <si>
    <t xml:space="preserve">                                                                      </t>
  </si>
  <si>
    <t>Saint Agnes Higher Primary School, Bendoor, (West wing of Main Building)</t>
  </si>
  <si>
    <t>Dakshina Kannada Zilla Panchayath  Higher Primary School, Athavara (East Building Hall)</t>
  </si>
  <si>
    <t>Dakshina Kannada Zilla Panchayath  Higher Primary school, Attavara (East Wing)</t>
  </si>
  <si>
    <t>Dakshina Kannada Zilla Panchayath  Higher Primary School, Attavara (West Wing)</t>
  </si>
  <si>
    <t>University College, Hampanakatte, (North Wing)</t>
  </si>
  <si>
    <t>University College, Hampanakatte , (South Wing)</t>
  </si>
  <si>
    <t>Dr.Dayananda Pai and Sathish Pai Building,University College, Hampanakatte</t>
  </si>
  <si>
    <t>D. Kannada Zilla Panchayath Higher Primary  Schoool, Pandeshwara (North Wing of Main Building)</t>
  </si>
  <si>
    <t>Dakshina Kannada Zilla Panchayath Higher Primary School, Pandeshwara (South wing of Main Building</t>
  </si>
  <si>
    <t>Dakshina Kannada Zilla Panchayath Higher Primary School, Pandeshwara ( East wing  of South Building</t>
  </si>
  <si>
    <t>Daskhina Kannada Zilla Panchayath Higher Primary School, Pandeshwara (West Wing Of South Building)</t>
  </si>
  <si>
    <t>Badriya English Medium, Higher Primary School, Bunder (East wing )</t>
  </si>
  <si>
    <t>Badriya English Medium Higher Primary School, Bunder, (West wing)</t>
  </si>
  <si>
    <t>Dakshina Kannada Zilla Panchayath Lower  Primary School, Babugudde (East Wing)</t>
  </si>
  <si>
    <t>Dakshina Kannad Zilla Panchayath Lower PrimarySchool,Babugudde Attavar (Middle portion  )</t>
  </si>
  <si>
    <t>Dakshina Kannada Zilla PanchayathLowerPrimarySchool,Babugudde Attavara(West Portion )</t>
  </si>
  <si>
    <t>Kudmal Ranga Rao Samaja Bhavana Babugudda Attavara(South Portion)</t>
  </si>
  <si>
    <t>Saint Jerosa  High School, Jeppu  ( South Portion of West Building )</t>
  </si>
  <si>
    <t>Saint Jerosa  High School, Jeppu ( Middle Portion Of Main Building )</t>
  </si>
  <si>
    <t>Saint Jerosa High School, Jeppu (North Protion West Building)</t>
  </si>
  <si>
    <t>Infant Maries Higher Primary School, Jeppu (West Portion of South Building )</t>
  </si>
  <si>
    <t>Infant Maries Higher Primary School, Jeppu  (East Portion)</t>
  </si>
  <si>
    <t>Infant Maries Higher Primary School, Jeppu (South Wing Of East Building )</t>
  </si>
  <si>
    <t>Infant Maries Higher Primary School, Jeppu (North Portion)</t>
  </si>
  <si>
    <t>St Maries Girls High School, Falnir,( Room no 1)</t>
  </si>
  <si>
    <t>Saint Maries Girls Higher Primary School, Falnir, East wing</t>
  </si>
  <si>
    <t>St Maries Higher Primary School, Falnir, (South Wing)</t>
  </si>
  <si>
    <t>Saint Maries Girls high School, Falnir (East Portion Of Middle Building)</t>
  </si>
  <si>
    <t>United Bosel Mission Aided Higher Primary School, Balmatta</t>
  </si>
  <si>
    <t>United Bosel Mission Aided Higher Primary School, Gorigudda Jeppinamogaru(South Building East Portion)</t>
  </si>
  <si>
    <t>United Bosel Mission Aided Higher Primary School, Jeppu Gorigudde (South wing )</t>
  </si>
  <si>
    <t>Capitanio High School, Kankanady (South Wing )</t>
  </si>
  <si>
    <t>Capitanio High School, Kankanady (North  Wing )</t>
  </si>
  <si>
    <t>Capitanio High School, Kankanady (Middle Portion Of North Building )</t>
  </si>
  <si>
    <t>Capitanio High School,  Kankanady(Middle Portion Main Building)</t>
  </si>
  <si>
    <t>Capitanio High School, Kankanady(North Portion)</t>
  </si>
  <si>
    <t>Capitanio Higher Primary School Kankanady(North Portion of East Building)</t>
  </si>
  <si>
    <t>st.Joseph Hr.Pry.School Bajal Pakkaladka(Old Builing North Portion)</t>
  </si>
  <si>
    <t>St.Joseph Hr.Pry.School Bajal Pakkaladka ( Old Building South Portion)</t>
  </si>
  <si>
    <t>Capitanio Higher Primary School, Kankanady (Middle Portion Of East Builiding )</t>
  </si>
  <si>
    <t>Capitanio Higher Primary School, Kankanady (West wing of East Building )</t>
  </si>
  <si>
    <t>Adarsha Vidyanilaya Higher Primary School, Alape Karmaru (South Wing )</t>
  </si>
  <si>
    <t>Adarsha Vidyanilaya Higher Primary School, Alape Karmar ( Ist Room of South Wing )</t>
  </si>
  <si>
    <t>Adarsh Bharathi High School,Alape Karmaru (West wing )</t>
  </si>
  <si>
    <t>Adarsh Bharathi High School,Alape Karmar (Middle  wing )</t>
  </si>
  <si>
    <t>Adarsh Bharathi High School, Alape Karmar (East wing )</t>
  </si>
  <si>
    <t>Amritha College, Padil (East Portion)</t>
  </si>
  <si>
    <t>Amritha College, Padil (Stage Building )</t>
  </si>
  <si>
    <t>Amritha College, Padil (Middle Portion of East Side)</t>
  </si>
  <si>
    <t>Amritha College, Padil (Middle Portion of West Side)</t>
  </si>
  <si>
    <t>Anganavadi Centre, Veeranagar</t>
  </si>
  <si>
    <t>Ranga Mandira Veera Nagra</t>
  </si>
  <si>
    <t>Kannuru English Medium Higher Primary  School, Kannuru (East wing )</t>
  </si>
  <si>
    <t>Kannuru English Medium Higher Primary School, Kannuru (South Wing )</t>
  </si>
  <si>
    <t>Amritha College, Padil (West Portion)</t>
  </si>
  <si>
    <t>Old  Village Panchayath Office, Kannuru (South Wing )</t>
  </si>
  <si>
    <t>Old Village Panchayath Office, Kannuru (West wing )</t>
  </si>
  <si>
    <t>Dakshina Kannada Zilla Panchayath  Higher Primary School,Bajal Nanturu (Old Building )</t>
  </si>
  <si>
    <t>Dakshina Kannada Zilla Panchayath Higher Primary School.Bajal Nantoor (New Building)</t>
  </si>
  <si>
    <t>Dakshina Kannada Zilla Panchayath Higher Primary School, Bajal Padpu  (New Building )</t>
  </si>
  <si>
    <t>Dakshina Kannada Zilla Panchayath higher Primary School,Bajal  Padpu  (1 St room of Old Building)</t>
  </si>
  <si>
    <t>DKZP Hr. PRY.School Bajal Padpu(South Wing Of Old Building)</t>
  </si>
  <si>
    <t>DKZP Hr. Pry. School Bajal Padpu ( East Wing Of North Building)</t>
  </si>
  <si>
    <t>Saint Joseph Higher Primary School,Bajal Pakkaladka  (North wing )</t>
  </si>
  <si>
    <t>Saint Joseph Higher Primary School,Bajal Pakkaladka  (Middle Portion  )</t>
  </si>
  <si>
    <t>Saint Joseph Higher Primary School,Bajal Pakkaladka (South wing )</t>
  </si>
  <si>
    <t>Saint Joseph Higher Primary School,Bajal Pakkaladka (East Wing Of South Building)</t>
  </si>
  <si>
    <t>Dakshina Kannada Zilla Panchayath Kananda Medium Higher Primary School, Jappinamogaru (West Wing )</t>
  </si>
  <si>
    <t>Dakshina Kannada Zilla Panchayath Kannada Medium Higher Primary School, Jappinamogaru (Middle Portion )</t>
  </si>
  <si>
    <t>Dakshina Kannada Zilla Panchayath Kannada Medium Higher Primary School, Jappinamogaru (North wing )</t>
  </si>
  <si>
    <t>Dakshina Kannada Zilla Panchayath Higher Primary School, Jappinamogaru (East Wing )</t>
  </si>
  <si>
    <t>Dakshina Kannada Zilla Panchayath Higher Primary School, Valencia Suter Pet</t>
  </si>
  <si>
    <t>Cascia High School, Jeppu (North wing )</t>
  </si>
  <si>
    <t>Cascia High School, Jeppu (South wing )</t>
  </si>
  <si>
    <t>Saint Ritas Kannada Medium Aided Higher Primary School, Jeppu (North wing )</t>
  </si>
  <si>
    <t>Saint Retas Kannada Medium Aided Higher Primary School, Jeppu (Middle Wing )</t>
  </si>
  <si>
    <t>Saint Retas Kannada Medium Aided Higher Primary School, Jeppu (South wing )</t>
  </si>
  <si>
    <t>Saint Ritas Bala Christa Nursery School, Jeppu(Middle Wing Of East Buiding)</t>
  </si>
  <si>
    <t>Saint Jhon  Anganavadi Cenrre, Jeppu(North Wing Of East Building)</t>
  </si>
  <si>
    <t>Saint John Higher Primary School, Jeppu (Sharada Vachanalaya)</t>
  </si>
  <si>
    <t>Infant Jesus Joyland School, Bolar (East Wing, 4th Std, Class Room)</t>
  </si>
  <si>
    <t>Infant Jesus Joyland School, Bolar (West portion of the main building)</t>
  </si>
  <si>
    <t>Govt High School, Hoigebazar(North Wing Of Main Building)</t>
  </si>
  <si>
    <t>Sri Jnanodaya Lower Primary School, Hoigebazar (South wing of Main Building )</t>
  </si>
  <si>
    <t>Sri Jnanodaya Lower Primary School, Hoigebazar (North Wing Of Main Buliding)</t>
  </si>
  <si>
    <t>Government High School, Hoigebazar (West wing Of North Building )</t>
  </si>
  <si>
    <t>Dakshina Kannada Zilla Panchayath Model Higher Primary School, Bolar (West wing of South building )</t>
  </si>
  <si>
    <t>Dakshina Kannada Zilla Panchayath Model Higher Primary school, Bolar (East Wing of South Building )</t>
  </si>
  <si>
    <t>Daksina Kannada Zilla Panchayath Model higher Primary School, Bolar (South wing of West Building )</t>
  </si>
  <si>
    <t>Dakshina Kannada Zilla Panchayath Model Higher Primary School, Bolar (North wing of West Building )</t>
  </si>
  <si>
    <t>Dakshina Kannada Zilla Panchayath Higher Primary School, Mahakalipadpu (West wing )</t>
  </si>
  <si>
    <t>Daskhina Kannada Zilla Panchayath higher Primary School, Mahakalipadpu (Middle Wing)</t>
  </si>
  <si>
    <t>Dakshina Kannada Zilla Panchayath Higher Primary School, Mahakalipadpu (Room No 3 Middle Portion)</t>
  </si>
  <si>
    <t>Dakshina Kannada Zilla Panchayath Higher Primary School, Mahakalipadpu (East wing )</t>
  </si>
  <si>
    <t>St Sebastian Higher Primary School, Adamkudru</t>
  </si>
  <si>
    <t>TOTAL</t>
  </si>
  <si>
    <t>NARROW  MARGIN</t>
  </si>
  <si>
    <t>CONGRESS</t>
  </si>
  <si>
    <t>LOW MARGIN</t>
  </si>
  <si>
    <t>MEDIUM MARGIN</t>
  </si>
  <si>
    <t>HIGH MARGIN</t>
  </si>
  <si>
    <t>VERY HIGH MARGIN</t>
  </si>
  <si>
    <t>MANGALORE SOUTH WARDWISE STATISTICAL ANALYSIS OF YEAR 2018.</t>
  </si>
  <si>
    <t>SL. NO</t>
  </si>
  <si>
    <t>WARD NO.</t>
  </si>
  <si>
    <t>WARD NAME</t>
  </si>
  <si>
    <t>TOTAL NO. OF BOOTH</t>
  </si>
  <si>
    <t>BOOTH DETAILS</t>
  </si>
  <si>
    <t>TOTAL VOTERS 2018</t>
  </si>
  <si>
    <t>WARD STATUS</t>
  </si>
  <si>
    <t>MARGIN STATUS</t>
  </si>
  <si>
    <t>MEAN</t>
  </si>
  <si>
    <t>STANDERD DEVIATION</t>
  </si>
  <si>
    <t>VARIANCE</t>
  </si>
  <si>
    <t>STANDARD DEVIATION</t>
  </si>
  <si>
    <t>BJP POLLED</t>
  </si>
  <si>
    <t>CONGRESS POLLED</t>
  </si>
  <si>
    <t>RATIO OF COMPARISION NON VOTERS</t>
  </si>
  <si>
    <t>PADAV WEST</t>
  </si>
  <si>
    <t>28,29,48,49,50,51</t>
  </si>
  <si>
    <t>STRONG</t>
  </si>
  <si>
    <t>EXCELLENT</t>
  </si>
  <si>
    <t>VLOW</t>
  </si>
  <si>
    <t>FEMALE DOM</t>
  </si>
  <si>
    <t>O</t>
  </si>
  <si>
    <t>DEREBAIL SOUTH</t>
  </si>
  <si>
    <t>8,10,11,12,13,15</t>
  </si>
  <si>
    <t>AVG</t>
  </si>
  <si>
    <t>DEREBAIL WEST</t>
  </si>
  <si>
    <t>4,5,6,7,1,2</t>
  </si>
  <si>
    <t>DEREBAIL NAIRUTHYA</t>
  </si>
  <si>
    <t>3,4,75,75,77,78,79,80</t>
  </si>
  <si>
    <t>BOLOOR</t>
  </si>
  <si>
    <t>71,73,74,81,82,83</t>
  </si>
  <si>
    <t>H</t>
  </si>
  <si>
    <t>MANNAGUDDA</t>
  </si>
  <si>
    <t>68,69,70,72</t>
  </si>
  <si>
    <t>MEN</t>
  </si>
  <si>
    <t>KAMBALA</t>
  </si>
  <si>
    <t>61,62,63,64</t>
  </si>
  <si>
    <t>KODIALBAIL</t>
  </si>
  <si>
    <t>20,22,23,59,60</t>
  </si>
  <si>
    <t>BEJAI</t>
  </si>
  <si>
    <t>14,16,17,18,19,21</t>
  </si>
  <si>
    <t>KADRI NORTH</t>
  </si>
  <si>
    <t>24,27,57,25,26</t>
  </si>
  <si>
    <t>KADRI SOUTH</t>
  </si>
  <si>
    <t>54,55,56,58</t>
  </si>
  <si>
    <t>SHIVABAGH</t>
  </si>
  <si>
    <t>52,53,117,119,123</t>
  </si>
  <si>
    <t>WEAK</t>
  </si>
  <si>
    <t>PADAV CENTRAL</t>
  </si>
  <si>
    <t>30,31,34,38,39,35,37</t>
  </si>
  <si>
    <t>PADAV EAST</t>
  </si>
  <si>
    <t>32,33,36</t>
  </si>
  <si>
    <t>MAROLI</t>
  </si>
  <si>
    <t>42,43,44,45,46,47</t>
  </si>
  <si>
    <t>BENDOOR</t>
  </si>
  <si>
    <t>117,118,122,124,148,149,153</t>
  </si>
  <si>
    <t>FALNIR</t>
  </si>
  <si>
    <t>144,145,146,154,155,147</t>
  </si>
  <si>
    <t>COURT</t>
  </si>
  <si>
    <t>114,115,116,129,130</t>
  </si>
  <si>
    <t>CENTRAL</t>
  </si>
  <si>
    <t>111,112,113,109,110</t>
  </si>
  <si>
    <t>DONGARAKERY</t>
  </si>
  <si>
    <t>65, 66, 67, 98,100, 102,103</t>
  </si>
  <si>
    <t>KUDROLI</t>
  </si>
  <si>
    <t>94, 95, 96, 97,99</t>
  </si>
  <si>
    <t>NAVAYATH</t>
  </si>
  <si>
    <t>106, 107, 108, 109,101, 104</t>
  </si>
  <si>
    <t>PORT</t>
  </si>
  <si>
    <t>131,135, 136, 208, 209, 210</t>
  </si>
  <si>
    <t>CONTONMENT</t>
  </si>
  <si>
    <t>125, 128, 132, 133, 137</t>
  </si>
  <si>
    <t>MILLAGRES</t>
  </si>
  <si>
    <t>126, 127, 150, 151, 152</t>
  </si>
  <si>
    <t>VALANCIA</t>
  </si>
  <si>
    <t>120, 121, 156, 157, 158, 165</t>
  </si>
  <si>
    <t>KANKANADY</t>
  </si>
  <si>
    <t>157, 160, 161, 167, 163, 164</t>
  </si>
  <si>
    <t>ALAPE SOUTH</t>
  </si>
  <si>
    <t>166, 167, 168, 169, 170, 189, 190, 191</t>
  </si>
  <si>
    <t>ALAPE NORTH</t>
  </si>
  <si>
    <t>40, 41, 171, 172, 173, 174, 179</t>
  </si>
  <si>
    <t>KANNUR</t>
  </si>
  <si>
    <t>175, 176, 177,178, 180, 181</t>
  </si>
  <si>
    <t>BAJAL</t>
  </si>
  <si>
    <t>182, 183, 184, 185, 186,187, 188</t>
  </si>
  <si>
    <t>JAPPINAMOGARU</t>
  </si>
  <si>
    <t>192, 193, 194, 195, 219</t>
  </si>
  <si>
    <t>ATTAVARA</t>
  </si>
  <si>
    <t>138, 139, 140, 197, 198, 199, 200, 217</t>
  </si>
  <si>
    <t>MANGALADEVI</t>
  </si>
  <si>
    <t>199, 200, 202, 203, 204</t>
  </si>
  <si>
    <t>HOIGE BAZAR</t>
  </si>
  <si>
    <t>206, 207, 210, 213, 214</t>
  </si>
  <si>
    <t>201, 211, 212, 205</t>
  </si>
  <si>
    <t>JEPPU</t>
  </si>
  <si>
    <t>141, 142, 143, 196, 215, 216</t>
  </si>
  <si>
    <t>BENGRE</t>
  </si>
  <si>
    <t>84, 85, 91, 93, 185, 186, 184</t>
  </si>
  <si>
    <t>AVERAGE</t>
  </si>
  <si>
    <t xml:space="preserve"> </t>
  </si>
  <si>
    <t>TOTAL NON VOTERS</t>
  </si>
  <si>
    <t>Booth Polling Statistics</t>
  </si>
  <si>
    <t>HINDU POPULATION</t>
  </si>
  <si>
    <t>OTHER POPULATION</t>
  </si>
  <si>
    <t>NARROW MARGIN</t>
  </si>
  <si>
    <t>VERY LOW</t>
  </si>
  <si>
    <t xml:space="preserve">HIGH MARGIN </t>
  </si>
  <si>
    <t>POLLING STATUS</t>
  </si>
  <si>
    <t>VERYHIGH MARGIN</t>
  </si>
  <si>
    <t>FEMALE</t>
  </si>
  <si>
    <t>#DIV/0! AND 14</t>
  </si>
  <si>
    <t>WIN</t>
  </si>
  <si>
    <t>LOSS</t>
  </si>
  <si>
    <t>SL.NO</t>
  </si>
  <si>
    <t>WARD NO</t>
  </si>
  <si>
    <t>MEDIUMMARGIN</t>
  </si>
  <si>
    <t>LOWMARGIN</t>
  </si>
  <si>
    <t>HIGHMARGIN</t>
  </si>
  <si>
    <t>VERYHIGHMARGIN</t>
  </si>
  <si>
    <t>NARROWMARGIN</t>
  </si>
  <si>
    <t>BJP WIN MARGIN STATUS</t>
  </si>
  <si>
    <t>BJP WARD WISE MARGIN BASED STATISTICAL ANALYSIS OF YEAR 2018</t>
  </si>
  <si>
    <t>BJP GAIN</t>
  </si>
  <si>
    <t>CONGRESS WARD WISE MARGIN BASED STATISTICAL ANALYSIS OF YEAR 2018</t>
  </si>
  <si>
    <t>CONGRESS GAIN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</si>
</sst>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2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3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1"/>
      <name val="Cambria"/>
      <charset val="134"/>
      <scheme val="major"/>
    </font>
    <font>
      <sz val="11"/>
      <name val="Cambria"/>
      <charset val="134"/>
      <scheme val="maj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4" borderId="15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5" borderId="18" applyNumberFormat="0" applyAlignment="0" applyProtection="0">
      <alignment vertical="center"/>
    </xf>
    <xf numFmtId="0" fontId="26" fillId="16" borderId="19" applyNumberFormat="0" applyAlignment="0" applyProtection="0">
      <alignment vertical="center"/>
    </xf>
    <xf numFmtId="0" fontId="27" fillId="16" borderId="18" applyNumberFormat="0" applyAlignment="0" applyProtection="0">
      <alignment vertical="center"/>
    </xf>
    <xf numFmtId="0" fontId="28" fillId="17" borderId="20" applyNumberFormat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</cellStyleXfs>
  <cellXfs count="138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0" fillId="0" borderId="1" xfId="0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3" fillId="3" borderId="0" xfId="0" applyFont="1" applyFill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center" vertical="center"/>
      <protection hidden="1"/>
    </xf>
    <xf numFmtId="0" fontId="1" fillId="2" borderId="2" xfId="0" applyFont="1" applyFill="1" applyBorder="1" applyAlignment="1" applyProtection="1">
      <alignment horizontal="center" vertical="center" wrapText="1"/>
      <protection hidden="1"/>
    </xf>
    <xf numFmtId="0" fontId="1" fillId="2" borderId="3" xfId="0" applyFont="1" applyFill="1" applyBorder="1" applyAlignment="1" applyProtection="1">
      <alignment horizontal="center" vertical="center"/>
      <protection hidden="1"/>
    </xf>
    <xf numFmtId="0" fontId="1" fillId="2" borderId="4" xfId="0" applyFont="1" applyFill="1" applyBorder="1" applyAlignment="1" applyProtection="1">
      <alignment horizontal="center" vertical="center"/>
      <protection hidden="1"/>
    </xf>
    <xf numFmtId="0" fontId="1" fillId="2" borderId="5" xfId="0" applyFont="1" applyFill="1" applyBorder="1" applyAlignment="1" applyProtection="1">
      <alignment horizontal="center" vertical="center" wrapText="1"/>
      <protection hidden="1"/>
    </xf>
    <xf numFmtId="0" fontId="1" fillId="2" borderId="1" xfId="0" applyFont="1" applyFill="1" applyBorder="1" applyAlignment="1" applyProtection="1">
      <alignment horizontal="center" vertical="center" wrapText="1"/>
      <protection hidden="1"/>
    </xf>
    <xf numFmtId="0" fontId="3" fillId="2" borderId="1" xfId="0" applyFont="1" applyFill="1" applyBorder="1" applyAlignment="1" applyProtection="1">
      <alignment horizontal="center" vertical="center" wrapText="1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0" fontId="0" fillId="4" borderId="1" xfId="0" applyFill="1" applyBorder="1" applyAlignment="1" applyProtection="1">
      <alignment horizontal="center" vertical="center"/>
      <protection hidden="1"/>
    </xf>
    <xf numFmtId="0" fontId="3" fillId="3" borderId="1" xfId="0" applyFont="1" applyFill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0" fontId="1" fillId="2" borderId="6" xfId="0" applyFont="1" applyFill="1" applyBorder="1" applyAlignment="1" applyProtection="1">
      <alignment horizontal="center" vertical="center"/>
      <protection hidden="1"/>
    </xf>
    <xf numFmtId="0" fontId="1" fillId="5" borderId="3" xfId="0" applyFont="1" applyFill="1" applyBorder="1" applyAlignment="1" applyProtection="1">
      <alignment horizontal="center" vertical="center"/>
      <protection hidden="1"/>
    </xf>
    <xf numFmtId="0" fontId="1" fillId="5" borderId="4" xfId="0" applyFont="1" applyFill="1" applyBorder="1" applyAlignment="1" applyProtection="1">
      <alignment horizontal="center" vertical="center"/>
      <protection hidden="1"/>
    </xf>
    <xf numFmtId="0" fontId="1" fillId="5" borderId="6" xfId="0" applyFont="1" applyFill="1" applyBorder="1" applyAlignment="1" applyProtection="1">
      <alignment horizontal="center" vertical="center"/>
      <protection hidden="1"/>
    </xf>
    <xf numFmtId="0" fontId="1" fillId="6" borderId="3" xfId="0" applyFont="1" applyFill="1" applyBorder="1" applyAlignment="1" applyProtection="1">
      <alignment horizontal="center" vertical="center"/>
      <protection hidden="1"/>
    </xf>
    <xf numFmtId="0" fontId="1" fillId="6" borderId="4" xfId="0" applyFont="1" applyFill="1" applyBorder="1" applyAlignment="1" applyProtection="1">
      <alignment horizontal="center" vertical="center"/>
      <protection hidden="1"/>
    </xf>
    <xf numFmtId="0" fontId="1" fillId="6" borderId="6" xfId="0" applyFont="1" applyFill="1" applyBorder="1" applyAlignment="1" applyProtection="1">
      <alignment horizontal="center" vertical="center"/>
      <protection hidden="1"/>
    </xf>
    <xf numFmtId="0" fontId="5" fillId="0" borderId="1" xfId="0" applyFont="1" applyFill="1" applyBorder="1" applyAlignment="1" applyProtection="1">
      <alignment horizontal="center"/>
      <protection hidden="1"/>
    </xf>
    <xf numFmtId="0" fontId="5" fillId="0" borderId="1" xfId="0" applyFont="1" applyFill="1" applyBorder="1" applyAlignment="1" applyProtection="1">
      <alignment horizontal="center" vertical="center"/>
      <protection hidden="1"/>
    </xf>
    <xf numFmtId="0" fontId="6" fillId="3" borderId="1" xfId="0" applyFont="1" applyFill="1" applyBorder="1" applyAlignment="1" applyProtection="1">
      <alignment horizontal="center" vertical="center"/>
      <protection hidden="1"/>
    </xf>
    <xf numFmtId="0" fontId="0" fillId="6" borderId="1" xfId="0" applyFill="1" applyBorder="1" applyAlignment="1" applyProtection="1">
      <alignment horizontal="center" vertical="center"/>
      <protection hidden="1"/>
    </xf>
    <xf numFmtId="0" fontId="0" fillId="7" borderId="1" xfId="0" applyFill="1" applyBorder="1" applyAlignment="1" applyProtection="1">
      <alignment horizontal="center" vertical="center"/>
      <protection hidden="1"/>
    </xf>
    <xf numFmtId="0" fontId="0" fillId="8" borderId="1" xfId="0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9" borderId="1" xfId="0" applyFill="1" applyBorder="1" applyAlignment="1" applyProtection="1">
      <alignment horizontal="center" vertical="center"/>
      <protection hidden="1"/>
    </xf>
    <xf numFmtId="0" fontId="0" fillId="5" borderId="1" xfId="0" applyFill="1" applyBorder="1" applyAlignment="1" applyProtection="1">
      <alignment horizontal="center" vertical="center"/>
      <protection hidden="1"/>
    </xf>
    <xf numFmtId="0" fontId="0" fillId="10" borderId="1" xfId="0" applyFill="1" applyBorder="1" applyAlignment="1" applyProtection="1">
      <alignment horizontal="center" vertical="center"/>
      <protection hidden="1"/>
    </xf>
    <xf numFmtId="0" fontId="0" fillId="3" borderId="1" xfId="0" applyFill="1" applyBorder="1" applyAlignment="1" applyProtection="1">
      <alignment horizontal="center" vertical="center"/>
      <protection hidden="1"/>
    </xf>
    <xf numFmtId="0" fontId="0" fillId="11" borderId="1" xfId="0" applyFill="1" applyBorder="1" applyAlignment="1" applyProtection="1">
      <alignment horizontal="center" vertical="center"/>
      <protection hidden="1"/>
    </xf>
    <xf numFmtId="0" fontId="0" fillId="12" borderId="1" xfId="0" applyFill="1" applyBorder="1" applyAlignment="1" applyProtection="1">
      <alignment horizontal="center" vertical="center"/>
      <protection hidden="1"/>
    </xf>
    <xf numFmtId="0" fontId="1" fillId="2" borderId="2" xfId="0" applyFont="1" applyFill="1" applyBorder="1" applyAlignment="1" applyProtection="1">
      <alignment horizontal="center" vertical="center"/>
      <protection hidden="1"/>
    </xf>
    <xf numFmtId="0" fontId="3" fillId="3" borderId="3" xfId="0" applyFont="1" applyFill="1" applyBorder="1" applyAlignment="1" applyProtection="1">
      <alignment horizontal="center" vertical="center"/>
      <protection hidden="1"/>
    </xf>
    <xf numFmtId="0" fontId="7" fillId="3" borderId="1" xfId="0" applyFont="1" applyFill="1" applyBorder="1" applyAlignment="1" applyProtection="1">
      <alignment horizontal="center" vertical="center"/>
      <protection hidden="1"/>
    </xf>
    <xf numFmtId="0" fontId="3" fillId="3" borderId="6" xfId="0" applyFont="1" applyFill="1" applyBorder="1" applyAlignment="1" applyProtection="1">
      <alignment horizontal="center" vertical="center"/>
      <protection hidden="1"/>
    </xf>
    <xf numFmtId="0" fontId="8" fillId="0" borderId="1" xfId="0" applyFont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9" fillId="5" borderId="1" xfId="0" applyFont="1" applyFill="1" applyBorder="1" applyAlignment="1" applyProtection="1">
      <alignment horizontal="center" vertical="center"/>
      <protection hidden="1"/>
    </xf>
    <xf numFmtId="0" fontId="10" fillId="7" borderId="1" xfId="0" applyFont="1" applyFill="1" applyBorder="1" applyAlignment="1" applyProtection="1">
      <alignment horizontal="center" vertical="center"/>
      <protection hidden="1"/>
    </xf>
    <xf numFmtId="0" fontId="10" fillId="10" borderId="1" xfId="0" applyFont="1" applyFill="1" applyBorder="1" applyAlignment="1" applyProtection="1">
      <alignment horizontal="center" vertical="center"/>
      <protection hidden="1"/>
    </xf>
    <xf numFmtId="0" fontId="1" fillId="8" borderId="1" xfId="0" applyFont="1" applyFill="1" applyBorder="1" applyAlignment="1" applyProtection="1">
      <alignment horizontal="center" vertical="center"/>
      <protection hidden="1"/>
    </xf>
    <xf numFmtId="0" fontId="1" fillId="10" borderId="1" xfId="0" applyFont="1" applyFill="1" applyBorder="1" applyAlignment="1" applyProtection="1">
      <alignment horizontal="center" vertical="center"/>
      <protection hidden="1"/>
    </xf>
    <xf numFmtId="0" fontId="1" fillId="11" borderId="1" xfId="0" applyFont="1" applyFill="1" applyBorder="1" applyAlignment="1" applyProtection="1">
      <alignment horizontal="center" vertical="center"/>
      <protection hidden="1"/>
    </xf>
    <xf numFmtId="0" fontId="1" fillId="12" borderId="1" xfId="0" applyFont="1" applyFill="1" applyBorder="1" applyAlignment="1" applyProtection="1">
      <alignment horizontal="center" vertical="center"/>
      <protection hidden="1"/>
    </xf>
    <xf numFmtId="0" fontId="1" fillId="6" borderId="1" xfId="0" applyFont="1" applyFill="1" applyBorder="1" applyAlignment="1" applyProtection="1">
      <alignment horizontal="center" vertical="center"/>
      <protection hidden="1"/>
    </xf>
    <xf numFmtId="0" fontId="0" fillId="6" borderId="1" xfId="0" applyFill="1" applyBorder="1" applyAlignment="1" applyProtection="1">
      <alignment horizontal="center"/>
      <protection hidden="1"/>
    </xf>
    <xf numFmtId="0" fontId="0" fillId="7" borderId="1" xfId="0" applyFill="1" applyBorder="1" applyAlignment="1" applyProtection="1">
      <alignment horizontal="center"/>
      <protection hidden="1"/>
    </xf>
    <xf numFmtId="0" fontId="0" fillId="0" borderId="0" xfId="0" applyFont="1" applyAlignment="1" applyProtection="1">
      <alignment horizontal="center" vertical="center"/>
      <protection hidden="1"/>
    </xf>
    <xf numFmtId="0" fontId="0" fillId="0" borderId="0" xfId="0" applyBorder="1" applyAlignment="1" applyProtection="1">
      <alignment horizontal="center" vertical="center"/>
      <protection hidden="1"/>
    </xf>
    <xf numFmtId="0" fontId="11" fillId="0" borderId="1" xfId="0" applyFont="1" applyBorder="1" applyAlignment="1" applyProtection="1">
      <alignment horizontal="center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2" borderId="7" xfId="0" applyFont="1" applyFill="1" applyBorder="1" applyAlignment="1" applyProtection="1">
      <alignment horizontal="center" vertical="center" wrapText="1"/>
      <protection hidden="1"/>
    </xf>
    <xf numFmtId="0" fontId="1" fillId="2" borderId="8" xfId="0" applyFont="1" applyFill="1" applyBorder="1" applyAlignment="1" applyProtection="1">
      <alignment horizontal="center" vertical="center" wrapText="1"/>
      <protection hidden="1"/>
    </xf>
    <xf numFmtId="0" fontId="3" fillId="2" borderId="1" xfId="0" applyFont="1" applyFill="1" applyBorder="1" applyAlignment="1" applyProtection="1">
      <alignment horizontal="center" vertical="center"/>
      <protection hidden="1"/>
    </xf>
    <xf numFmtId="0" fontId="1" fillId="4" borderId="1" xfId="0" applyFont="1" applyFill="1" applyBorder="1" applyAlignment="1" applyProtection="1">
      <alignment horizontal="center" vertical="center"/>
      <protection hidden="1"/>
    </xf>
    <xf numFmtId="0" fontId="12" fillId="4" borderId="1" xfId="0" applyFont="1" applyFill="1" applyBorder="1" applyAlignment="1" applyProtection="1">
      <alignment horizontal="center" vertical="center"/>
      <protection hidden="1"/>
    </xf>
    <xf numFmtId="0" fontId="0" fillId="0" borderId="0" xfId="0" applyFill="1" applyBorder="1" applyAlignment="1" applyProtection="1">
      <alignment horizontal="center" vertical="center"/>
      <protection hidden="1"/>
    </xf>
    <xf numFmtId="0" fontId="10" fillId="4" borderId="6" xfId="0" applyFont="1" applyFill="1" applyBorder="1" applyAlignment="1" applyProtection="1">
      <alignment horizontal="center" vertical="center"/>
      <protection hidden="1"/>
    </xf>
    <xf numFmtId="0" fontId="1" fillId="2" borderId="9" xfId="0" applyFont="1" applyFill="1" applyBorder="1" applyAlignment="1" applyProtection="1">
      <alignment horizontal="center" vertical="center"/>
      <protection hidden="1"/>
    </xf>
    <xf numFmtId="0" fontId="1" fillId="2" borderId="10" xfId="0" applyFont="1" applyFill="1" applyBorder="1" applyAlignment="1" applyProtection="1">
      <alignment horizontal="center" vertical="center"/>
      <protection hidden="1"/>
    </xf>
    <xf numFmtId="0" fontId="1" fillId="2" borderId="7" xfId="0" applyFont="1" applyFill="1" applyBorder="1" applyAlignment="1" applyProtection="1">
      <alignment horizontal="center" vertical="center"/>
      <protection hidden="1"/>
    </xf>
    <xf numFmtId="0" fontId="1" fillId="2" borderId="11" xfId="0" applyFont="1" applyFill="1" applyBorder="1" applyAlignment="1" applyProtection="1">
      <alignment horizontal="center" vertical="center"/>
      <protection hidden="1"/>
    </xf>
    <xf numFmtId="0" fontId="1" fillId="2" borderId="12" xfId="0" applyFont="1" applyFill="1" applyBorder="1" applyAlignment="1" applyProtection="1">
      <alignment horizontal="center" vertical="center"/>
      <protection hidden="1"/>
    </xf>
    <xf numFmtId="0" fontId="1" fillId="2" borderId="8" xfId="0" applyFont="1" applyFill="1" applyBorder="1" applyAlignment="1" applyProtection="1">
      <alignment horizontal="center" vertical="center"/>
      <protection hidden="1"/>
    </xf>
    <xf numFmtId="0" fontId="3" fillId="0" borderId="3" xfId="0" applyFont="1" applyBorder="1" applyAlignment="1" applyProtection="1">
      <alignment horizontal="center" vertical="center"/>
      <protection hidden="1"/>
    </xf>
    <xf numFmtId="0" fontId="3" fillId="0" borderId="6" xfId="0" applyFont="1" applyBorder="1" applyAlignment="1" applyProtection="1">
      <alignment horizontal="center" vertical="center"/>
      <protection hidden="1"/>
    </xf>
    <xf numFmtId="0" fontId="1" fillId="10" borderId="6" xfId="0" applyFont="1" applyFill="1" applyBorder="1" applyAlignment="1" applyProtection="1">
      <alignment horizontal="center" vertical="center"/>
      <protection hidden="1"/>
    </xf>
    <xf numFmtId="0" fontId="3" fillId="4" borderId="3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10" fillId="4" borderId="1" xfId="0" applyFont="1" applyFill="1" applyBorder="1" applyAlignment="1" applyProtection="1">
      <alignment horizontal="center" vertical="center"/>
      <protection hidden="1"/>
    </xf>
    <xf numFmtId="0" fontId="1" fillId="6" borderId="7" xfId="0" applyFont="1" applyFill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/>
      <protection hidden="1"/>
    </xf>
    <xf numFmtId="0" fontId="1" fillId="10" borderId="9" xfId="0" applyFont="1" applyFill="1" applyBorder="1" applyAlignment="1" applyProtection="1">
      <alignment horizontal="center" vertical="center"/>
      <protection hidden="1"/>
    </xf>
    <xf numFmtId="0" fontId="1" fillId="10" borderId="7" xfId="0" applyFont="1" applyFill="1" applyBorder="1" applyAlignment="1" applyProtection="1">
      <alignment horizontal="center" vertical="center"/>
      <protection hidden="1"/>
    </xf>
    <xf numFmtId="0" fontId="0" fillId="0" borderId="0" xfId="0" applyFont="1" applyBorder="1" applyAlignment="1" applyProtection="1">
      <alignment horizontal="center" vertical="center"/>
      <protection hidden="1"/>
    </xf>
    <xf numFmtId="0" fontId="1" fillId="10" borderId="11" xfId="0" applyFont="1" applyFill="1" applyBorder="1" applyAlignment="1" applyProtection="1">
      <alignment horizontal="center" vertical="center"/>
      <protection hidden="1"/>
    </xf>
    <xf numFmtId="0" fontId="1" fillId="10" borderId="8" xfId="0" applyFont="1" applyFill="1" applyBorder="1" applyAlignment="1" applyProtection="1">
      <alignment horizontal="center" vertical="center"/>
      <protection hidden="1"/>
    </xf>
    <xf numFmtId="0" fontId="0" fillId="4" borderId="1" xfId="0" applyFont="1" applyFill="1" applyBorder="1" applyAlignment="1" applyProtection="1">
      <alignment horizontal="center" vertical="center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  <xf numFmtId="0" fontId="12" fillId="5" borderId="1" xfId="0" applyFont="1" applyFill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/>
      <protection hidden="1"/>
    </xf>
    <xf numFmtId="0" fontId="1" fillId="5" borderId="1" xfId="0" applyFont="1" applyFill="1" applyBorder="1" applyAlignment="1" applyProtection="1">
      <alignment horizontal="center" vertical="center"/>
      <protection hidden="1"/>
    </xf>
    <xf numFmtId="0" fontId="1" fillId="7" borderId="6" xfId="0" applyFont="1" applyFill="1" applyBorder="1" applyAlignment="1" applyProtection="1">
      <alignment horizontal="center" vertical="center"/>
      <protection hidden="1"/>
    </xf>
    <xf numFmtId="0" fontId="1" fillId="7" borderId="1" xfId="0" applyFont="1" applyFill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10" borderId="2" xfId="0" applyFont="1" applyFill="1" applyBorder="1" applyAlignment="1" applyProtection="1">
      <alignment horizontal="center" vertical="center"/>
      <protection hidden="1"/>
    </xf>
    <xf numFmtId="0" fontId="1" fillId="4" borderId="2" xfId="0" applyFont="1" applyFill="1" applyBorder="1" applyAlignment="1" applyProtection="1">
      <alignment horizontal="center" vertical="center"/>
      <protection hidden="1"/>
    </xf>
    <xf numFmtId="0" fontId="1" fillId="10" borderId="1" xfId="0" applyFont="1" applyFill="1" applyBorder="1" applyAlignment="1" applyProtection="1">
      <alignment horizontal="center" vertical="center" wrapText="1"/>
      <protection hidden="1"/>
    </xf>
    <xf numFmtId="0" fontId="1" fillId="4" borderId="1" xfId="0" applyFont="1" applyFill="1" applyBorder="1" applyAlignment="1" applyProtection="1">
      <alignment horizontal="center" vertical="center" wrapText="1"/>
      <protection hidden="1"/>
    </xf>
    <xf numFmtId="0" fontId="1" fillId="10" borderId="5" xfId="0" applyFont="1" applyFill="1" applyBorder="1" applyAlignment="1" applyProtection="1">
      <alignment horizontal="center" vertical="center"/>
      <protection hidden="1"/>
    </xf>
    <xf numFmtId="0" fontId="1" fillId="4" borderId="5" xfId="0" applyFont="1" applyFill="1" applyBorder="1" applyAlignment="1" applyProtection="1">
      <alignment horizontal="center" vertical="center"/>
      <protection hidden="1"/>
    </xf>
    <xf numFmtId="0" fontId="12" fillId="6" borderId="1" xfId="0" applyFont="1" applyFill="1" applyBorder="1" applyAlignment="1" applyProtection="1">
      <alignment horizontal="center" vertical="center"/>
      <protection hidden="1"/>
    </xf>
    <xf numFmtId="0" fontId="0" fillId="3" borderId="0" xfId="0" applyFill="1" applyProtection="1">
      <protection hidden="1"/>
    </xf>
    <xf numFmtId="0" fontId="9" fillId="0" borderId="13" xfId="0" applyFont="1" applyBorder="1" applyAlignment="1" applyProtection="1">
      <alignment horizontal="center" vertical="center"/>
      <protection hidden="1"/>
    </xf>
    <xf numFmtId="0" fontId="9" fillId="0" borderId="0" xfId="0" applyFont="1" applyBorder="1" applyAlignment="1" applyProtection="1">
      <alignment horizontal="center" vertical="center"/>
      <protection hidden="1"/>
    </xf>
    <xf numFmtId="0" fontId="1" fillId="13" borderId="1" xfId="0" applyFont="1" applyFill="1" applyBorder="1" applyAlignment="1" applyProtection="1">
      <alignment horizontal="center" vertical="center"/>
      <protection hidden="1"/>
    </xf>
    <xf numFmtId="1" fontId="13" fillId="13" borderId="1" xfId="0" applyNumberFormat="1" applyFont="1" applyFill="1" applyBorder="1" applyAlignment="1" applyProtection="1">
      <alignment horizontal="center" vertical="center" wrapText="1"/>
      <protection hidden="1"/>
    </xf>
    <xf numFmtId="0" fontId="14" fillId="3" borderId="1" xfId="0" applyFont="1" applyFill="1" applyBorder="1" applyAlignment="1" applyProtection="1">
      <alignment horizontal="center" vertical="center"/>
      <protection hidden="1"/>
    </xf>
    <xf numFmtId="0" fontId="1" fillId="13" borderId="1" xfId="0" applyNumberFormat="1" applyFont="1" applyFill="1" applyBorder="1" applyAlignment="1" applyProtection="1">
      <alignment horizontal="center" vertical="center" wrapText="1"/>
      <protection hidden="1"/>
    </xf>
    <xf numFmtId="0" fontId="1" fillId="13" borderId="1" xfId="0" applyFont="1" applyFill="1" applyBorder="1" applyAlignment="1" applyProtection="1">
      <alignment horizontal="center" vertical="center" wrapText="1"/>
      <protection hidden="1"/>
    </xf>
    <xf numFmtId="0" fontId="0" fillId="3" borderId="1" xfId="0" applyNumberFormat="1" applyFill="1" applyBorder="1" applyAlignment="1" applyProtection="1">
      <alignment horizontal="center" vertical="center"/>
      <protection hidden="1"/>
    </xf>
    <xf numFmtId="2" fontId="0" fillId="3" borderId="1" xfId="0" applyNumberFormat="1" applyFill="1" applyBorder="1" applyAlignment="1" applyProtection="1">
      <alignment horizontal="center" vertical="center"/>
      <protection hidden="1"/>
    </xf>
    <xf numFmtId="0" fontId="0" fillId="3" borderId="1" xfId="0" applyNumberFormat="1" applyFont="1" applyFill="1" applyBorder="1" applyAlignment="1" applyProtection="1">
      <alignment horizontal="center" vertical="center"/>
      <protection hidden="1"/>
    </xf>
    <xf numFmtId="0" fontId="0" fillId="3" borderId="1" xfId="0" applyFont="1" applyFill="1" applyBorder="1" applyAlignment="1" applyProtection="1">
      <alignment horizontal="center" vertical="center"/>
      <protection hidden="1"/>
    </xf>
    <xf numFmtId="2" fontId="0" fillId="3" borderId="1" xfId="0" applyNumberFormat="1" applyFont="1" applyFill="1" applyBorder="1" applyAlignment="1" applyProtection="1">
      <alignment horizontal="center" vertical="center"/>
      <protection hidden="1"/>
    </xf>
    <xf numFmtId="176" fontId="0" fillId="3" borderId="1" xfId="1" applyNumberFormat="1" applyFont="1" applyFill="1" applyBorder="1" applyAlignment="1" applyProtection="1">
      <alignment horizontal="center" vertical="center"/>
      <protection hidden="1"/>
    </xf>
    <xf numFmtId="176" fontId="0" fillId="0" borderId="1" xfId="1" applyNumberFormat="1" applyFont="1" applyFill="1" applyBorder="1" applyAlignment="1" applyProtection="1">
      <alignment horizontal="center" vertical="center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0" fillId="0" borderId="1" xfId="0" applyFont="1" applyBorder="1" applyAlignment="1" applyProtection="1">
      <alignment horizontal="center" vertical="center"/>
      <protection hidden="1"/>
    </xf>
    <xf numFmtId="0" fontId="1" fillId="13" borderId="14" xfId="0" applyFont="1" applyFill="1" applyBorder="1" applyAlignment="1" applyProtection="1">
      <alignment horizontal="center" vertical="center" wrapText="1"/>
      <protection hidden="1"/>
    </xf>
    <xf numFmtId="0" fontId="15" fillId="3" borderId="1" xfId="0" applyNumberFormat="1" applyFont="1" applyFill="1" applyBorder="1" applyAlignment="1" applyProtection="1">
      <alignment horizontal="center" vertical="center"/>
      <protection hidden="1"/>
    </xf>
    <xf numFmtId="0" fontId="15" fillId="3" borderId="1" xfId="0" applyFont="1" applyFill="1" applyBorder="1" applyAlignment="1" applyProtection="1">
      <alignment horizontal="center" vertical="center"/>
      <protection hidden="1"/>
    </xf>
    <xf numFmtId="2" fontId="15" fillId="3" borderId="1" xfId="0" applyNumberFormat="1" applyFont="1" applyFill="1" applyBorder="1" applyAlignment="1" applyProtection="1">
      <alignment horizontal="center" vertical="center"/>
      <protection hidden="1"/>
    </xf>
    <xf numFmtId="176" fontId="15" fillId="3" borderId="1" xfId="1" applyNumberFormat="1" applyFont="1" applyFill="1" applyBorder="1" applyAlignment="1" applyProtection="1">
      <alignment horizontal="center" vertical="center"/>
      <protection hidden="1"/>
    </xf>
    <xf numFmtId="176" fontId="0" fillId="7" borderId="1" xfId="1" applyNumberFormat="1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0" fontId="15" fillId="0" borderId="1" xfId="0" applyFont="1" applyBorder="1" applyAlignment="1" applyProtection="1">
      <alignment horizontal="center" vertical="center"/>
      <protection hidden="1"/>
    </xf>
    <xf numFmtId="176" fontId="15" fillId="0" borderId="1" xfId="1" applyNumberFormat="1" applyFont="1" applyFill="1" applyBorder="1" applyAlignment="1" applyProtection="1">
      <alignment horizontal="center" vertical="center"/>
      <protection hidden="1"/>
    </xf>
    <xf numFmtId="0" fontId="3" fillId="3" borderId="1" xfId="1" applyNumberFormat="1" applyFont="1" applyFill="1" applyBorder="1" applyAlignment="1" applyProtection="1">
      <alignment horizontal="center" vertical="center"/>
      <protection hidden="1"/>
    </xf>
    <xf numFmtId="2" fontId="3" fillId="3" borderId="1" xfId="0" applyNumberFormat="1" applyFont="1" applyFill="1" applyBorder="1" applyAlignment="1" applyProtection="1">
      <alignment horizontal="center" vertical="center"/>
      <protection hidden="1"/>
    </xf>
    <xf numFmtId="0" fontId="3" fillId="3" borderId="1" xfId="0" applyNumberFormat="1" applyFont="1" applyFill="1" applyBorder="1" applyAlignment="1" applyProtection="1">
      <alignment horizontal="center" vertical="center"/>
      <protection hidden="1"/>
    </xf>
    <xf numFmtId="176" fontId="3" fillId="3" borderId="1" xfId="1" applyNumberFormat="1" applyFont="1" applyFill="1" applyBorder="1" applyAlignment="1" applyProtection="1">
      <alignment horizontal="center" vertical="center"/>
      <protection hidden="1"/>
    </xf>
    <xf numFmtId="0" fontId="0" fillId="8" borderId="1" xfId="0" applyFill="1" applyBorder="1" applyAlignment="1" applyProtection="1">
      <alignment horizontal="center"/>
      <protection hidden="1"/>
    </xf>
    <xf numFmtId="0" fontId="0" fillId="10" borderId="1" xfId="0" applyFill="1" applyBorder="1" applyAlignment="1" applyProtection="1">
      <alignment horizontal="center"/>
      <protection hidden="1"/>
    </xf>
    <xf numFmtId="0" fontId="0" fillId="11" borderId="1" xfId="0" applyFill="1" applyBorder="1" applyAlignment="1" applyProtection="1">
      <alignment horizontal="center"/>
      <protection hidden="1"/>
    </xf>
    <xf numFmtId="0" fontId="0" fillId="12" borderId="1" xfId="0" applyFill="1" applyBorder="1" applyAlignment="1" applyProtection="1">
      <alignment horizontal="center"/>
      <protection hidden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0">
    <dxf>
      <fill>
        <patternFill patternType="solid">
          <bgColor rgb="FFFF0000"/>
        </patternFill>
      </fill>
    </dxf>
    <dxf>
      <font>
        <color theme="1" tint="0.0499893185216834"/>
      </font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5" tint="0.599963377788629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23726276092745"/>
          <c:y val="0.185659813356664"/>
          <c:w val="0.740712611592448"/>
          <c:h val="0.641855497229514"/>
        </c:manualLayout>
      </c:layout>
      <c:barChart>
        <c:barDir val="col"/>
        <c:grouping val="stack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</c:spPr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</c:spPr>
          </c:dPt>
          <c:dPt>
            <c:idx val="4"/>
            <c:invertIfNegative val="0"/>
            <c:bubble3D val="0"/>
            <c:spPr>
              <a:solidFill>
                <a:srgbClr val="00B050"/>
              </a:solidFill>
            </c:spPr>
          </c:dPt>
          <c:dLbls>
            <c:delete val="1"/>
          </c:dLbls>
          <c:cat>
            <c:strRef>
              <c:f>'BJP WIN OR LOSS'!$A$36:$A$40</c:f>
              <c:strCache>
                <c:ptCount val="5"/>
                <c:pt idx="0">
                  <c:v>NARROW MARGIN</c:v>
                </c:pt>
                <c:pt idx="1">
                  <c:v>LOW MARGIN</c:v>
                </c:pt>
                <c:pt idx="2">
                  <c:v>MEDIUM MARGIN</c:v>
                </c:pt>
                <c:pt idx="3">
                  <c:v>HIGH MARGIN </c:v>
                </c:pt>
                <c:pt idx="4">
                  <c:v>VERYHIGH MARGIN</c:v>
                </c:pt>
              </c:strCache>
            </c:strRef>
          </c:cat>
          <c:val>
            <c:numRef>
              <c:f>'BJP WIN OR LOSS'!$B$36:$B$40</c:f>
              <c:numCache>
                <c:formatCode>General</c:formatCode>
                <c:ptCount val="5"/>
                <c:pt idx="0">
                  <c:v>6</c:v>
                </c:pt>
                <c:pt idx="1">
                  <c:v>12</c:v>
                </c:pt>
                <c:pt idx="2">
                  <c:v>4</c:v>
                </c:pt>
                <c:pt idx="3">
                  <c:v>2</c:v>
                </c:pt>
                <c:pt idx="4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884096"/>
        <c:axId val="38885632"/>
      </c:barChart>
      <c:catAx>
        <c:axId val="3888409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I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8885632"/>
        <c:crosses val="autoZero"/>
        <c:auto val="1"/>
        <c:lblAlgn val="ctr"/>
        <c:lblOffset val="100"/>
        <c:noMultiLvlLbl val="0"/>
      </c:catAx>
      <c:valAx>
        <c:axId val="388856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I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8884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2962720626868"/>
          <c:y val="0.290706838728492"/>
          <c:w val="0.183659447221046"/>
          <c:h val="0.41858595800525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I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81705991257159"/>
          <c:y val="0.185659813356664"/>
          <c:w val="0.737080097893339"/>
          <c:h val="0.641855497229514"/>
        </c:manualLayout>
      </c:layout>
      <c:barChart>
        <c:barDir val="col"/>
        <c:grouping val="stack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</c:spPr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</c:spPr>
          </c:dPt>
          <c:dPt>
            <c:idx val="4"/>
            <c:invertIfNegative val="0"/>
            <c:bubble3D val="0"/>
            <c:spPr>
              <a:solidFill>
                <a:srgbClr val="00B050"/>
              </a:solidFill>
            </c:spPr>
          </c:dPt>
          <c:dLbls>
            <c:delete val="1"/>
          </c:dLbls>
          <c:cat>
            <c:strRef>
              <c:f>'BJP WIN OR LOSS'!$H$20:$H$24</c:f>
              <c:strCache>
                <c:ptCount val="5"/>
                <c:pt idx="0">
                  <c:v>NARROW MARGIN</c:v>
                </c:pt>
                <c:pt idx="1">
                  <c:v>LOW MARGIN</c:v>
                </c:pt>
                <c:pt idx="2">
                  <c:v>MEDIUM MARGIN</c:v>
                </c:pt>
                <c:pt idx="3">
                  <c:v>HIGH MARGIN </c:v>
                </c:pt>
                <c:pt idx="4">
                  <c:v>VERYHIGH MARGIN</c:v>
                </c:pt>
              </c:strCache>
            </c:strRef>
          </c:cat>
          <c:val>
            <c:numRef>
              <c:f>'BJP WIN OR LOSS'!$I$20:$I$24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153024"/>
        <c:axId val="39134336"/>
      </c:barChart>
      <c:catAx>
        <c:axId val="3915302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I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9134336"/>
        <c:crosses val="autoZero"/>
        <c:auto val="1"/>
        <c:lblAlgn val="ctr"/>
        <c:lblOffset val="100"/>
        <c:noMultiLvlLbl val="0"/>
      </c:catAx>
      <c:valAx>
        <c:axId val="39134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I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9153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75329676866682"/>
          <c:y val="0.290706838728492"/>
          <c:w val="0.211512430668526"/>
          <c:h val="0.41858595800525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I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40</xdr:row>
      <xdr:rowOff>114300</xdr:rowOff>
    </xdr:from>
    <xdr:to>
      <xdr:col>5</xdr:col>
      <xdr:colOff>371474</xdr:colOff>
      <xdr:row>55</xdr:row>
      <xdr:rowOff>0</xdr:rowOff>
    </xdr:to>
    <xdr:graphicFrame>
      <xdr:nvGraphicFramePr>
        <xdr:cNvPr id="4" name="Chart 3"/>
        <xdr:cNvGraphicFramePr/>
      </xdr:nvGraphicFramePr>
      <xdr:xfrm>
        <a:off x="0" y="7734300"/>
        <a:ext cx="666686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123824</xdr:colOff>
      <xdr:row>25</xdr:row>
      <xdr:rowOff>66675</xdr:rowOff>
    </xdr:from>
    <xdr:to>
      <xdr:col>11</xdr:col>
      <xdr:colOff>561975</xdr:colOff>
      <xdr:row>39</xdr:row>
      <xdr:rowOff>142875</xdr:rowOff>
    </xdr:to>
    <xdr:graphicFrame>
      <xdr:nvGraphicFramePr>
        <xdr:cNvPr id="5" name="Chart 4"/>
        <xdr:cNvGraphicFramePr/>
      </xdr:nvGraphicFramePr>
      <xdr:xfrm>
        <a:off x="7638415" y="4829175"/>
        <a:ext cx="574421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0.18401</cdr:x>
      <cdr:y>0.03125</cdr:y>
    </cdr:from>
    <cdr:to>
      <cdr:x>0.74359</cdr:x>
      <cdr:y>0.13194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1162049" y="85724"/>
          <a:ext cx="3533775" cy="276226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IN" sz="1400" b="1"/>
            <a:t>BJP  WIN  MARGIN  STATUS</a:t>
          </a:r>
          <a:endParaRPr lang="en-IN" sz="1400" b="1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0.15132</cdr:x>
      <cdr:y>0.02894</cdr:y>
    </cdr:from>
    <cdr:to>
      <cdr:x>0.75164</cdr:x>
      <cdr:y>0.13458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876300" y="79375"/>
          <a:ext cx="3476626" cy="289794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IN" sz="1400" b="1"/>
            <a:t>CONGRESS WIN  MARGIN  STATUS</a:t>
          </a:r>
          <a:endParaRPr lang="en-IN" sz="1400" b="1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29"/>
  <sheetViews>
    <sheetView topLeftCell="A213" workbookViewId="0">
      <selection activeCell="A4" sqref="A4:A223"/>
    </sheetView>
  </sheetViews>
  <sheetFormatPr defaultColWidth="9" defaultRowHeight="15"/>
  <cols>
    <col min="1" max="1" width="10.5714285714286" style="47" customWidth="1"/>
    <col min="2" max="2" width="61.8571428571429" style="47" customWidth="1"/>
    <col min="3" max="3" width="13.7142857142857" style="47" customWidth="1"/>
    <col min="4" max="29" width="9.14285714285714" style="47"/>
    <col min="30" max="32" width="10.4285714285714" style="47" customWidth="1"/>
    <col min="33" max="33" width="12.7142857142857" style="47" customWidth="1"/>
    <col min="34" max="34" width="9" style="47" customWidth="1"/>
    <col min="35" max="35" width="17.2857142857143" style="47" customWidth="1"/>
    <col min="36" max="36" width="15.1428571428571" style="47" customWidth="1"/>
    <col min="37" max="37" width="23" style="47" customWidth="1"/>
    <col min="38" max="16384" width="9.14285714285714" style="47"/>
  </cols>
  <sheetData>
    <row r="1" customHeight="1" spans="1:37">
      <c r="A1" s="105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</row>
    <row r="2" customHeight="1" spans="1:37">
      <c r="A2" s="105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</row>
    <row r="3" ht="90" spans="1:37">
      <c r="A3" s="107" t="s">
        <v>1</v>
      </c>
      <c r="B3" s="108" t="s">
        <v>2</v>
      </c>
      <c r="C3" s="107" t="s">
        <v>3</v>
      </c>
      <c r="D3" s="107" t="s">
        <v>4</v>
      </c>
      <c r="E3" s="107" t="s">
        <v>5</v>
      </c>
      <c r="F3" s="107" t="s">
        <v>6</v>
      </c>
      <c r="G3" s="107" t="s">
        <v>7</v>
      </c>
      <c r="H3" s="107" t="s">
        <v>8</v>
      </c>
      <c r="I3" s="107" t="s">
        <v>9</v>
      </c>
      <c r="J3" s="107" t="s">
        <v>10</v>
      </c>
      <c r="K3" s="107" t="s">
        <v>11</v>
      </c>
      <c r="L3" s="110" t="s">
        <v>12</v>
      </c>
      <c r="M3" s="110" t="s">
        <v>13</v>
      </c>
      <c r="N3" s="110" t="s">
        <v>14</v>
      </c>
      <c r="O3" s="111" t="s">
        <v>3</v>
      </c>
      <c r="P3" s="111" t="s">
        <v>15</v>
      </c>
      <c r="Q3" s="111" t="s">
        <v>16</v>
      </c>
      <c r="R3" s="111" t="s">
        <v>17</v>
      </c>
      <c r="S3" s="111" t="s">
        <v>18</v>
      </c>
      <c r="T3" s="111" t="s">
        <v>19</v>
      </c>
      <c r="U3" s="111" t="s">
        <v>20</v>
      </c>
      <c r="V3" s="111" t="s">
        <v>21</v>
      </c>
      <c r="W3" s="111" t="s">
        <v>22</v>
      </c>
      <c r="X3" s="111" t="s">
        <v>23</v>
      </c>
      <c r="Y3" s="111" t="s">
        <v>24</v>
      </c>
      <c r="Z3" s="111" t="s">
        <v>25</v>
      </c>
      <c r="AA3" s="111" t="s">
        <v>26</v>
      </c>
      <c r="AB3" s="111" t="s">
        <v>27</v>
      </c>
      <c r="AC3" s="111"/>
      <c r="AD3" s="111" t="s">
        <v>28</v>
      </c>
      <c r="AE3" s="111" t="s">
        <v>29</v>
      </c>
      <c r="AF3" s="111" t="s">
        <v>30</v>
      </c>
      <c r="AG3" s="111" t="s">
        <v>31</v>
      </c>
      <c r="AH3" s="111" t="s">
        <v>32</v>
      </c>
      <c r="AI3" s="107" t="s">
        <v>33</v>
      </c>
      <c r="AJ3" s="107" t="s">
        <v>34</v>
      </c>
      <c r="AK3" s="121" t="s">
        <v>35</v>
      </c>
    </row>
    <row r="4" spans="1:37">
      <c r="A4" s="37">
        <v>1</v>
      </c>
      <c r="B4" s="109" t="s">
        <v>36</v>
      </c>
      <c r="C4" s="37">
        <v>778</v>
      </c>
      <c r="D4" s="37">
        <v>459</v>
      </c>
      <c r="E4" s="37">
        <f t="shared" ref="E4:E67" si="0">(D4/C4)*100</f>
        <v>58.9974293059126</v>
      </c>
      <c r="F4" s="37">
        <v>306</v>
      </c>
      <c r="G4" s="37">
        <f t="shared" ref="G4:G67" si="1">(F4/C4)*100</f>
        <v>39.3316195372751</v>
      </c>
      <c r="H4" s="37">
        <v>0</v>
      </c>
      <c r="I4" s="37">
        <f t="shared" ref="I4:I67" si="2">(H4/C4)*100</f>
        <v>0</v>
      </c>
      <c r="J4" s="37">
        <v>5</v>
      </c>
      <c r="K4" s="37">
        <f t="shared" ref="K4:K67" si="3">(J4/C4)*100</f>
        <v>0.6426735218509</v>
      </c>
      <c r="L4" s="112">
        <v>554</v>
      </c>
      <c r="M4" s="112">
        <v>592</v>
      </c>
      <c r="N4" s="112">
        <f t="shared" ref="N4:N67" si="4">L4+M4</f>
        <v>1146</v>
      </c>
      <c r="O4" s="37">
        <v>778</v>
      </c>
      <c r="P4" s="113">
        <f>O4/N4*100</f>
        <v>67.8883071553229</v>
      </c>
      <c r="Q4" s="37">
        <v>903</v>
      </c>
      <c r="R4" s="37">
        <f>(Q4/N4)*100</f>
        <v>78.7958115183246</v>
      </c>
      <c r="S4" s="37">
        <f t="shared" ref="S4:S67" si="5">Q4-U4</f>
        <v>294</v>
      </c>
      <c r="T4" s="37">
        <f>(S4/Q4)*100</f>
        <v>32.5581395348837</v>
      </c>
      <c r="U4" s="37">
        <v>609</v>
      </c>
      <c r="V4" s="117">
        <f>IFERROR(U4/Q4*100,0)</f>
        <v>67.4418604651163</v>
      </c>
      <c r="W4" s="37">
        <f>1146-903</f>
        <v>243</v>
      </c>
      <c r="X4" s="37">
        <f>100-R4</f>
        <v>21.2041884816754</v>
      </c>
      <c r="Y4" s="37">
        <f>W4-AA4</f>
        <v>74</v>
      </c>
      <c r="Z4" s="3">
        <f>(Y4/W4)*100</f>
        <v>30.4526748971193</v>
      </c>
      <c r="AA4" s="3">
        <f>778-609</f>
        <v>169</v>
      </c>
      <c r="AB4" s="118">
        <f>IFERROR(AA4/W4*100,0)</f>
        <v>69.5473251028807</v>
      </c>
      <c r="AC4" s="3">
        <f t="shared" ref="AC4:AC30" si="6">U4+AA4</f>
        <v>778</v>
      </c>
      <c r="AD4" s="3" t="str">
        <f>IF(P4&gt;80,"EXCELLENT",IF(P4&gt;70,"STRONG",IF(P4&gt;60,"AVG",IF(P4&gt;50,"WEAK",IF(P4&lt;50,"VLOW")))))</f>
        <v>AVG</v>
      </c>
      <c r="AE4" s="30" t="str">
        <f>IF(R4&gt;80,"EXCELLENT",IF(R4&gt;70,"STRONG",IF(R4&gt;60,"AVG",IF(R4&gt;50,"WEAK",IF(R4&lt;50,"VLOW")))))</f>
        <v>STRONG</v>
      </c>
      <c r="AF4" s="3" t="str">
        <f>IF(X4&gt;80,"EXCELLENT",IF(X4&gt;70,"STRONG",IF(X4&gt;60,"AVG",IF(X4&gt;50,"WEAK",IF(X4&lt;50,"VLOW")))))</f>
        <v>VLOW</v>
      </c>
      <c r="AG4" s="3" t="str">
        <f t="shared" ref="AG4:AG67" si="7">IF(M4&gt;L4,"FEMALE DOM","MEN")</f>
        <v>FEMALE DOM</v>
      </c>
      <c r="AH4" s="3" t="str">
        <f>IF(T4&gt;Z4,"H","O")</f>
        <v>H</v>
      </c>
      <c r="AI4" s="36">
        <f t="shared" ref="AI4:AI34" si="8">E4-G4</f>
        <v>19.6658097686375</v>
      </c>
      <c r="AJ4" s="35" t="str">
        <f t="shared" ref="AJ4:AJ67" si="9">IF(E4&gt;G4,"BJP GAIN","CONGRESSGAIN")</f>
        <v>BJP GAIN</v>
      </c>
      <c r="AK4" s="36" t="str">
        <f>IF(AI4&gt;=50,"VERYHIGHMARGIN",IF(AI4&gt;=40,"HIGHMARGIN",IF(AI4&gt;=30,"MEDIUMMARGIN",IF(AI4&gt;10,"LOWMARGIN",IF(AI4&gt;=1,"NARROWMARGIN")))))</f>
        <v>LOWMARGIN</v>
      </c>
    </row>
    <row r="5" spans="1:37">
      <c r="A5" s="37">
        <v>2</v>
      </c>
      <c r="B5" s="109" t="s">
        <v>37</v>
      </c>
      <c r="C5" s="37">
        <v>1075</v>
      </c>
      <c r="D5" s="37">
        <v>591</v>
      </c>
      <c r="E5" s="37">
        <f t="shared" si="0"/>
        <v>54.9767441860465</v>
      </c>
      <c r="F5" s="37">
        <v>455</v>
      </c>
      <c r="G5" s="37">
        <f t="shared" si="1"/>
        <v>42.3255813953488</v>
      </c>
      <c r="H5" s="37">
        <v>1</v>
      </c>
      <c r="I5" s="37">
        <f t="shared" si="2"/>
        <v>0.0930232558139535</v>
      </c>
      <c r="J5" s="37">
        <v>8</v>
      </c>
      <c r="K5" s="37">
        <f t="shared" si="3"/>
        <v>0.744186046511628</v>
      </c>
      <c r="L5" s="112">
        <v>761</v>
      </c>
      <c r="M5" s="112">
        <v>841</v>
      </c>
      <c r="N5" s="112">
        <f t="shared" si="4"/>
        <v>1602</v>
      </c>
      <c r="O5" s="37">
        <v>1075</v>
      </c>
      <c r="P5" s="113">
        <f t="shared" ref="P5:P68" si="10">O5/N5*100</f>
        <v>67.103620474407</v>
      </c>
      <c r="Q5" s="37">
        <v>614</v>
      </c>
      <c r="R5" s="37">
        <f t="shared" ref="R5:R68" si="11">(Q5/N5)*100</f>
        <v>38.3270911360799</v>
      </c>
      <c r="S5" s="37">
        <f t="shared" si="5"/>
        <v>213</v>
      </c>
      <c r="T5" s="37">
        <f t="shared" ref="T5:T68" si="12">(S5/Q5)*100</f>
        <v>34.6905537459283</v>
      </c>
      <c r="U5" s="37">
        <v>401</v>
      </c>
      <c r="V5" s="117">
        <f t="shared" ref="V5:V68" si="13">IFERROR(U5/Q5*100,0)</f>
        <v>65.3094462540717</v>
      </c>
      <c r="W5" s="37">
        <v>206</v>
      </c>
      <c r="X5" s="37">
        <f t="shared" ref="X5:X68" si="14">100-R5</f>
        <v>61.6729088639201</v>
      </c>
      <c r="Y5" s="119">
        <f>W5-AA5</f>
        <v>92</v>
      </c>
      <c r="Z5" s="4">
        <f t="shared" ref="Z5:Z68" si="15">(Y5/W5)*100</f>
        <v>44.6601941747573</v>
      </c>
      <c r="AA5" s="4">
        <v>114</v>
      </c>
      <c r="AB5" s="118">
        <f t="shared" ref="AB5:AB68" si="16">IFERROR(AA5/W5*100,0)</f>
        <v>55.3398058252427</v>
      </c>
      <c r="AC5" s="4">
        <f t="shared" si="6"/>
        <v>515</v>
      </c>
      <c r="AD5" s="3" t="str">
        <f t="shared" ref="AD5:AD68" si="17">IF(P5&gt;80,"EXCELLENT",IF(P5&gt;70,"STRONG",IF(P5&gt;60,"AVG",IF(P5&gt;50,"WEAK",IF(P5&lt;50,"VLOW")))))</f>
        <v>AVG</v>
      </c>
      <c r="AE5" s="30" t="str">
        <f t="shared" ref="AE5:AE68" si="18">IF(R5&gt;80,"EXCELLENT",IF(R5&gt;70,"STRONG",IF(R5&gt;60,"AVG",IF(R5&gt;50,"WEAK",IF(R5&lt;50,"VLOW")))))</f>
        <v>VLOW</v>
      </c>
      <c r="AF5" s="3" t="str">
        <f t="shared" ref="AF5:AF68" si="19">IF(X5&gt;80,"EXCELLENT",IF(X5&gt;70,"STRONG",IF(X5&gt;60,"AVG",IF(X5&gt;50,"WEAK",IF(X5&lt;50,"VLOW")))))</f>
        <v>AVG</v>
      </c>
      <c r="AG5" s="3" t="str">
        <f t="shared" si="7"/>
        <v>FEMALE DOM</v>
      </c>
      <c r="AH5" s="3" t="str">
        <f t="shared" ref="AH5:AH68" si="20">IF(T5&gt;Z5,"H","O")</f>
        <v>O</v>
      </c>
      <c r="AI5" s="36">
        <f t="shared" si="8"/>
        <v>12.6511627906977</v>
      </c>
      <c r="AJ5" s="35" t="str">
        <f t="shared" si="9"/>
        <v>BJP GAIN</v>
      </c>
      <c r="AK5" s="36" t="str">
        <f t="shared" ref="AK5:AK68" si="21">IF(AI5&gt;=50,"VERYHIGHMARGIN",IF(AI5&gt;=40,"HIGHMARGIN",IF(AI5&gt;=30,"MEDIUMMARGIN",IF(AI5&gt;10,"LOWMARGIN",IF(AI5&gt;=1,"NARROWMARGIN")))))</f>
        <v>LOWMARGIN</v>
      </c>
    </row>
    <row r="6" spans="1:37">
      <c r="A6" s="37">
        <v>3</v>
      </c>
      <c r="B6" s="109" t="s">
        <v>38</v>
      </c>
      <c r="C6" s="37">
        <v>999</v>
      </c>
      <c r="D6" s="37">
        <v>684</v>
      </c>
      <c r="E6" s="37">
        <f t="shared" si="0"/>
        <v>68.4684684684685</v>
      </c>
      <c r="F6" s="37">
        <v>273</v>
      </c>
      <c r="G6" s="37">
        <f t="shared" si="1"/>
        <v>27.3273273273273</v>
      </c>
      <c r="H6" s="37">
        <v>3</v>
      </c>
      <c r="I6" s="37">
        <f t="shared" si="2"/>
        <v>0.3003003003003</v>
      </c>
      <c r="J6" s="37">
        <v>14</v>
      </c>
      <c r="K6" s="37">
        <f t="shared" si="3"/>
        <v>1.4014014014014</v>
      </c>
      <c r="L6" s="112">
        <v>637</v>
      </c>
      <c r="M6" s="112">
        <v>659</v>
      </c>
      <c r="N6" s="112">
        <f t="shared" si="4"/>
        <v>1296</v>
      </c>
      <c r="O6" s="37">
        <v>999</v>
      </c>
      <c r="P6" s="113">
        <f t="shared" si="10"/>
        <v>77.0833333333333</v>
      </c>
      <c r="Q6" s="37">
        <v>1205</v>
      </c>
      <c r="R6" s="37">
        <f t="shared" si="11"/>
        <v>92.9783950617284</v>
      </c>
      <c r="S6" s="37">
        <f t="shared" si="5"/>
        <v>263</v>
      </c>
      <c r="T6" s="37">
        <f t="shared" si="12"/>
        <v>21.8257261410788</v>
      </c>
      <c r="U6" s="37">
        <v>942</v>
      </c>
      <c r="V6" s="117">
        <f t="shared" si="13"/>
        <v>78.1742738589212</v>
      </c>
      <c r="W6" s="37">
        <v>82</v>
      </c>
      <c r="X6" s="37">
        <f t="shared" si="14"/>
        <v>7.02160493827161</v>
      </c>
      <c r="Y6" s="37">
        <f t="shared" ref="Y6:Y69" si="22">W6-AA6</f>
        <v>25</v>
      </c>
      <c r="Z6" s="3">
        <f t="shared" si="15"/>
        <v>30.4878048780488</v>
      </c>
      <c r="AA6" s="3">
        <v>57</v>
      </c>
      <c r="AB6" s="118">
        <f t="shared" si="16"/>
        <v>69.5121951219512</v>
      </c>
      <c r="AC6" s="3">
        <f t="shared" si="6"/>
        <v>999</v>
      </c>
      <c r="AD6" s="3" t="str">
        <f t="shared" si="17"/>
        <v>STRONG</v>
      </c>
      <c r="AE6" s="30" t="str">
        <f t="shared" si="18"/>
        <v>EXCELLENT</v>
      </c>
      <c r="AF6" s="3" t="str">
        <f t="shared" si="19"/>
        <v>VLOW</v>
      </c>
      <c r="AG6" s="3" t="str">
        <f t="shared" si="7"/>
        <v>FEMALE DOM</v>
      </c>
      <c r="AH6" s="3" t="str">
        <f t="shared" si="20"/>
        <v>O</v>
      </c>
      <c r="AI6" s="36">
        <f t="shared" si="8"/>
        <v>41.1411411411411</v>
      </c>
      <c r="AJ6" s="35" t="str">
        <f t="shared" si="9"/>
        <v>BJP GAIN</v>
      </c>
      <c r="AK6" s="34" t="str">
        <f t="shared" si="21"/>
        <v>HIGHMARGIN</v>
      </c>
    </row>
    <row r="7" spans="1:37">
      <c r="A7" s="37">
        <v>4</v>
      </c>
      <c r="B7" s="109" t="s">
        <v>39</v>
      </c>
      <c r="C7" s="37">
        <v>806</v>
      </c>
      <c r="D7" s="37">
        <v>551</v>
      </c>
      <c r="E7" s="37">
        <f t="shared" si="0"/>
        <v>68.3622828784119</v>
      </c>
      <c r="F7" s="37">
        <v>217</v>
      </c>
      <c r="G7" s="37">
        <f t="shared" si="1"/>
        <v>26.9230769230769</v>
      </c>
      <c r="H7" s="37">
        <v>2</v>
      </c>
      <c r="I7" s="37">
        <f t="shared" si="2"/>
        <v>0.248138957816377</v>
      </c>
      <c r="J7" s="37">
        <v>20</v>
      </c>
      <c r="K7" s="37">
        <f t="shared" si="3"/>
        <v>2.48138957816377</v>
      </c>
      <c r="L7" s="112">
        <v>527</v>
      </c>
      <c r="M7" s="112">
        <v>548</v>
      </c>
      <c r="N7" s="112">
        <f t="shared" si="4"/>
        <v>1075</v>
      </c>
      <c r="O7" s="37">
        <v>806</v>
      </c>
      <c r="P7" s="113">
        <f t="shared" si="10"/>
        <v>74.9767441860465</v>
      </c>
      <c r="Q7" s="37">
        <f>1075-235</f>
        <v>840</v>
      </c>
      <c r="R7" s="37">
        <f t="shared" si="11"/>
        <v>78.1395348837209</v>
      </c>
      <c r="S7" s="37">
        <f t="shared" si="5"/>
        <v>219</v>
      </c>
      <c r="T7" s="37">
        <f t="shared" si="12"/>
        <v>26.0714285714286</v>
      </c>
      <c r="U7" s="37">
        <v>621</v>
      </c>
      <c r="V7" s="117">
        <f t="shared" si="13"/>
        <v>73.9285714285714</v>
      </c>
      <c r="W7" s="37">
        <v>235</v>
      </c>
      <c r="X7" s="37">
        <f t="shared" si="14"/>
        <v>21.8604651162791</v>
      </c>
      <c r="Y7" s="119">
        <f t="shared" si="22"/>
        <v>50</v>
      </c>
      <c r="Z7" s="3">
        <f t="shared" si="15"/>
        <v>21.2765957446809</v>
      </c>
      <c r="AA7" s="3">
        <f>806-621</f>
        <v>185</v>
      </c>
      <c r="AB7" s="118">
        <f t="shared" si="16"/>
        <v>78.7234042553192</v>
      </c>
      <c r="AC7" s="3">
        <f t="shared" si="6"/>
        <v>806</v>
      </c>
      <c r="AD7" s="3" t="str">
        <f t="shared" si="17"/>
        <v>STRONG</v>
      </c>
      <c r="AE7" s="30" t="str">
        <f t="shared" si="18"/>
        <v>STRONG</v>
      </c>
      <c r="AF7" s="3" t="str">
        <f t="shared" si="19"/>
        <v>VLOW</v>
      </c>
      <c r="AG7" s="3" t="str">
        <f t="shared" si="7"/>
        <v>FEMALE DOM</v>
      </c>
      <c r="AH7" s="3" t="str">
        <f t="shared" si="20"/>
        <v>H</v>
      </c>
      <c r="AI7" s="36">
        <f t="shared" si="8"/>
        <v>41.439205955335</v>
      </c>
      <c r="AJ7" s="35" t="str">
        <f t="shared" si="9"/>
        <v>BJP GAIN</v>
      </c>
      <c r="AK7" s="34" t="str">
        <f t="shared" si="21"/>
        <v>HIGHMARGIN</v>
      </c>
    </row>
    <row r="8" spans="1:37">
      <c r="A8" s="37">
        <v>5</v>
      </c>
      <c r="B8" s="109" t="s">
        <v>40</v>
      </c>
      <c r="C8" s="37">
        <v>920</v>
      </c>
      <c r="D8" s="37">
        <v>460</v>
      </c>
      <c r="E8" s="37">
        <f t="shared" si="0"/>
        <v>50</v>
      </c>
      <c r="F8" s="37">
        <v>308</v>
      </c>
      <c r="G8" s="37">
        <f t="shared" si="1"/>
        <v>33.4782608695652</v>
      </c>
      <c r="H8" s="37">
        <v>5</v>
      </c>
      <c r="I8" s="37">
        <f t="shared" si="2"/>
        <v>0.543478260869565</v>
      </c>
      <c r="J8" s="37">
        <v>128</v>
      </c>
      <c r="K8" s="37">
        <f t="shared" si="3"/>
        <v>13.9130434782609</v>
      </c>
      <c r="L8" s="112">
        <v>542</v>
      </c>
      <c r="M8" s="112">
        <v>589</v>
      </c>
      <c r="N8" s="112">
        <f t="shared" si="4"/>
        <v>1131</v>
      </c>
      <c r="O8" s="37">
        <v>920</v>
      </c>
      <c r="P8" s="113">
        <f t="shared" si="10"/>
        <v>81.3439434129089</v>
      </c>
      <c r="Q8" s="37">
        <v>1027</v>
      </c>
      <c r="R8" s="37">
        <f t="shared" si="11"/>
        <v>90.8045977011494</v>
      </c>
      <c r="S8" s="37">
        <f t="shared" si="5"/>
        <v>201</v>
      </c>
      <c r="T8" s="37">
        <f t="shared" si="12"/>
        <v>19.5715676728335</v>
      </c>
      <c r="U8" s="37">
        <v>826</v>
      </c>
      <c r="V8" s="117">
        <f t="shared" si="13"/>
        <v>80.4284323271665</v>
      </c>
      <c r="W8" s="37">
        <f>37+67</f>
        <v>104</v>
      </c>
      <c r="X8" s="37">
        <f t="shared" si="14"/>
        <v>9.19540229885058</v>
      </c>
      <c r="Y8" s="37">
        <f t="shared" si="22"/>
        <v>24</v>
      </c>
      <c r="Z8" s="3">
        <f t="shared" si="15"/>
        <v>23.0769230769231</v>
      </c>
      <c r="AA8" s="3">
        <v>80</v>
      </c>
      <c r="AB8" s="118">
        <f t="shared" si="16"/>
        <v>76.9230769230769</v>
      </c>
      <c r="AC8" s="3">
        <f t="shared" si="6"/>
        <v>906</v>
      </c>
      <c r="AD8" s="3" t="str">
        <f t="shared" si="17"/>
        <v>EXCELLENT</v>
      </c>
      <c r="AE8" s="30" t="str">
        <f t="shared" si="18"/>
        <v>EXCELLENT</v>
      </c>
      <c r="AF8" s="3" t="str">
        <f t="shared" si="19"/>
        <v>VLOW</v>
      </c>
      <c r="AG8" s="3" t="str">
        <f t="shared" si="7"/>
        <v>FEMALE DOM</v>
      </c>
      <c r="AH8" s="3" t="str">
        <f t="shared" si="20"/>
        <v>O</v>
      </c>
      <c r="AI8" s="36">
        <f t="shared" si="8"/>
        <v>16.5217391304348</v>
      </c>
      <c r="AJ8" s="35" t="str">
        <f t="shared" si="9"/>
        <v>BJP GAIN</v>
      </c>
      <c r="AK8" s="36" t="str">
        <f t="shared" si="21"/>
        <v>LOWMARGIN</v>
      </c>
    </row>
    <row r="9" spans="1:37">
      <c r="A9" s="37">
        <v>6</v>
      </c>
      <c r="B9" s="109" t="s">
        <v>41</v>
      </c>
      <c r="C9" s="37">
        <v>538</v>
      </c>
      <c r="D9" s="37">
        <v>385</v>
      </c>
      <c r="E9" s="37">
        <f t="shared" si="0"/>
        <v>71.5613382899628</v>
      </c>
      <c r="F9" s="37">
        <v>136</v>
      </c>
      <c r="G9" s="37">
        <f t="shared" si="1"/>
        <v>25.2788104089219</v>
      </c>
      <c r="H9" s="37">
        <v>2</v>
      </c>
      <c r="I9" s="37">
        <f t="shared" si="2"/>
        <v>0.371747211895911</v>
      </c>
      <c r="J9" s="37">
        <v>10</v>
      </c>
      <c r="K9" s="37">
        <f t="shared" si="3"/>
        <v>1.85873605947955</v>
      </c>
      <c r="L9" s="114">
        <v>363</v>
      </c>
      <c r="M9" s="114">
        <v>429</v>
      </c>
      <c r="N9" s="114">
        <f t="shared" si="4"/>
        <v>792</v>
      </c>
      <c r="O9" s="115">
        <v>538</v>
      </c>
      <c r="P9" s="116">
        <f t="shared" si="10"/>
        <v>67.9292929292929</v>
      </c>
      <c r="Q9" s="115">
        <v>661</v>
      </c>
      <c r="R9" s="115">
        <f t="shared" si="11"/>
        <v>83.459595959596</v>
      </c>
      <c r="S9" s="115">
        <f t="shared" si="5"/>
        <v>198</v>
      </c>
      <c r="T9" s="115">
        <f t="shared" si="12"/>
        <v>29.9546142208775</v>
      </c>
      <c r="U9" s="115">
        <v>463</v>
      </c>
      <c r="V9" s="117">
        <f t="shared" si="13"/>
        <v>70.0453857791225</v>
      </c>
      <c r="W9" s="115">
        <v>131</v>
      </c>
      <c r="X9" s="115">
        <f t="shared" si="14"/>
        <v>16.540404040404</v>
      </c>
      <c r="Y9" s="115">
        <f t="shared" si="22"/>
        <v>56</v>
      </c>
      <c r="Z9" s="120">
        <f t="shared" si="15"/>
        <v>42.7480916030534</v>
      </c>
      <c r="AA9" s="120">
        <v>75</v>
      </c>
      <c r="AB9" s="118">
        <f t="shared" si="16"/>
        <v>57.2519083969466</v>
      </c>
      <c r="AC9" s="120">
        <f t="shared" si="6"/>
        <v>538</v>
      </c>
      <c r="AD9" s="3" t="str">
        <f t="shared" si="17"/>
        <v>AVG</v>
      </c>
      <c r="AE9" s="30" t="str">
        <f t="shared" si="18"/>
        <v>EXCELLENT</v>
      </c>
      <c r="AF9" s="3" t="str">
        <f t="shared" si="19"/>
        <v>VLOW</v>
      </c>
      <c r="AG9" s="3" t="str">
        <f t="shared" si="7"/>
        <v>FEMALE DOM</v>
      </c>
      <c r="AH9" s="3" t="str">
        <f t="shared" si="20"/>
        <v>O</v>
      </c>
      <c r="AI9" s="36">
        <f t="shared" si="8"/>
        <v>46.2825278810409</v>
      </c>
      <c r="AJ9" s="35" t="str">
        <f t="shared" si="9"/>
        <v>BJP GAIN</v>
      </c>
      <c r="AK9" s="34" t="str">
        <f t="shared" si="21"/>
        <v>HIGHMARGIN</v>
      </c>
    </row>
    <row r="10" spans="1:37">
      <c r="A10" s="37">
        <v>7</v>
      </c>
      <c r="B10" s="109" t="s">
        <v>42</v>
      </c>
      <c r="C10" s="37">
        <v>515</v>
      </c>
      <c r="D10" s="37">
        <v>328</v>
      </c>
      <c r="E10" s="37">
        <f t="shared" si="0"/>
        <v>63.6893203883495</v>
      </c>
      <c r="F10" s="37">
        <v>166</v>
      </c>
      <c r="G10" s="37">
        <f t="shared" si="1"/>
        <v>32.2330097087379</v>
      </c>
      <c r="H10" s="37">
        <v>1</v>
      </c>
      <c r="I10" s="37">
        <f t="shared" si="2"/>
        <v>0.194174757281553</v>
      </c>
      <c r="J10" s="37">
        <v>7</v>
      </c>
      <c r="K10" s="37">
        <f t="shared" si="3"/>
        <v>1.35922330097087</v>
      </c>
      <c r="L10" s="112">
        <v>380</v>
      </c>
      <c r="M10" s="112">
        <v>418</v>
      </c>
      <c r="N10" s="112">
        <f t="shared" si="4"/>
        <v>798</v>
      </c>
      <c r="O10" s="37">
        <v>515</v>
      </c>
      <c r="P10" s="113">
        <f t="shared" si="10"/>
        <v>64.5363408521303</v>
      </c>
      <c r="Q10" s="37">
        <v>627</v>
      </c>
      <c r="R10" s="37">
        <f t="shared" si="11"/>
        <v>78.5714285714286</v>
      </c>
      <c r="S10" s="37">
        <f t="shared" si="5"/>
        <v>214</v>
      </c>
      <c r="T10" s="37">
        <f t="shared" si="12"/>
        <v>34.1307814992025</v>
      </c>
      <c r="U10" s="37">
        <v>413</v>
      </c>
      <c r="V10" s="117">
        <f t="shared" si="13"/>
        <v>65.8692185007974</v>
      </c>
      <c r="W10" s="37">
        <v>171</v>
      </c>
      <c r="X10" s="37">
        <f t="shared" si="14"/>
        <v>21.4285714285714</v>
      </c>
      <c r="Y10" s="119">
        <f t="shared" si="22"/>
        <v>79</v>
      </c>
      <c r="Z10" s="3">
        <f t="shared" si="15"/>
        <v>46.1988304093567</v>
      </c>
      <c r="AA10" s="3">
        <v>92</v>
      </c>
      <c r="AB10" s="118">
        <f t="shared" si="16"/>
        <v>53.8011695906433</v>
      </c>
      <c r="AC10" s="3">
        <f t="shared" si="6"/>
        <v>505</v>
      </c>
      <c r="AD10" s="3" t="str">
        <f t="shared" si="17"/>
        <v>AVG</v>
      </c>
      <c r="AE10" s="30" t="str">
        <f t="shared" si="18"/>
        <v>STRONG</v>
      </c>
      <c r="AF10" s="3" t="str">
        <f t="shared" si="19"/>
        <v>VLOW</v>
      </c>
      <c r="AG10" s="3" t="str">
        <f t="shared" si="7"/>
        <v>FEMALE DOM</v>
      </c>
      <c r="AH10" s="3" t="str">
        <f t="shared" si="20"/>
        <v>O</v>
      </c>
      <c r="AI10" s="36">
        <f t="shared" si="8"/>
        <v>31.4563106796116</v>
      </c>
      <c r="AJ10" s="35" t="str">
        <f t="shared" si="9"/>
        <v>BJP GAIN</v>
      </c>
      <c r="AK10" s="38" t="str">
        <f t="shared" si="21"/>
        <v>MEDIUMMARGIN</v>
      </c>
    </row>
    <row r="11" spans="1:37">
      <c r="A11" s="37">
        <v>8</v>
      </c>
      <c r="B11" s="109" t="s">
        <v>43</v>
      </c>
      <c r="C11" s="37">
        <v>651</v>
      </c>
      <c r="D11" s="37">
        <v>367</v>
      </c>
      <c r="E11" s="37">
        <f t="shared" si="0"/>
        <v>56.3748079877112</v>
      </c>
      <c r="F11" s="37">
        <v>250</v>
      </c>
      <c r="G11" s="37">
        <f t="shared" si="1"/>
        <v>38.4024577572965</v>
      </c>
      <c r="H11" s="37">
        <v>4</v>
      </c>
      <c r="I11" s="37">
        <f t="shared" si="2"/>
        <v>0.614439324116744</v>
      </c>
      <c r="J11" s="37">
        <v>8</v>
      </c>
      <c r="K11" s="37">
        <f t="shared" si="3"/>
        <v>1.22887864823349</v>
      </c>
      <c r="L11" s="112">
        <v>468</v>
      </c>
      <c r="M11" s="112">
        <v>497</v>
      </c>
      <c r="N11" s="112">
        <f t="shared" si="4"/>
        <v>965</v>
      </c>
      <c r="O11" s="37">
        <v>651</v>
      </c>
      <c r="P11" s="113">
        <f t="shared" si="10"/>
        <v>67.4611398963731</v>
      </c>
      <c r="Q11" s="37"/>
      <c r="R11" s="37">
        <f t="shared" si="11"/>
        <v>0</v>
      </c>
      <c r="S11" s="37">
        <f t="shared" si="5"/>
        <v>0</v>
      </c>
      <c r="T11" s="37" t="e">
        <f t="shared" si="12"/>
        <v>#DIV/0!</v>
      </c>
      <c r="U11" s="37"/>
      <c r="V11" s="117">
        <f t="shared" si="13"/>
        <v>0</v>
      </c>
      <c r="W11" s="37"/>
      <c r="X11" s="37">
        <f t="shared" si="14"/>
        <v>100</v>
      </c>
      <c r="Y11" s="37">
        <f t="shared" si="22"/>
        <v>0</v>
      </c>
      <c r="Z11" s="3" t="e">
        <f t="shared" si="15"/>
        <v>#DIV/0!</v>
      </c>
      <c r="AA11" s="3"/>
      <c r="AB11" s="118">
        <f t="shared" si="16"/>
        <v>0</v>
      </c>
      <c r="AC11" s="3">
        <f t="shared" si="6"/>
        <v>0</v>
      </c>
      <c r="AD11" s="3" t="str">
        <f t="shared" si="17"/>
        <v>AVG</v>
      </c>
      <c r="AE11" s="30" t="str">
        <f t="shared" si="18"/>
        <v>VLOW</v>
      </c>
      <c r="AF11" s="3" t="str">
        <f t="shared" si="19"/>
        <v>EXCELLENT</v>
      </c>
      <c r="AG11" s="3" t="str">
        <f t="shared" si="7"/>
        <v>FEMALE DOM</v>
      </c>
      <c r="AH11" s="3" t="e">
        <f t="shared" si="20"/>
        <v>#DIV/0!</v>
      </c>
      <c r="AI11" s="36">
        <f t="shared" si="8"/>
        <v>17.9723502304147</v>
      </c>
      <c r="AJ11" s="35" t="str">
        <f t="shared" si="9"/>
        <v>BJP GAIN</v>
      </c>
      <c r="AK11" s="36" t="str">
        <f t="shared" si="21"/>
        <v>LOWMARGIN</v>
      </c>
    </row>
    <row r="12" spans="1:37">
      <c r="A12" s="37">
        <v>9</v>
      </c>
      <c r="B12" s="109" t="s">
        <v>44</v>
      </c>
      <c r="C12" s="37">
        <v>555</v>
      </c>
      <c r="D12" s="37">
        <v>359</v>
      </c>
      <c r="E12" s="37">
        <f t="shared" si="0"/>
        <v>64.6846846846847</v>
      </c>
      <c r="F12" s="37">
        <v>170</v>
      </c>
      <c r="G12" s="37">
        <f t="shared" si="1"/>
        <v>30.6306306306306</v>
      </c>
      <c r="H12" s="37">
        <v>2</v>
      </c>
      <c r="I12" s="37">
        <f t="shared" si="2"/>
        <v>0.36036036036036</v>
      </c>
      <c r="J12" s="37">
        <v>12</v>
      </c>
      <c r="K12" s="37">
        <f t="shared" si="3"/>
        <v>2.16216216216216</v>
      </c>
      <c r="L12" s="112">
        <v>433</v>
      </c>
      <c r="M12" s="112">
        <v>502</v>
      </c>
      <c r="N12" s="112">
        <f t="shared" si="4"/>
        <v>935</v>
      </c>
      <c r="O12" s="37">
        <v>555</v>
      </c>
      <c r="P12" s="113">
        <f t="shared" si="10"/>
        <v>59.3582887700535</v>
      </c>
      <c r="Q12" s="37">
        <v>825</v>
      </c>
      <c r="R12" s="37">
        <f t="shared" si="11"/>
        <v>88.2352941176471</v>
      </c>
      <c r="S12" s="37">
        <f t="shared" si="5"/>
        <v>335</v>
      </c>
      <c r="T12" s="37">
        <f t="shared" si="12"/>
        <v>40.6060606060606</v>
      </c>
      <c r="U12" s="37">
        <v>490</v>
      </c>
      <c r="V12" s="117">
        <f t="shared" si="13"/>
        <v>59.3939393939394</v>
      </c>
      <c r="W12" s="37">
        <v>110</v>
      </c>
      <c r="X12" s="37">
        <f t="shared" si="14"/>
        <v>11.7647058823529</v>
      </c>
      <c r="Y12" s="37">
        <f t="shared" si="22"/>
        <v>45</v>
      </c>
      <c r="Z12" s="3">
        <f t="shared" si="15"/>
        <v>40.9090909090909</v>
      </c>
      <c r="AA12" s="3">
        <v>65</v>
      </c>
      <c r="AB12" s="118">
        <f t="shared" si="16"/>
        <v>59.0909090909091</v>
      </c>
      <c r="AC12" s="3">
        <f t="shared" si="6"/>
        <v>555</v>
      </c>
      <c r="AD12" s="3" t="str">
        <f t="shared" si="17"/>
        <v>WEAK</v>
      </c>
      <c r="AE12" s="30" t="str">
        <f t="shared" si="18"/>
        <v>EXCELLENT</v>
      </c>
      <c r="AF12" s="3" t="str">
        <f t="shared" si="19"/>
        <v>VLOW</v>
      </c>
      <c r="AG12" s="3" t="str">
        <f t="shared" si="7"/>
        <v>FEMALE DOM</v>
      </c>
      <c r="AH12" s="3" t="str">
        <f t="shared" si="20"/>
        <v>O</v>
      </c>
      <c r="AI12" s="36">
        <f t="shared" si="8"/>
        <v>34.0540540540541</v>
      </c>
      <c r="AJ12" s="35" t="str">
        <f t="shared" si="9"/>
        <v>BJP GAIN</v>
      </c>
      <c r="AK12" s="38" t="str">
        <f t="shared" si="21"/>
        <v>MEDIUMMARGIN</v>
      </c>
    </row>
    <row r="13" spans="1:37">
      <c r="A13" s="37">
        <v>10</v>
      </c>
      <c r="B13" s="109" t="s">
        <v>45</v>
      </c>
      <c r="C13" s="37">
        <v>903</v>
      </c>
      <c r="D13" s="37">
        <v>537</v>
      </c>
      <c r="E13" s="37">
        <f t="shared" si="0"/>
        <v>59.468438538206</v>
      </c>
      <c r="F13" s="37">
        <v>327</v>
      </c>
      <c r="G13" s="37">
        <f t="shared" si="1"/>
        <v>36.2126245847176</v>
      </c>
      <c r="H13" s="37">
        <v>8</v>
      </c>
      <c r="I13" s="37">
        <f t="shared" si="2"/>
        <v>0.8859357696567</v>
      </c>
      <c r="J13" s="37">
        <v>11</v>
      </c>
      <c r="K13" s="37">
        <f t="shared" si="3"/>
        <v>1.21816168327796</v>
      </c>
      <c r="L13" s="112">
        <v>614</v>
      </c>
      <c r="M13" s="112">
        <v>697</v>
      </c>
      <c r="N13" s="112">
        <f t="shared" si="4"/>
        <v>1311</v>
      </c>
      <c r="O13" s="37">
        <v>903</v>
      </c>
      <c r="P13" s="113">
        <f t="shared" si="10"/>
        <v>68.8787185354691</v>
      </c>
      <c r="Q13" s="37"/>
      <c r="R13" s="37">
        <f t="shared" si="11"/>
        <v>0</v>
      </c>
      <c r="S13" s="115">
        <f t="shared" si="5"/>
        <v>0</v>
      </c>
      <c r="T13" s="37" t="e">
        <f t="shared" si="12"/>
        <v>#DIV/0!</v>
      </c>
      <c r="U13" s="37"/>
      <c r="V13" s="117">
        <f t="shared" si="13"/>
        <v>0</v>
      </c>
      <c r="W13" s="37"/>
      <c r="X13" s="37">
        <f t="shared" si="14"/>
        <v>100</v>
      </c>
      <c r="Y13" s="119">
        <f t="shared" si="22"/>
        <v>0</v>
      </c>
      <c r="Z13" s="3" t="e">
        <f t="shared" si="15"/>
        <v>#DIV/0!</v>
      </c>
      <c r="AA13" s="3"/>
      <c r="AB13" s="118">
        <f t="shared" si="16"/>
        <v>0</v>
      </c>
      <c r="AC13" s="3">
        <f t="shared" si="6"/>
        <v>0</v>
      </c>
      <c r="AD13" s="3" t="str">
        <f t="shared" si="17"/>
        <v>AVG</v>
      </c>
      <c r="AE13" s="30" t="str">
        <f t="shared" si="18"/>
        <v>VLOW</v>
      </c>
      <c r="AF13" s="3" t="str">
        <f t="shared" si="19"/>
        <v>EXCELLENT</v>
      </c>
      <c r="AG13" s="3" t="str">
        <f t="shared" si="7"/>
        <v>FEMALE DOM</v>
      </c>
      <c r="AH13" s="3" t="e">
        <f t="shared" si="20"/>
        <v>#DIV/0!</v>
      </c>
      <c r="AI13" s="36">
        <f t="shared" si="8"/>
        <v>23.2558139534884</v>
      </c>
      <c r="AJ13" s="35" t="str">
        <f t="shared" si="9"/>
        <v>BJP GAIN</v>
      </c>
      <c r="AK13" s="36" t="str">
        <f t="shared" si="21"/>
        <v>LOWMARGIN</v>
      </c>
    </row>
    <row r="14" spans="1:37">
      <c r="A14" s="37">
        <v>11</v>
      </c>
      <c r="B14" s="109" t="s">
        <v>46</v>
      </c>
      <c r="C14" s="37">
        <v>517</v>
      </c>
      <c r="D14" s="37">
        <v>326</v>
      </c>
      <c r="E14" s="37">
        <f t="shared" si="0"/>
        <v>63.0560928433269</v>
      </c>
      <c r="F14" s="37">
        <v>179</v>
      </c>
      <c r="G14" s="37">
        <f t="shared" si="1"/>
        <v>34.6228239845261</v>
      </c>
      <c r="H14" s="37">
        <v>3</v>
      </c>
      <c r="I14" s="37">
        <f t="shared" si="2"/>
        <v>0.580270793036751</v>
      </c>
      <c r="J14" s="37">
        <v>4</v>
      </c>
      <c r="K14" s="37">
        <f t="shared" si="3"/>
        <v>0.773694390715667</v>
      </c>
      <c r="L14" s="112">
        <v>431</v>
      </c>
      <c r="M14" s="112">
        <v>509</v>
      </c>
      <c r="N14" s="112">
        <f t="shared" si="4"/>
        <v>940</v>
      </c>
      <c r="O14" s="37">
        <v>517</v>
      </c>
      <c r="P14" s="113">
        <f t="shared" si="10"/>
        <v>55</v>
      </c>
      <c r="Q14" s="37"/>
      <c r="R14" s="37">
        <f t="shared" si="11"/>
        <v>0</v>
      </c>
      <c r="S14" s="37">
        <f t="shared" si="5"/>
        <v>0</v>
      </c>
      <c r="T14" s="37" t="e">
        <f t="shared" si="12"/>
        <v>#DIV/0!</v>
      </c>
      <c r="U14" s="37"/>
      <c r="V14" s="117">
        <f t="shared" si="13"/>
        <v>0</v>
      </c>
      <c r="W14" s="37"/>
      <c r="X14" s="37">
        <f t="shared" si="14"/>
        <v>100</v>
      </c>
      <c r="Y14" s="37">
        <f t="shared" si="22"/>
        <v>0</v>
      </c>
      <c r="Z14" s="3" t="e">
        <f t="shared" si="15"/>
        <v>#DIV/0!</v>
      </c>
      <c r="AA14" s="3"/>
      <c r="AB14" s="118">
        <f t="shared" si="16"/>
        <v>0</v>
      </c>
      <c r="AC14" s="3">
        <f t="shared" si="6"/>
        <v>0</v>
      </c>
      <c r="AD14" s="3" t="str">
        <f t="shared" si="17"/>
        <v>WEAK</v>
      </c>
      <c r="AE14" s="30" t="str">
        <f t="shared" si="18"/>
        <v>VLOW</v>
      </c>
      <c r="AF14" s="3" t="str">
        <f t="shared" si="19"/>
        <v>EXCELLENT</v>
      </c>
      <c r="AG14" s="3" t="str">
        <f t="shared" si="7"/>
        <v>FEMALE DOM</v>
      </c>
      <c r="AH14" s="3" t="e">
        <f t="shared" si="20"/>
        <v>#DIV/0!</v>
      </c>
      <c r="AI14" s="36">
        <f t="shared" si="8"/>
        <v>28.4332688588008</v>
      </c>
      <c r="AJ14" s="35" t="str">
        <f t="shared" si="9"/>
        <v>BJP GAIN</v>
      </c>
      <c r="AK14" s="36" t="str">
        <f t="shared" si="21"/>
        <v>LOWMARGIN</v>
      </c>
    </row>
    <row r="15" spans="1:37">
      <c r="A15" s="37">
        <v>12</v>
      </c>
      <c r="B15" s="109" t="s">
        <v>47</v>
      </c>
      <c r="C15" s="37">
        <v>614</v>
      </c>
      <c r="D15" s="37">
        <v>364</v>
      </c>
      <c r="E15" s="37">
        <f t="shared" si="0"/>
        <v>59.2833876221498</v>
      </c>
      <c r="F15" s="37">
        <v>234</v>
      </c>
      <c r="G15" s="37">
        <f t="shared" si="1"/>
        <v>38.1107491856677</v>
      </c>
      <c r="H15" s="37">
        <v>2</v>
      </c>
      <c r="I15" s="37">
        <f t="shared" si="2"/>
        <v>0.325732899022801</v>
      </c>
      <c r="J15" s="37">
        <v>7</v>
      </c>
      <c r="K15" s="37">
        <f t="shared" si="3"/>
        <v>1.1400651465798</v>
      </c>
      <c r="L15" s="112">
        <v>449</v>
      </c>
      <c r="M15" s="112">
        <v>507</v>
      </c>
      <c r="N15" s="112">
        <f t="shared" si="4"/>
        <v>956</v>
      </c>
      <c r="O15" s="37">
        <v>614</v>
      </c>
      <c r="P15" s="113">
        <f t="shared" si="10"/>
        <v>64.2259414225941</v>
      </c>
      <c r="Q15" s="37"/>
      <c r="R15" s="37">
        <f t="shared" si="11"/>
        <v>0</v>
      </c>
      <c r="S15" s="37">
        <f t="shared" si="5"/>
        <v>0</v>
      </c>
      <c r="T15" s="37" t="e">
        <f t="shared" si="12"/>
        <v>#DIV/0!</v>
      </c>
      <c r="U15" s="37"/>
      <c r="V15" s="117">
        <f t="shared" si="13"/>
        <v>0</v>
      </c>
      <c r="W15" s="37"/>
      <c r="X15" s="37">
        <f t="shared" si="14"/>
        <v>100</v>
      </c>
      <c r="Y15" s="37">
        <f t="shared" si="22"/>
        <v>0</v>
      </c>
      <c r="Z15" s="3" t="e">
        <f t="shared" si="15"/>
        <v>#DIV/0!</v>
      </c>
      <c r="AA15" s="3"/>
      <c r="AB15" s="118">
        <f t="shared" si="16"/>
        <v>0</v>
      </c>
      <c r="AC15" s="3">
        <f t="shared" si="6"/>
        <v>0</v>
      </c>
      <c r="AD15" s="3" t="str">
        <f t="shared" si="17"/>
        <v>AVG</v>
      </c>
      <c r="AE15" s="30" t="str">
        <f t="shared" si="18"/>
        <v>VLOW</v>
      </c>
      <c r="AF15" s="3" t="str">
        <f t="shared" si="19"/>
        <v>EXCELLENT</v>
      </c>
      <c r="AG15" s="3" t="str">
        <f t="shared" si="7"/>
        <v>FEMALE DOM</v>
      </c>
      <c r="AH15" s="3" t="e">
        <f t="shared" si="20"/>
        <v>#DIV/0!</v>
      </c>
      <c r="AI15" s="36">
        <f t="shared" si="8"/>
        <v>21.1726384364821</v>
      </c>
      <c r="AJ15" s="35" t="str">
        <f t="shared" si="9"/>
        <v>BJP GAIN</v>
      </c>
      <c r="AK15" s="36" t="str">
        <f t="shared" si="21"/>
        <v>LOWMARGIN</v>
      </c>
    </row>
    <row r="16" spans="1:37">
      <c r="A16" s="37">
        <v>13</v>
      </c>
      <c r="B16" s="109" t="s">
        <v>48</v>
      </c>
      <c r="C16" s="37">
        <v>422</v>
      </c>
      <c r="D16" s="37">
        <v>279</v>
      </c>
      <c r="E16" s="37">
        <f t="shared" si="0"/>
        <v>66.1137440758294</v>
      </c>
      <c r="F16" s="37">
        <v>129</v>
      </c>
      <c r="G16" s="37">
        <f t="shared" si="1"/>
        <v>30.5687203791469</v>
      </c>
      <c r="H16" s="37">
        <v>2</v>
      </c>
      <c r="I16" s="37">
        <f t="shared" si="2"/>
        <v>0.4739336492891</v>
      </c>
      <c r="J16" s="37">
        <v>3</v>
      </c>
      <c r="K16" s="37">
        <f t="shared" si="3"/>
        <v>0.710900473933649</v>
      </c>
      <c r="L16" s="112">
        <v>423</v>
      </c>
      <c r="M16" s="112">
        <v>447</v>
      </c>
      <c r="N16" s="112">
        <f t="shared" si="4"/>
        <v>870</v>
      </c>
      <c r="O16" s="37">
        <v>422</v>
      </c>
      <c r="P16" s="113">
        <f t="shared" si="10"/>
        <v>48.5057471264368</v>
      </c>
      <c r="Q16" s="37"/>
      <c r="R16" s="37">
        <f t="shared" si="11"/>
        <v>0</v>
      </c>
      <c r="S16" s="37">
        <f t="shared" si="5"/>
        <v>0</v>
      </c>
      <c r="T16" s="37" t="e">
        <f t="shared" si="12"/>
        <v>#DIV/0!</v>
      </c>
      <c r="U16" s="37"/>
      <c r="V16" s="117">
        <f t="shared" si="13"/>
        <v>0</v>
      </c>
      <c r="W16" s="37"/>
      <c r="X16" s="37">
        <f t="shared" si="14"/>
        <v>100</v>
      </c>
      <c r="Y16" s="119">
        <f t="shared" si="22"/>
        <v>0</v>
      </c>
      <c r="Z16" s="3" t="e">
        <f t="shared" si="15"/>
        <v>#DIV/0!</v>
      </c>
      <c r="AA16" s="3"/>
      <c r="AB16" s="118">
        <f t="shared" si="16"/>
        <v>0</v>
      </c>
      <c r="AC16" s="3">
        <f t="shared" si="6"/>
        <v>0</v>
      </c>
      <c r="AD16" s="3" t="str">
        <f t="shared" si="17"/>
        <v>VLOW</v>
      </c>
      <c r="AE16" s="30" t="str">
        <f t="shared" si="18"/>
        <v>VLOW</v>
      </c>
      <c r="AF16" s="3" t="str">
        <f t="shared" si="19"/>
        <v>EXCELLENT</v>
      </c>
      <c r="AG16" s="3" t="str">
        <f t="shared" si="7"/>
        <v>FEMALE DOM</v>
      </c>
      <c r="AH16" s="3" t="e">
        <f t="shared" si="20"/>
        <v>#DIV/0!</v>
      </c>
      <c r="AI16" s="36">
        <f t="shared" si="8"/>
        <v>35.5450236966825</v>
      </c>
      <c r="AJ16" s="35" t="str">
        <f t="shared" si="9"/>
        <v>BJP GAIN</v>
      </c>
      <c r="AK16" s="38" t="str">
        <f t="shared" si="21"/>
        <v>MEDIUMMARGIN</v>
      </c>
    </row>
    <row r="17" spans="1:37">
      <c r="A17" s="37">
        <v>14</v>
      </c>
      <c r="B17" s="109" t="s">
        <v>49</v>
      </c>
      <c r="C17" s="37">
        <v>921</v>
      </c>
      <c r="D17" s="37">
        <v>517</v>
      </c>
      <c r="E17" s="37">
        <f t="shared" si="0"/>
        <v>56.1346362649294</v>
      </c>
      <c r="F17" s="37">
        <v>366</v>
      </c>
      <c r="G17" s="37">
        <f t="shared" si="1"/>
        <v>39.7394136807818</v>
      </c>
      <c r="H17" s="37">
        <v>2</v>
      </c>
      <c r="I17" s="37">
        <f t="shared" si="2"/>
        <v>0.217155266015201</v>
      </c>
      <c r="J17" s="37">
        <v>5</v>
      </c>
      <c r="K17" s="37">
        <f t="shared" si="3"/>
        <v>0.542888165038002</v>
      </c>
      <c r="L17" s="112">
        <v>662</v>
      </c>
      <c r="M17" s="112">
        <v>740</v>
      </c>
      <c r="N17" s="112">
        <f t="shared" si="4"/>
        <v>1402</v>
      </c>
      <c r="O17" s="37">
        <v>921</v>
      </c>
      <c r="P17" s="113">
        <f t="shared" si="10"/>
        <v>65.6918687589158</v>
      </c>
      <c r="Q17" s="37">
        <v>1004</v>
      </c>
      <c r="R17" s="37">
        <f t="shared" si="11"/>
        <v>71.6119828815977</v>
      </c>
      <c r="S17" s="115">
        <f t="shared" si="5"/>
        <v>856</v>
      </c>
      <c r="T17" s="37">
        <f t="shared" si="12"/>
        <v>85.2589641434263</v>
      </c>
      <c r="U17" s="37">
        <v>148</v>
      </c>
      <c r="V17" s="117">
        <f t="shared" si="13"/>
        <v>14.7410358565737</v>
      </c>
      <c r="W17" s="37">
        <v>398</v>
      </c>
      <c r="X17" s="37">
        <f t="shared" si="14"/>
        <v>28.3880171184023</v>
      </c>
      <c r="Y17" s="37">
        <f t="shared" si="22"/>
        <v>327</v>
      </c>
      <c r="Z17" s="3">
        <f t="shared" si="15"/>
        <v>82.1608040201005</v>
      </c>
      <c r="AA17" s="3">
        <v>71</v>
      </c>
      <c r="AB17" s="118">
        <f t="shared" si="16"/>
        <v>17.8391959798995</v>
      </c>
      <c r="AC17" s="3">
        <f t="shared" si="6"/>
        <v>219</v>
      </c>
      <c r="AD17" s="3" t="str">
        <f t="shared" si="17"/>
        <v>AVG</v>
      </c>
      <c r="AE17" s="30" t="str">
        <f t="shared" si="18"/>
        <v>STRONG</v>
      </c>
      <c r="AF17" s="3" t="str">
        <f t="shared" si="19"/>
        <v>VLOW</v>
      </c>
      <c r="AG17" s="3" t="str">
        <f t="shared" si="7"/>
        <v>FEMALE DOM</v>
      </c>
      <c r="AH17" s="3" t="str">
        <f t="shared" si="20"/>
        <v>H</v>
      </c>
      <c r="AI17" s="36">
        <f t="shared" si="8"/>
        <v>16.3952225841477</v>
      </c>
      <c r="AJ17" s="35" t="str">
        <f t="shared" si="9"/>
        <v>BJP GAIN</v>
      </c>
      <c r="AK17" s="36" t="str">
        <f t="shared" si="21"/>
        <v>LOWMARGIN</v>
      </c>
    </row>
    <row r="18" spans="1:37">
      <c r="A18" s="37">
        <v>15</v>
      </c>
      <c r="B18" s="109" t="s">
        <v>50</v>
      </c>
      <c r="C18" s="37">
        <v>928</v>
      </c>
      <c r="D18" s="37">
        <v>539</v>
      </c>
      <c r="E18" s="37">
        <f t="shared" si="0"/>
        <v>58.0818965517241</v>
      </c>
      <c r="F18" s="37">
        <v>363</v>
      </c>
      <c r="G18" s="37">
        <f t="shared" si="1"/>
        <v>39.1163793103448</v>
      </c>
      <c r="H18" s="37">
        <v>7</v>
      </c>
      <c r="I18" s="37">
        <f t="shared" si="2"/>
        <v>0.754310344827586</v>
      </c>
      <c r="J18" s="37">
        <v>5</v>
      </c>
      <c r="K18" s="37">
        <f t="shared" si="3"/>
        <v>0.538793103448276</v>
      </c>
      <c r="L18" s="112">
        <v>593</v>
      </c>
      <c r="M18" s="112">
        <v>666</v>
      </c>
      <c r="N18" s="112">
        <f t="shared" si="4"/>
        <v>1259</v>
      </c>
      <c r="O18" s="37">
        <v>928</v>
      </c>
      <c r="P18" s="113">
        <f t="shared" si="10"/>
        <v>73.7092930897538</v>
      </c>
      <c r="Q18" s="37"/>
      <c r="R18" s="37">
        <f t="shared" si="11"/>
        <v>0</v>
      </c>
      <c r="S18" s="37">
        <f t="shared" si="5"/>
        <v>0</v>
      </c>
      <c r="T18" s="37" t="e">
        <f t="shared" si="12"/>
        <v>#DIV/0!</v>
      </c>
      <c r="U18" s="37"/>
      <c r="V18" s="117">
        <f t="shared" si="13"/>
        <v>0</v>
      </c>
      <c r="W18" s="37"/>
      <c r="X18" s="37">
        <f t="shared" si="14"/>
        <v>100</v>
      </c>
      <c r="Y18" s="37">
        <f t="shared" si="22"/>
        <v>0</v>
      </c>
      <c r="Z18" s="3" t="e">
        <f t="shared" si="15"/>
        <v>#DIV/0!</v>
      </c>
      <c r="AA18" s="3"/>
      <c r="AB18" s="118">
        <f t="shared" si="16"/>
        <v>0</v>
      </c>
      <c r="AC18" s="3">
        <f t="shared" si="6"/>
        <v>0</v>
      </c>
      <c r="AD18" s="3" t="str">
        <f t="shared" si="17"/>
        <v>STRONG</v>
      </c>
      <c r="AE18" s="30" t="str">
        <f t="shared" si="18"/>
        <v>VLOW</v>
      </c>
      <c r="AF18" s="3" t="str">
        <f t="shared" si="19"/>
        <v>EXCELLENT</v>
      </c>
      <c r="AG18" s="3" t="str">
        <f t="shared" si="7"/>
        <v>FEMALE DOM</v>
      </c>
      <c r="AH18" s="3" t="e">
        <f t="shared" si="20"/>
        <v>#DIV/0!</v>
      </c>
      <c r="AI18" s="36">
        <f t="shared" si="8"/>
        <v>18.9655172413793</v>
      </c>
      <c r="AJ18" s="35" t="str">
        <f t="shared" si="9"/>
        <v>BJP GAIN</v>
      </c>
      <c r="AK18" s="36" t="str">
        <f t="shared" si="21"/>
        <v>LOWMARGIN</v>
      </c>
    </row>
    <row r="19" spans="1:37">
      <c r="A19" s="37">
        <v>16</v>
      </c>
      <c r="B19" s="109" t="s">
        <v>51</v>
      </c>
      <c r="C19" s="37">
        <v>676</v>
      </c>
      <c r="D19" s="37">
        <v>339</v>
      </c>
      <c r="E19" s="37">
        <f t="shared" si="0"/>
        <v>50.1479289940828</v>
      </c>
      <c r="F19" s="37">
        <v>307</v>
      </c>
      <c r="G19" s="37">
        <f t="shared" si="1"/>
        <v>45.4142011834319</v>
      </c>
      <c r="H19" s="37">
        <v>0</v>
      </c>
      <c r="I19" s="37">
        <f t="shared" si="2"/>
        <v>0</v>
      </c>
      <c r="J19" s="37">
        <v>5</v>
      </c>
      <c r="K19" s="37">
        <f t="shared" si="3"/>
        <v>0.739644970414201</v>
      </c>
      <c r="L19" s="112">
        <v>480</v>
      </c>
      <c r="M19" s="112">
        <v>514</v>
      </c>
      <c r="N19" s="112">
        <f t="shared" si="4"/>
        <v>994</v>
      </c>
      <c r="O19" s="37">
        <v>676</v>
      </c>
      <c r="P19" s="113">
        <f t="shared" si="10"/>
        <v>68.0080482897384</v>
      </c>
      <c r="Q19" s="37">
        <v>621</v>
      </c>
      <c r="R19" s="37">
        <f t="shared" si="11"/>
        <v>62.4748490945674</v>
      </c>
      <c r="S19" s="37">
        <f t="shared" si="5"/>
        <v>170</v>
      </c>
      <c r="T19" s="37">
        <f t="shared" si="12"/>
        <v>27.3752012882448</v>
      </c>
      <c r="U19" s="37">
        <v>451</v>
      </c>
      <c r="V19" s="117">
        <f t="shared" si="13"/>
        <v>72.6247987117552</v>
      </c>
      <c r="W19" s="37">
        <v>373</v>
      </c>
      <c r="X19" s="37">
        <f t="shared" si="14"/>
        <v>37.5251509054326</v>
      </c>
      <c r="Y19" s="119">
        <f t="shared" si="22"/>
        <v>148</v>
      </c>
      <c r="Z19" s="3">
        <f t="shared" si="15"/>
        <v>39.6782841823056</v>
      </c>
      <c r="AA19" s="3">
        <v>225</v>
      </c>
      <c r="AB19" s="118">
        <f t="shared" si="16"/>
        <v>60.3217158176944</v>
      </c>
      <c r="AC19" s="3">
        <f t="shared" si="6"/>
        <v>676</v>
      </c>
      <c r="AD19" s="3" t="str">
        <f t="shared" si="17"/>
        <v>AVG</v>
      </c>
      <c r="AE19" s="30" t="str">
        <f t="shared" si="18"/>
        <v>AVG</v>
      </c>
      <c r="AF19" s="3" t="str">
        <f t="shared" si="19"/>
        <v>VLOW</v>
      </c>
      <c r="AG19" s="3" t="str">
        <f t="shared" si="7"/>
        <v>FEMALE DOM</v>
      </c>
      <c r="AH19" s="3" t="str">
        <f t="shared" si="20"/>
        <v>O</v>
      </c>
      <c r="AI19" s="36">
        <f t="shared" si="8"/>
        <v>4.73372781065088</v>
      </c>
      <c r="AJ19" s="35" t="str">
        <f t="shared" si="9"/>
        <v>BJP GAIN</v>
      </c>
      <c r="AK19" s="32" t="str">
        <f t="shared" si="21"/>
        <v>NARROWMARGIN</v>
      </c>
    </row>
    <row r="20" spans="1:37">
      <c r="A20" s="37">
        <v>17</v>
      </c>
      <c r="B20" s="109" t="s">
        <v>52</v>
      </c>
      <c r="C20" s="37">
        <v>814</v>
      </c>
      <c r="D20" s="37">
        <v>484</v>
      </c>
      <c r="E20" s="37">
        <f t="shared" si="0"/>
        <v>59.4594594594595</v>
      </c>
      <c r="F20" s="37">
        <v>297</v>
      </c>
      <c r="G20" s="37">
        <f t="shared" si="1"/>
        <v>36.4864864864865</v>
      </c>
      <c r="H20" s="37">
        <v>5</v>
      </c>
      <c r="I20" s="37">
        <f t="shared" si="2"/>
        <v>0.614250614250614</v>
      </c>
      <c r="J20" s="37">
        <v>2</v>
      </c>
      <c r="K20" s="37">
        <f t="shared" si="3"/>
        <v>0.245700245700246</v>
      </c>
      <c r="L20" s="112">
        <v>545</v>
      </c>
      <c r="M20" s="112">
        <v>593</v>
      </c>
      <c r="N20" s="112">
        <f t="shared" si="4"/>
        <v>1138</v>
      </c>
      <c r="O20" s="37">
        <v>814</v>
      </c>
      <c r="P20" s="113">
        <f t="shared" si="10"/>
        <v>71.5289982425307</v>
      </c>
      <c r="Q20" s="37">
        <v>911</v>
      </c>
      <c r="R20" s="37">
        <f t="shared" si="11"/>
        <v>80.0527240773286</v>
      </c>
      <c r="S20" s="37">
        <f t="shared" si="5"/>
        <v>331</v>
      </c>
      <c r="T20" s="37">
        <f t="shared" si="12"/>
        <v>36.3336992316136</v>
      </c>
      <c r="U20" s="37">
        <v>580</v>
      </c>
      <c r="V20" s="117">
        <f t="shared" si="13"/>
        <v>63.6663007683864</v>
      </c>
      <c r="W20" s="37">
        <v>270</v>
      </c>
      <c r="X20" s="37">
        <f t="shared" si="14"/>
        <v>19.9472759226714</v>
      </c>
      <c r="Y20" s="37">
        <f t="shared" si="22"/>
        <v>40</v>
      </c>
      <c r="Z20" s="3">
        <f t="shared" si="15"/>
        <v>14.8148148148148</v>
      </c>
      <c r="AA20" s="3">
        <v>230</v>
      </c>
      <c r="AB20" s="118">
        <f t="shared" si="16"/>
        <v>85.1851851851852</v>
      </c>
      <c r="AC20" s="3">
        <f t="shared" si="6"/>
        <v>810</v>
      </c>
      <c r="AD20" s="3" t="str">
        <f t="shared" si="17"/>
        <v>STRONG</v>
      </c>
      <c r="AE20" s="30" t="str">
        <f t="shared" si="18"/>
        <v>EXCELLENT</v>
      </c>
      <c r="AF20" s="3" t="str">
        <f t="shared" si="19"/>
        <v>VLOW</v>
      </c>
      <c r="AG20" s="3" t="str">
        <f t="shared" si="7"/>
        <v>FEMALE DOM</v>
      </c>
      <c r="AH20" s="3" t="str">
        <f t="shared" si="20"/>
        <v>H</v>
      </c>
      <c r="AI20" s="36">
        <f t="shared" si="8"/>
        <v>22.972972972973</v>
      </c>
      <c r="AJ20" s="35" t="str">
        <f t="shared" si="9"/>
        <v>BJP GAIN</v>
      </c>
      <c r="AK20" s="36" t="str">
        <f t="shared" si="21"/>
        <v>LOWMARGIN</v>
      </c>
    </row>
    <row r="21" spans="1:37">
      <c r="A21" s="37">
        <v>18</v>
      </c>
      <c r="B21" s="109" t="s">
        <v>53</v>
      </c>
      <c r="C21" s="37">
        <v>765</v>
      </c>
      <c r="D21" s="37">
        <v>406</v>
      </c>
      <c r="E21" s="37">
        <f t="shared" si="0"/>
        <v>53.0718954248366</v>
      </c>
      <c r="F21" s="37">
        <v>338</v>
      </c>
      <c r="G21" s="37">
        <f t="shared" si="1"/>
        <v>44.1830065359477</v>
      </c>
      <c r="H21" s="37">
        <v>2</v>
      </c>
      <c r="I21" s="37">
        <f t="shared" si="2"/>
        <v>0.261437908496732</v>
      </c>
      <c r="J21" s="37">
        <v>1</v>
      </c>
      <c r="K21" s="37">
        <f t="shared" si="3"/>
        <v>0.130718954248366</v>
      </c>
      <c r="L21" s="112">
        <v>668</v>
      </c>
      <c r="M21" s="112">
        <v>664</v>
      </c>
      <c r="N21" s="112">
        <f t="shared" si="4"/>
        <v>1332</v>
      </c>
      <c r="O21" s="37">
        <v>765</v>
      </c>
      <c r="P21" s="113">
        <f t="shared" si="10"/>
        <v>57.4324324324324</v>
      </c>
      <c r="Q21" s="37">
        <v>848</v>
      </c>
      <c r="R21" s="37">
        <f t="shared" si="11"/>
        <v>63.6636636636637</v>
      </c>
      <c r="S21" s="115">
        <f t="shared" si="5"/>
        <v>347</v>
      </c>
      <c r="T21" s="37">
        <f t="shared" si="12"/>
        <v>40.9198113207547</v>
      </c>
      <c r="U21" s="37">
        <v>501</v>
      </c>
      <c r="V21" s="117">
        <f t="shared" si="13"/>
        <v>59.0801886792453</v>
      </c>
      <c r="W21" s="37">
        <f>155+329</f>
        <v>484</v>
      </c>
      <c r="X21" s="37">
        <f t="shared" si="14"/>
        <v>36.3363363363363</v>
      </c>
      <c r="Y21" s="37">
        <f t="shared" si="22"/>
        <v>225</v>
      </c>
      <c r="Z21" s="3">
        <f t="shared" si="15"/>
        <v>46.4876033057851</v>
      </c>
      <c r="AA21" s="3">
        <f>79+180</f>
        <v>259</v>
      </c>
      <c r="AB21" s="118">
        <f t="shared" si="16"/>
        <v>53.5123966942149</v>
      </c>
      <c r="AC21" s="3">
        <f t="shared" si="6"/>
        <v>760</v>
      </c>
      <c r="AD21" s="3" t="str">
        <f t="shared" si="17"/>
        <v>WEAK</v>
      </c>
      <c r="AE21" s="30" t="str">
        <f t="shared" si="18"/>
        <v>AVG</v>
      </c>
      <c r="AF21" s="3" t="str">
        <f t="shared" si="19"/>
        <v>VLOW</v>
      </c>
      <c r="AG21" s="3" t="str">
        <f t="shared" si="7"/>
        <v>MEN</v>
      </c>
      <c r="AH21" s="3" t="str">
        <f t="shared" si="20"/>
        <v>O</v>
      </c>
      <c r="AI21" s="36">
        <f t="shared" si="8"/>
        <v>8.88888888888889</v>
      </c>
      <c r="AJ21" s="35" t="str">
        <f t="shared" si="9"/>
        <v>BJP GAIN</v>
      </c>
      <c r="AK21" s="32" t="str">
        <f t="shared" si="21"/>
        <v>NARROWMARGIN</v>
      </c>
    </row>
    <row r="22" spans="1:37">
      <c r="A22" s="37">
        <v>19</v>
      </c>
      <c r="B22" s="109" t="s">
        <v>54</v>
      </c>
      <c r="C22" s="37">
        <v>517</v>
      </c>
      <c r="D22" s="37">
        <v>275</v>
      </c>
      <c r="E22" s="37">
        <f t="shared" si="0"/>
        <v>53.1914893617021</v>
      </c>
      <c r="F22" s="37">
        <v>232</v>
      </c>
      <c r="G22" s="37">
        <f t="shared" si="1"/>
        <v>44.8742746615087</v>
      </c>
      <c r="H22" s="37">
        <v>0</v>
      </c>
      <c r="I22" s="37">
        <f t="shared" si="2"/>
        <v>0</v>
      </c>
      <c r="J22" s="37">
        <v>1</v>
      </c>
      <c r="K22" s="37">
        <f t="shared" si="3"/>
        <v>0.193423597678917</v>
      </c>
      <c r="L22" s="112">
        <v>384</v>
      </c>
      <c r="M22" s="112">
        <v>423</v>
      </c>
      <c r="N22" s="112">
        <f t="shared" si="4"/>
        <v>807</v>
      </c>
      <c r="O22" s="37">
        <v>517</v>
      </c>
      <c r="P22" s="116">
        <f t="shared" si="10"/>
        <v>64.0644361833953</v>
      </c>
      <c r="Q22" s="37">
        <v>530</v>
      </c>
      <c r="R22" s="37">
        <f t="shared" si="11"/>
        <v>65.6753407682776</v>
      </c>
      <c r="S22" s="37">
        <f t="shared" si="5"/>
        <v>187</v>
      </c>
      <c r="T22" s="37">
        <f t="shared" si="12"/>
        <v>35.2830188679245</v>
      </c>
      <c r="U22" s="37">
        <v>343</v>
      </c>
      <c r="V22" s="117">
        <f t="shared" si="13"/>
        <v>64.7169811320755</v>
      </c>
      <c r="W22" s="37">
        <f>5+282</f>
        <v>287</v>
      </c>
      <c r="X22" s="37">
        <f t="shared" si="14"/>
        <v>34.3246592317224</v>
      </c>
      <c r="Y22" s="119">
        <f t="shared" si="22"/>
        <v>113</v>
      </c>
      <c r="Z22" s="3">
        <f t="shared" si="15"/>
        <v>39.3728222996516</v>
      </c>
      <c r="AA22" s="3">
        <f>17+157</f>
        <v>174</v>
      </c>
      <c r="AB22" s="118">
        <f t="shared" si="16"/>
        <v>60.6271777003484</v>
      </c>
      <c r="AC22" s="3">
        <f t="shared" si="6"/>
        <v>517</v>
      </c>
      <c r="AD22" s="3" t="str">
        <f t="shared" si="17"/>
        <v>AVG</v>
      </c>
      <c r="AE22" s="30" t="str">
        <f t="shared" si="18"/>
        <v>AVG</v>
      </c>
      <c r="AF22" s="3" t="str">
        <f t="shared" si="19"/>
        <v>VLOW</v>
      </c>
      <c r="AG22" s="3" t="str">
        <f t="shared" si="7"/>
        <v>FEMALE DOM</v>
      </c>
      <c r="AH22" s="3" t="str">
        <f t="shared" si="20"/>
        <v>O</v>
      </c>
      <c r="AI22" s="36">
        <f t="shared" si="8"/>
        <v>8.31721470019342</v>
      </c>
      <c r="AJ22" s="35" t="str">
        <f t="shared" si="9"/>
        <v>BJP GAIN</v>
      </c>
      <c r="AK22" s="32" t="str">
        <f t="shared" si="21"/>
        <v>NARROWMARGIN</v>
      </c>
    </row>
    <row r="23" spans="1:37">
      <c r="A23" s="37">
        <v>20</v>
      </c>
      <c r="B23" s="109" t="s">
        <v>55</v>
      </c>
      <c r="C23" s="37">
        <v>633</v>
      </c>
      <c r="D23" s="37">
        <v>361</v>
      </c>
      <c r="E23" s="37">
        <f t="shared" si="0"/>
        <v>57.0300157977883</v>
      </c>
      <c r="F23" s="37">
        <v>251</v>
      </c>
      <c r="G23" s="37">
        <f t="shared" si="1"/>
        <v>39.652448657188</v>
      </c>
      <c r="H23" s="37">
        <v>1</v>
      </c>
      <c r="I23" s="37">
        <f t="shared" si="2"/>
        <v>0.157977883096367</v>
      </c>
      <c r="J23" s="37">
        <v>5</v>
      </c>
      <c r="K23" s="37">
        <f t="shared" si="3"/>
        <v>0.789889415481832</v>
      </c>
      <c r="L23" s="112">
        <v>437</v>
      </c>
      <c r="M23" s="112">
        <v>489</v>
      </c>
      <c r="N23" s="112">
        <f t="shared" si="4"/>
        <v>926</v>
      </c>
      <c r="O23" s="37">
        <v>633</v>
      </c>
      <c r="P23" s="113">
        <f t="shared" si="10"/>
        <v>68.3585313174946</v>
      </c>
      <c r="Q23" s="37"/>
      <c r="R23" s="37">
        <f t="shared" si="11"/>
        <v>0</v>
      </c>
      <c r="S23" s="37">
        <f t="shared" si="5"/>
        <v>0</v>
      </c>
      <c r="T23" s="37" t="e">
        <f t="shared" si="12"/>
        <v>#DIV/0!</v>
      </c>
      <c r="U23" s="37"/>
      <c r="V23" s="117">
        <f t="shared" si="13"/>
        <v>0</v>
      </c>
      <c r="W23" s="37"/>
      <c r="X23" s="37">
        <f t="shared" si="14"/>
        <v>100</v>
      </c>
      <c r="Y23" s="37">
        <f t="shared" si="22"/>
        <v>0</v>
      </c>
      <c r="Z23" s="3" t="e">
        <f t="shared" si="15"/>
        <v>#DIV/0!</v>
      </c>
      <c r="AA23" s="3"/>
      <c r="AB23" s="118">
        <f t="shared" si="16"/>
        <v>0</v>
      </c>
      <c r="AC23" s="3">
        <f t="shared" si="6"/>
        <v>0</v>
      </c>
      <c r="AD23" s="3" t="str">
        <f t="shared" si="17"/>
        <v>AVG</v>
      </c>
      <c r="AE23" s="30" t="str">
        <f t="shared" si="18"/>
        <v>VLOW</v>
      </c>
      <c r="AF23" s="3" t="str">
        <f t="shared" si="19"/>
        <v>EXCELLENT</v>
      </c>
      <c r="AG23" s="3" t="str">
        <f t="shared" si="7"/>
        <v>FEMALE DOM</v>
      </c>
      <c r="AH23" s="3" t="e">
        <f t="shared" si="20"/>
        <v>#DIV/0!</v>
      </c>
      <c r="AI23" s="36">
        <f t="shared" si="8"/>
        <v>17.3775671406003</v>
      </c>
      <c r="AJ23" s="35" t="str">
        <f t="shared" si="9"/>
        <v>BJP GAIN</v>
      </c>
      <c r="AK23" s="36" t="str">
        <f t="shared" si="21"/>
        <v>LOWMARGIN</v>
      </c>
    </row>
    <row r="24" spans="1:37">
      <c r="A24" s="37">
        <v>21</v>
      </c>
      <c r="B24" s="109" t="s">
        <v>56</v>
      </c>
      <c r="C24" s="37">
        <v>767</v>
      </c>
      <c r="D24" s="37">
        <v>401</v>
      </c>
      <c r="E24" s="37">
        <f t="shared" si="0"/>
        <v>52.2816166883963</v>
      </c>
      <c r="F24" s="37">
        <v>300</v>
      </c>
      <c r="G24" s="37">
        <f t="shared" si="1"/>
        <v>39.1134289439374</v>
      </c>
      <c r="H24" s="37">
        <v>2</v>
      </c>
      <c r="I24" s="37">
        <f t="shared" si="2"/>
        <v>0.260756192959583</v>
      </c>
      <c r="J24" s="37">
        <v>0</v>
      </c>
      <c r="K24" s="37">
        <f t="shared" si="3"/>
        <v>0</v>
      </c>
      <c r="L24" s="112">
        <v>583</v>
      </c>
      <c r="M24" s="112">
        <v>598</v>
      </c>
      <c r="N24" s="112">
        <f t="shared" si="4"/>
        <v>1181</v>
      </c>
      <c r="O24" s="37">
        <v>767</v>
      </c>
      <c r="P24" s="113">
        <f t="shared" si="10"/>
        <v>64.9449618966977</v>
      </c>
      <c r="Q24" s="37">
        <v>911</v>
      </c>
      <c r="R24" s="37">
        <f t="shared" si="11"/>
        <v>77.1380186282811</v>
      </c>
      <c r="S24" s="37">
        <f t="shared" si="5"/>
        <v>446</v>
      </c>
      <c r="T24" s="37">
        <f t="shared" si="12"/>
        <v>48.9571899012075</v>
      </c>
      <c r="U24" s="37">
        <v>465</v>
      </c>
      <c r="V24" s="117">
        <f t="shared" si="13"/>
        <v>51.0428100987925</v>
      </c>
      <c r="W24" s="37">
        <f>24+246</f>
        <v>270</v>
      </c>
      <c r="X24" s="37">
        <f t="shared" si="14"/>
        <v>22.8619813717189</v>
      </c>
      <c r="Y24" s="37">
        <f t="shared" si="22"/>
        <v>110</v>
      </c>
      <c r="Z24" s="3">
        <f t="shared" si="15"/>
        <v>40.7407407407407</v>
      </c>
      <c r="AA24" s="3">
        <f>10+150</f>
        <v>160</v>
      </c>
      <c r="AB24" s="118">
        <f t="shared" si="16"/>
        <v>59.2592592592593</v>
      </c>
      <c r="AC24" s="3">
        <f t="shared" si="6"/>
        <v>625</v>
      </c>
      <c r="AD24" s="3" t="str">
        <f t="shared" si="17"/>
        <v>AVG</v>
      </c>
      <c r="AE24" s="30" t="str">
        <f t="shared" si="18"/>
        <v>STRONG</v>
      </c>
      <c r="AF24" s="3" t="str">
        <f t="shared" si="19"/>
        <v>VLOW</v>
      </c>
      <c r="AG24" s="3" t="str">
        <f t="shared" si="7"/>
        <v>FEMALE DOM</v>
      </c>
      <c r="AH24" s="3" t="str">
        <f t="shared" si="20"/>
        <v>H</v>
      </c>
      <c r="AI24" s="36">
        <f t="shared" si="8"/>
        <v>13.1681877444589</v>
      </c>
      <c r="AJ24" s="35" t="str">
        <f t="shared" si="9"/>
        <v>BJP GAIN</v>
      </c>
      <c r="AK24" s="36" t="str">
        <f t="shared" si="21"/>
        <v>LOWMARGIN</v>
      </c>
    </row>
    <row r="25" spans="1:37">
      <c r="A25" s="37">
        <v>22</v>
      </c>
      <c r="B25" s="109" t="s">
        <v>57</v>
      </c>
      <c r="C25" s="37">
        <v>572</v>
      </c>
      <c r="D25" s="37">
        <v>304</v>
      </c>
      <c r="E25" s="37">
        <f t="shared" si="0"/>
        <v>53.1468531468531</v>
      </c>
      <c r="F25" s="37">
        <v>247</v>
      </c>
      <c r="G25" s="37">
        <f t="shared" si="1"/>
        <v>43.1818181818182</v>
      </c>
      <c r="H25" s="37">
        <v>1</v>
      </c>
      <c r="I25" s="37">
        <f t="shared" si="2"/>
        <v>0.174825174825175</v>
      </c>
      <c r="J25" s="37">
        <v>4</v>
      </c>
      <c r="K25" s="37">
        <f t="shared" si="3"/>
        <v>0.699300699300699</v>
      </c>
      <c r="L25" s="112">
        <v>405</v>
      </c>
      <c r="M25" s="112">
        <v>447</v>
      </c>
      <c r="N25" s="112">
        <f t="shared" si="4"/>
        <v>852</v>
      </c>
      <c r="O25" s="37">
        <v>572</v>
      </c>
      <c r="P25" s="113">
        <f t="shared" si="10"/>
        <v>67.1361502347418</v>
      </c>
      <c r="Q25" s="37"/>
      <c r="R25" s="37">
        <f t="shared" si="11"/>
        <v>0</v>
      </c>
      <c r="S25" s="115">
        <f t="shared" si="5"/>
        <v>0</v>
      </c>
      <c r="T25" s="37" t="e">
        <f t="shared" si="12"/>
        <v>#DIV/0!</v>
      </c>
      <c r="U25" s="37"/>
      <c r="V25" s="117">
        <f t="shared" si="13"/>
        <v>0</v>
      </c>
      <c r="W25" s="37"/>
      <c r="X25" s="37">
        <f t="shared" si="14"/>
        <v>100</v>
      </c>
      <c r="Y25" s="119">
        <f t="shared" si="22"/>
        <v>0</v>
      </c>
      <c r="Z25" s="3" t="e">
        <f t="shared" si="15"/>
        <v>#DIV/0!</v>
      </c>
      <c r="AA25" s="3"/>
      <c r="AB25" s="118">
        <f t="shared" si="16"/>
        <v>0</v>
      </c>
      <c r="AC25" s="3">
        <f t="shared" si="6"/>
        <v>0</v>
      </c>
      <c r="AD25" s="3" t="str">
        <f t="shared" si="17"/>
        <v>AVG</v>
      </c>
      <c r="AE25" s="30" t="str">
        <f t="shared" si="18"/>
        <v>VLOW</v>
      </c>
      <c r="AF25" s="3" t="str">
        <f t="shared" si="19"/>
        <v>EXCELLENT</v>
      </c>
      <c r="AG25" s="3" t="str">
        <f t="shared" si="7"/>
        <v>FEMALE DOM</v>
      </c>
      <c r="AH25" s="3" t="e">
        <f t="shared" si="20"/>
        <v>#DIV/0!</v>
      </c>
      <c r="AI25" s="36">
        <f t="shared" si="8"/>
        <v>9.96503496503497</v>
      </c>
      <c r="AJ25" s="35" t="str">
        <f t="shared" si="9"/>
        <v>BJP GAIN</v>
      </c>
      <c r="AK25" s="32" t="str">
        <f t="shared" si="21"/>
        <v>NARROWMARGIN</v>
      </c>
    </row>
    <row r="26" spans="1:37">
      <c r="A26" s="37">
        <v>23</v>
      </c>
      <c r="B26" s="109" t="s">
        <v>58</v>
      </c>
      <c r="C26" s="37">
        <v>933</v>
      </c>
      <c r="D26" s="37">
        <v>642</v>
      </c>
      <c r="E26" s="37">
        <f t="shared" si="0"/>
        <v>68.8102893890675</v>
      </c>
      <c r="F26" s="37">
        <v>270</v>
      </c>
      <c r="G26" s="37">
        <f t="shared" si="1"/>
        <v>28.9389067524116</v>
      </c>
      <c r="H26" s="37">
        <v>3</v>
      </c>
      <c r="I26" s="37">
        <f t="shared" si="2"/>
        <v>0.321543408360129</v>
      </c>
      <c r="J26" s="37">
        <v>1</v>
      </c>
      <c r="K26" s="37">
        <f t="shared" si="3"/>
        <v>0.107181136120043</v>
      </c>
      <c r="L26" s="112">
        <v>716</v>
      </c>
      <c r="M26" s="112">
        <v>774</v>
      </c>
      <c r="N26" s="112">
        <f t="shared" si="4"/>
        <v>1490</v>
      </c>
      <c r="O26" s="37">
        <v>933</v>
      </c>
      <c r="P26" s="113">
        <f t="shared" si="10"/>
        <v>62.6174496644295</v>
      </c>
      <c r="Q26" s="37"/>
      <c r="R26" s="37">
        <f t="shared" si="11"/>
        <v>0</v>
      </c>
      <c r="S26" s="37">
        <f t="shared" si="5"/>
        <v>0</v>
      </c>
      <c r="T26" s="37" t="e">
        <f t="shared" si="12"/>
        <v>#DIV/0!</v>
      </c>
      <c r="U26" s="37"/>
      <c r="V26" s="117">
        <f t="shared" si="13"/>
        <v>0</v>
      </c>
      <c r="W26" s="37"/>
      <c r="X26" s="37">
        <f t="shared" si="14"/>
        <v>100</v>
      </c>
      <c r="Y26" s="37">
        <f t="shared" si="22"/>
        <v>0</v>
      </c>
      <c r="Z26" s="3" t="e">
        <f t="shared" si="15"/>
        <v>#DIV/0!</v>
      </c>
      <c r="AA26" s="3"/>
      <c r="AB26" s="118">
        <f t="shared" si="16"/>
        <v>0</v>
      </c>
      <c r="AC26" s="3">
        <f t="shared" si="6"/>
        <v>0</v>
      </c>
      <c r="AD26" s="3" t="str">
        <f t="shared" si="17"/>
        <v>AVG</v>
      </c>
      <c r="AE26" s="30" t="str">
        <f t="shared" si="18"/>
        <v>VLOW</v>
      </c>
      <c r="AF26" s="3" t="str">
        <f t="shared" si="19"/>
        <v>EXCELLENT</v>
      </c>
      <c r="AG26" s="3" t="str">
        <f t="shared" si="7"/>
        <v>FEMALE DOM</v>
      </c>
      <c r="AH26" s="3" t="e">
        <f t="shared" si="20"/>
        <v>#DIV/0!</v>
      </c>
      <c r="AI26" s="36">
        <f t="shared" si="8"/>
        <v>39.8713826366559</v>
      </c>
      <c r="AJ26" s="35" t="str">
        <f t="shared" si="9"/>
        <v>BJP GAIN</v>
      </c>
      <c r="AK26" s="38" t="str">
        <f t="shared" si="21"/>
        <v>MEDIUMMARGIN</v>
      </c>
    </row>
    <row r="27" spans="1:37">
      <c r="A27" s="37">
        <v>24</v>
      </c>
      <c r="B27" s="109" t="s">
        <v>59</v>
      </c>
      <c r="C27" s="37">
        <v>620</v>
      </c>
      <c r="D27" s="37">
        <v>397</v>
      </c>
      <c r="E27" s="37">
        <f t="shared" si="0"/>
        <v>64.0322580645161</v>
      </c>
      <c r="F27" s="37">
        <v>196</v>
      </c>
      <c r="G27" s="37">
        <f t="shared" si="1"/>
        <v>31.6129032258064</v>
      </c>
      <c r="H27" s="37">
        <v>4</v>
      </c>
      <c r="I27" s="37">
        <f t="shared" si="2"/>
        <v>0.645161290322581</v>
      </c>
      <c r="J27" s="37">
        <v>4</v>
      </c>
      <c r="K27" s="37">
        <f t="shared" si="3"/>
        <v>0.645161290322581</v>
      </c>
      <c r="L27" s="112">
        <v>453</v>
      </c>
      <c r="M27" s="112">
        <v>495</v>
      </c>
      <c r="N27" s="112">
        <f t="shared" si="4"/>
        <v>948</v>
      </c>
      <c r="O27" s="37">
        <v>620</v>
      </c>
      <c r="P27" s="113">
        <f t="shared" si="10"/>
        <v>65.4008438818565</v>
      </c>
      <c r="Q27" s="37">
        <v>753</v>
      </c>
      <c r="R27" s="37">
        <f t="shared" si="11"/>
        <v>79.4303797468354</v>
      </c>
      <c r="S27" s="37">
        <f t="shared" si="5"/>
        <v>286</v>
      </c>
      <c r="T27" s="37">
        <f t="shared" si="12"/>
        <v>37.9814077025232</v>
      </c>
      <c r="U27" s="37">
        <v>467</v>
      </c>
      <c r="V27" s="117">
        <f t="shared" si="13"/>
        <v>62.0185922974768</v>
      </c>
      <c r="W27" s="37">
        <v>195</v>
      </c>
      <c r="X27" s="37">
        <f t="shared" si="14"/>
        <v>20.5696202531646</v>
      </c>
      <c r="Y27" s="37">
        <f t="shared" si="22"/>
        <v>42</v>
      </c>
      <c r="Z27" s="3">
        <f t="shared" si="15"/>
        <v>21.5384615384615</v>
      </c>
      <c r="AA27" s="3">
        <f>620-467</f>
        <v>153</v>
      </c>
      <c r="AB27" s="118">
        <f t="shared" si="16"/>
        <v>78.4615384615385</v>
      </c>
      <c r="AC27" s="3">
        <f t="shared" si="6"/>
        <v>620</v>
      </c>
      <c r="AD27" s="3" t="str">
        <f t="shared" si="17"/>
        <v>AVG</v>
      </c>
      <c r="AE27" s="30" t="str">
        <f t="shared" si="18"/>
        <v>STRONG</v>
      </c>
      <c r="AF27" s="3" t="str">
        <f t="shared" si="19"/>
        <v>VLOW</v>
      </c>
      <c r="AG27" s="3" t="str">
        <f t="shared" si="7"/>
        <v>FEMALE DOM</v>
      </c>
      <c r="AH27" s="3" t="str">
        <f t="shared" si="20"/>
        <v>H</v>
      </c>
      <c r="AI27" s="36">
        <f t="shared" si="8"/>
        <v>32.4193548387097</v>
      </c>
      <c r="AJ27" s="35" t="str">
        <f t="shared" si="9"/>
        <v>BJP GAIN</v>
      </c>
      <c r="AK27" s="38" t="str">
        <f t="shared" si="21"/>
        <v>MEDIUMMARGIN</v>
      </c>
    </row>
    <row r="28" spans="1:37">
      <c r="A28" s="37">
        <v>25</v>
      </c>
      <c r="B28" s="109" t="s">
        <v>60</v>
      </c>
      <c r="C28" s="37">
        <v>571</v>
      </c>
      <c r="D28" s="37">
        <v>336</v>
      </c>
      <c r="E28" s="37">
        <f t="shared" si="0"/>
        <v>58.8441330998249</v>
      </c>
      <c r="F28" s="37">
        <v>216</v>
      </c>
      <c r="G28" s="37">
        <f t="shared" si="1"/>
        <v>37.8283712784588</v>
      </c>
      <c r="H28" s="37">
        <v>0</v>
      </c>
      <c r="I28" s="37">
        <f t="shared" si="2"/>
        <v>0</v>
      </c>
      <c r="J28" s="37">
        <v>6</v>
      </c>
      <c r="K28" s="37">
        <f t="shared" si="3"/>
        <v>1.0507880910683</v>
      </c>
      <c r="L28" s="112">
        <v>408</v>
      </c>
      <c r="M28" s="112">
        <v>450</v>
      </c>
      <c r="N28" s="112">
        <f t="shared" si="4"/>
        <v>858</v>
      </c>
      <c r="O28" s="37">
        <v>571</v>
      </c>
      <c r="P28" s="113">
        <f t="shared" si="10"/>
        <v>66.5501165501165</v>
      </c>
      <c r="Q28" s="37"/>
      <c r="R28" s="37">
        <f t="shared" si="11"/>
        <v>0</v>
      </c>
      <c r="S28" s="37">
        <f t="shared" si="5"/>
        <v>0</v>
      </c>
      <c r="T28" s="37" t="e">
        <f t="shared" si="12"/>
        <v>#DIV/0!</v>
      </c>
      <c r="U28" s="37"/>
      <c r="V28" s="117">
        <f t="shared" si="13"/>
        <v>0</v>
      </c>
      <c r="W28" s="37"/>
      <c r="X28" s="37">
        <f t="shared" si="14"/>
        <v>100</v>
      </c>
      <c r="Y28" s="119">
        <f t="shared" si="22"/>
        <v>0</v>
      </c>
      <c r="Z28" s="3" t="e">
        <f t="shared" si="15"/>
        <v>#DIV/0!</v>
      </c>
      <c r="AA28" s="3"/>
      <c r="AB28" s="118">
        <f t="shared" si="16"/>
        <v>0</v>
      </c>
      <c r="AC28" s="3">
        <f t="shared" si="6"/>
        <v>0</v>
      </c>
      <c r="AD28" s="3" t="str">
        <f t="shared" si="17"/>
        <v>AVG</v>
      </c>
      <c r="AE28" s="30" t="str">
        <f t="shared" si="18"/>
        <v>VLOW</v>
      </c>
      <c r="AF28" s="3" t="str">
        <f t="shared" si="19"/>
        <v>EXCELLENT</v>
      </c>
      <c r="AG28" s="3" t="str">
        <f t="shared" si="7"/>
        <v>FEMALE DOM</v>
      </c>
      <c r="AH28" s="3" t="e">
        <f t="shared" si="20"/>
        <v>#DIV/0!</v>
      </c>
      <c r="AI28" s="36">
        <f t="shared" si="8"/>
        <v>21.015761821366</v>
      </c>
      <c r="AJ28" s="35" t="str">
        <f t="shared" si="9"/>
        <v>BJP GAIN</v>
      </c>
      <c r="AK28" s="36" t="str">
        <f t="shared" si="21"/>
        <v>LOWMARGIN</v>
      </c>
    </row>
    <row r="29" spans="1:37">
      <c r="A29" s="37">
        <v>26</v>
      </c>
      <c r="B29" s="109" t="s">
        <v>61</v>
      </c>
      <c r="C29" s="37">
        <v>977</v>
      </c>
      <c r="D29" s="37">
        <v>668</v>
      </c>
      <c r="E29" s="37">
        <f t="shared" si="0"/>
        <v>68.3725690890481</v>
      </c>
      <c r="F29" s="37">
        <v>254</v>
      </c>
      <c r="G29" s="37">
        <f t="shared" si="1"/>
        <v>25.9979529170931</v>
      </c>
      <c r="H29" s="37">
        <v>7</v>
      </c>
      <c r="I29" s="37">
        <f t="shared" si="2"/>
        <v>0.716479017400205</v>
      </c>
      <c r="J29" s="37">
        <v>20</v>
      </c>
      <c r="K29" s="37">
        <f t="shared" si="3"/>
        <v>2.04708290685773</v>
      </c>
      <c r="L29" s="112">
        <v>627</v>
      </c>
      <c r="M29" s="112">
        <v>759</v>
      </c>
      <c r="N29" s="112">
        <f t="shared" si="4"/>
        <v>1386</v>
      </c>
      <c r="O29" s="37">
        <v>977</v>
      </c>
      <c r="P29" s="113">
        <f t="shared" si="10"/>
        <v>70.4906204906205</v>
      </c>
      <c r="Q29" s="37">
        <v>1166</v>
      </c>
      <c r="R29" s="37">
        <f t="shared" si="11"/>
        <v>84.1269841269841</v>
      </c>
      <c r="S29" s="115">
        <f t="shared" si="5"/>
        <v>320</v>
      </c>
      <c r="T29" s="37">
        <f t="shared" si="12"/>
        <v>27.4442538593482</v>
      </c>
      <c r="U29" s="37">
        <v>846</v>
      </c>
      <c r="V29" s="117">
        <f t="shared" si="13"/>
        <v>72.5557461406518</v>
      </c>
      <c r="W29" s="37">
        <v>221</v>
      </c>
      <c r="X29" s="37">
        <f t="shared" si="14"/>
        <v>15.8730158730159</v>
      </c>
      <c r="Y29" s="37">
        <f t="shared" si="22"/>
        <v>90</v>
      </c>
      <c r="Z29" s="3">
        <f t="shared" si="15"/>
        <v>40.7239819004525</v>
      </c>
      <c r="AA29" s="3">
        <v>131</v>
      </c>
      <c r="AB29" s="118">
        <f t="shared" si="16"/>
        <v>59.2760180995475</v>
      </c>
      <c r="AC29" s="3">
        <f t="shared" si="6"/>
        <v>977</v>
      </c>
      <c r="AD29" s="3" t="str">
        <f t="shared" si="17"/>
        <v>STRONG</v>
      </c>
      <c r="AE29" s="30" t="str">
        <f t="shared" si="18"/>
        <v>EXCELLENT</v>
      </c>
      <c r="AF29" s="3" t="str">
        <f t="shared" si="19"/>
        <v>VLOW</v>
      </c>
      <c r="AG29" s="3" t="str">
        <f t="shared" si="7"/>
        <v>FEMALE DOM</v>
      </c>
      <c r="AH29" s="3" t="str">
        <f t="shared" si="20"/>
        <v>O</v>
      </c>
      <c r="AI29" s="36">
        <f t="shared" si="8"/>
        <v>42.374616171955</v>
      </c>
      <c r="AJ29" s="35" t="str">
        <f t="shared" si="9"/>
        <v>BJP GAIN</v>
      </c>
      <c r="AK29" s="34" t="str">
        <f t="shared" si="21"/>
        <v>HIGHMARGIN</v>
      </c>
    </row>
    <row r="30" spans="1:37">
      <c r="A30" s="37">
        <v>27</v>
      </c>
      <c r="B30" s="109" t="s">
        <v>62</v>
      </c>
      <c r="C30" s="37">
        <v>989</v>
      </c>
      <c r="D30" s="37">
        <v>652</v>
      </c>
      <c r="E30" s="37">
        <f t="shared" si="0"/>
        <v>65.9251769464105</v>
      </c>
      <c r="F30" s="37">
        <v>284</v>
      </c>
      <c r="G30" s="37">
        <f t="shared" si="1"/>
        <v>28.7158746208291</v>
      </c>
      <c r="H30" s="37">
        <v>3</v>
      </c>
      <c r="I30" s="37">
        <f t="shared" si="2"/>
        <v>0.303336703741153</v>
      </c>
      <c r="J30" s="37">
        <v>31</v>
      </c>
      <c r="K30" s="37">
        <f t="shared" si="3"/>
        <v>3.13447927199191</v>
      </c>
      <c r="L30" s="112">
        <v>642</v>
      </c>
      <c r="M30" s="112">
        <v>721</v>
      </c>
      <c r="N30" s="112">
        <f t="shared" si="4"/>
        <v>1363</v>
      </c>
      <c r="O30" s="37">
        <v>989</v>
      </c>
      <c r="P30" s="113">
        <f t="shared" si="10"/>
        <v>72.560528246515</v>
      </c>
      <c r="Q30" s="37">
        <v>1290</v>
      </c>
      <c r="R30" s="37">
        <f t="shared" si="11"/>
        <v>94.6441672780631</v>
      </c>
      <c r="S30" s="37">
        <f t="shared" si="5"/>
        <v>384</v>
      </c>
      <c r="T30" s="37">
        <f t="shared" si="12"/>
        <v>29.7674418604651</v>
      </c>
      <c r="U30" s="37">
        <v>906</v>
      </c>
      <c r="V30" s="117">
        <f t="shared" si="13"/>
        <v>70.2325581395349</v>
      </c>
      <c r="W30" s="37">
        <v>100</v>
      </c>
      <c r="X30" s="37">
        <f t="shared" si="14"/>
        <v>5.35583272193691</v>
      </c>
      <c r="Y30" s="119">
        <f t="shared" si="22"/>
        <v>55</v>
      </c>
      <c r="Z30" s="3">
        <f t="shared" si="15"/>
        <v>55</v>
      </c>
      <c r="AA30" s="3">
        <v>45</v>
      </c>
      <c r="AB30" s="118">
        <f t="shared" si="16"/>
        <v>45</v>
      </c>
      <c r="AC30" s="3">
        <f t="shared" si="6"/>
        <v>951</v>
      </c>
      <c r="AD30" s="3" t="str">
        <f t="shared" si="17"/>
        <v>STRONG</v>
      </c>
      <c r="AE30" s="30" t="str">
        <f t="shared" si="18"/>
        <v>EXCELLENT</v>
      </c>
      <c r="AF30" s="3" t="str">
        <f t="shared" si="19"/>
        <v>VLOW</v>
      </c>
      <c r="AG30" s="3" t="str">
        <f t="shared" si="7"/>
        <v>FEMALE DOM</v>
      </c>
      <c r="AH30" s="3" t="str">
        <f t="shared" si="20"/>
        <v>O</v>
      </c>
      <c r="AI30" s="36">
        <f t="shared" si="8"/>
        <v>37.2093023255814</v>
      </c>
      <c r="AJ30" s="35" t="str">
        <f t="shared" si="9"/>
        <v>BJP GAIN</v>
      </c>
      <c r="AK30" s="38" t="str">
        <f t="shared" si="21"/>
        <v>MEDIUMMARGIN</v>
      </c>
    </row>
    <row r="31" spans="1:37">
      <c r="A31" s="37">
        <v>28</v>
      </c>
      <c r="B31" s="109" t="s">
        <v>63</v>
      </c>
      <c r="C31" s="37">
        <v>1092</v>
      </c>
      <c r="D31" s="37">
        <v>757</v>
      </c>
      <c r="E31" s="37">
        <f t="shared" si="0"/>
        <v>69.3223443223443</v>
      </c>
      <c r="F31" s="37">
        <v>274</v>
      </c>
      <c r="G31" s="37">
        <f t="shared" si="1"/>
        <v>25.0915750915751</v>
      </c>
      <c r="H31" s="37">
        <v>9</v>
      </c>
      <c r="I31" s="37">
        <f t="shared" si="2"/>
        <v>0.824175824175824</v>
      </c>
      <c r="J31" s="37">
        <v>10</v>
      </c>
      <c r="K31" s="37">
        <f t="shared" si="3"/>
        <v>0.915750915750916</v>
      </c>
      <c r="L31" s="112">
        <v>665</v>
      </c>
      <c r="M31" s="112">
        <v>728</v>
      </c>
      <c r="N31" s="112">
        <f t="shared" si="4"/>
        <v>1393</v>
      </c>
      <c r="O31" s="37">
        <v>1092</v>
      </c>
      <c r="P31" s="113">
        <f t="shared" si="10"/>
        <v>78.391959798995</v>
      </c>
      <c r="Q31" s="37">
        <v>1257</v>
      </c>
      <c r="R31" s="37">
        <f t="shared" si="11"/>
        <v>90.2368987796123</v>
      </c>
      <c r="S31" s="37">
        <f t="shared" si="5"/>
        <v>268</v>
      </c>
      <c r="T31" s="37">
        <f t="shared" si="12"/>
        <v>21.3206046141607</v>
      </c>
      <c r="U31" s="37">
        <v>989</v>
      </c>
      <c r="V31" s="117">
        <f t="shared" si="13"/>
        <v>78.6793953858393</v>
      </c>
      <c r="W31" s="37">
        <v>136</v>
      </c>
      <c r="X31" s="37">
        <f t="shared" si="14"/>
        <v>9.76310122038765</v>
      </c>
      <c r="Y31" s="119">
        <f t="shared" si="22"/>
        <v>40</v>
      </c>
      <c r="Z31" s="3">
        <f t="shared" si="15"/>
        <v>29.4117647058824</v>
      </c>
      <c r="AA31" s="3">
        <v>96</v>
      </c>
      <c r="AB31" s="118">
        <f t="shared" si="16"/>
        <v>70.5882352941177</v>
      </c>
      <c r="AC31" s="3">
        <v>852</v>
      </c>
      <c r="AD31" s="3" t="str">
        <f t="shared" si="17"/>
        <v>STRONG</v>
      </c>
      <c r="AE31" s="30" t="str">
        <f t="shared" si="18"/>
        <v>EXCELLENT</v>
      </c>
      <c r="AF31" s="3" t="str">
        <f t="shared" si="19"/>
        <v>VLOW</v>
      </c>
      <c r="AG31" s="3" t="str">
        <f t="shared" si="7"/>
        <v>FEMALE DOM</v>
      </c>
      <c r="AH31" s="3" t="str">
        <f t="shared" si="20"/>
        <v>O</v>
      </c>
      <c r="AI31" s="36">
        <f t="shared" si="8"/>
        <v>44.2307692307692</v>
      </c>
      <c r="AJ31" s="35" t="str">
        <f t="shared" si="9"/>
        <v>BJP GAIN</v>
      </c>
      <c r="AK31" s="34" t="str">
        <f t="shared" si="21"/>
        <v>HIGHMARGIN</v>
      </c>
    </row>
    <row r="32" spans="1:37">
      <c r="A32" s="37">
        <v>29</v>
      </c>
      <c r="B32" s="109" t="s">
        <v>64</v>
      </c>
      <c r="C32" s="37">
        <v>1120</v>
      </c>
      <c r="D32" s="37">
        <v>786</v>
      </c>
      <c r="E32" s="37">
        <f t="shared" si="0"/>
        <v>70.1785714285714</v>
      </c>
      <c r="F32" s="37">
        <v>279</v>
      </c>
      <c r="G32" s="37">
        <f t="shared" si="1"/>
        <v>24.9107142857143</v>
      </c>
      <c r="H32" s="37">
        <v>3</v>
      </c>
      <c r="I32" s="37">
        <f t="shared" si="2"/>
        <v>0.267857142857143</v>
      </c>
      <c r="J32" s="37">
        <v>25</v>
      </c>
      <c r="K32" s="37">
        <f t="shared" si="3"/>
        <v>2.23214285714286</v>
      </c>
      <c r="L32" s="112">
        <v>689</v>
      </c>
      <c r="M32" s="112">
        <v>778</v>
      </c>
      <c r="N32" s="112">
        <f t="shared" si="4"/>
        <v>1467</v>
      </c>
      <c r="O32" s="37">
        <v>1120</v>
      </c>
      <c r="P32" s="113">
        <f t="shared" si="10"/>
        <v>76.346284935242</v>
      </c>
      <c r="Q32" s="37">
        <v>1275</v>
      </c>
      <c r="R32" s="37">
        <f t="shared" si="11"/>
        <v>86.9120654396728</v>
      </c>
      <c r="S32" s="37">
        <f t="shared" si="5"/>
        <v>520</v>
      </c>
      <c r="T32" s="37">
        <f t="shared" si="12"/>
        <v>40.7843137254902</v>
      </c>
      <c r="U32" s="37">
        <v>755</v>
      </c>
      <c r="V32" s="117">
        <f t="shared" si="13"/>
        <v>59.2156862745098</v>
      </c>
      <c r="W32" s="37">
        <v>169</v>
      </c>
      <c r="X32" s="37">
        <f t="shared" si="14"/>
        <v>13.0879345603272</v>
      </c>
      <c r="Y32" s="37">
        <f t="shared" si="22"/>
        <v>72</v>
      </c>
      <c r="Z32" s="3">
        <f t="shared" si="15"/>
        <v>42.603550295858</v>
      </c>
      <c r="AA32" s="3">
        <v>97</v>
      </c>
      <c r="AB32" s="118">
        <f t="shared" si="16"/>
        <v>57.396449704142</v>
      </c>
      <c r="AC32" s="3">
        <f t="shared" ref="AC32:AC95" si="23">U32+AA32</f>
        <v>852</v>
      </c>
      <c r="AD32" s="3" t="str">
        <f t="shared" si="17"/>
        <v>STRONG</v>
      </c>
      <c r="AE32" s="30" t="str">
        <f t="shared" si="18"/>
        <v>EXCELLENT</v>
      </c>
      <c r="AF32" s="3" t="str">
        <f t="shared" si="19"/>
        <v>VLOW</v>
      </c>
      <c r="AG32" s="3" t="str">
        <f t="shared" si="7"/>
        <v>FEMALE DOM</v>
      </c>
      <c r="AH32" s="3" t="str">
        <f t="shared" si="20"/>
        <v>O</v>
      </c>
      <c r="AI32" s="36">
        <f t="shared" si="8"/>
        <v>45.2678571428571</v>
      </c>
      <c r="AJ32" s="35" t="str">
        <f t="shared" si="9"/>
        <v>BJP GAIN</v>
      </c>
      <c r="AK32" s="34" t="str">
        <f t="shared" si="21"/>
        <v>HIGHMARGIN</v>
      </c>
    </row>
    <row r="33" spans="1:37">
      <c r="A33" s="37">
        <v>30</v>
      </c>
      <c r="B33" s="109" t="s">
        <v>65</v>
      </c>
      <c r="C33" s="37">
        <v>920</v>
      </c>
      <c r="D33" s="37">
        <v>552</v>
      </c>
      <c r="E33" s="37">
        <f t="shared" si="0"/>
        <v>60</v>
      </c>
      <c r="F33" s="37">
        <v>310</v>
      </c>
      <c r="G33" s="37">
        <f t="shared" si="1"/>
        <v>33.695652173913</v>
      </c>
      <c r="H33" s="37">
        <v>5</v>
      </c>
      <c r="I33" s="37">
        <f t="shared" si="2"/>
        <v>0.543478260869565</v>
      </c>
      <c r="J33" s="37">
        <v>22</v>
      </c>
      <c r="K33" s="37">
        <f t="shared" si="3"/>
        <v>2.39130434782609</v>
      </c>
      <c r="L33" s="112">
        <v>621</v>
      </c>
      <c r="M33" s="112">
        <v>665</v>
      </c>
      <c r="N33" s="112">
        <f t="shared" si="4"/>
        <v>1286</v>
      </c>
      <c r="O33" s="37">
        <v>920</v>
      </c>
      <c r="P33" s="113">
        <f t="shared" si="10"/>
        <v>71.5396578538103</v>
      </c>
      <c r="Q33" s="37"/>
      <c r="R33" s="37">
        <f t="shared" si="11"/>
        <v>0</v>
      </c>
      <c r="S33" s="115">
        <f t="shared" si="5"/>
        <v>0</v>
      </c>
      <c r="T33" s="37" t="e">
        <f t="shared" si="12"/>
        <v>#DIV/0!</v>
      </c>
      <c r="U33" s="37"/>
      <c r="V33" s="117">
        <f t="shared" si="13"/>
        <v>0</v>
      </c>
      <c r="W33" s="37"/>
      <c r="X33" s="37">
        <f t="shared" si="14"/>
        <v>100</v>
      </c>
      <c r="Y33" s="37">
        <f t="shared" si="22"/>
        <v>0</v>
      </c>
      <c r="Z33" s="3" t="e">
        <f t="shared" si="15"/>
        <v>#DIV/0!</v>
      </c>
      <c r="AA33" s="3"/>
      <c r="AB33" s="118">
        <f t="shared" si="16"/>
        <v>0</v>
      </c>
      <c r="AC33" s="3">
        <f t="shared" si="23"/>
        <v>0</v>
      </c>
      <c r="AD33" s="3" t="str">
        <f t="shared" si="17"/>
        <v>STRONG</v>
      </c>
      <c r="AE33" s="30" t="str">
        <f t="shared" si="18"/>
        <v>VLOW</v>
      </c>
      <c r="AF33" s="3" t="str">
        <f t="shared" si="19"/>
        <v>EXCELLENT</v>
      </c>
      <c r="AG33" s="3" t="str">
        <f t="shared" si="7"/>
        <v>FEMALE DOM</v>
      </c>
      <c r="AH33" s="3" t="e">
        <f t="shared" si="20"/>
        <v>#DIV/0!</v>
      </c>
      <c r="AI33" s="36">
        <f t="shared" si="8"/>
        <v>26.304347826087</v>
      </c>
      <c r="AJ33" s="35" t="str">
        <f t="shared" si="9"/>
        <v>BJP GAIN</v>
      </c>
      <c r="AK33" s="36" t="str">
        <f t="shared" si="21"/>
        <v>LOWMARGIN</v>
      </c>
    </row>
    <row r="34" spans="1:37">
      <c r="A34" s="37">
        <v>31</v>
      </c>
      <c r="B34" s="109" t="s">
        <v>66</v>
      </c>
      <c r="C34" s="37">
        <v>923</v>
      </c>
      <c r="D34" s="37">
        <v>644</v>
      </c>
      <c r="E34" s="37">
        <f t="shared" si="0"/>
        <v>69.7724810400867</v>
      </c>
      <c r="F34" s="37">
        <v>242</v>
      </c>
      <c r="G34" s="37">
        <f t="shared" si="1"/>
        <v>26.2188515709642</v>
      </c>
      <c r="H34" s="37">
        <v>1</v>
      </c>
      <c r="I34" s="37">
        <f t="shared" si="2"/>
        <v>0.108342361863489</v>
      </c>
      <c r="J34" s="37">
        <v>12</v>
      </c>
      <c r="K34" s="37">
        <f t="shared" si="3"/>
        <v>1.30010834236186</v>
      </c>
      <c r="L34" s="112">
        <v>607</v>
      </c>
      <c r="M34" s="112">
        <v>655</v>
      </c>
      <c r="N34" s="112">
        <f t="shared" si="4"/>
        <v>1262</v>
      </c>
      <c r="O34" s="37">
        <v>923</v>
      </c>
      <c r="P34" s="113">
        <f t="shared" si="10"/>
        <v>73.1378763866878</v>
      </c>
      <c r="Q34" s="37">
        <v>1085</v>
      </c>
      <c r="R34" s="37">
        <f t="shared" si="11"/>
        <v>85.9746434231379</v>
      </c>
      <c r="S34" s="37">
        <f t="shared" si="5"/>
        <v>270</v>
      </c>
      <c r="T34" s="37">
        <f t="shared" si="12"/>
        <v>24.8847926267281</v>
      </c>
      <c r="U34" s="37">
        <v>815</v>
      </c>
      <c r="V34" s="117">
        <f t="shared" si="13"/>
        <v>75.1152073732719</v>
      </c>
      <c r="W34" s="37">
        <v>177</v>
      </c>
      <c r="X34" s="37">
        <f t="shared" si="14"/>
        <v>14.0253565768621</v>
      </c>
      <c r="Y34" s="119">
        <f t="shared" si="22"/>
        <v>69</v>
      </c>
      <c r="Z34" s="3">
        <f t="shared" si="15"/>
        <v>38.9830508474576</v>
      </c>
      <c r="AA34" s="3">
        <v>108</v>
      </c>
      <c r="AB34" s="118">
        <f t="shared" si="16"/>
        <v>61.0169491525424</v>
      </c>
      <c r="AC34" s="3">
        <f t="shared" si="23"/>
        <v>923</v>
      </c>
      <c r="AD34" s="3" t="str">
        <f t="shared" si="17"/>
        <v>STRONG</v>
      </c>
      <c r="AE34" s="30" t="str">
        <f t="shared" si="18"/>
        <v>EXCELLENT</v>
      </c>
      <c r="AF34" s="3" t="str">
        <f t="shared" si="19"/>
        <v>VLOW</v>
      </c>
      <c r="AG34" s="3" t="str">
        <f t="shared" si="7"/>
        <v>FEMALE DOM</v>
      </c>
      <c r="AH34" s="3" t="str">
        <f t="shared" si="20"/>
        <v>O</v>
      </c>
      <c r="AI34" s="36">
        <f t="shared" si="8"/>
        <v>43.5536294691224</v>
      </c>
      <c r="AJ34" s="35" t="str">
        <f t="shared" si="9"/>
        <v>BJP GAIN</v>
      </c>
      <c r="AK34" s="34" t="str">
        <f t="shared" si="21"/>
        <v>HIGHMARGIN</v>
      </c>
    </row>
    <row r="35" spans="1:37">
      <c r="A35" s="37">
        <v>32</v>
      </c>
      <c r="B35" s="109" t="s">
        <v>67</v>
      </c>
      <c r="C35" s="37">
        <v>1041</v>
      </c>
      <c r="D35" s="37">
        <v>439</v>
      </c>
      <c r="E35" s="37">
        <f t="shared" si="0"/>
        <v>42.1709894332373</v>
      </c>
      <c r="F35" s="37">
        <v>566</v>
      </c>
      <c r="G35" s="37">
        <f t="shared" si="1"/>
        <v>54.3707973102786</v>
      </c>
      <c r="H35" s="37">
        <v>2</v>
      </c>
      <c r="I35" s="37">
        <f t="shared" si="2"/>
        <v>0.192122958693564</v>
      </c>
      <c r="J35" s="37">
        <v>13</v>
      </c>
      <c r="K35" s="37">
        <f t="shared" si="3"/>
        <v>1.24879923150817</v>
      </c>
      <c r="L35" s="112">
        <v>648</v>
      </c>
      <c r="M35" s="112">
        <v>744</v>
      </c>
      <c r="N35" s="112">
        <f t="shared" si="4"/>
        <v>1392</v>
      </c>
      <c r="O35" s="37">
        <v>1041</v>
      </c>
      <c r="P35" s="113">
        <f t="shared" si="10"/>
        <v>74.7844827586207</v>
      </c>
      <c r="Q35" s="37">
        <v>798</v>
      </c>
      <c r="R35" s="37">
        <f t="shared" si="11"/>
        <v>57.3275862068966</v>
      </c>
      <c r="S35" s="37">
        <f t="shared" si="5"/>
        <v>196</v>
      </c>
      <c r="T35" s="37">
        <f t="shared" si="12"/>
        <v>24.5614035087719</v>
      </c>
      <c r="U35" s="37">
        <v>602</v>
      </c>
      <c r="V35" s="117">
        <f t="shared" si="13"/>
        <v>75.4385964912281</v>
      </c>
      <c r="W35" s="37">
        <v>592</v>
      </c>
      <c r="X35" s="37">
        <f t="shared" si="14"/>
        <v>42.6724137931034</v>
      </c>
      <c r="Y35" s="37">
        <f t="shared" si="22"/>
        <v>162</v>
      </c>
      <c r="Z35" s="3">
        <f t="shared" si="15"/>
        <v>27.3648648648649</v>
      </c>
      <c r="AA35" s="3">
        <v>430</v>
      </c>
      <c r="AB35" s="118">
        <f t="shared" si="16"/>
        <v>72.6351351351351</v>
      </c>
      <c r="AC35" s="3">
        <f t="shared" si="23"/>
        <v>1032</v>
      </c>
      <c r="AD35" s="3" t="str">
        <f t="shared" si="17"/>
        <v>STRONG</v>
      </c>
      <c r="AE35" s="30" t="str">
        <f t="shared" si="18"/>
        <v>WEAK</v>
      </c>
      <c r="AF35" s="3" t="str">
        <f t="shared" si="19"/>
        <v>VLOW</v>
      </c>
      <c r="AG35" s="3" t="str">
        <f t="shared" si="7"/>
        <v>FEMALE DOM</v>
      </c>
      <c r="AH35" s="3" t="str">
        <f t="shared" si="20"/>
        <v>O</v>
      </c>
      <c r="AI35" s="36">
        <f>G35-E35</f>
        <v>12.1998078770413</v>
      </c>
      <c r="AJ35" s="31" t="str">
        <f t="shared" si="9"/>
        <v>CONGRESSGAIN</v>
      </c>
      <c r="AK35" s="36" t="str">
        <f t="shared" si="21"/>
        <v>LOWMARGIN</v>
      </c>
    </row>
    <row r="36" spans="1:37">
      <c r="A36" s="37">
        <v>33</v>
      </c>
      <c r="B36" s="109" t="s">
        <v>68</v>
      </c>
      <c r="C36" s="37">
        <v>753</v>
      </c>
      <c r="D36" s="37">
        <v>463</v>
      </c>
      <c r="E36" s="37">
        <f t="shared" si="0"/>
        <v>61.4873837981408</v>
      </c>
      <c r="F36" s="37">
        <v>255</v>
      </c>
      <c r="G36" s="37">
        <f t="shared" si="1"/>
        <v>33.8645418326693</v>
      </c>
      <c r="H36" s="37">
        <v>5</v>
      </c>
      <c r="I36" s="37">
        <f t="shared" si="2"/>
        <v>0.664010624169987</v>
      </c>
      <c r="J36" s="37">
        <v>9</v>
      </c>
      <c r="K36" s="37">
        <f t="shared" si="3"/>
        <v>1.19521912350598</v>
      </c>
      <c r="L36" s="112">
        <v>474</v>
      </c>
      <c r="M36" s="112">
        <v>560</v>
      </c>
      <c r="N36" s="112">
        <f t="shared" si="4"/>
        <v>1034</v>
      </c>
      <c r="O36" s="37">
        <v>753</v>
      </c>
      <c r="P36" s="113">
        <f t="shared" si="10"/>
        <v>72.8239845261122</v>
      </c>
      <c r="Q36" s="37"/>
      <c r="R36" s="37">
        <f t="shared" si="11"/>
        <v>0</v>
      </c>
      <c r="S36" s="37">
        <f t="shared" si="5"/>
        <v>0</v>
      </c>
      <c r="T36" s="37" t="e">
        <f t="shared" si="12"/>
        <v>#DIV/0!</v>
      </c>
      <c r="U36" s="37"/>
      <c r="V36" s="117">
        <f t="shared" si="13"/>
        <v>0</v>
      </c>
      <c r="W36" s="37"/>
      <c r="X36" s="37">
        <f t="shared" si="14"/>
        <v>100</v>
      </c>
      <c r="Y36" s="37">
        <f t="shared" si="22"/>
        <v>0</v>
      </c>
      <c r="Z36" s="3" t="e">
        <f t="shared" si="15"/>
        <v>#DIV/0!</v>
      </c>
      <c r="AA36" s="3"/>
      <c r="AB36" s="118">
        <f t="shared" si="16"/>
        <v>0</v>
      </c>
      <c r="AC36" s="3">
        <f t="shared" si="23"/>
        <v>0</v>
      </c>
      <c r="AD36" s="3" t="str">
        <f t="shared" si="17"/>
        <v>STRONG</v>
      </c>
      <c r="AE36" s="30" t="str">
        <f t="shared" si="18"/>
        <v>VLOW</v>
      </c>
      <c r="AF36" s="3" t="str">
        <f t="shared" si="19"/>
        <v>EXCELLENT</v>
      </c>
      <c r="AG36" s="3" t="str">
        <f t="shared" si="7"/>
        <v>FEMALE DOM</v>
      </c>
      <c r="AH36" s="3" t="e">
        <f t="shared" si="20"/>
        <v>#DIV/0!</v>
      </c>
      <c r="AI36" s="36">
        <f>E36-G36</f>
        <v>27.6228419654715</v>
      </c>
      <c r="AJ36" s="35" t="str">
        <f t="shared" si="9"/>
        <v>BJP GAIN</v>
      </c>
      <c r="AK36" s="36" t="str">
        <f t="shared" si="21"/>
        <v>LOWMARGIN</v>
      </c>
    </row>
    <row r="37" spans="1:37">
      <c r="A37" s="37">
        <v>34</v>
      </c>
      <c r="B37" s="109" t="s">
        <v>69</v>
      </c>
      <c r="C37" s="37">
        <v>1044</v>
      </c>
      <c r="D37" s="37">
        <v>609</v>
      </c>
      <c r="E37" s="37">
        <f t="shared" si="0"/>
        <v>58.3333333333333</v>
      </c>
      <c r="F37" s="37">
        <v>405</v>
      </c>
      <c r="G37" s="37">
        <f t="shared" si="1"/>
        <v>38.7931034482759</v>
      </c>
      <c r="H37" s="37">
        <v>3</v>
      </c>
      <c r="I37" s="37">
        <f t="shared" si="2"/>
        <v>0.28735632183908</v>
      </c>
      <c r="J37" s="37">
        <v>5</v>
      </c>
      <c r="K37" s="37">
        <f t="shared" si="3"/>
        <v>0.478927203065134</v>
      </c>
      <c r="L37" s="112">
        <v>628</v>
      </c>
      <c r="M37" s="112">
        <v>753</v>
      </c>
      <c r="N37" s="112">
        <f t="shared" si="4"/>
        <v>1381</v>
      </c>
      <c r="O37" s="37">
        <v>1044</v>
      </c>
      <c r="P37" s="113">
        <f t="shared" si="10"/>
        <v>75.5973931933382</v>
      </c>
      <c r="Q37" s="37">
        <v>1098</v>
      </c>
      <c r="R37" s="37">
        <f t="shared" si="11"/>
        <v>79.507603186097</v>
      </c>
      <c r="S37" s="115">
        <f t="shared" si="5"/>
        <v>284</v>
      </c>
      <c r="T37" s="37">
        <f t="shared" si="12"/>
        <v>25.8652094717668</v>
      </c>
      <c r="U37" s="37">
        <v>814</v>
      </c>
      <c r="V37" s="117">
        <f t="shared" si="13"/>
        <v>74.1347905282332</v>
      </c>
      <c r="W37" s="37">
        <v>283</v>
      </c>
      <c r="X37" s="37">
        <f t="shared" si="14"/>
        <v>20.492396813903</v>
      </c>
      <c r="Y37" s="119">
        <f t="shared" si="22"/>
        <v>53</v>
      </c>
      <c r="Z37" s="3">
        <f t="shared" si="15"/>
        <v>18.7279151943463</v>
      </c>
      <c r="AA37" s="3">
        <v>230</v>
      </c>
      <c r="AB37" s="118">
        <f t="shared" si="16"/>
        <v>81.2720848056537</v>
      </c>
      <c r="AC37" s="3">
        <f t="shared" si="23"/>
        <v>1044</v>
      </c>
      <c r="AD37" s="3" t="str">
        <f t="shared" si="17"/>
        <v>STRONG</v>
      </c>
      <c r="AE37" s="30" t="str">
        <f t="shared" si="18"/>
        <v>STRONG</v>
      </c>
      <c r="AF37" s="3" t="str">
        <f t="shared" si="19"/>
        <v>VLOW</v>
      </c>
      <c r="AG37" s="3" t="str">
        <f t="shared" si="7"/>
        <v>FEMALE DOM</v>
      </c>
      <c r="AH37" s="3" t="str">
        <f t="shared" si="20"/>
        <v>H</v>
      </c>
      <c r="AI37" s="36">
        <f>E37-G37</f>
        <v>19.5402298850575</v>
      </c>
      <c r="AJ37" s="35" t="str">
        <f t="shared" si="9"/>
        <v>BJP GAIN</v>
      </c>
      <c r="AK37" s="36" t="str">
        <f t="shared" si="21"/>
        <v>LOWMARGIN</v>
      </c>
    </row>
    <row r="38" spans="1:37">
      <c r="A38" s="37">
        <v>35</v>
      </c>
      <c r="B38" s="109" t="s">
        <v>70</v>
      </c>
      <c r="C38" s="37">
        <v>859</v>
      </c>
      <c r="D38" s="37">
        <v>444</v>
      </c>
      <c r="E38" s="37">
        <f t="shared" si="0"/>
        <v>51.6880093131548</v>
      </c>
      <c r="F38" s="37">
        <v>394</v>
      </c>
      <c r="G38" s="37">
        <f t="shared" si="1"/>
        <v>45.8672875436554</v>
      </c>
      <c r="H38" s="37">
        <v>1</v>
      </c>
      <c r="I38" s="37">
        <f t="shared" si="2"/>
        <v>0.116414435389988</v>
      </c>
      <c r="J38" s="37">
        <v>12</v>
      </c>
      <c r="K38" s="37">
        <f t="shared" si="3"/>
        <v>1.39697322467986</v>
      </c>
      <c r="L38" s="112">
        <v>606</v>
      </c>
      <c r="M38" s="112">
        <v>674</v>
      </c>
      <c r="N38" s="112">
        <f t="shared" si="4"/>
        <v>1280</v>
      </c>
      <c r="O38" s="37">
        <v>859</v>
      </c>
      <c r="P38" s="113">
        <f t="shared" si="10"/>
        <v>67.109375</v>
      </c>
      <c r="Q38" s="37"/>
      <c r="R38" s="37">
        <f t="shared" si="11"/>
        <v>0</v>
      </c>
      <c r="S38" s="37">
        <f t="shared" si="5"/>
        <v>0</v>
      </c>
      <c r="T38" s="37" t="e">
        <f t="shared" si="12"/>
        <v>#DIV/0!</v>
      </c>
      <c r="U38" s="37"/>
      <c r="V38" s="117">
        <f t="shared" si="13"/>
        <v>0</v>
      </c>
      <c r="W38" s="37"/>
      <c r="X38" s="37">
        <f t="shared" si="14"/>
        <v>100</v>
      </c>
      <c r="Y38" s="37">
        <f t="shared" si="22"/>
        <v>0</v>
      </c>
      <c r="Z38" s="3" t="e">
        <f t="shared" si="15"/>
        <v>#DIV/0!</v>
      </c>
      <c r="AA38" s="3"/>
      <c r="AB38" s="118">
        <f t="shared" si="16"/>
        <v>0</v>
      </c>
      <c r="AC38" s="3">
        <f t="shared" si="23"/>
        <v>0</v>
      </c>
      <c r="AD38" s="3" t="str">
        <f t="shared" si="17"/>
        <v>AVG</v>
      </c>
      <c r="AE38" s="30" t="str">
        <f t="shared" si="18"/>
        <v>VLOW</v>
      </c>
      <c r="AF38" s="3" t="str">
        <f t="shared" si="19"/>
        <v>EXCELLENT</v>
      </c>
      <c r="AG38" s="3" t="str">
        <f t="shared" si="7"/>
        <v>FEMALE DOM</v>
      </c>
      <c r="AH38" s="3" t="e">
        <f t="shared" si="20"/>
        <v>#DIV/0!</v>
      </c>
      <c r="AI38" s="36">
        <f>E38-G38</f>
        <v>5.82072176949941</v>
      </c>
      <c r="AJ38" s="35" t="str">
        <f t="shared" si="9"/>
        <v>BJP GAIN</v>
      </c>
      <c r="AK38" s="32" t="str">
        <f t="shared" si="21"/>
        <v>NARROWMARGIN</v>
      </c>
    </row>
    <row r="39" spans="1:37">
      <c r="A39" s="37">
        <v>36</v>
      </c>
      <c r="B39" s="109" t="s">
        <v>71</v>
      </c>
      <c r="C39" s="37">
        <v>886</v>
      </c>
      <c r="D39" s="37">
        <v>396</v>
      </c>
      <c r="E39" s="37">
        <f t="shared" si="0"/>
        <v>44.6952595936795</v>
      </c>
      <c r="F39" s="37">
        <v>470</v>
      </c>
      <c r="G39" s="37">
        <f t="shared" si="1"/>
        <v>53.0474040632054</v>
      </c>
      <c r="H39" s="37">
        <v>6</v>
      </c>
      <c r="I39" s="37">
        <f t="shared" si="2"/>
        <v>0.677200902934537</v>
      </c>
      <c r="J39" s="37">
        <v>2</v>
      </c>
      <c r="K39" s="37">
        <f t="shared" si="3"/>
        <v>0.225733634311512</v>
      </c>
      <c r="L39" s="112">
        <v>677</v>
      </c>
      <c r="M39" s="112">
        <v>720</v>
      </c>
      <c r="N39" s="112">
        <f t="shared" si="4"/>
        <v>1397</v>
      </c>
      <c r="O39" s="37">
        <v>886</v>
      </c>
      <c r="P39" s="113">
        <f t="shared" si="10"/>
        <v>63.4216177523264</v>
      </c>
      <c r="Q39" s="37"/>
      <c r="R39" s="37">
        <f t="shared" si="11"/>
        <v>0</v>
      </c>
      <c r="S39" s="37">
        <f t="shared" si="5"/>
        <v>0</v>
      </c>
      <c r="T39" s="37" t="e">
        <f t="shared" si="12"/>
        <v>#DIV/0!</v>
      </c>
      <c r="U39" s="37"/>
      <c r="V39" s="117">
        <f t="shared" si="13"/>
        <v>0</v>
      </c>
      <c r="W39" s="37"/>
      <c r="X39" s="37">
        <f t="shared" si="14"/>
        <v>100</v>
      </c>
      <c r="Y39" s="37">
        <f t="shared" si="22"/>
        <v>0</v>
      </c>
      <c r="Z39" s="3" t="e">
        <f t="shared" si="15"/>
        <v>#DIV/0!</v>
      </c>
      <c r="AA39" s="3"/>
      <c r="AB39" s="118">
        <f t="shared" si="16"/>
        <v>0</v>
      </c>
      <c r="AC39" s="3">
        <f t="shared" si="23"/>
        <v>0</v>
      </c>
      <c r="AD39" s="3" t="str">
        <f t="shared" si="17"/>
        <v>AVG</v>
      </c>
      <c r="AE39" s="30" t="str">
        <f t="shared" si="18"/>
        <v>VLOW</v>
      </c>
      <c r="AF39" s="3" t="str">
        <f t="shared" si="19"/>
        <v>EXCELLENT</v>
      </c>
      <c r="AG39" s="3" t="str">
        <f t="shared" si="7"/>
        <v>FEMALE DOM</v>
      </c>
      <c r="AH39" s="3" t="e">
        <f t="shared" si="20"/>
        <v>#DIV/0!</v>
      </c>
      <c r="AI39" s="36">
        <f>G39-E39</f>
        <v>8.35214446952596</v>
      </c>
      <c r="AJ39" s="31" t="str">
        <f t="shared" si="9"/>
        <v>CONGRESSGAIN</v>
      </c>
      <c r="AK39" s="32" t="str">
        <f t="shared" si="21"/>
        <v>NARROWMARGIN</v>
      </c>
    </row>
    <row r="40" spans="1:37">
      <c r="A40" s="37">
        <v>37</v>
      </c>
      <c r="B40" s="109" t="s">
        <v>72</v>
      </c>
      <c r="C40" s="37">
        <v>904</v>
      </c>
      <c r="D40" s="37">
        <v>299</v>
      </c>
      <c r="E40" s="37">
        <f t="shared" si="0"/>
        <v>33.075221238938</v>
      </c>
      <c r="F40" s="37">
        <v>590</v>
      </c>
      <c r="G40" s="37">
        <f t="shared" si="1"/>
        <v>65.2654867256637</v>
      </c>
      <c r="H40" s="37">
        <v>4</v>
      </c>
      <c r="I40" s="37">
        <f t="shared" si="2"/>
        <v>0.442477876106195</v>
      </c>
      <c r="J40" s="37">
        <v>3</v>
      </c>
      <c r="K40" s="37">
        <f t="shared" si="3"/>
        <v>0.331858407079646</v>
      </c>
      <c r="L40" s="112">
        <v>632</v>
      </c>
      <c r="M40" s="112">
        <v>696</v>
      </c>
      <c r="N40" s="112">
        <f t="shared" si="4"/>
        <v>1328</v>
      </c>
      <c r="O40" s="37">
        <v>904</v>
      </c>
      <c r="P40" s="113">
        <f t="shared" si="10"/>
        <v>68.0722891566265</v>
      </c>
      <c r="Q40" s="37">
        <v>535</v>
      </c>
      <c r="R40" s="37">
        <f t="shared" si="11"/>
        <v>40.2861445783133</v>
      </c>
      <c r="S40" s="37">
        <f t="shared" si="5"/>
        <v>189</v>
      </c>
      <c r="T40" s="37">
        <f t="shared" si="12"/>
        <v>35.3271028037383</v>
      </c>
      <c r="U40" s="37">
        <v>346</v>
      </c>
      <c r="V40" s="117">
        <f t="shared" si="13"/>
        <v>64.6728971962617</v>
      </c>
      <c r="W40" s="37">
        <v>793</v>
      </c>
      <c r="X40" s="37">
        <f t="shared" si="14"/>
        <v>59.7138554216867</v>
      </c>
      <c r="Y40" s="119">
        <f t="shared" si="22"/>
        <v>243</v>
      </c>
      <c r="Z40" s="3">
        <f t="shared" si="15"/>
        <v>30.6431273644388</v>
      </c>
      <c r="AA40" s="3">
        <v>550</v>
      </c>
      <c r="AB40" s="118">
        <f t="shared" si="16"/>
        <v>69.3568726355612</v>
      </c>
      <c r="AC40" s="3">
        <f t="shared" si="23"/>
        <v>896</v>
      </c>
      <c r="AD40" s="3" t="str">
        <f t="shared" si="17"/>
        <v>AVG</v>
      </c>
      <c r="AE40" s="30" t="str">
        <f t="shared" si="18"/>
        <v>VLOW</v>
      </c>
      <c r="AF40" s="3" t="str">
        <f t="shared" si="19"/>
        <v>WEAK</v>
      </c>
      <c r="AG40" s="3" t="str">
        <f t="shared" si="7"/>
        <v>FEMALE DOM</v>
      </c>
      <c r="AH40" s="3" t="str">
        <f t="shared" si="20"/>
        <v>H</v>
      </c>
      <c r="AI40" s="36">
        <f t="shared" ref="AI40:AI41" si="24">G40-E40</f>
        <v>32.1902654867257</v>
      </c>
      <c r="AJ40" s="31" t="str">
        <f t="shared" si="9"/>
        <v>CONGRESSGAIN</v>
      </c>
      <c r="AK40" s="38" t="str">
        <f t="shared" si="21"/>
        <v>MEDIUMMARGIN</v>
      </c>
    </row>
    <row r="41" spans="1:37">
      <c r="A41" s="37">
        <v>38</v>
      </c>
      <c r="B41" s="109" t="s">
        <v>73</v>
      </c>
      <c r="C41" s="37">
        <v>729</v>
      </c>
      <c r="D41" s="37">
        <v>323</v>
      </c>
      <c r="E41" s="37">
        <f t="shared" si="0"/>
        <v>44.3072702331962</v>
      </c>
      <c r="F41" s="37">
        <v>386</v>
      </c>
      <c r="G41" s="37">
        <f t="shared" si="1"/>
        <v>52.9492455418381</v>
      </c>
      <c r="H41" s="37">
        <v>8</v>
      </c>
      <c r="I41" s="37">
        <f t="shared" si="2"/>
        <v>1.09739368998628</v>
      </c>
      <c r="J41" s="37">
        <v>3</v>
      </c>
      <c r="K41" s="37">
        <f t="shared" si="3"/>
        <v>0.411522633744856</v>
      </c>
      <c r="L41" s="112">
        <v>522</v>
      </c>
      <c r="M41" s="112">
        <v>637</v>
      </c>
      <c r="N41" s="112">
        <f t="shared" si="4"/>
        <v>1159</v>
      </c>
      <c r="O41" s="37">
        <v>729</v>
      </c>
      <c r="P41" s="113">
        <f t="shared" si="10"/>
        <v>62.8990509059534</v>
      </c>
      <c r="Q41" s="37">
        <v>586</v>
      </c>
      <c r="R41" s="37">
        <f t="shared" si="11"/>
        <v>50.5608283002588</v>
      </c>
      <c r="S41" s="115">
        <f t="shared" si="5"/>
        <v>193</v>
      </c>
      <c r="T41" s="37">
        <f t="shared" si="12"/>
        <v>32.9351535836177</v>
      </c>
      <c r="U41" s="37">
        <v>393</v>
      </c>
      <c r="V41" s="117">
        <f t="shared" si="13"/>
        <v>67.0648464163823</v>
      </c>
      <c r="W41" s="37">
        <v>567</v>
      </c>
      <c r="X41" s="37">
        <f t="shared" si="14"/>
        <v>49.4391716997412</v>
      </c>
      <c r="Y41" s="37">
        <f t="shared" si="22"/>
        <v>232</v>
      </c>
      <c r="Z41" s="3">
        <f t="shared" si="15"/>
        <v>40.9171075837742</v>
      </c>
      <c r="AA41" s="3">
        <v>335</v>
      </c>
      <c r="AB41" s="118">
        <f t="shared" si="16"/>
        <v>59.0828924162258</v>
      </c>
      <c r="AC41" s="3">
        <f t="shared" si="23"/>
        <v>728</v>
      </c>
      <c r="AD41" s="3" t="str">
        <f t="shared" si="17"/>
        <v>AVG</v>
      </c>
      <c r="AE41" s="30" t="str">
        <f t="shared" si="18"/>
        <v>WEAK</v>
      </c>
      <c r="AF41" s="3" t="str">
        <f t="shared" si="19"/>
        <v>VLOW</v>
      </c>
      <c r="AG41" s="3" t="str">
        <f t="shared" si="7"/>
        <v>FEMALE DOM</v>
      </c>
      <c r="AH41" s="3" t="str">
        <f t="shared" si="20"/>
        <v>O</v>
      </c>
      <c r="AI41" s="36">
        <f t="shared" si="24"/>
        <v>8.64197530864197</v>
      </c>
      <c r="AJ41" s="31" t="str">
        <f t="shared" si="9"/>
        <v>CONGRESSGAIN</v>
      </c>
      <c r="AK41" s="32" t="str">
        <f t="shared" si="21"/>
        <v>NARROWMARGIN</v>
      </c>
    </row>
    <row r="42" spans="1:37">
      <c r="A42" s="37">
        <v>39</v>
      </c>
      <c r="B42" s="109" t="s">
        <v>74</v>
      </c>
      <c r="C42" s="37">
        <v>699</v>
      </c>
      <c r="D42" s="37">
        <v>455</v>
      </c>
      <c r="E42" s="37">
        <f t="shared" si="0"/>
        <v>65.0929899856938</v>
      </c>
      <c r="F42" s="37">
        <v>223</v>
      </c>
      <c r="G42" s="37">
        <f t="shared" si="1"/>
        <v>31.9027181688126</v>
      </c>
      <c r="H42" s="37">
        <v>3</v>
      </c>
      <c r="I42" s="37">
        <f t="shared" si="2"/>
        <v>0.429184549356223</v>
      </c>
      <c r="J42" s="37">
        <v>8</v>
      </c>
      <c r="K42" s="37">
        <f t="shared" si="3"/>
        <v>1.1444921316166</v>
      </c>
      <c r="L42" s="112">
        <v>512</v>
      </c>
      <c r="M42" s="112">
        <v>541</v>
      </c>
      <c r="N42" s="112">
        <f t="shared" si="4"/>
        <v>1053</v>
      </c>
      <c r="O42" s="37">
        <v>699</v>
      </c>
      <c r="P42" s="113">
        <f t="shared" si="10"/>
        <v>66.3817663817664</v>
      </c>
      <c r="Q42" s="37"/>
      <c r="R42" s="37">
        <f t="shared" si="11"/>
        <v>0</v>
      </c>
      <c r="S42" s="37">
        <f t="shared" si="5"/>
        <v>0</v>
      </c>
      <c r="T42" s="37" t="e">
        <f t="shared" si="12"/>
        <v>#DIV/0!</v>
      </c>
      <c r="U42" s="37"/>
      <c r="V42" s="117">
        <f t="shared" si="13"/>
        <v>0</v>
      </c>
      <c r="W42" s="37"/>
      <c r="X42" s="37">
        <f t="shared" si="14"/>
        <v>100</v>
      </c>
      <c r="Y42" s="37">
        <f t="shared" si="22"/>
        <v>0</v>
      </c>
      <c r="Z42" s="3" t="e">
        <f t="shared" si="15"/>
        <v>#DIV/0!</v>
      </c>
      <c r="AA42" s="3"/>
      <c r="AB42" s="118">
        <f t="shared" si="16"/>
        <v>0</v>
      </c>
      <c r="AC42" s="3">
        <f t="shared" si="23"/>
        <v>0</v>
      </c>
      <c r="AD42" s="3" t="str">
        <f t="shared" si="17"/>
        <v>AVG</v>
      </c>
      <c r="AE42" s="30" t="str">
        <f t="shared" si="18"/>
        <v>VLOW</v>
      </c>
      <c r="AF42" s="3" t="str">
        <f t="shared" si="19"/>
        <v>EXCELLENT</v>
      </c>
      <c r="AG42" s="3" t="str">
        <f t="shared" si="7"/>
        <v>FEMALE DOM</v>
      </c>
      <c r="AH42" s="3" t="e">
        <f t="shared" si="20"/>
        <v>#DIV/0!</v>
      </c>
      <c r="AI42" s="36">
        <f>E42-G42</f>
        <v>33.1902718168813</v>
      </c>
      <c r="AJ42" s="35" t="str">
        <f t="shared" si="9"/>
        <v>BJP GAIN</v>
      </c>
      <c r="AK42" s="38" t="str">
        <f t="shared" si="21"/>
        <v>MEDIUMMARGIN</v>
      </c>
    </row>
    <row r="43" spans="1:37">
      <c r="A43" s="37">
        <v>40</v>
      </c>
      <c r="B43" s="109" t="s">
        <v>75</v>
      </c>
      <c r="C43" s="37">
        <v>793</v>
      </c>
      <c r="D43" s="37">
        <v>598</v>
      </c>
      <c r="E43" s="37">
        <f t="shared" si="0"/>
        <v>75.4098360655738</v>
      </c>
      <c r="F43" s="37">
        <v>154</v>
      </c>
      <c r="G43" s="37">
        <f t="shared" si="1"/>
        <v>19.4199243379571</v>
      </c>
      <c r="H43" s="37">
        <v>6</v>
      </c>
      <c r="I43" s="37">
        <f t="shared" si="2"/>
        <v>0.756620428751576</v>
      </c>
      <c r="J43" s="37">
        <v>13</v>
      </c>
      <c r="K43" s="37">
        <f t="shared" si="3"/>
        <v>1.63934426229508</v>
      </c>
      <c r="L43" s="112">
        <v>512</v>
      </c>
      <c r="M43" s="112">
        <v>600</v>
      </c>
      <c r="N43" s="112">
        <f t="shared" si="4"/>
        <v>1112</v>
      </c>
      <c r="O43" s="37">
        <v>793</v>
      </c>
      <c r="P43" s="113">
        <f t="shared" si="10"/>
        <v>71.3129496402878</v>
      </c>
      <c r="Q43" s="37">
        <v>1030</v>
      </c>
      <c r="R43" s="37">
        <f t="shared" si="11"/>
        <v>92.6258992805755</v>
      </c>
      <c r="S43" s="37">
        <f t="shared" si="5"/>
        <v>313</v>
      </c>
      <c r="T43" s="37">
        <f t="shared" si="12"/>
        <v>30.3883495145631</v>
      </c>
      <c r="U43" s="37">
        <v>717</v>
      </c>
      <c r="V43" s="117">
        <f t="shared" si="13"/>
        <v>69.6116504854369</v>
      </c>
      <c r="W43" s="37">
        <v>82</v>
      </c>
      <c r="X43" s="37">
        <f t="shared" si="14"/>
        <v>7.37410071942446</v>
      </c>
      <c r="Y43" s="119">
        <f t="shared" si="22"/>
        <v>11</v>
      </c>
      <c r="Z43" s="3">
        <f t="shared" si="15"/>
        <v>13.4146341463415</v>
      </c>
      <c r="AA43" s="3">
        <v>71</v>
      </c>
      <c r="AB43" s="118">
        <f t="shared" si="16"/>
        <v>86.5853658536585</v>
      </c>
      <c r="AC43" s="3">
        <f t="shared" si="23"/>
        <v>788</v>
      </c>
      <c r="AD43" s="3" t="str">
        <f t="shared" si="17"/>
        <v>STRONG</v>
      </c>
      <c r="AE43" s="30" t="str">
        <f t="shared" si="18"/>
        <v>EXCELLENT</v>
      </c>
      <c r="AF43" s="3" t="str">
        <f t="shared" si="19"/>
        <v>VLOW</v>
      </c>
      <c r="AG43" s="3" t="str">
        <f t="shared" si="7"/>
        <v>FEMALE DOM</v>
      </c>
      <c r="AH43" s="3" t="str">
        <f t="shared" si="20"/>
        <v>H</v>
      </c>
      <c r="AI43" s="36">
        <f>E43-G43</f>
        <v>55.9899117276166</v>
      </c>
      <c r="AJ43" s="35" t="str">
        <f t="shared" si="9"/>
        <v>BJP GAIN</v>
      </c>
      <c r="AK43" s="30" t="str">
        <f t="shared" si="21"/>
        <v>VERYHIGHMARGIN</v>
      </c>
    </row>
    <row r="44" spans="1:37">
      <c r="A44" s="37">
        <v>41</v>
      </c>
      <c r="B44" s="109" t="s">
        <v>76</v>
      </c>
      <c r="C44" s="37">
        <v>573</v>
      </c>
      <c r="D44" s="37">
        <v>361</v>
      </c>
      <c r="E44" s="37">
        <f t="shared" si="0"/>
        <v>63.0017452006981</v>
      </c>
      <c r="F44" s="37">
        <v>190</v>
      </c>
      <c r="G44" s="37">
        <f t="shared" si="1"/>
        <v>33.1588132635253</v>
      </c>
      <c r="H44" s="37">
        <v>3</v>
      </c>
      <c r="I44" s="37">
        <f t="shared" si="2"/>
        <v>0.523560209424084</v>
      </c>
      <c r="J44" s="37">
        <v>7</v>
      </c>
      <c r="K44" s="37">
        <f t="shared" si="3"/>
        <v>1.2216404886562</v>
      </c>
      <c r="L44" s="112">
        <v>355</v>
      </c>
      <c r="M44" s="112">
        <v>382</v>
      </c>
      <c r="N44" s="112">
        <f t="shared" si="4"/>
        <v>737</v>
      </c>
      <c r="O44" s="37">
        <v>573</v>
      </c>
      <c r="P44" s="113">
        <f t="shared" si="10"/>
        <v>77.7476255088195</v>
      </c>
      <c r="Q44" s="37">
        <v>612</v>
      </c>
      <c r="R44" s="37">
        <f t="shared" si="11"/>
        <v>83.0393487109905</v>
      </c>
      <c r="S44" s="37">
        <f t="shared" si="5"/>
        <v>143</v>
      </c>
      <c r="T44" s="37">
        <f t="shared" si="12"/>
        <v>23.3660130718954</v>
      </c>
      <c r="U44" s="37">
        <v>469</v>
      </c>
      <c r="V44" s="117">
        <f t="shared" si="13"/>
        <v>76.6339869281046</v>
      </c>
      <c r="W44" s="37">
        <v>125</v>
      </c>
      <c r="X44" s="37">
        <f t="shared" si="14"/>
        <v>16.9606512890095</v>
      </c>
      <c r="Y44" s="37">
        <f t="shared" si="22"/>
        <v>39</v>
      </c>
      <c r="Z44" s="3">
        <f t="shared" si="15"/>
        <v>31.2</v>
      </c>
      <c r="AA44" s="3">
        <v>86</v>
      </c>
      <c r="AB44" s="118">
        <f t="shared" si="16"/>
        <v>68.8</v>
      </c>
      <c r="AC44" s="3">
        <f t="shared" si="23"/>
        <v>555</v>
      </c>
      <c r="AD44" s="3" t="str">
        <f t="shared" si="17"/>
        <v>STRONG</v>
      </c>
      <c r="AE44" s="30" t="str">
        <f t="shared" si="18"/>
        <v>EXCELLENT</v>
      </c>
      <c r="AF44" s="3" t="str">
        <f t="shared" si="19"/>
        <v>VLOW</v>
      </c>
      <c r="AG44" s="3" t="str">
        <f t="shared" si="7"/>
        <v>FEMALE DOM</v>
      </c>
      <c r="AH44" s="3" t="str">
        <f t="shared" si="20"/>
        <v>O</v>
      </c>
      <c r="AI44" s="36">
        <f>E44-G44</f>
        <v>29.8429319371728</v>
      </c>
      <c r="AJ44" s="35" t="str">
        <f t="shared" si="9"/>
        <v>BJP GAIN</v>
      </c>
      <c r="AK44" s="36" t="str">
        <f t="shared" si="21"/>
        <v>LOWMARGIN</v>
      </c>
    </row>
    <row r="45" spans="1:37">
      <c r="A45" s="37">
        <v>42</v>
      </c>
      <c r="B45" s="109" t="s">
        <v>77</v>
      </c>
      <c r="C45" s="37">
        <v>629</v>
      </c>
      <c r="D45" s="37">
        <v>326</v>
      </c>
      <c r="E45" s="37">
        <f t="shared" si="0"/>
        <v>51.8282988871224</v>
      </c>
      <c r="F45" s="37">
        <v>283</v>
      </c>
      <c r="G45" s="37">
        <f t="shared" si="1"/>
        <v>44.9920508744038</v>
      </c>
      <c r="H45" s="37">
        <v>3</v>
      </c>
      <c r="I45" s="37">
        <f t="shared" si="2"/>
        <v>0.476947535771065</v>
      </c>
      <c r="J45" s="37">
        <v>6</v>
      </c>
      <c r="K45" s="37">
        <f t="shared" si="3"/>
        <v>0.95389507154213</v>
      </c>
      <c r="L45" s="112">
        <v>455</v>
      </c>
      <c r="M45" s="112">
        <v>459</v>
      </c>
      <c r="N45" s="112">
        <f t="shared" si="4"/>
        <v>914</v>
      </c>
      <c r="O45" s="37">
        <v>629</v>
      </c>
      <c r="P45" s="113">
        <f t="shared" si="10"/>
        <v>68.8183807439825</v>
      </c>
      <c r="Q45" s="37">
        <v>507</v>
      </c>
      <c r="R45" s="37">
        <f t="shared" si="11"/>
        <v>55.4704595185996</v>
      </c>
      <c r="S45" s="115">
        <f t="shared" si="5"/>
        <v>181</v>
      </c>
      <c r="T45" s="37">
        <f t="shared" si="12"/>
        <v>35.7001972386588</v>
      </c>
      <c r="U45" s="37">
        <v>326</v>
      </c>
      <c r="V45" s="117">
        <f t="shared" si="13"/>
        <v>64.2998027613412</v>
      </c>
      <c r="W45" s="37">
        <v>407</v>
      </c>
      <c r="X45" s="37">
        <f t="shared" si="14"/>
        <v>44.5295404814004</v>
      </c>
      <c r="Y45" s="37">
        <f t="shared" si="22"/>
        <v>124</v>
      </c>
      <c r="Z45" s="3">
        <f t="shared" si="15"/>
        <v>30.4668304668305</v>
      </c>
      <c r="AA45" s="3">
        <v>283</v>
      </c>
      <c r="AB45" s="118">
        <f t="shared" si="16"/>
        <v>69.5331695331695</v>
      </c>
      <c r="AC45" s="3">
        <f t="shared" si="23"/>
        <v>609</v>
      </c>
      <c r="AD45" s="3" t="str">
        <f t="shared" si="17"/>
        <v>AVG</v>
      </c>
      <c r="AE45" s="30" t="str">
        <f t="shared" si="18"/>
        <v>WEAK</v>
      </c>
      <c r="AF45" s="3" t="str">
        <f t="shared" si="19"/>
        <v>VLOW</v>
      </c>
      <c r="AG45" s="3" t="str">
        <f t="shared" si="7"/>
        <v>FEMALE DOM</v>
      </c>
      <c r="AH45" s="3" t="str">
        <f t="shared" si="20"/>
        <v>H</v>
      </c>
      <c r="AI45" s="36">
        <f>E45-G45</f>
        <v>6.8362480127186</v>
      </c>
      <c r="AJ45" s="35" t="str">
        <f t="shared" si="9"/>
        <v>BJP GAIN</v>
      </c>
      <c r="AK45" s="32" t="str">
        <f t="shared" si="21"/>
        <v>NARROWMARGIN</v>
      </c>
    </row>
    <row r="46" spans="1:37">
      <c r="A46" s="37">
        <v>43</v>
      </c>
      <c r="B46" s="109" t="s">
        <v>78</v>
      </c>
      <c r="C46" s="37">
        <v>459</v>
      </c>
      <c r="D46" s="37">
        <v>137</v>
      </c>
      <c r="E46" s="37">
        <f t="shared" si="0"/>
        <v>29.8474945533769</v>
      </c>
      <c r="F46" s="37">
        <v>309</v>
      </c>
      <c r="G46" s="37">
        <f t="shared" si="1"/>
        <v>67.3202614379085</v>
      </c>
      <c r="H46" s="37">
        <v>3</v>
      </c>
      <c r="I46" s="37">
        <f t="shared" si="2"/>
        <v>0.65359477124183</v>
      </c>
      <c r="J46" s="37">
        <v>4</v>
      </c>
      <c r="K46" s="37">
        <f t="shared" si="3"/>
        <v>0.871459694989107</v>
      </c>
      <c r="L46" s="112">
        <v>373</v>
      </c>
      <c r="M46" s="112">
        <v>408</v>
      </c>
      <c r="N46" s="112">
        <f t="shared" si="4"/>
        <v>781</v>
      </c>
      <c r="O46" s="37">
        <v>459</v>
      </c>
      <c r="P46" s="113">
        <f t="shared" si="10"/>
        <v>58.7708066581306</v>
      </c>
      <c r="Q46" s="37">
        <v>277</v>
      </c>
      <c r="R46" s="37">
        <f t="shared" si="11"/>
        <v>35.4673495518566</v>
      </c>
      <c r="S46" s="37">
        <f t="shared" si="5"/>
        <v>111</v>
      </c>
      <c r="T46" s="37">
        <f t="shared" si="12"/>
        <v>40.072202166065</v>
      </c>
      <c r="U46" s="37">
        <v>166</v>
      </c>
      <c r="V46" s="117">
        <f t="shared" si="13"/>
        <v>59.927797833935</v>
      </c>
      <c r="W46" s="37">
        <v>503</v>
      </c>
      <c r="X46" s="37">
        <f t="shared" si="14"/>
        <v>64.5326504481434</v>
      </c>
      <c r="Y46" s="119">
        <f t="shared" si="22"/>
        <v>219</v>
      </c>
      <c r="Z46" s="3">
        <f t="shared" si="15"/>
        <v>43.5387673956262</v>
      </c>
      <c r="AA46" s="3">
        <v>284</v>
      </c>
      <c r="AB46" s="118">
        <f t="shared" si="16"/>
        <v>56.4612326043738</v>
      </c>
      <c r="AC46" s="3">
        <f t="shared" si="23"/>
        <v>450</v>
      </c>
      <c r="AD46" s="3" t="str">
        <f t="shared" si="17"/>
        <v>WEAK</v>
      </c>
      <c r="AE46" s="30" t="str">
        <f t="shared" si="18"/>
        <v>VLOW</v>
      </c>
      <c r="AF46" s="3" t="str">
        <f t="shared" si="19"/>
        <v>AVG</v>
      </c>
      <c r="AG46" s="3" t="str">
        <f t="shared" si="7"/>
        <v>FEMALE DOM</v>
      </c>
      <c r="AH46" s="3" t="str">
        <f t="shared" si="20"/>
        <v>O</v>
      </c>
      <c r="AI46" s="36">
        <f>G46-E46</f>
        <v>37.4727668845316</v>
      </c>
      <c r="AJ46" s="31" t="str">
        <f t="shared" si="9"/>
        <v>CONGRESSGAIN</v>
      </c>
      <c r="AK46" s="38" t="str">
        <f t="shared" si="21"/>
        <v>MEDIUMMARGIN</v>
      </c>
    </row>
    <row r="47" spans="1:37">
      <c r="A47" s="37">
        <v>44</v>
      </c>
      <c r="B47" s="109" t="s">
        <v>79</v>
      </c>
      <c r="C47" s="37">
        <v>903</v>
      </c>
      <c r="D47" s="37">
        <v>526</v>
      </c>
      <c r="E47" s="37">
        <f t="shared" si="0"/>
        <v>58.250276854928</v>
      </c>
      <c r="F47" s="37">
        <v>341</v>
      </c>
      <c r="G47" s="37">
        <f t="shared" si="1"/>
        <v>37.7630121816168</v>
      </c>
      <c r="H47" s="37">
        <v>6</v>
      </c>
      <c r="I47" s="37">
        <f t="shared" si="2"/>
        <v>0.664451827242525</v>
      </c>
      <c r="J47" s="37">
        <v>8</v>
      </c>
      <c r="K47" s="37">
        <f t="shared" si="3"/>
        <v>0.8859357696567</v>
      </c>
      <c r="L47" s="112">
        <v>554</v>
      </c>
      <c r="M47" s="112">
        <v>667</v>
      </c>
      <c r="N47" s="112">
        <f t="shared" si="4"/>
        <v>1221</v>
      </c>
      <c r="O47" s="37">
        <v>903</v>
      </c>
      <c r="P47" s="113">
        <f t="shared" si="10"/>
        <v>73.9557739557739</v>
      </c>
      <c r="Q47" s="37">
        <v>924</v>
      </c>
      <c r="R47" s="37">
        <f t="shared" si="11"/>
        <v>75.6756756756757</v>
      </c>
      <c r="S47" s="37">
        <f t="shared" si="5"/>
        <v>291</v>
      </c>
      <c r="T47" s="37">
        <f t="shared" si="12"/>
        <v>31.4935064935065</v>
      </c>
      <c r="U47" s="37">
        <v>633</v>
      </c>
      <c r="V47" s="117">
        <f t="shared" si="13"/>
        <v>68.5064935064935</v>
      </c>
      <c r="W47" s="37">
        <v>296</v>
      </c>
      <c r="X47" s="37">
        <f t="shared" si="14"/>
        <v>24.3243243243243</v>
      </c>
      <c r="Y47" s="37">
        <f t="shared" si="22"/>
        <v>26</v>
      </c>
      <c r="Z47" s="3">
        <f t="shared" si="15"/>
        <v>8.78378378378378</v>
      </c>
      <c r="AA47" s="3">
        <v>270</v>
      </c>
      <c r="AB47" s="118">
        <f t="shared" si="16"/>
        <v>91.2162162162162</v>
      </c>
      <c r="AC47" s="3">
        <f t="shared" si="23"/>
        <v>903</v>
      </c>
      <c r="AD47" s="3" t="str">
        <f t="shared" si="17"/>
        <v>STRONG</v>
      </c>
      <c r="AE47" s="30" t="str">
        <f t="shared" si="18"/>
        <v>STRONG</v>
      </c>
      <c r="AF47" s="3" t="str">
        <f t="shared" si="19"/>
        <v>VLOW</v>
      </c>
      <c r="AG47" s="3" t="str">
        <f t="shared" si="7"/>
        <v>FEMALE DOM</v>
      </c>
      <c r="AH47" s="3" t="str">
        <f t="shared" si="20"/>
        <v>H</v>
      </c>
      <c r="AI47" s="36">
        <f t="shared" ref="AI47:AI54" si="25">E47-G47</f>
        <v>20.4872646733112</v>
      </c>
      <c r="AJ47" s="35" t="str">
        <f t="shared" si="9"/>
        <v>BJP GAIN</v>
      </c>
      <c r="AK47" s="36" t="str">
        <f t="shared" si="21"/>
        <v>LOWMARGIN</v>
      </c>
    </row>
    <row r="48" spans="1:37">
      <c r="A48" s="37">
        <v>45</v>
      </c>
      <c r="B48" s="109" t="s">
        <v>80</v>
      </c>
      <c r="C48" s="37">
        <v>896</v>
      </c>
      <c r="D48" s="37">
        <v>541</v>
      </c>
      <c r="E48" s="37">
        <f t="shared" si="0"/>
        <v>60.3794642857143</v>
      </c>
      <c r="F48" s="37">
        <v>336</v>
      </c>
      <c r="G48" s="37">
        <f t="shared" si="1"/>
        <v>37.5</v>
      </c>
      <c r="H48" s="37">
        <v>3</v>
      </c>
      <c r="I48" s="37">
        <f t="shared" si="2"/>
        <v>0.334821428571429</v>
      </c>
      <c r="J48" s="37">
        <v>4</v>
      </c>
      <c r="K48" s="37">
        <f t="shared" si="3"/>
        <v>0.446428571428571</v>
      </c>
      <c r="L48" s="112">
        <v>566</v>
      </c>
      <c r="M48" s="112">
        <v>612</v>
      </c>
      <c r="N48" s="112">
        <f t="shared" si="4"/>
        <v>1178</v>
      </c>
      <c r="O48" s="37">
        <v>896</v>
      </c>
      <c r="P48" s="113">
        <f t="shared" si="10"/>
        <v>76.0611205432937</v>
      </c>
      <c r="Q48" s="37">
        <v>891</v>
      </c>
      <c r="R48" s="37">
        <f t="shared" si="11"/>
        <v>75.6366723259762</v>
      </c>
      <c r="S48" s="37">
        <f t="shared" si="5"/>
        <v>187</v>
      </c>
      <c r="T48" s="37">
        <f t="shared" si="12"/>
        <v>20.9876543209877</v>
      </c>
      <c r="U48" s="37">
        <v>704</v>
      </c>
      <c r="V48" s="117">
        <f t="shared" si="13"/>
        <v>79.0123456790123</v>
      </c>
      <c r="W48" s="37">
        <f>2+285</f>
        <v>287</v>
      </c>
      <c r="X48" s="37">
        <f t="shared" si="14"/>
        <v>24.3633276740238</v>
      </c>
      <c r="Y48" s="37">
        <f t="shared" si="22"/>
        <v>95</v>
      </c>
      <c r="Z48" s="3">
        <f t="shared" si="15"/>
        <v>33.1010452961672</v>
      </c>
      <c r="AA48" s="3">
        <f>2+190</f>
        <v>192</v>
      </c>
      <c r="AB48" s="118">
        <f t="shared" si="16"/>
        <v>66.8989547038328</v>
      </c>
      <c r="AC48" s="3">
        <f t="shared" si="23"/>
        <v>896</v>
      </c>
      <c r="AD48" s="3" t="str">
        <f t="shared" si="17"/>
        <v>STRONG</v>
      </c>
      <c r="AE48" s="30" t="str">
        <f t="shared" si="18"/>
        <v>STRONG</v>
      </c>
      <c r="AF48" s="3" t="str">
        <f t="shared" si="19"/>
        <v>VLOW</v>
      </c>
      <c r="AG48" s="3" t="str">
        <f t="shared" si="7"/>
        <v>FEMALE DOM</v>
      </c>
      <c r="AH48" s="3" t="str">
        <f t="shared" si="20"/>
        <v>O</v>
      </c>
      <c r="AI48" s="36">
        <f t="shared" si="25"/>
        <v>22.8794642857143</v>
      </c>
      <c r="AJ48" s="35" t="str">
        <f t="shared" si="9"/>
        <v>BJP GAIN</v>
      </c>
      <c r="AK48" s="36" t="str">
        <f t="shared" si="21"/>
        <v>LOWMARGIN</v>
      </c>
    </row>
    <row r="49" spans="1:37">
      <c r="A49" s="37">
        <v>46</v>
      </c>
      <c r="B49" s="109" t="s">
        <v>81</v>
      </c>
      <c r="C49" s="37">
        <v>837</v>
      </c>
      <c r="D49" s="37">
        <v>454</v>
      </c>
      <c r="E49" s="37">
        <f t="shared" si="0"/>
        <v>54.2413381123059</v>
      </c>
      <c r="F49" s="37">
        <v>351</v>
      </c>
      <c r="G49" s="37">
        <f t="shared" si="1"/>
        <v>41.9354838709677</v>
      </c>
      <c r="H49" s="37">
        <v>1</v>
      </c>
      <c r="I49" s="37">
        <f t="shared" si="2"/>
        <v>0.1194743130227</v>
      </c>
      <c r="J49" s="37">
        <v>16</v>
      </c>
      <c r="K49" s="37">
        <f t="shared" si="3"/>
        <v>1.9115890083632</v>
      </c>
      <c r="L49" s="112">
        <v>454</v>
      </c>
      <c r="M49" s="112">
        <v>648</v>
      </c>
      <c r="N49" s="112">
        <f t="shared" si="4"/>
        <v>1102</v>
      </c>
      <c r="O49" s="37">
        <v>837</v>
      </c>
      <c r="P49" s="113">
        <f t="shared" si="10"/>
        <v>75.9528130671506</v>
      </c>
      <c r="Q49" s="37">
        <v>694</v>
      </c>
      <c r="R49" s="37">
        <f t="shared" si="11"/>
        <v>62.9764065335753</v>
      </c>
      <c r="S49" s="115">
        <f t="shared" si="5"/>
        <v>207</v>
      </c>
      <c r="T49" s="37">
        <f t="shared" si="12"/>
        <v>29.8270893371758</v>
      </c>
      <c r="U49" s="37">
        <v>487</v>
      </c>
      <c r="V49" s="117">
        <f t="shared" si="13"/>
        <v>70.1729106628242</v>
      </c>
      <c r="W49" s="37">
        <v>408</v>
      </c>
      <c r="X49" s="37">
        <f t="shared" si="14"/>
        <v>37.0235934664247</v>
      </c>
      <c r="Y49" s="119">
        <f t="shared" si="22"/>
        <v>58</v>
      </c>
      <c r="Z49" s="3">
        <f t="shared" si="15"/>
        <v>14.2156862745098</v>
      </c>
      <c r="AA49" s="3">
        <v>350</v>
      </c>
      <c r="AB49" s="118">
        <f t="shared" si="16"/>
        <v>85.7843137254902</v>
      </c>
      <c r="AC49" s="3">
        <f t="shared" si="23"/>
        <v>837</v>
      </c>
      <c r="AD49" s="3" t="str">
        <f t="shared" si="17"/>
        <v>STRONG</v>
      </c>
      <c r="AE49" s="30" t="str">
        <f t="shared" si="18"/>
        <v>AVG</v>
      </c>
      <c r="AF49" s="3" t="str">
        <f t="shared" si="19"/>
        <v>VLOW</v>
      </c>
      <c r="AG49" s="3" t="str">
        <f t="shared" si="7"/>
        <v>FEMALE DOM</v>
      </c>
      <c r="AH49" s="3" t="str">
        <f t="shared" si="20"/>
        <v>H</v>
      </c>
      <c r="AI49" s="36">
        <f t="shared" si="25"/>
        <v>12.3058542413381</v>
      </c>
      <c r="AJ49" s="35" t="str">
        <f t="shared" si="9"/>
        <v>BJP GAIN</v>
      </c>
      <c r="AK49" s="36" t="str">
        <f t="shared" si="21"/>
        <v>LOWMARGIN</v>
      </c>
    </row>
    <row r="50" spans="1:37">
      <c r="A50" s="37">
        <v>47</v>
      </c>
      <c r="B50" s="109" t="s">
        <v>82</v>
      </c>
      <c r="C50" s="37">
        <v>891</v>
      </c>
      <c r="D50" s="37">
        <v>597</v>
      </c>
      <c r="E50" s="37">
        <f t="shared" si="0"/>
        <v>67.003367003367</v>
      </c>
      <c r="F50" s="37">
        <v>268</v>
      </c>
      <c r="G50" s="37">
        <f t="shared" si="1"/>
        <v>30.0785634118967</v>
      </c>
      <c r="H50" s="37">
        <v>5</v>
      </c>
      <c r="I50" s="37">
        <f t="shared" si="2"/>
        <v>0.561167227833894</v>
      </c>
      <c r="J50" s="37">
        <v>3</v>
      </c>
      <c r="K50" s="37">
        <f t="shared" si="3"/>
        <v>0.336700336700337</v>
      </c>
      <c r="L50" s="112">
        <v>675</v>
      </c>
      <c r="M50" s="112">
        <v>729</v>
      </c>
      <c r="N50" s="112">
        <f t="shared" si="4"/>
        <v>1404</v>
      </c>
      <c r="O50" s="37">
        <v>891</v>
      </c>
      <c r="P50" s="113">
        <f t="shared" si="10"/>
        <v>63.4615384615385</v>
      </c>
      <c r="Q50" s="37">
        <v>1148</v>
      </c>
      <c r="R50" s="37">
        <f t="shared" si="11"/>
        <v>81.7663817663818</v>
      </c>
      <c r="S50" s="37">
        <f t="shared" si="5"/>
        <v>409</v>
      </c>
      <c r="T50" s="37">
        <f t="shared" si="12"/>
        <v>35.6271777003484</v>
      </c>
      <c r="U50" s="37">
        <v>739</v>
      </c>
      <c r="V50" s="117">
        <f t="shared" si="13"/>
        <v>64.3728222996516</v>
      </c>
      <c r="W50" s="37">
        <f>8+248</f>
        <v>256</v>
      </c>
      <c r="X50" s="37">
        <f t="shared" si="14"/>
        <v>18.2336182336182</v>
      </c>
      <c r="Y50" s="37">
        <f t="shared" si="22"/>
        <v>104</v>
      </c>
      <c r="Z50" s="3">
        <f t="shared" si="15"/>
        <v>40.625</v>
      </c>
      <c r="AA50" s="3">
        <f>4+148</f>
        <v>152</v>
      </c>
      <c r="AB50" s="118">
        <f t="shared" si="16"/>
        <v>59.375</v>
      </c>
      <c r="AC50" s="3">
        <f t="shared" si="23"/>
        <v>891</v>
      </c>
      <c r="AD50" s="3" t="str">
        <f t="shared" si="17"/>
        <v>AVG</v>
      </c>
      <c r="AE50" s="30" t="str">
        <f t="shared" si="18"/>
        <v>EXCELLENT</v>
      </c>
      <c r="AF50" s="3" t="str">
        <f t="shared" si="19"/>
        <v>VLOW</v>
      </c>
      <c r="AG50" s="3" t="str">
        <f t="shared" si="7"/>
        <v>FEMALE DOM</v>
      </c>
      <c r="AH50" s="3" t="str">
        <f t="shared" si="20"/>
        <v>O</v>
      </c>
      <c r="AI50" s="36">
        <f t="shared" si="25"/>
        <v>36.9248035914703</v>
      </c>
      <c r="AJ50" s="35" t="str">
        <f t="shared" si="9"/>
        <v>BJP GAIN</v>
      </c>
      <c r="AK50" s="38" t="str">
        <f t="shared" si="21"/>
        <v>MEDIUMMARGIN</v>
      </c>
    </row>
    <row r="51" spans="1:37">
      <c r="A51" s="37">
        <v>48</v>
      </c>
      <c r="B51" s="109" t="s">
        <v>83</v>
      </c>
      <c r="C51" s="37">
        <v>855</v>
      </c>
      <c r="D51" s="37">
        <v>512</v>
      </c>
      <c r="E51" s="37">
        <f t="shared" si="0"/>
        <v>59.8830409356725</v>
      </c>
      <c r="F51" s="37">
        <v>295</v>
      </c>
      <c r="G51" s="37">
        <f t="shared" si="1"/>
        <v>34.5029239766082</v>
      </c>
      <c r="H51" s="37">
        <v>1</v>
      </c>
      <c r="I51" s="37">
        <f t="shared" si="2"/>
        <v>0.116959064327485</v>
      </c>
      <c r="J51" s="37">
        <v>19</v>
      </c>
      <c r="K51" s="37">
        <f t="shared" si="3"/>
        <v>2.22222222222222</v>
      </c>
      <c r="L51" s="112">
        <v>563</v>
      </c>
      <c r="M51" s="112">
        <v>669</v>
      </c>
      <c r="N51" s="112">
        <f t="shared" si="4"/>
        <v>1232</v>
      </c>
      <c r="O51" s="37">
        <v>855</v>
      </c>
      <c r="P51" s="113">
        <f t="shared" si="10"/>
        <v>69.3993506493506</v>
      </c>
      <c r="Q51" s="37">
        <v>961</v>
      </c>
      <c r="R51" s="37">
        <f t="shared" si="11"/>
        <v>78.0032467532468</v>
      </c>
      <c r="S51" s="37">
        <f t="shared" si="5"/>
        <v>276</v>
      </c>
      <c r="T51" s="37">
        <f t="shared" si="12"/>
        <v>28.7200832466181</v>
      </c>
      <c r="U51" s="37">
        <v>685</v>
      </c>
      <c r="V51" s="117">
        <f t="shared" si="13"/>
        <v>71.2799167533819</v>
      </c>
      <c r="W51" s="37">
        <v>271</v>
      </c>
      <c r="X51" s="37">
        <f t="shared" si="14"/>
        <v>21.9967532467532</v>
      </c>
      <c r="Y51" s="37">
        <f t="shared" si="22"/>
        <v>93</v>
      </c>
      <c r="Z51" s="3">
        <f t="shared" si="15"/>
        <v>34.3173431734317</v>
      </c>
      <c r="AA51" s="3">
        <v>178</v>
      </c>
      <c r="AB51" s="118">
        <f t="shared" si="16"/>
        <v>65.6826568265683</v>
      </c>
      <c r="AC51" s="3">
        <f t="shared" si="23"/>
        <v>863</v>
      </c>
      <c r="AD51" s="3" t="str">
        <f t="shared" si="17"/>
        <v>AVG</v>
      </c>
      <c r="AE51" s="30" t="str">
        <f t="shared" si="18"/>
        <v>STRONG</v>
      </c>
      <c r="AF51" s="3" t="str">
        <f t="shared" si="19"/>
        <v>VLOW</v>
      </c>
      <c r="AG51" s="3" t="str">
        <f t="shared" si="7"/>
        <v>FEMALE DOM</v>
      </c>
      <c r="AH51" s="3" t="str">
        <f t="shared" si="20"/>
        <v>O</v>
      </c>
      <c r="AI51" s="36">
        <f t="shared" si="25"/>
        <v>25.3801169590643</v>
      </c>
      <c r="AJ51" s="35" t="str">
        <f t="shared" si="9"/>
        <v>BJP GAIN</v>
      </c>
      <c r="AK51" s="36" t="str">
        <f t="shared" si="21"/>
        <v>LOWMARGIN</v>
      </c>
    </row>
    <row r="52" spans="1:37">
      <c r="A52" s="37">
        <v>49</v>
      </c>
      <c r="B52" s="109" t="s">
        <v>84</v>
      </c>
      <c r="C52" s="37">
        <v>911</v>
      </c>
      <c r="D52" s="37">
        <v>575</v>
      </c>
      <c r="E52" s="37">
        <f t="shared" si="0"/>
        <v>63.1174533479693</v>
      </c>
      <c r="F52" s="37">
        <v>295</v>
      </c>
      <c r="G52" s="37">
        <f t="shared" si="1"/>
        <v>32.3819978046103</v>
      </c>
      <c r="H52" s="37">
        <v>4</v>
      </c>
      <c r="I52" s="37">
        <f t="shared" si="2"/>
        <v>0.439077936333699</v>
      </c>
      <c r="J52" s="37">
        <v>23</v>
      </c>
      <c r="K52" s="37">
        <f t="shared" si="3"/>
        <v>2.52469813391877</v>
      </c>
      <c r="L52" s="112">
        <v>538</v>
      </c>
      <c r="M52" s="112">
        <v>655</v>
      </c>
      <c r="N52" s="112">
        <f t="shared" si="4"/>
        <v>1193</v>
      </c>
      <c r="O52" s="37">
        <v>911</v>
      </c>
      <c r="P52" s="113">
        <f t="shared" si="10"/>
        <v>76.3621123218776</v>
      </c>
      <c r="Q52" s="37">
        <v>962</v>
      </c>
      <c r="R52" s="37">
        <f t="shared" si="11"/>
        <v>80.6370494551551</v>
      </c>
      <c r="S52" s="37">
        <f t="shared" si="5"/>
        <v>222</v>
      </c>
      <c r="T52" s="37">
        <f t="shared" si="12"/>
        <v>23.0769230769231</v>
      </c>
      <c r="U52" s="37">
        <v>740</v>
      </c>
      <c r="V52" s="117">
        <f t="shared" si="13"/>
        <v>76.9230769230769</v>
      </c>
      <c r="W52" s="37">
        <v>229</v>
      </c>
      <c r="X52" s="37">
        <f t="shared" si="14"/>
        <v>19.3629505448449</v>
      </c>
      <c r="Y52" s="119">
        <f t="shared" si="22"/>
        <v>67</v>
      </c>
      <c r="Z52" s="3">
        <f t="shared" si="15"/>
        <v>29.2576419213974</v>
      </c>
      <c r="AA52" s="3">
        <v>162</v>
      </c>
      <c r="AB52" s="118">
        <f t="shared" si="16"/>
        <v>70.7423580786026</v>
      </c>
      <c r="AC52" s="3">
        <f t="shared" si="23"/>
        <v>902</v>
      </c>
      <c r="AD52" s="3" t="str">
        <f t="shared" si="17"/>
        <v>STRONG</v>
      </c>
      <c r="AE52" s="30" t="str">
        <f t="shared" si="18"/>
        <v>EXCELLENT</v>
      </c>
      <c r="AF52" s="3" t="str">
        <f t="shared" si="19"/>
        <v>VLOW</v>
      </c>
      <c r="AG52" s="3" t="str">
        <f t="shared" si="7"/>
        <v>FEMALE DOM</v>
      </c>
      <c r="AH52" s="3" t="str">
        <f t="shared" si="20"/>
        <v>O</v>
      </c>
      <c r="AI52" s="36">
        <f t="shared" si="25"/>
        <v>30.7354555433589</v>
      </c>
      <c r="AJ52" s="35" t="str">
        <f t="shared" si="9"/>
        <v>BJP GAIN</v>
      </c>
      <c r="AK52" s="38" t="str">
        <f t="shared" si="21"/>
        <v>MEDIUMMARGIN</v>
      </c>
    </row>
    <row r="53" spans="1:37">
      <c r="A53" s="37">
        <v>50</v>
      </c>
      <c r="B53" s="109" t="s">
        <v>85</v>
      </c>
      <c r="C53" s="37">
        <v>620</v>
      </c>
      <c r="D53" s="37">
        <v>427</v>
      </c>
      <c r="E53" s="37">
        <f t="shared" si="0"/>
        <v>68.8709677419355</v>
      </c>
      <c r="F53" s="37">
        <v>177</v>
      </c>
      <c r="G53" s="37">
        <f t="shared" si="1"/>
        <v>28.5483870967742</v>
      </c>
      <c r="H53" s="37">
        <v>1</v>
      </c>
      <c r="I53" s="37">
        <f t="shared" si="2"/>
        <v>0.161290322580645</v>
      </c>
      <c r="J53" s="37">
        <v>4</v>
      </c>
      <c r="K53" s="37">
        <f t="shared" si="3"/>
        <v>0.645161290322581</v>
      </c>
      <c r="L53" s="112">
        <v>475</v>
      </c>
      <c r="M53" s="112">
        <v>468</v>
      </c>
      <c r="N53" s="112">
        <f t="shared" si="4"/>
        <v>943</v>
      </c>
      <c r="O53" s="37">
        <v>620</v>
      </c>
      <c r="P53" s="113">
        <f t="shared" si="10"/>
        <v>65.7476139978791</v>
      </c>
      <c r="Q53" s="37">
        <v>769</v>
      </c>
      <c r="R53" s="37">
        <f t="shared" si="11"/>
        <v>81.5482502651113</v>
      </c>
      <c r="S53" s="115">
        <f t="shared" si="5"/>
        <v>249</v>
      </c>
      <c r="T53" s="37">
        <f t="shared" si="12"/>
        <v>32.3797139141743</v>
      </c>
      <c r="U53" s="37">
        <v>520</v>
      </c>
      <c r="V53" s="117">
        <f t="shared" si="13"/>
        <v>67.6202860858257</v>
      </c>
      <c r="W53" s="37">
        <v>174</v>
      </c>
      <c r="X53" s="37">
        <f t="shared" si="14"/>
        <v>18.4517497348887</v>
      </c>
      <c r="Y53" s="37">
        <f t="shared" si="22"/>
        <v>74</v>
      </c>
      <c r="Z53" s="3">
        <f t="shared" si="15"/>
        <v>42.5287356321839</v>
      </c>
      <c r="AA53" s="3">
        <v>100</v>
      </c>
      <c r="AB53" s="118">
        <f t="shared" si="16"/>
        <v>57.4712643678161</v>
      </c>
      <c r="AC53" s="3">
        <f t="shared" si="23"/>
        <v>620</v>
      </c>
      <c r="AD53" s="3" t="str">
        <f t="shared" si="17"/>
        <v>AVG</v>
      </c>
      <c r="AE53" s="30" t="str">
        <f t="shared" si="18"/>
        <v>EXCELLENT</v>
      </c>
      <c r="AF53" s="3" t="str">
        <f t="shared" si="19"/>
        <v>VLOW</v>
      </c>
      <c r="AG53" s="3" t="str">
        <f t="shared" si="7"/>
        <v>MEN</v>
      </c>
      <c r="AH53" s="3" t="str">
        <f t="shared" si="20"/>
        <v>O</v>
      </c>
      <c r="AI53" s="36">
        <f t="shared" si="25"/>
        <v>40.3225806451613</v>
      </c>
      <c r="AJ53" s="35" t="str">
        <f t="shared" si="9"/>
        <v>BJP GAIN</v>
      </c>
      <c r="AK53" s="34" t="str">
        <f t="shared" si="21"/>
        <v>HIGHMARGIN</v>
      </c>
    </row>
    <row r="54" spans="1:37">
      <c r="A54" s="37">
        <v>51</v>
      </c>
      <c r="B54" s="109" t="s">
        <v>86</v>
      </c>
      <c r="C54" s="37">
        <v>736</v>
      </c>
      <c r="D54" s="37">
        <v>447</v>
      </c>
      <c r="E54" s="37">
        <f t="shared" si="0"/>
        <v>60.7336956521739</v>
      </c>
      <c r="F54" s="37">
        <v>259</v>
      </c>
      <c r="G54" s="37">
        <f t="shared" si="1"/>
        <v>35.1902173913043</v>
      </c>
      <c r="H54" s="37">
        <v>3</v>
      </c>
      <c r="I54" s="37">
        <f t="shared" si="2"/>
        <v>0.407608695652174</v>
      </c>
      <c r="J54" s="37">
        <v>15</v>
      </c>
      <c r="K54" s="37">
        <f t="shared" si="3"/>
        <v>2.03804347826087</v>
      </c>
      <c r="L54" s="112">
        <v>472</v>
      </c>
      <c r="M54" s="112">
        <v>524</v>
      </c>
      <c r="N54" s="112">
        <f t="shared" si="4"/>
        <v>996</v>
      </c>
      <c r="O54" s="37">
        <v>736</v>
      </c>
      <c r="P54" s="113">
        <f t="shared" si="10"/>
        <v>73.8955823293173</v>
      </c>
      <c r="Q54" s="37">
        <v>824</v>
      </c>
      <c r="R54" s="37">
        <f t="shared" si="11"/>
        <v>82.7309236947791</v>
      </c>
      <c r="S54" s="37">
        <f t="shared" si="5"/>
        <v>228</v>
      </c>
      <c r="T54" s="37">
        <f t="shared" si="12"/>
        <v>27.6699029126214</v>
      </c>
      <c r="U54" s="37">
        <v>596</v>
      </c>
      <c r="V54" s="117">
        <f t="shared" si="13"/>
        <v>72.3300970873786</v>
      </c>
      <c r="W54" s="37">
        <f>167+5</f>
        <v>172</v>
      </c>
      <c r="X54" s="37">
        <f t="shared" si="14"/>
        <v>17.2690763052209</v>
      </c>
      <c r="Y54" s="37">
        <f t="shared" si="22"/>
        <v>33</v>
      </c>
      <c r="Z54" s="3">
        <f t="shared" si="15"/>
        <v>19.1860465116279</v>
      </c>
      <c r="AA54" s="3">
        <v>139</v>
      </c>
      <c r="AB54" s="118">
        <f t="shared" si="16"/>
        <v>80.8139534883721</v>
      </c>
      <c r="AC54" s="3">
        <f t="shared" si="23"/>
        <v>735</v>
      </c>
      <c r="AD54" s="3" t="str">
        <f t="shared" si="17"/>
        <v>STRONG</v>
      </c>
      <c r="AE54" s="30" t="str">
        <f t="shared" si="18"/>
        <v>EXCELLENT</v>
      </c>
      <c r="AF54" s="3" t="str">
        <f t="shared" si="19"/>
        <v>VLOW</v>
      </c>
      <c r="AG54" s="3" t="str">
        <f t="shared" si="7"/>
        <v>FEMALE DOM</v>
      </c>
      <c r="AH54" s="3" t="str">
        <f t="shared" si="20"/>
        <v>H</v>
      </c>
      <c r="AI54" s="36">
        <f t="shared" si="25"/>
        <v>25.5434782608696</v>
      </c>
      <c r="AJ54" s="35" t="str">
        <f t="shared" si="9"/>
        <v>BJP GAIN</v>
      </c>
      <c r="AK54" s="36" t="str">
        <f t="shared" si="21"/>
        <v>LOWMARGIN</v>
      </c>
    </row>
    <row r="55" spans="1:37">
      <c r="A55" s="37">
        <v>52</v>
      </c>
      <c r="B55" s="109" t="s">
        <v>87</v>
      </c>
      <c r="C55" s="37">
        <v>817</v>
      </c>
      <c r="D55" s="37">
        <v>278</v>
      </c>
      <c r="E55" s="37">
        <f t="shared" si="0"/>
        <v>34.0269277845777</v>
      </c>
      <c r="F55" s="37">
        <v>501</v>
      </c>
      <c r="G55" s="37">
        <f t="shared" si="1"/>
        <v>61.3219094247246</v>
      </c>
      <c r="H55" s="37">
        <v>4</v>
      </c>
      <c r="I55" s="37">
        <f t="shared" si="2"/>
        <v>0.489596083231334</v>
      </c>
      <c r="J55" s="37">
        <v>19</v>
      </c>
      <c r="K55" s="37">
        <f t="shared" si="3"/>
        <v>2.32558139534884</v>
      </c>
      <c r="L55" s="112">
        <v>647</v>
      </c>
      <c r="M55" s="112">
        <v>734</v>
      </c>
      <c r="N55" s="112">
        <f t="shared" si="4"/>
        <v>1381</v>
      </c>
      <c r="O55" s="37">
        <v>817</v>
      </c>
      <c r="P55" s="113">
        <f t="shared" si="10"/>
        <v>59.1600289645185</v>
      </c>
      <c r="Q55" s="37">
        <v>622</v>
      </c>
      <c r="R55" s="37">
        <f t="shared" si="11"/>
        <v>45.0398262128892</v>
      </c>
      <c r="S55" s="37">
        <f t="shared" si="5"/>
        <v>622</v>
      </c>
      <c r="T55" s="37">
        <f t="shared" si="12"/>
        <v>100</v>
      </c>
      <c r="U55" s="37"/>
      <c r="V55" s="117">
        <f t="shared" si="13"/>
        <v>0</v>
      </c>
      <c r="W55" s="37">
        <v>759</v>
      </c>
      <c r="X55" s="37">
        <f t="shared" si="14"/>
        <v>54.9601737871108</v>
      </c>
      <c r="Y55" s="119">
        <f t="shared" si="22"/>
        <v>759</v>
      </c>
      <c r="Z55" s="3">
        <f t="shared" si="15"/>
        <v>100</v>
      </c>
      <c r="AA55" s="3"/>
      <c r="AB55" s="118">
        <f t="shared" si="16"/>
        <v>0</v>
      </c>
      <c r="AC55" s="3">
        <f t="shared" si="23"/>
        <v>0</v>
      </c>
      <c r="AD55" s="3" t="str">
        <f t="shared" si="17"/>
        <v>WEAK</v>
      </c>
      <c r="AE55" s="30" t="str">
        <f t="shared" si="18"/>
        <v>VLOW</v>
      </c>
      <c r="AF55" s="3" t="str">
        <f t="shared" si="19"/>
        <v>WEAK</v>
      </c>
      <c r="AG55" s="3" t="str">
        <f t="shared" si="7"/>
        <v>FEMALE DOM</v>
      </c>
      <c r="AH55" s="3" t="str">
        <f t="shared" si="20"/>
        <v>O</v>
      </c>
      <c r="AI55" s="36">
        <f>G55-E55</f>
        <v>27.2949816401469</v>
      </c>
      <c r="AJ55" s="31" t="str">
        <f t="shared" si="9"/>
        <v>CONGRESSGAIN</v>
      </c>
      <c r="AK55" s="36" t="str">
        <f t="shared" si="21"/>
        <v>LOWMARGIN</v>
      </c>
    </row>
    <row r="56" spans="1:37">
      <c r="A56" s="37">
        <v>53</v>
      </c>
      <c r="B56" s="109" t="s">
        <v>88</v>
      </c>
      <c r="C56" s="37">
        <v>660</v>
      </c>
      <c r="D56" s="37">
        <v>412</v>
      </c>
      <c r="E56" s="37">
        <f t="shared" si="0"/>
        <v>62.4242424242424</v>
      </c>
      <c r="F56" s="37">
        <v>226</v>
      </c>
      <c r="G56" s="37">
        <f t="shared" si="1"/>
        <v>34.2424242424242</v>
      </c>
      <c r="H56" s="37">
        <v>3</v>
      </c>
      <c r="I56" s="37">
        <f t="shared" si="2"/>
        <v>0.454545454545455</v>
      </c>
      <c r="J56" s="37">
        <v>10</v>
      </c>
      <c r="K56" s="37">
        <f t="shared" si="3"/>
        <v>1.51515151515152</v>
      </c>
      <c r="L56" s="112">
        <v>472</v>
      </c>
      <c r="M56" s="112">
        <v>493</v>
      </c>
      <c r="N56" s="112">
        <f t="shared" si="4"/>
        <v>965</v>
      </c>
      <c r="O56" s="37">
        <v>660</v>
      </c>
      <c r="P56" s="113">
        <f t="shared" si="10"/>
        <v>68.3937823834197</v>
      </c>
      <c r="Q56" s="37">
        <v>620</v>
      </c>
      <c r="R56" s="37">
        <f t="shared" si="11"/>
        <v>64.2487046632124</v>
      </c>
      <c r="S56" s="37">
        <f t="shared" si="5"/>
        <v>229</v>
      </c>
      <c r="T56" s="37">
        <f t="shared" si="12"/>
        <v>36.9354838709677</v>
      </c>
      <c r="U56" s="37">
        <v>391</v>
      </c>
      <c r="V56" s="117">
        <f t="shared" si="13"/>
        <v>63.0645161290323</v>
      </c>
      <c r="W56" s="37">
        <f>965-620</f>
        <v>345</v>
      </c>
      <c r="X56" s="37">
        <f t="shared" si="14"/>
        <v>35.7512953367876</v>
      </c>
      <c r="Y56" s="37">
        <f t="shared" si="22"/>
        <v>76</v>
      </c>
      <c r="Z56" s="3">
        <f t="shared" si="15"/>
        <v>22.0289855072464</v>
      </c>
      <c r="AA56" s="4">
        <f>660-391</f>
        <v>269</v>
      </c>
      <c r="AB56" s="118">
        <f t="shared" si="16"/>
        <v>77.9710144927536</v>
      </c>
      <c r="AC56" s="4">
        <f t="shared" si="23"/>
        <v>660</v>
      </c>
      <c r="AD56" s="3" t="str">
        <f t="shared" si="17"/>
        <v>AVG</v>
      </c>
      <c r="AE56" s="30" t="str">
        <f t="shared" si="18"/>
        <v>AVG</v>
      </c>
      <c r="AF56" s="3" t="str">
        <f t="shared" si="19"/>
        <v>VLOW</v>
      </c>
      <c r="AG56" s="3" t="str">
        <f t="shared" si="7"/>
        <v>FEMALE DOM</v>
      </c>
      <c r="AH56" s="3" t="str">
        <f t="shared" si="20"/>
        <v>H</v>
      </c>
      <c r="AI56" s="36">
        <f>E56-G56</f>
        <v>28.1818181818182</v>
      </c>
      <c r="AJ56" s="35" t="str">
        <f t="shared" si="9"/>
        <v>BJP GAIN</v>
      </c>
      <c r="AK56" s="36" t="str">
        <f t="shared" si="21"/>
        <v>LOWMARGIN</v>
      </c>
    </row>
    <row r="57" spans="1:37">
      <c r="A57" s="37">
        <v>54</v>
      </c>
      <c r="B57" s="109" t="s">
        <v>89</v>
      </c>
      <c r="C57" s="37">
        <v>718</v>
      </c>
      <c r="D57" s="37">
        <v>509</v>
      </c>
      <c r="E57" s="37">
        <f t="shared" si="0"/>
        <v>70.891364902507</v>
      </c>
      <c r="F57" s="37">
        <v>180</v>
      </c>
      <c r="G57" s="37">
        <f t="shared" si="1"/>
        <v>25.0696378830084</v>
      </c>
      <c r="H57" s="37">
        <v>6</v>
      </c>
      <c r="I57" s="37">
        <f t="shared" si="2"/>
        <v>0.835654596100279</v>
      </c>
      <c r="J57" s="37">
        <v>3</v>
      </c>
      <c r="K57" s="37">
        <f t="shared" si="3"/>
        <v>0.417827298050139</v>
      </c>
      <c r="L57" s="112">
        <v>480</v>
      </c>
      <c r="M57" s="112">
        <v>525</v>
      </c>
      <c r="N57" s="112">
        <f t="shared" si="4"/>
        <v>1005</v>
      </c>
      <c r="O57" s="37">
        <v>718</v>
      </c>
      <c r="P57" s="113">
        <f t="shared" si="10"/>
        <v>71.4427860696517</v>
      </c>
      <c r="Q57" s="37">
        <v>857</v>
      </c>
      <c r="R57" s="37">
        <f t="shared" si="11"/>
        <v>85.273631840796</v>
      </c>
      <c r="S57" s="115">
        <f t="shared" si="5"/>
        <v>264</v>
      </c>
      <c r="T57" s="37">
        <f t="shared" si="12"/>
        <v>30.8051341890315</v>
      </c>
      <c r="U57" s="37">
        <v>593</v>
      </c>
      <c r="V57" s="117">
        <f t="shared" si="13"/>
        <v>69.1948658109685</v>
      </c>
      <c r="W57" s="37">
        <f>1005-857</f>
        <v>148</v>
      </c>
      <c r="X57" s="37">
        <f t="shared" si="14"/>
        <v>14.726368159204</v>
      </c>
      <c r="Y57" s="37">
        <f t="shared" si="22"/>
        <v>23</v>
      </c>
      <c r="Z57" s="3">
        <f t="shared" si="15"/>
        <v>15.5405405405405</v>
      </c>
      <c r="AA57" s="3">
        <f>718-593</f>
        <v>125</v>
      </c>
      <c r="AB57" s="118">
        <f t="shared" si="16"/>
        <v>84.4594594594595</v>
      </c>
      <c r="AC57" s="3">
        <f t="shared" si="23"/>
        <v>718</v>
      </c>
      <c r="AD57" s="3" t="str">
        <f t="shared" si="17"/>
        <v>STRONG</v>
      </c>
      <c r="AE57" s="30" t="str">
        <f t="shared" si="18"/>
        <v>EXCELLENT</v>
      </c>
      <c r="AF57" s="3" t="str">
        <f t="shared" si="19"/>
        <v>VLOW</v>
      </c>
      <c r="AG57" s="3" t="str">
        <f t="shared" si="7"/>
        <v>FEMALE DOM</v>
      </c>
      <c r="AH57" s="3" t="str">
        <f t="shared" si="20"/>
        <v>H</v>
      </c>
      <c r="AI57" s="36">
        <f>E57-G57</f>
        <v>45.8217270194986</v>
      </c>
      <c r="AJ57" s="35" t="str">
        <f t="shared" si="9"/>
        <v>BJP GAIN</v>
      </c>
      <c r="AK57" s="34" t="str">
        <f t="shared" si="21"/>
        <v>HIGHMARGIN</v>
      </c>
    </row>
    <row r="58" spans="1:37">
      <c r="A58" s="37">
        <v>55</v>
      </c>
      <c r="B58" s="109" t="s">
        <v>90</v>
      </c>
      <c r="C58" s="37">
        <v>873</v>
      </c>
      <c r="D58" s="37">
        <v>589</v>
      </c>
      <c r="E58" s="37">
        <f t="shared" si="0"/>
        <v>67.4684994272623</v>
      </c>
      <c r="F58" s="37">
        <v>263</v>
      </c>
      <c r="G58" s="37">
        <f t="shared" si="1"/>
        <v>30.1260022909507</v>
      </c>
      <c r="H58" s="37">
        <v>3</v>
      </c>
      <c r="I58" s="37">
        <f t="shared" si="2"/>
        <v>0.343642611683849</v>
      </c>
      <c r="J58" s="37">
        <v>4</v>
      </c>
      <c r="K58" s="37">
        <f t="shared" si="3"/>
        <v>0.458190148911798</v>
      </c>
      <c r="L58" s="112">
        <v>602</v>
      </c>
      <c r="M58" s="112">
        <v>708</v>
      </c>
      <c r="N58" s="112">
        <f t="shared" si="4"/>
        <v>1310</v>
      </c>
      <c r="O58" s="37">
        <v>873</v>
      </c>
      <c r="P58" s="113">
        <f t="shared" si="10"/>
        <v>66.6412213740458</v>
      </c>
      <c r="Q58" s="37">
        <v>1047</v>
      </c>
      <c r="R58" s="37">
        <f t="shared" si="11"/>
        <v>79.9236641221374</v>
      </c>
      <c r="S58" s="37">
        <f t="shared" si="5"/>
        <v>379</v>
      </c>
      <c r="T58" s="37">
        <f t="shared" si="12"/>
        <v>36.1986628462273</v>
      </c>
      <c r="U58" s="37">
        <v>668</v>
      </c>
      <c r="V58" s="117">
        <f t="shared" si="13"/>
        <v>63.8013371537727</v>
      </c>
      <c r="W58" s="37">
        <v>258</v>
      </c>
      <c r="X58" s="37">
        <f t="shared" si="14"/>
        <v>20.0763358778626</v>
      </c>
      <c r="Y58" s="119">
        <f t="shared" si="22"/>
        <v>62</v>
      </c>
      <c r="Z58" s="3">
        <f t="shared" si="15"/>
        <v>24.031007751938</v>
      </c>
      <c r="AA58" s="3">
        <v>196</v>
      </c>
      <c r="AB58" s="118">
        <f t="shared" si="16"/>
        <v>75.968992248062</v>
      </c>
      <c r="AC58" s="3">
        <f t="shared" si="23"/>
        <v>864</v>
      </c>
      <c r="AD58" s="3" t="str">
        <f t="shared" si="17"/>
        <v>AVG</v>
      </c>
      <c r="AE58" s="30" t="str">
        <f t="shared" si="18"/>
        <v>STRONG</v>
      </c>
      <c r="AF58" s="3" t="str">
        <f t="shared" si="19"/>
        <v>VLOW</v>
      </c>
      <c r="AG58" s="3" t="str">
        <f t="shared" si="7"/>
        <v>FEMALE DOM</v>
      </c>
      <c r="AH58" s="3" t="str">
        <f t="shared" si="20"/>
        <v>H</v>
      </c>
      <c r="AI58" s="36">
        <f>E58-G58</f>
        <v>37.3424971363116</v>
      </c>
      <c r="AJ58" s="35" t="str">
        <f t="shared" si="9"/>
        <v>BJP GAIN</v>
      </c>
      <c r="AK58" s="38" t="str">
        <f t="shared" si="21"/>
        <v>MEDIUMMARGIN</v>
      </c>
    </row>
    <row r="59" spans="1:37">
      <c r="A59" s="37">
        <v>56</v>
      </c>
      <c r="B59" s="109" t="s">
        <v>91</v>
      </c>
      <c r="C59" s="37">
        <v>878</v>
      </c>
      <c r="D59" s="37">
        <v>393</v>
      </c>
      <c r="E59" s="37">
        <f t="shared" si="0"/>
        <v>44.7608200455581</v>
      </c>
      <c r="F59" s="37">
        <v>466</v>
      </c>
      <c r="G59" s="37">
        <f t="shared" si="1"/>
        <v>53.0751708428246</v>
      </c>
      <c r="H59" s="37">
        <v>1</v>
      </c>
      <c r="I59" s="37">
        <f t="shared" si="2"/>
        <v>0.113895216400911</v>
      </c>
      <c r="J59" s="37">
        <v>4</v>
      </c>
      <c r="K59" s="37">
        <f t="shared" si="3"/>
        <v>0.455580865603645</v>
      </c>
      <c r="L59" s="112">
        <v>637</v>
      </c>
      <c r="M59" s="112">
        <v>755</v>
      </c>
      <c r="N59" s="112">
        <f t="shared" si="4"/>
        <v>1392</v>
      </c>
      <c r="O59" s="37">
        <v>878</v>
      </c>
      <c r="P59" s="113">
        <f t="shared" si="10"/>
        <v>63.0747126436782</v>
      </c>
      <c r="Q59" s="37">
        <v>651</v>
      </c>
      <c r="R59" s="37">
        <f t="shared" si="11"/>
        <v>46.7672413793103</v>
      </c>
      <c r="S59" s="37">
        <f t="shared" si="5"/>
        <v>138</v>
      </c>
      <c r="T59" s="37">
        <f t="shared" si="12"/>
        <v>21.1981566820277</v>
      </c>
      <c r="U59" s="37">
        <v>513</v>
      </c>
      <c r="V59" s="117">
        <f t="shared" si="13"/>
        <v>78.8018433179724</v>
      </c>
      <c r="W59" s="37">
        <f>1392-651</f>
        <v>741</v>
      </c>
      <c r="X59" s="37">
        <f t="shared" si="14"/>
        <v>53.2327586206897</v>
      </c>
      <c r="Y59" s="37">
        <f t="shared" si="22"/>
        <v>376</v>
      </c>
      <c r="Z59" s="3">
        <f t="shared" si="15"/>
        <v>50.7422402159244</v>
      </c>
      <c r="AA59" s="3">
        <f>878-513</f>
        <v>365</v>
      </c>
      <c r="AB59" s="118">
        <f t="shared" si="16"/>
        <v>49.2577597840756</v>
      </c>
      <c r="AC59" s="3">
        <f t="shared" si="23"/>
        <v>878</v>
      </c>
      <c r="AD59" s="3" t="str">
        <f t="shared" si="17"/>
        <v>AVG</v>
      </c>
      <c r="AE59" s="30" t="str">
        <f t="shared" si="18"/>
        <v>VLOW</v>
      </c>
      <c r="AF59" s="3" t="str">
        <f t="shared" si="19"/>
        <v>WEAK</v>
      </c>
      <c r="AG59" s="3" t="str">
        <f t="shared" si="7"/>
        <v>FEMALE DOM</v>
      </c>
      <c r="AH59" s="3" t="str">
        <f t="shared" si="20"/>
        <v>O</v>
      </c>
      <c r="AI59" s="36">
        <f>G59-E59</f>
        <v>8.31435079726652</v>
      </c>
      <c r="AJ59" s="31" t="str">
        <f t="shared" si="9"/>
        <v>CONGRESSGAIN</v>
      </c>
      <c r="AK59" s="32" t="str">
        <f t="shared" si="21"/>
        <v>NARROWMARGIN</v>
      </c>
    </row>
    <row r="60" spans="1:37">
      <c r="A60" s="37">
        <v>57</v>
      </c>
      <c r="B60" s="109" t="s">
        <v>92</v>
      </c>
      <c r="C60" s="37">
        <v>499</v>
      </c>
      <c r="D60" s="37">
        <v>400</v>
      </c>
      <c r="E60" s="37">
        <f t="shared" si="0"/>
        <v>80.1603206412826</v>
      </c>
      <c r="F60" s="37">
        <v>86</v>
      </c>
      <c r="G60" s="37">
        <f t="shared" si="1"/>
        <v>17.2344689378758</v>
      </c>
      <c r="H60" s="37">
        <v>1</v>
      </c>
      <c r="I60" s="37">
        <f t="shared" si="2"/>
        <v>0.200400801603206</v>
      </c>
      <c r="J60" s="37">
        <v>1</v>
      </c>
      <c r="K60" s="37">
        <f t="shared" si="3"/>
        <v>0.200400801603206</v>
      </c>
      <c r="L60" s="112">
        <v>319</v>
      </c>
      <c r="M60" s="112">
        <v>347</v>
      </c>
      <c r="N60" s="112">
        <f t="shared" si="4"/>
        <v>666</v>
      </c>
      <c r="O60" s="37">
        <v>799</v>
      </c>
      <c r="P60" s="113">
        <f t="shared" si="10"/>
        <v>119.96996996997</v>
      </c>
      <c r="Q60" s="37">
        <v>910</v>
      </c>
      <c r="R60" s="37">
        <f t="shared" si="11"/>
        <v>136.636636636637</v>
      </c>
      <c r="S60" s="37">
        <f t="shared" si="5"/>
        <v>149</v>
      </c>
      <c r="T60" s="37">
        <f t="shared" si="12"/>
        <v>16.3736263736264</v>
      </c>
      <c r="U60" s="37">
        <f>683+78</f>
        <v>761</v>
      </c>
      <c r="V60" s="117">
        <f t="shared" si="13"/>
        <v>83.6263736263736</v>
      </c>
      <c r="W60" s="37">
        <v>51</v>
      </c>
      <c r="X60" s="37">
        <f t="shared" si="14"/>
        <v>-36.6366366366366</v>
      </c>
      <c r="Y60" s="37">
        <f t="shared" si="22"/>
        <v>13</v>
      </c>
      <c r="Z60" s="3">
        <f t="shared" si="15"/>
        <v>25.4901960784314</v>
      </c>
      <c r="AA60" s="3">
        <v>38</v>
      </c>
      <c r="AB60" s="118">
        <f t="shared" si="16"/>
        <v>74.5098039215686</v>
      </c>
      <c r="AC60" s="3">
        <f t="shared" si="23"/>
        <v>799</v>
      </c>
      <c r="AD60" s="3" t="str">
        <f t="shared" si="17"/>
        <v>EXCELLENT</v>
      </c>
      <c r="AE60" s="30" t="str">
        <f t="shared" si="18"/>
        <v>EXCELLENT</v>
      </c>
      <c r="AF60" s="3" t="str">
        <f t="shared" si="19"/>
        <v>VLOW</v>
      </c>
      <c r="AG60" s="3" t="str">
        <f t="shared" si="7"/>
        <v>FEMALE DOM</v>
      </c>
      <c r="AH60" s="3" t="str">
        <f t="shared" si="20"/>
        <v>O</v>
      </c>
      <c r="AI60" s="36">
        <f t="shared" ref="AI60:AI87" si="26">E60-G60</f>
        <v>62.9258517034068</v>
      </c>
      <c r="AJ60" s="35" t="str">
        <f t="shared" si="9"/>
        <v>BJP GAIN</v>
      </c>
      <c r="AK60" s="30" t="str">
        <f t="shared" si="21"/>
        <v>VERYHIGHMARGIN</v>
      </c>
    </row>
    <row r="61" spans="1:37">
      <c r="A61" s="37">
        <v>58</v>
      </c>
      <c r="B61" s="109" t="s">
        <v>93</v>
      </c>
      <c r="C61" s="37">
        <v>724</v>
      </c>
      <c r="D61" s="37">
        <v>487</v>
      </c>
      <c r="E61" s="37">
        <f t="shared" si="0"/>
        <v>67.2651933701657</v>
      </c>
      <c r="F61" s="37">
        <v>209</v>
      </c>
      <c r="G61" s="37">
        <f t="shared" si="1"/>
        <v>28.8674033149171</v>
      </c>
      <c r="H61" s="37">
        <v>1</v>
      </c>
      <c r="I61" s="37">
        <f t="shared" si="2"/>
        <v>0.138121546961326</v>
      </c>
      <c r="J61" s="37">
        <v>5</v>
      </c>
      <c r="K61" s="37">
        <f t="shared" si="3"/>
        <v>0.69060773480663</v>
      </c>
      <c r="L61" s="112">
        <v>513</v>
      </c>
      <c r="M61" s="112">
        <v>530</v>
      </c>
      <c r="N61" s="112">
        <f t="shared" si="4"/>
        <v>1043</v>
      </c>
      <c r="O61" s="37">
        <v>724</v>
      </c>
      <c r="P61" s="113">
        <f t="shared" si="10"/>
        <v>69.4151486097795</v>
      </c>
      <c r="Q61" s="37">
        <f>1043-153</f>
        <v>890</v>
      </c>
      <c r="R61" s="37">
        <f t="shared" si="11"/>
        <v>85.3307766059444</v>
      </c>
      <c r="S61" s="115">
        <f t="shared" si="5"/>
        <v>298</v>
      </c>
      <c r="T61" s="37">
        <f t="shared" si="12"/>
        <v>33.4831460674157</v>
      </c>
      <c r="U61" s="37">
        <v>592</v>
      </c>
      <c r="V61" s="117">
        <f t="shared" si="13"/>
        <v>66.5168539325843</v>
      </c>
      <c r="W61" s="37">
        <v>153</v>
      </c>
      <c r="X61" s="37">
        <f t="shared" si="14"/>
        <v>14.6692233940556</v>
      </c>
      <c r="Y61" s="119">
        <f t="shared" si="22"/>
        <v>72</v>
      </c>
      <c r="Z61" s="3">
        <f t="shared" si="15"/>
        <v>47.0588235294118</v>
      </c>
      <c r="AA61" s="3">
        <v>81</v>
      </c>
      <c r="AB61" s="118">
        <f t="shared" si="16"/>
        <v>52.9411764705882</v>
      </c>
      <c r="AC61" s="3">
        <f t="shared" si="23"/>
        <v>673</v>
      </c>
      <c r="AD61" s="3" t="str">
        <f t="shared" si="17"/>
        <v>AVG</v>
      </c>
      <c r="AE61" s="30" t="str">
        <f t="shared" si="18"/>
        <v>EXCELLENT</v>
      </c>
      <c r="AF61" s="3" t="str">
        <f t="shared" si="19"/>
        <v>VLOW</v>
      </c>
      <c r="AG61" s="3" t="str">
        <f t="shared" si="7"/>
        <v>FEMALE DOM</v>
      </c>
      <c r="AH61" s="3" t="str">
        <f t="shared" si="20"/>
        <v>O</v>
      </c>
      <c r="AI61" s="36">
        <f t="shared" si="26"/>
        <v>38.3977900552486</v>
      </c>
      <c r="AJ61" s="35" t="str">
        <f t="shared" si="9"/>
        <v>BJP GAIN</v>
      </c>
      <c r="AK61" s="38" t="str">
        <f t="shared" si="21"/>
        <v>MEDIUMMARGIN</v>
      </c>
    </row>
    <row r="62" spans="1:37">
      <c r="A62" s="37">
        <v>59</v>
      </c>
      <c r="B62" s="109" t="s">
        <v>94</v>
      </c>
      <c r="C62" s="37">
        <v>763</v>
      </c>
      <c r="D62" s="37">
        <v>476</v>
      </c>
      <c r="E62" s="37">
        <f t="shared" si="0"/>
        <v>62.3853211009174</v>
      </c>
      <c r="F62" s="37">
        <v>259</v>
      </c>
      <c r="G62" s="37">
        <f t="shared" si="1"/>
        <v>33.9449541284404</v>
      </c>
      <c r="H62" s="37">
        <v>4</v>
      </c>
      <c r="I62" s="37">
        <f t="shared" si="2"/>
        <v>0.524246395806029</v>
      </c>
      <c r="J62" s="37">
        <v>7</v>
      </c>
      <c r="K62" s="37">
        <f t="shared" si="3"/>
        <v>0.917431192660551</v>
      </c>
      <c r="L62" s="112">
        <v>521</v>
      </c>
      <c r="M62" s="112">
        <v>595</v>
      </c>
      <c r="N62" s="112">
        <f t="shared" si="4"/>
        <v>1116</v>
      </c>
      <c r="O62" s="37">
        <v>763</v>
      </c>
      <c r="P62" s="113">
        <f t="shared" si="10"/>
        <v>68.3691756272401</v>
      </c>
      <c r="Q62" s="37"/>
      <c r="R62" s="37">
        <f t="shared" si="11"/>
        <v>0</v>
      </c>
      <c r="S62" s="37">
        <f t="shared" si="5"/>
        <v>0</v>
      </c>
      <c r="T62" s="37" t="e">
        <f t="shared" si="12"/>
        <v>#DIV/0!</v>
      </c>
      <c r="U62" s="37"/>
      <c r="V62" s="117">
        <f t="shared" si="13"/>
        <v>0</v>
      </c>
      <c r="W62" s="37"/>
      <c r="X62" s="37">
        <f t="shared" si="14"/>
        <v>100</v>
      </c>
      <c r="Y62" s="37">
        <f t="shared" si="22"/>
        <v>0</v>
      </c>
      <c r="Z62" s="3" t="e">
        <f t="shared" si="15"/>
        <v>#DIV/0!</v>
      </c>
      <c r="AA62" s="3"/>
      <c r="AB62" s="118">
        <f t="shared" si="16"/>
        <v>0</v>
      </c>
      <c r="AC62" s="3">
        <f t="shared" si="23"/>
        <v>0</v>
      </c>
      <c r="AD62" s="3" t="str">
        <f t="shared" si="17"/>
        <v>AVG</v>
      </c>
      <c r="AE62" s="30" t="str">
        <f t="shared" si="18"/>
        <v>VLOW</v>
      </c>
      <c r="AF62" s="3" t="str">
        <f t="shared" si="19"/>
        <v>EXCELLENT</v>
      </c>
      <c r="AG62" s="3" t="str">
        <f t="shared" si="7"/>
        <v>FEMALE DOM</v>
      </c>
      <c r="AH62" s="3" t="e">
        <f t="shared" si="20"/>
        <v>#DIV/0!</v>
      </c>
      <c r="AI62" s="36">
        <f t="shared" si="26"/>
        <v>28.4403669724771</v>
      </c>
      <c r="AJ62" s="35" t="str">
        <f t="shared" si="9"/>
        <v>BJP GAIN</v>
      </c>
      <c r="AK62" s="36" t="str">
        <f t="shared" si="21"/>
        <v>LOWMARGIN</v>
      </c>
    </row>
    <row r="63" spans="1:37">
      <c r="A63" s="37">
        <v>60</v>
      </c>
      <c r="B63" s="109" t="s">
        <v>95</v>
      </c>
      <c r="C63" s="37">
        <v>727</v>
      </c>
      <c r="D63" s="37">
        <v>486</v>
      </c>
      <c r="E63" s="37">
        <f t="shared" si="0"/>
        <v>66.8500687757909</v>
      </c>
      <c r="F63" s="37">
        <v>203</v>
      </c>
      <c r="G63" s="37">
        <f t="shared" si="1"/>
        <v>27.9229711141678</v>
      </c>
      <c r="H63" s="37">
        <v>0</v>
      </c>
      <c r="I63" s="37">
        <f t="shared" si="2"/>
        <v>0</v>
      </c>
      <c r="J63" s="37">
        <v>5</v>
      </c>
      <c r="K63" s="37">
        <f t="shared" si="3"/>
        <v>0.687757909215956</v>
      </c>
      <c r="L63" s="112">
        <v>595</v>
      </c>
      <c r="M63" s="112">
        <v>618</v>
      </c>
      <c r="N63" s="112">
        <f t="shared" si="4"/>
        <v>1213</v>
      </c>
      <c r="O63" s="37">
        <v>727</v>
      </c>
      <c r="P63" s="113">
        <f t="shared" si="10"/>
        <v>59.9340478153339</v>
      </c>
      <c r="Q63" s="37">
        <f>1244-167</f>
        <v>1077</v>
      </c>
      <c r="R63" s="37">
        <f t="shared" si="11"/>
        <v>88.7881286067601</v>
      </c>
      <c r="S63" s="37">
        <f t="shared" si="5"/>
        <v>454</v>
      </c>
      <c r="T63" s="37">
        <f t="shared" si="12"/>
        <v>42.1541318477252</v>
      </c>
      <c r="U63" s="37">
        <v>623</v>
      </c>
      <c r="V63" s="117">
        <f t="shared" si="13"/>
        <v>57.8458681522748</v>
      </c>
      <c r="W63" s="37">
        <f>1213-1077</f>
        <v>136</v>
      </c>
      <c r="X63" s="37">
        <f t="shared" si="14"/>
        <v>11.2118713932399</v>
      </c>
      <c r="Y63" s="37">
        <f t="shared" si="22"/>
        <v>32</v>
      </c>
      <c r="Z63" s="3">
        <f t="shared" si="15"/>
        <v>23.5294117647059</v>
      </c>
      <c r="AA63" s="3">
        <f>727-623</f>
        <v>104</v>
      </c>
      <c r="AB63" s="118">
        <f t="shared" si="16"/>
        <v>76.4705882352941</v>
      </c>
      <c r="AC63" s="3">
        <f t="shared" si="23"/>
        <v>727</v>
      </c>
      <c r="AD63" s="3" t="str">
        <f t="shared" si="17"/>
        <v>WEAK</v>
      </c>
      <c r="AE63" s="30" t="str">
        <f t="shared" si="18"/>
        <v>EXCELLENT</v>
      </c>
      <c r="AF63" s="3" t="str">
        <f t="shared" si="19"/>
        <v>VLOW</v>
      </c>
      <c r="AG63" s="3" t="str">
        <f t="shared" si="7"/>
        <v>FEMALE DOM</v>
      </c>
      <c r="AH63" s="3" t="str">
        <f t="shared" si="20"/>
        <v>H</v>
      </c>
      <c r="AI63" s="36">
        <f t="shared" si="26"/>
        <v>38.9270976616231</v>
      </c>
      <c r="AJ63" s="35" t="str">
        <f t="shared" si="9"/>
        <v>BJP GAIN</v>
      </c>
      <c r="AK63" s="38" t="str">
        <f t="shared" si="21"/>
        <v>MEDIUMMARGIN</v>
      </c>
    </row>
    <row r="64" spans="1:37">
      <c r="A64" s="37">
        <v>61</v>
      </c>
      <c r="B64" s="109" t="s">
        <v>96</v>
      </c>
      <c r="C64" s="37">
        <v>858</v>
      </c>
      <c r="D64" s="37">
        <v>703</v>
      </c>
      <c r="E64" s="37">
        <f t="shared" si="0"/>
        <v>81.9347319347319</v>
      </c>
      <c r="F64" s="37">
        <v>121</v>
      </c>
      <c r="G64" s="37">
        <f t="shared" si="1"/>
        <v>14.1025641025641</v>
      </c>
      <c r="H64" s="37">
        <v>0</v>
      </c>
      <c r="I64" s="37">
        <f t="shared" si="2"/>
        <v>0</v>
      </c>
      <c r="J64" s="37">
        <v>2</v>
      </c>
      <c r="K64" s="37">
        <f t="shared" si="3"/>
        <v>0.233100233100233</v>
      </c>
      <c r="L64" s="112">
        <v>686</v>
      </c>
      <c r="M64" s="112">
        <v>702</v>
      </c>
      <c r="N64" s="112">
        <f t="shared" si="4"/>
        <v>1388</v>
      </c>
      <c r="O64" s="37">
        <v>858</v>
      </c>
      <c r="P64" s="113">
        <f t="shared" si="10"/>
        <v>61.8155619596542</v>
      </c>
      <c r="Q64" s="37">
        <v>1285</v>
      </c>
      <c r="R64" s="37">
        <f t="shared" si="11"/>
        <v>92.5792507204611</v>
      </c>
      <c r="S64" s="37">
        <f t="shared" si="5"/>
        <v>515</v>
      </c>
      <c r="T64" s="37">
        <f t="shared" si="12"/>
        <v>40.0778210116732</v>
      </c>
      <c r="U64" s="37">
        <v>770</v>
      </c>
      <c r="V64" s="117">
        <f t="shared" si="13"/>
        <v>59.9221789883268</v>
      </c>
      <c r="W64" s="37">
        <f>37+66</f>
        <v>103</v>
      </c>
      <c r="X64" s="37">
        <f t="shared" si="14"/>
        <v>7.42074927953891</v>
      </c>
      <c r="Y64" s="119">
        <f t="shared" si="22"/>
        <v>31</v>
      </c>
      <c r="Z64" s="3">
        <f t="shared" si="15"/>
        <v>30.0970873786408</v>
      </c>
      <c r="AA64" s="3">
        <v>72</v>
      </c>
      <c r="AB64" s="118">
        <f t="shared" si="16"/>
        <v>69.9029126213592</v>
      </c>
      <c r="AC64" s="3">
        <f t="shared" si="23"/>
        <v>842</v>
      </c>
      <c r="AD64" s="3" t="str">
        <f t="shared" si="17"/>
        <v>AVG</v>
      </c>
      <c r="AE64" s="30" t="str">
        <f t="shared" si="18"/>
        <v>EXCELLENT</v>
      </c>
      <c r="AF64" s="3" t="str">
        <f t="shared" si="19"/>
        <v>VLOW</v>
      </c>
      <c r="AG64" s="3" t="str">
        <f t="shared" si="7"/>
        <v>FEMALE DOM</v>
      </c>
      <c r="AH64" s="3" t="str">
        <f t="shared" si="20"/>
        <v>H</v>
      </c>
      <c r="AI64" s="36">
        <f t="shared" si="26"/>
        <v>67.8321678321678</v>
      </c>
      <c r="AJ64" s="35" t="str">
        <f t="shared" si="9"/>
        <v>BJP GAIN</v>
      </c>
      <c r="AK64" s="30" t="str">
        <f t="shared" si="21"/>
        <v>VERYHIGHMARGIN</v>
      </c>
    </row>
    <row r="65" spans="1:37">
      <c r="A65" s="37">
        <v>62</v>
      </c>
      <c r="B65" s="109" t="s">
        <v>97</v>
      </c>
      <c r="C65" s="37">
        <v>583</v>
      </c>
      <c r="D65" s="37">
        <v>386</v>
      </c>
      <c r="E65" s="37">
        <f t="shared" si="0"/>
        <v>66.2092624356775</v>
      </c>
      <c r="F65" s="37">
        <v>185</v>
      </c>
      <c r="G65" s="37">
        <f t="shared" si="1"/>
        <v>31.7324185248714</v>
      </c>
      <c r="H65" s="37">
        <v>2</v>
      </c>
      <c r="I65" s="37">
        <f t="shared" si="2"/>
        <v>0.343053173241852</v>
      </c>
      <c r="J65" s="37">
        <v>2</v>
      </c>
      <c r="K65" s="37">
        <f t="shared" si="3"/>
        <v>0.343053173241852</v>
      </c>
      <c r="L65" s="112">
        <v>436</v>
      </c>
      <c r="M65" s="112">
        <v>441</v>
      </c>
      <c r="N65" s="112">
        <f t="shared" si="4"/>
        <v>877</v>
      </c>
      <c r="O65" s="37">
        <v>583</v>
      </c>
      <c r="P65" s="113">
        <f t="shared" si="10"/>
        <v>66.4766248574686</v>
      </c>
      <c r="Q65" s="37">
        <v>761</v>
      </c>
      <c r="R65" s="37">
        <f t="shared" si="11"/>
        <v>86.7730900798176</v>
      </c>
      <c r="S65" s="115">
        <f t="shared" si="5"/>
        <v>273</v>
      </c>
      <c r="T65" s="37">
        <f t="shared" si="12"/>
        <v>35.8738501971091</v>
      </c>
      <c r="U65" s="37">
        <v>488</v>
      </c>
      <c r="V65" s="117">
        <f t="shared" si="13"/>
        <v>64.1261498028909</v>
      </c>
      <c r="W65" s="37">
        <f>877-761</f>
        <v>116</v>
      </c>
      <c r="X65" s="37">
        <f t="shared" si="14"/>
        <v>13.2269099201824</v>
      </c>
      <c r="Y65" s="37">
        <f t="shared" si="22"/>
        <v>21</v>
      </c>
      <c r="Z65" s="3">
        <f t="shared" si="15"/>
        <v>18.1034482758621</v>
      </c>
      <c r="AA65" s="3">
        <f>583-488</f>
        <v>95</v>
      </c>
      <c r="AB65" s="118">
        <f t="shared" si="16"/>
        <v>81.8965517241379</v>
      </c>
      <c r="AC65" s="3">
        <f t="shared" si="23"/>
        <v>583</v>
      </c>
      <c r="AD65" s="3" t="str">
        <f t="shared" si="17"/>
        <v>AVG</v>
      </c>
      <c r="AE65" s="30" t="str">
        <f t="shared" si="18"/>
        <v>EXCELLENT</v>
      </c>
      <c r="AF65" s="3" t="str">
        <f t="shared" si="19"/>
        <v>VLOW</v>
      </c>
      <c r="AG65" s="3" t="str">
        <f t="shared" si="7"/>
        <v>FEMALE DOM</v>
      </c>
      <c r="AH65" s="3" t="str">
        <f t="shared" si="20"/>
        <v>H</v>
      </c>
      <c r="AI65" s="36">
        <f t="shared" si="26"/>
        <v>34.4768439108062</v>
      </c>
      <c r="AJ65" s="35" t="str">
        <f t="shared" si="9"/>
        <v>BJP GAIN</v>
      </c>
      <c r="AK65" s="38" t="str">
        <f t="shared" si="21"/>
        <v>MEDIUMMARGIN</v>
      </c>
    </row>
    <row r="66" spans="1:37">
      <c r="A66" s="37">
        <v>63</v>
      </c>
      <c r="B66" s="109" t="s">
        <v>98</v>
      </c>
      <c r="C66" s="37">
        <v>962</v>
      </c>
      <c r="D66" s="37">
        <v>703</v>
      </c>
      <c r="E66" s="37">
        <f t="shared" si="0"/>
        <v>73.0769230769231</v>
      </c>
      <c r="F66" s="37">
        <v>212</v>
      </c>
      <c r="G66" s="37">
        <f t="shared" si="1"/>
        <v>22.037422037422</v>
      </c>
      <c r="H66" s="37">
        <v>2</v>
      </c>
      <c r="I66" s="37">
        <f t="shared" si="2"/>
        <v>0.207900207900208</v>
      </c>
      <c r="J66" s="37">
        <v>6</v>
      </c>
      <c r="K66" s="37">
        <f t="shared" si="3"/>
        <v>0.623700623700624</v>
      </c>
      <c r="L66" s="112">
        <v>752</v>
      </c>
      <c r="M66" s="112">
        <v>829</v>
      </c>
      <c r="N66" s="112">
        <f t="shared" si="4"/>
        <v>1581</v>
      </c>
      <c r="O66" s="37">
        <v>962</v>
      </c>
      <c r="P66" s="113">
        <f t="shared" si="10"/>
        <v>60.8475648323846</v>
      </c>
      <c r="Q66" s="37">
        <v>661</v>
      </c>
      <c r="R66" s="37">
        <f t="shared" si="11"/>
        <v>41.808981657179</v>
      </c>
      <c r="S66" s="37">
        <f t="shared" si="5"/>
        <v>295</v>
      </c>
      <c r="T66" s="37">
        <f t="shared" si="12"/>
        <v>44.6293494704992</v>
      </c>
      <c r="U66" s="37">
        <v>366</v>
      </c>
      <c r="V66" s="117">
        <f t="shared" si="13"/>
        <v>55.3706505295008</v>
      </c>
      <c r="W66" s="37">
        <v>31</v>
      </c>
      <c r="X66" s="37">
        <f t="shared" si="14"/>
        <v>58.191018342821</v>
      </c>
      <c r="Y66" s="37">
        <f t="shared" si="22"/>
        <v>10</v>
      </c>
      <c r="Z66" s="3">
        <f t="shared" si="15"/>
        <v>32.258064516129</v>
      </c>
      <c r="AA66" s="31">
        <v>21</v>
      </c>
      <c r="AB66" s="126">
        <f t="shared" si="16"/>
        <v>67.741935483871</v>
      </c>
      <c r="AC66" s="31">
        <f t="shared" si="23"/>
        <v>387</v>
      </c>
      <c r="AD66" s="3" t="str">
        <f t="shared" si="17"/>
        <v>AVG</v>
      </c>
      <c r="AE66" s="30" t="str">
        <f t="shared" si="18"/>
        <v>VLOW</v>
      </c>
      <c r="AF66" s="3" t="str">
        <f t="shared" si="19"/>
        <v>WEAK</v>
      </c>
      <c r="AG66" s="3" t="str">
        <f t="shared" si="7"/>
        <v>FEMALE DOM</v>
      </c>
      <c r="AH66" s="3" t="str">
        <f t="shared" si="20"/>
        <v>H</v>
      </c>
      <c r="AI66" s="36">
        <f t="shared" si="26"/>
        <v>51.039501039501</v>
      </c>
      <c r="AJ66" s="35" t="str">
        <f t="shared" si="9"/>
        <v>BJP GAIN</v>
      </c>
      <c r="AK66" s="30" t="str">
        <f t="shared" si="21"/>
        <v>VERYHIGHMARGIN</v>
      </c>
    </row>
    <row r="67" spans="1:37">
      <c r="A67" s="37">
        <v>64</v>
      </c>
      <c r="B67" s="109" t="s">
        <v>99</v>
      </c>
      <c r="C67" s="37">
        <v>933</v>
      </c>
      <c r="D67" s="37">
        <v>776</v>
      </c>
      <c r="E67" s="37">
        <f t="shared" si="0"/>
        <v>83.1725616291533</v>
      </c>
      <c r="F67" s="37">
        <v>123</v>
      </c>
      <c r="G67" s="37">
        <f t="shared" si="1"/>
        <v>13.1832797427653</v>
      </c>
      <c r="H67" s="37">
        <v>2</v>
      </c>
      <c r="I67" s="37">
        <f t="shared" si="2"/>
        <v>0.214362272240086</v>
      </c>
      <c r="J67" s="37">
        <v>5</v>
      </c>
      <c r="K67" s="37">
        <f t="shared" si="3"/>
        <v>0.535905680600214</v>
      </c>
      <c r="L67" s="112">
        <v>611</v>
      </c>
      <c r="M67" s="112">
        <v>664</v>
      </c>
      <c r="N67" s="112">
        <f t="shared" si="4"/>
        <v>1275</v>
      </c>
      <c r="O67" s="37">
        <v>933</v>
      </c>
      <c r="P67" s="113">
        <f t="shared" si="10"/>
        <v>73.1764705882353</v>
      </c>
      <c r="Q67" s="37">
        <v>1221</v>
      </c>
      <c r="R67" s="37">
        <f t="shared" si="11"/>
        <v>95.7647058823529</v>
      </c>
      <c r="S67" s="37">
        <f t="shared" si="5"/>
        <v>329</v>
      </c>
      <c r="T67" s="37">
        <f t="shared" si="12"/>
        <v>26.9451269451269</v>
      </c>
      <c r="U67" s="37">
        <v>892</v>
      </c>
      <c r="V67" s="117">
        <f t="shared" si="13"/>
        <v>73.0548730548731</v>
      </c>
      <c r="W67" s="37">
        <v>54</v>
      </c>
      <c r="X67" s="37">
        <f t="shared" si="14"/>
        <v>4.23529411764706</v>
      </c>
      <c r="Y67" s="119">
        <f t="shared" si="22"/>
        <v>13</v>
      </c>
      <c r="Z67" s="3">
        <f t="shared" si="15"/>
        <v>24.0740740740741</v>
      </c>
      <c r="AA67" s="3">
        <v>41</v>
      </c>
      <c r="AB67" s="118">
        <f t="shared" si="16"/>
        <v>75.9259259259259</v>
      </c>
      <c r="AC67" s="3">
        <f t="shared" si="23"/>
        <v>933</v>
      </c>
      <c r="AD67" s="3" t="str">
        <f t="shared" si="17"/>
        <v>STRONG</v>
      </c>
      <c r="AE67" s="30" t="str">
        <f t="shared" si="18"/>
        <v>EXCELLENT</v>
      </c>
      <c r="AF67" s="3" t="str">
        <f t="shared" si="19"/>
        <v>VLOW</v>
      </c>
      <c r="AG67" s="3" t="str">
        <f t="shared" si="7"/>
        <v>FEMALE DOM</v>
      </c>
      <c r="AH67" s="3" t="str">
        <f t="shared" si="20"/>
        <v>H</v>
      </c>
      <c r="AI67" s="36">
        <f t="shared" si="26"/>
        <v>69.989281886388</v>
      </c>
      <c r="AJ67" s="35" t="str">
        <f t="shared" si="9"/>
        <v>BJP GAIN</v>
      </c>
      <c r="AK67" s="30" t="str">
        <f t="shared" si="21"/>
        <v>VERYHIGHMARGIN</v>
      </c>
    </row>
    <row r="68" spans="1:37">
      <c r="A68" s="37">
        <v>65</v>
      </c>
      <c r="B68" s="109" t="s">
        <v>100</v>
      </c>
      <c r="C68" s="37">
        <v>796</v>
      </c>
      <c r="D68" s="37">
        <v>672</v>
      </c>
      <c r="E68" s="37">
        <f t="shared" ref="E68:E131" si="27">(D68/C68)*100</f>
        <v>84.4221105527638</v>
      </c>
      <c r="F68" s="37">
        <v>86</v>
      </c>
      <c r="G68" s="37">
        <f t="shared" ref="G68:G131" si="28">(F68/C68)*100</f>
        <v>10.8040201005025</v>
      </c>
      <c r="H68" s="37">
        <v>4</v>
      </c>
      <c r="I68" s="37">
        <f t="shared" ref="I68:I131" si="29">(H68/C68)*100</f>
        <v>0.50251256281407</v>
      </c>
      <c r="J68" s="37">
        <v>1</v>
      </c>
      <c r="K68" s="37">
        <f t="shared" ref="K68:K131" si="30">(J68/C68)*100</f>
        <v>0.125628140703518</v>
      </c>
      <c r="L68" s="112">
        <v>676</v>
      </c>
      <c r="M68" s="112">
        <v>698</v>
      </c>
      <c r="N68" s="112">
        <f t="shared" ref="N68:N131" si="31">L68+M68</f>
        <v>1374</v>
      </c>
      <c r="O68" s="37">
        <v>796</v>
      </c>
      <c r="P68" s="113">
        <f t="shared" si="10"/>
        <v>57.9330422125182</v>
      </c>
      <c r="Q68" s="37">
        <v>1353</v>
      </c>
      <c r="R68" s="37">
        <f t="shared" si="11"/>
        <v>98.471615720524</v>
      </c>
      <c r="S68" s="37">
        <f t="shared" ref="S68:S131" si="32">Q68-U68</f>
        <v>630</v>
      </c>
      <c r="T68" s="37">
        <f t="shared" si="12"/>
        <v>46.5631929046563</v>
      </c>
      <c r="U68" s="37">
        <v>723</v>
      </c>
      <c r="V68" s="117">
        <f t="shared" si="13"/>
        <v>53.4368070953437</v>
      </c>
      <c r="W68" s="37">
        <v>21</v>
      </c>
      <c r="X68" s="37">
        <f t="shared" si="14"/>
        <v>1.52838427947599</v>
      </c>
      <c r="Y68" s="37">
        <f t="shared" si="22"/>
        <v>4</v>
      </c>
      <c r="Z68" s="3">
        <f t="shared" si="15"/>
        <v>19.047619047619</v>
      </c>
      <c r="AA68" s="3">
        <v>17</v>
      </c>
      <c r="AB68" s="118">
        <f t="shared" si="16"/>
        <v>80.9523809523809</v>
      </c>
      <c r="AC68" s="3">
        <f t="shared" si="23"/>
        <v>740</v>
      </c>
      <c r="AD68" s="3" t="str">
        <f t="shared" si="17"/>
        <v>WEAK</v>
      </c>
      <c r="AE68" s="30" t="str">
        <f t="shared" si="18"/>
        <v>EXCELLENT</v>
      </c>
      <c r="AF68" s="3" t="str">
        <f t="shared" si="19"/>
        <v>VLOW</v>
      </c>
      <c r="AG68" s="3" t="str">
        <f t="shared" ref="AG68:AG131" si="33">IF(M68&gt;L68,"FEMALE DOM","MEN")</f>
        <v>FEMALE DOM</v>
      </c>
      <c r="AH68" s="3" t="str">
        <f t="shared" si="20"/>
        <v>H</v>
      </c>
      <c r="AI68" s="36">
        <f t="shared" si="26"/>
        <v>73.6180904522613</v>
      </c>
      <c r="AJ68" s="35" t="str">
        <f t="shared" ref="AJ68:AJ131" si="34">IF(E68&gt;G68,"BJP GAIN","CONGRESSGAIN")</f>
        <v>BJP GAIN</v>
      </c>
      <c r="AK68" s="30" t="str">
        <f t="shared" si="21"/>
        <v>VERYHIGHMARGIN</v>
      </c>
    </row>
    <row r="69" spans="1:37">
      <c r="A69" s="37">
        <v>66</v>
      </c>
      <c r="B69" s="109" t="s">
        <v>101</v>
      </c>
      <c r="C69" s="37">
        <v>981</v>
      </c>
      <c r="D69" s="37">
        <v>723</v>
      </c>
      <c r="E69" s="37">
        <f t="shared" si="27"/>
        <v>73.7003058103976</v>
      </c>
      <c r="F69" s="37">
        <v>230</v>
      </c>
      <c r="G69" s="37">
        <f t="shared" si="28"/>
        <v>23.4454638124363</v>
      </c>
      <c r="H69" s="37">
        <v>0</v>
      </c>
      <c r="I69" s="37">
        <f t="shared" si="29"/>
        <v>0</v>
      </c>
      <c r="J69" s="37">
        <v>4</v>
      </c>
      <c r="K69" s="37">
        <f t="shared" si="30"/>
        <v>0.407747196738022</v>
      </c>
      <c r="L69" s="112">
        <v>705</v>
      </c>
      <c r="M69" s="112">
        <v>769</v>
      </c>
      <c r="N69" s="112">
        <f t="shared" si="31"/>
        <v>1474</v>
      </c>
      <c r="O69" s="37">
        <v>981</v>
      </c>
      <c r="P69" s="113">
        <f t="shared" ref="P69:P132" si="35">O69/N69*100</f>
        <v>66.5535956580733</v>
      </c>
      <c r="Q69" s="37">
        <v>1270</v>
      </c>
      <c r="R69" s="37">
        <f t="shared" ref="R69:R132" si="36">(Q69/N69)*100</f>
        <v>86.1601085481682</v>
      </c>
      <c r="S69" s="115">
        <f t="shared" si="32"/>
        <v>431</v>
      </c>
      <c r="T69" s="37">
        <f t="shared" ref="T69:T132" si="37">(S69/Q69)*100</f>
        <v>33.9370078740157</v>
      </c>
      <c r="U69" s="37">
        <v>839</v>
      </c>
      <c r="V69" s="117">
        <f t="shared" ref="V69:V132" si="38">IFERROR(U69/Q69*100,0)</f>
        <v>66.0629921259843</v>
      </c>
      <c r="W69" s="37">
        <v>204</v>
      </c>
      <c r="X69" s="37">
        <f t="shared" ref="X69:X132" si="39">100-R69</f>
        <v>13.8398914518318</v>
      </c>
      <c r="Y69" s="37">
        <f t="shared" si="22"/>
        <v>74</v>
      </c>
      <c r="Z69" s="3">
        <f t="shared" ref="Z69:Z132" si="40">(Y69/W69)*100</f>
        <v>36.2745098039216</v>
      </c>
      <c r="AA69" s="3">
        <v>130</v>
      </c>
      <c r="AB69" s="118">
        <f t="shared" ref="AB69:AB132" si="41">IFERROR(AA69/W69*100,0)</f>
        <v>63.7254901960784</v>
      </c>
      <c r="AC69" s="3">
        <f t="shared" si="23"/>
        <v>969</v>
      </c>
      <c r="AD69" s="3" t="str">
        <f t="shared" ref="AD69:AD132" si="42">IF(P69&gt;80,"EXCELLENT",IF(P69&gt;70,"STRONG",IF(P69&gt;60,"AVG",IF(P69&gt;50,"WEAK",IF(P69&lt;50,"VLOW")))))</f>
        <v>AVG</v>
      </c>
      <c r="AE69" s="30" t="str">
        <f t="shared" ref="AE69:AE132" si="43">IF(R69&gt;80,"EXCELLENT",IF(R69&gt;70,"STRONG",IF(R69&gt;60,"AVG",IF(R69&gt;50,"WEAK",IF(R69&lt;50,"VLOW")))))</f>
        <v>EXCELLENT</v>
      </c>
      <c r="AF69" s="3" t="str">
        <f t="shared" ref="AF69:AF132" si="44">IF(X69&gt;80,"EXCELLENT",IF(X69&gt;70,"STRONG",IF(X69&gt;60,"AVG",IF(X69&gt;50,"WEAK",IF(X69&lt;50,"VLOW")))))</f>
        <v>VLOW</v>
      </c>
      <c r="AG69" s="3" t="str">
        <f t="shared" si="33"/>
        <v>FEMALE DOM</v>
      </c>
      <c r="AH69" s="3" t="str">
        <f t="shared" ref="AH69:AH132" si="45">IF(T69&gt;Z69,"H","O")</f>
        <v>O</v>
      </c>
      <c r="AI69" s="36">
        <f t="shared" si="26"/>
        <v>50.2548419979613</v>
      </c>
      <c r="AJ69" s="35" t="str">
        <f t="shared" si="34"/>
        <v>BJP GAIN</v>
      </c>
      <c r="AK69" s="30" t="str">
        <f t="shared" ref="AK69:AK132" si="46">IF(AI69&gt;=50,"VERYHIGHMARGIN",IF(AI69&gt;=40,"HIGHMARGIN",IF(AI69&gt;=30,"MEDIUMMARGIN",IF(AI69&gt;10,"LOWMARGIN",IF(AI69&gt;=1,"NARROWMARGIN")))))</f>
        <v>VERYHIGHMARGIN</v>
      </c>
    </row>
    <row r="70" spans="1:37">
      <c r="A70" s="37">
        <v>67</v>
      </c>
      <c r="B70" s="109" t="s">
        <v>102</v>
      </c>
      <c r="C70" s="37">
        <v>812</v>
      </c>
      <c r="D70" s="37">
        <v>682</v>
      </c>
      <c r="E70" s="37">
        <f t="shared" si="27"/>
        <v>83.9901477832512</v>
      </c>
      <c r="F70" s="37">
        <v>98</v>
      </c>
      <c r="G70" s="37">
        <f t="shared" si="28"/>
        <v>12.0689655172414</v>
      </c>
      <c r="H70" s="37">
        <v>1</v>
      </c>
      <c r="I70" s="37">
        <f t="shared" si="29"/>
        <v>0.123152709359606</v>
      </c>
      <c r="J70" s="37">
        <v>3</v>
      </c>
      <c r="K70" s="37">
        <f t="shared" si="30"/>
        <v>0.369458128078818</v>
      </c>
      <c r="L70" s="112">
        <v>632</v>
      </c>
      <c r="M70" s="112">
        <v>597</v>
      </c>
      <c r="N70" s="112">
        <f t="shared" si="31"/>
        <v>1229</v>
      </c>
      <c r="O70" s="37">
        <v>812</v>
      </c>
      <c r="P70" s="113">
        <f t="shared" si="35"/>
        <v>66.0699755899105</v>
      </c>
      <c r="Q70" s="37">
        <v>1218</v>
      </c>
      <c r="R70" s="37">
        <f t="shared" si="36"/>
        <v>99.1049633848657</v>
      </c>
      <c r="S70" s="115">
        <f t="shared" si="32"/>
        <v>424</v>
      </c>
      <c r="T70" s="37">
        <f t="shared" si="37"/>
        <v>34.8111658456486</v>
      </c>
      <c r="U70" s="37">
        <v>794</v>
      </c>
      <c r="V70" s="117">
        <f t="shared" si="38"/>
        <v>65.1888341543514</v>
      </c>
      <c r="W70" s="37">
        <v>11</v>
      </c>
      <c r="X70" s="37">
        <f t="shared" si="39"/>
        <v>0.895036615134259</v>
      </c>
      <c r="Y70" s="119">
        <f t="shared" ref="Y70:Y133" si="47">W70-AA70</f>
        <v>1</v>
      </c>
      <c r="Z70" s="3">
        <f t="shared" si="40"/>
        <v>9.09090909090909</v>
      </c>
      <c r="AA70" s="3">
        <v>10</v>
      </c>
      <c r="AB70" s="118">
        <f t="shared" si="41"/>
        <v>90.9090909090909</v>
      </c>
      <c r="AC70" s="3">
        <f t="shared" si="23"/>
        <v>804</v>
      </c>
      <c r="AD70" s="3" t="str">
        <f t="shared" si="42"/>
        <v>AVG</v>
      </c>
      <c r="AE70" s="30" t="str">
        <f t="shared" si="43"/>
        <v>EXCELLENT</v>
      </c>
      <c r="AF70" s="3" t="str">
        <f t="shared" si="44"/>
        <v>VLOW</v>
      </c>
      <c r="AG70" s="3" t="str">
        <f t="shared" si="33"/>
        <v>MEN</v>
      </c>
      <c r="AH70" s="3" t="str">
        <f t="shared" si="45"/>
        <v>H</v>
      </c>
      <c r="AI70" s="36">
        <f t="shared" si="26"/>
        <v>71.9211822660099</v>
      </c>
      <c r="AJ70" s="35" t="str">
        <f t="shared" si="34"/>
        <v>BJP GAIN</v>
      </c>
      <c r="AK70" s="30" t="str">
        <f t="shared" si="46"/>
        <v>VERYHIGHMARGIN</v>
      </c>
    </row>
    <row r="71" spans="1:37">
      <c r="A71" s="37">
        <v>68</v>
      </c>
      <c r="B71" s="109" t="s">
        <v>103</v>
      </c>
      <c r="C71" s="37">
        <v>875</v>
      </c>
      <c r="D71" s="37">
        <v>707</v>
      </c>
      <c r="E71" s="37">
        <f t="shared" si="27"/>
        <v>80.8</v>
      </c>
      <c r="F71" s="37">
        <v>134</v>
      </c>
      <c r="G71" s="37">
        <f t="shared" si="28"/>
        <v>15.3142857142857</v>
      </c>
      <c r="H71" s="37">
        <v>3</v>
      </c>
      <c r="I71" s="37">
        <f t="shared" si="29"/>
        <v>0.342857142857143</v>
      </c>
      <c r="J71" s="37">
        <v>4</v>
      </c>
      <c r="K71" s="37">
        <f t="shared" si="30"/>
        <v>0.457142857142857</v>
      </c>
      <c r="L71" s="112">
        <v>686</v>
      </c>
      <c r="M71" s="112">
        <v>685</v>
      </c>
      <c r="N71" s="112">
        <f t="shared" si="31"/>
        <v>1371</v>
      </c>
      <c r="O71" s="37">
        <v>875</v>
      </c>
      <c r="P71" s="113">
        <f t="shared" si="35"/>
        <v>63.8220277169949</v>
      </c>
      <c r="Q71" s="37">
        <v>1353</v>
      </c>
      <c r="R71" s="37">
        <f t="shared" si="36"/>
        <v>98.6870897155361</v>
      </c>
      <c r="S71" s="37">
        <f t="shared" si="32"/>
        <v>489</v>
      </c>
      <c r="T71" s="37">
        <f t="shared" si="37"/>
        <v>36.1419068736142</v>
      </c>
      <c r="U71" s="37">
        <v>864</v>
      </c>
      <c r="V71" s="117">
        <f t="shared" si="38"/>
        <v>63.8580931263858</v>
      </c>
      <c r="W71" s="37">
        <v>18</v>
      </c>
      <c r="X71" s="37">
        <f t="shared" si="39"/>
        <v>1.3129102844639</v>
      </c>
      <c r="Y71" s="37">
        <f t="shared" si="47"/>
        <v>7</v>
      </c>
      <c r="Z71" s="3">
        <f t="shared" si="40"/>
        <v>38.8888888888889</v>
      </c>
      <c r="AA71" s="3">
        <v>11</v>
      </c>
      <c r="AB71" s="118">
        <f t="shared" si="41"/>
        <v>61.1111111111111</v>
      </c>
      <c r="AC71" s="3">
        <f t="shared" si="23"/>
        <v>875</v>
      </c>
      <c r="AD71" s="3" t="str">
        <f t="shared" si="42"/>
        <v>AVG</v>
      </c>
      <c r="AE71" s="30" t="str">
        <f t="shared" si="43"/>
        <v>EXCELLENT</v>
      </c>
      <c r="AF71" s="3" t="str">
        <f t="shared" si="44"/>
        <v>VLOW</v>
      </c>
      <c r="AG71" s="3" t="str">
        <f t="shared" si="33"/>
        <v>MEN</v>
      </c>
      <c r="AH71" s="3" t="str">
        <f t="shared" si="45"/>
        <v>O</v>
      </c>
      <c r="AI71" s="36">
        <f t="shared" si="26"/>
        <v>65.4857142857143</v>
      </c>
      <c r="AJ71" s="35" t="str">
        <f t="shared" si="34"/>
        <v>BJP GAIN</v>
      </c>
      <c r="AK71" s="30" t="str">
        <f t="shared" si="46"/>
        <v>VERYHIGHMARGIN</v>
      </c>
    </row>
    <row r="72" spans="1:37">
      <c r="A72" s="37">
        <v>69</v>
      </c>
      <c r="B72" s="109" t="s">
        <v>104</v>
      </c>
      <c r="C72" s="37">
        <v>667</v>
      </c>
      <c r="D72" s="37">
        <v>492</v>
      </c>
      <c r="E72" s="37">
        <f t="shared" si="27"/>
        <v>73.7631184407796</v>
      </c>
      <c r="F72" s="37">
        <v>144</v>
      </c>
      <c r="G72" s="37">
        <f t="shared" si="28"/>
        <v>21.5892053973013</v>
      </c>
      <c r="H72" s="37">
        <v>2</v>
      </c>
      <c r="I72" s="37">
        <f t="shared" si="29"/>
        <v>0.299850074962519</v>
      </c>
      <c r="J72" s="37">
        <v>12</v>
      </c>
      <c r="K72" s="37">
        <f t="shared" si="30"/>
        <v>1.79910044977511</v>
      </c>
      <c r="L72" s="112">
        <v>472</v>
      </c>
      <c r="M72" s="112">
        <v>466</v>
      </c>
      <c r="N72" s="112">
        <f t="shared" si="31"/>
        <v>938</v>
      </c>
      <c r="O72" s="37">
        <v>667</v>
      </c>
      <c r="P72" s="113">
        <f t="shared" si="35"/>
        <v>71.1087420042644</v>
      </c>
      <c r="Q72" s="37">
        <v>837</v>
      </c>
      <c r="R72" s="37">
        <f t="shared" si="36"/>
        <v>89.2324093816631</v>
      </c>
      <c r="S72" s="37">
        <f t="shared" si="32"/>
        <v>251</v>
      </c>
      <c r="T72" s="37">
        <f t="shared" si="37"/>
        <v>29.9880525686977</v>
      </c>
      <c r="U72" s="37">
        <v>586</v>
      </c>
      <c r="V72" s="117">
        <f t="shared" si="38"/>
        <v>70.0119474313023</v>
      </c>
      <c r="W72" s="37">
        <f>25+76</f>
        <v>101</v>
      </c>
      <c r="X72" s="37">
        <f t="shared" si="39"/>
        <v>10.7675906183369</v>
      </c>
      <c r="Y72" s="37">
        <f t="shared" si="47"/>
        <v>28</v>
      </c>
      <c r="Z72" s="3">
        <f t="shared" si="40"/>
        <v>27.7227722772277</v>
      </c>
      <c r="AA72" s="3">
        <v>73</v>
      </c>
      <c r="AB72" s="118">
        <f t="shared" si="41"/>
        <v>72.2772277227723</v>
      </c>
      <c r="AC72" s="3">
        <f t="shared" si="23"/>
        <v>659</v>
      </c>
      <c r="AD72" s="3" t="str">
        <f t="shared" si="42"/>
        <v>STRONG</v>
      </c>
      <c r="AE72" s="30" t="str">
        <f t="shared" si="43"/>
        <v>EXCELLENT</v>
      </c>
      <c r="AF72" s="3" t="str">
        <f t="shared" si="44"/>
        <v>VLOW</v>
      </c>
      <c r="AG72" s="3" t="str">
        <f t="shared" si="33"/>
        <v>MEN</v>
      </c>
      <c r="AH72" s="3" t="str">
        <f t="shared" si="45"/>
        <v>H</v>
      </c>
      <c r="AI72" s="36">
        <f t="shared" si="26"/>
        <v>52.1739130434783</v>
      </c>
      <c r="AJ72" s="35" t="str">
        <f t="shared" si="34"/>
        <v>BJP GAIN</v>
      </c>
      <c r="AK72" s="30" t="str">
        <f t="shared" si="46"/>
        <v>VERYHIGHMARGIN</v>
      </c>
    </row>
    <row r="73" spans="1:37">
      <c r="A73" s="37">
        <v>70</v>
      </c>
      <c r="B73" s="109" t="s">
        <v>105</v>
      </c>
      <c r="C73" s="37">
        <v>848</v>
      </c>
      <c r="D73" s="37">
        <v>676</v>
      </c>
      <c r="E73" s="37">
        <f t="shared" si="27"/>
        <v>79.7169811320755</v>
      </c>
      <c r="F73" s="37">
        <v>137</v>
      </c>
      <c r="G73" s="37">
        <f t="shared" si="28"/>
        <v>16.1556603773585</v>
      </c>
      <c r="H73" s="37">
        <v>2</v>
      </c>
      <c r="I73" s="37">
        <f t="shared" si="29"/>
        <v>0.235849056603774</v>
      </c>
      <c r="J73" s="37">
        <v>6</v>
      </c>
      <c r="K73" s="37">
        <f t="shared" si="30"/>
        <v>0.707547169811321</v>
      </c>
      <c r="L73" s="112">
        <v>626</v>
      </c>
      <c r="M73" s="112">
        <v>629</v>
      </c>
      <c r="N73" s="112">
        <f t="shared" si="31"/>
        <v>1255</v>
      </c>
      <c r="O73" s="37">
        <v>848</v>
      </c>
      <c r="P73" s="113">
        <f t="shared" si="35"/>
        <v>67.5697211155378</v>
      </c>
      <c r="Q73" s="37">
        <v>1234</v>
      </c>
      <c r="R73" s="37">
        <f t="shared" si="36"/>
        <v>98.3266932270916</v>
      </c>
      <c r="S73" s="37">
        <f t="shared" si="32"/>
        <v>401</v>
      </c>
      <c r="T73" s="37">
        <f t="shared" si="37"/>
        <v>32.4959481361426</v>
      </c>
      <c r="U73" s="37">
        <f>849-16</f>
        <v>833</v>
      </c>
      <c r="V73" s="117">
        <f t="shared" si="38"/>
        <v>67.5040518638574</v>
      </c>
      <c r="W73" s="37">
        <v>21</v>
      </c>
      <c r="X73" s="37">
        <f t="shared" si="39"/>
        <v>1.67330677290836</v>
      </c>
      <c r="Y73" s="119">
        <f t="shared" si="47"/>
        <v>6</v>
      </c>
      <c r="Z73" s="3">
        <f t="shared" si="40"/>
        <v>28.5714285714286</v>
      </c>
      <c r="AA73" s="3">
        <v>15</v>
      </c>
      <c r="AB73" s="118">
        <f t="shared" si="41"/>
        <v>71.4285714285714</v>
      </c>
      <c r="AC73" s="3">
        <f t="shared" si="23"/>
        <v>848</v>
      </c>
      <c r="AD73" s="3" t="str">
        <f t="shared" si="42"/>
        <v>AVG</v>
      </c>
      <c r="AE73" s="30" t="str">
        <f t="shared" si="43"/>
        <v>EXCELLENT</v>
      </c>
      <c r="AF73" s="3" t="str">
        <f t="shared" si="44"/>
        <v>VLOW</v>
      </c>
      <c r="AG73" s="3" t="str">
        <f t="shared" si="33"/>
        <v>FEMALE DOM</v>
      </c>
      <c r="AH73" s="3" t="str">
        <f t="shared" si="45"/>
        <v>H</v>
      </c>
      <c r="AI73" s="36">
        <f t="shared" si="26"/>
        <v>63.561320754717</v>
      </c>
      <c r="AJ73" s="35" t="str">
        <f t="shared" si="34"/>
        <v>BJP GAIN</v>
      </c>
      <c r="AK73" s="30" t="str">
        <f t="shared" si="46"/>
        <v>VERYHIGHMARGIN</v>
      </c>
    </row>
    <row r="74" spans="1:37">
      <c r="A74" s="37">
        <v>71</v>
      </c>
      <c r="B74" s="109" t="s">
        <v>106</v>
      </c>
      <c r="C74" s="37">
        <v>1036</v>
      </c>
      <c r="D74" s="37">
        <v>674</v>
      </c>
      <c r="E74" s="37">
        <f t="shared" si="27"/>
        <v>65.0579150579151</v>
      </c>
      <c r="F74" s="37">
        <v>330</v>
      </c>
      <c r="G74" s="37">
        <f t="shared" si="28"/>
        <v>31.8532818532818</v>
      </c>
      <c r="H74" s="37">
        <v>3</v>
      </c>
      <c r="I74" s="37">
        <f t="shared" si="29"/>
        <v>0.28957528957529</v>
      </c>
      <c r="J74" s="37">
        <v>6</v>
      </c>
      <c r="K74" s="37">
        <f t="shared" si="30"/>
        <v>0.579150579150579</v>
      </c>
      <c r="L74" s="112">
        <v>697</v>
      </c>
      <c r="M74" s="112">
        <v>750</v>
      </c>
      <c r="N74" s="112">
        <f t="shared" si="31"/>
        <v>1447</v>
      </c>
      <c r="O74" s="37">
        <v>1036</v>
      </c>
      <c r="P74" s="113">
        <f t="shared" si="35"/>
        <v>71.596406357982</v>
      </c>
      <c r="Q74" s="37">
        <v>1214</v>
      </c>
      <c r="R74" s="37">
        <f t="shared" si="36"/>
        <v>83.8977194194886</v>
      </c>
      <c r="S74" s="115">
        <f t="shared" si="32"/>
        <v>326</v>
      </c>
      <c r="T74" s="37">
        <f t="shared" si="37"/>
        <v>26.8533772652389</v>
      </c>
      <c r="U74" s="37">
        <v>888</v>
      </c>
      <c r="V74" s="117">
        <f t="shared" si="38"/>
        <v>73.1466227347611</v>
      </c>
      <c r="W74" s="37">
        <v>223</v>
      </c>
      <c r="X74" s="37">
        <f t="shared" si="39"/>
        <v>16.1022805805114</v>
      </c>
      <c r="Y74" s="37">
        <f t="shared" si="47"/>
        <v>75</v>
      </c>
      <c r="Z74" s="3">
        <f t="shared" si="40"/>
        <v>33.6322869955157</v>
      </c>
      <c r="AA74" s="3">
        <v>148</v>
      </c>
      <c r="AB74" s="118">
        <f t="shared" si="41"/>
        <v>66.3677130044843</v>
      </c>
      <c r="AC74" s="3">
        <f t="shared" si="23"/>
        <v>1036</v>
      </c>
      <c r="AD74" s="3" t="str">
        <f t="shared" si="42"/>
        <v>STRONG</v>
      </c>
      <c r="AE74" s="30" t="str">
        <f t="shared" si="43"/>
        <v>EXCELLENT</v>
      </c>
      <c r="AF74" s="3" t="str">
        <f t="shared" si="44"/>
        <v>VLOW</v>
      </c>
      <c r="AG74" s="3" t="str">
        <f t="shared" si="33"/>
        <v>FEMALE DOM</v>
      </c>
      <c r="AH74" s="3" t="str">
        <f t="shared" si="45"/>
        <v>O</v>
      </c>
      <c r="AI74" s="36">
        <f t="shared" si="26"/>
        <v>33.2046332046332</v>
      </c>
      <c r="AJ74" s="35" t="str">
        <f t="shared" si="34"/>
        <v>BJP GAIN</v>
      </c>
      <c r="AK74" s="38" t="str">
        <f t="shared" si="46"/>
        <v>MEDIUMMARGIN</v>
      </c>
    </row>
    <row r="75" spans="1:37">
      <c r="A75" s="37">
        <v>72</v>
      </c>
      <c r="B75" s="109" t="s">
        <v>107</v>
      </c>
      <c r="C75" s="37">
        <v>1143</v>
      </c>
      <c r="D75" s="37">
        <v>837</v>
      </c>
      <c r="E75" s="37">
        <f t="shared" si="27"/>
        <v>73.2283464566929</v>
      </c>
      <c r="F75" s="37">
        <v>270</v>
      </c>
      <c r="G75" s="37">
        <f t="shared" si="28"/>
        <v>23.6220472440945</v>
      </c>
      <c r="H75" s="37">
        <v>4</v>
      </c>
      <c r="I75" s="37">
        <f t="shared" si="29"/>
        <v>0.349956255468067</v>
      </c>
      <c r="J75" s="37">
        <v>1</v>
      </c>
      <c r="K75" s="37">
        <f t="shared" si="30"/>
        <v>0.0874890638670166</v>
      </c>
      <c r="L75" s="112">
        <v>799</v>
      </c>
      <c r="M75" s="112">
        <v>789</v>
      </c>
      <c r="N75" s="112">
        <f t="shared" si="31"/>
        <v>1588</v>
      </c>
      <c r="O75" s="37">
        <v>1434</v>
      </c>
      <c r="P75" s="113">
        <f t="shared" si="35"/>
        <v>90.3022670025189</v>
      </c>
      <c r="Q75" s="37">
        <v>1439</v>
      </c>
      <c r="R75" s="37">
        <f t="shared" si="36"/>
        <v>90.6171284634761</v>
      </c>
      <c r="S75" s="37">
        <f t="shared" si="32"/>
        <v>589</v>
      </c>
      <c r="T75" s="37">
        <f t="shared" si="37"/>
        <v>40.9312022237665</v>
      </c>
      <c r="U75" s="37">
        <v>850</v>
      </c>
      <c r="V75" s="117">
        <f t="shared" si="38"/>
        <v>59.0687977762335</v>
      </c>
      <c r="W75" s="37">
        <v>115</v>
      </c>
      <c r="X75" s="37">
        <f t="shared" si="39"/>
        <v>9.38287153652394</v>
      </c>
      <c r="Y75" s="37">
        <f t="shared" si="47"/>
        <v>79</v>
      </c>
      <c r="Z75" s="3">
        <f t="shared" si="40"/>
        <v>68.695652173913</v>
      </c>
      <c r="AA75" s="3">
        <v>36</v>
      </c>
      <c r="AB75" s="118">
        <f t="shared" si="41"/>
        <v>31.304347826087</v>
      </c>
      <c r="AC75" s="3">
        <f t="shared" si="23"/>
        <v>886</v>
      </c>
      <c r="AD75" s="3" t="str">
        <f t="shared" si="42"/>
        <v>EXCELLENT</v>
      </c>
      <c r="AE75" s="30" t="str">
        <f t="shared" si="43"/>
        <v>EXCELLENT</v>
      </c>
      <c r="AF75" s="3" t="str">
        <f t="shared" si="44"/>
        <v>VLOW</v>
      </c>
      <c r="AG75" s="3" t="str">
        <f t="shared" si="33"/>
        <v>MEN</v>
      </c>
      <c r="AH75" s="3" t="str">
        <f t="shared" si="45"/>
        <v>O</v>
      </c>
      <c r="AI75" s="36">
        <f t="shared" si="26"/>
        <v>49.6062992125984</v>
      </c>
      <c r="AJ75" s="35" t="str">
        <f t="shared" si="34"/>
        <v>BJP GAIN</v>
      </c>
      <c r="AK75" s="34" t="str">
        <f t="shared" si="46"/>
        <v>HIGHMARGIN</v>
      </c>
    </row>
    <row r="76" spans="1:37">
      <c r="A76" s="37">
        <v>73</v>
      </c>
      <c r="B76" s="109" t="s">
        <v>108</v>
      </c>
      <c r="C76" s="37">
        <v>710</v>
      </c>
      <c r="D76" s="37">
        <v>535</v>
      </c>
      <c r="E76" s="37">
        <f t="shared" si="27"/>
        <v>75.3521126760563</v>
      </c>
      <c r="F76" s="37">
        <v>137</v>
      </c>
      <c r="G76" s="37">
        <f t="shared" si="28"/>
        <v>19.2957746478873</v>
      </c>
      <c r="H76" s="37">
        <v>0</v>
      </c>
      <c r="I76" s="37">
        <f t="shared" si="29"/>
        <v>0</v>
      </c>
      <c r="J76" s="37">
        <v>1</v>
      </c>
      <c r="K76" s="37">
        <f t="shared" si="30"/>
        <v>0.140845070422535</v>
      </c>
      <c r="L76" s="112">
        <v>532</v>
      </c>
      <c r="M76" s="112">
        <v>580</v>
      </c>
      <c r="N76" s="112">
        <f t="shared" si="31"/>
        <v>1112</v>
      </c>
      <c r="O76" s="37">
        <v>710</v>
      </c>
      <c r="P76" s="113">
        <f t="shared" si="35"/>
        <v>63.8489208633094</v>
      </c>
      <c r="Q76" s="37">
        <v>983</v>
      </c>
      <c r="R76" s="37">
        <f t="shared" si="36"/>
        <v>88.3992805755396</v>
      </c>
      <c r="S76" s="37">
        <f t="shared" si="32"/>
        <v>351</v>
      </c>
      <c r="T76" s="37">
        <f t="shared" si="37"/>
        <v>35.707019328586</v>
      </c>
      <c r="U76" s="37">
        <v>632</v>
      </c>
      <c r="V76" s="117">
        <f t="shared" si="38"/>
        <v>64.292980671414</v>
      </c>
      <c r="W76" s="37">
        <v>114</v>
      </c>
      <c r="X76" s="37">
        <f t="shared" si="39"/>
        <v>11.6007194244604</v>
      </c>
      <c r="Y76" s="119">
        <f t="shared" si="47"/>
        <v>36</v>
      </c>
      <c r="Z76" s="3">
        <f t="shared" si="40"/>
        <v>31.5789473684211</v>
      </c>
      <c r="AA76" s="3">
        <v>78</v>
      </c>
      <c r="AB76" s="118">
        <f t="shared" si="41"/>
        <v>68.4210526315789</v>
      </c>
      <c r="AC76" s="3">
        <f t="shared" si="23"/>
        <v>710</v>
      </c>
      <c r="AD76" s="3" t="str">
        <f t="shared" si="42"/>
        <v>AVG</v>
      </c>
      <c r="AE76" s="30" t="str">
        <f t="shared" si="43"/>
        <v>EXCELLENT</v>
      </c>
      <c r="AF76" s="3" t="str">
        <f t="shared" si="44"/>
        <v>VLOW</v>
      </c>
      <c r="AG76" s="3" t="str">
        <f t="shared" si="33"/>
        <v>FEMALE DOM</v>
      </c>
      <c r="AH76" s="3" t="str">
        <f t="shared" si="45"/>
        <v>H</v>
      </c>
      <c r="AI76" s="36">
        <f t="shared" si="26"/>
        <v>56.056338028169</v>
      </c>
      <c r="AJ76" s="35" t="str">
        <f t="shared" si="34"/>
        <v>BJP GAIN</v>
      </c>
      <c r="AK76" s="30" t="str">
        <f t="shared" si="46"/>
        <v>VERYHIGHMARGIN</v>
      </c>
    </row>
    <row r="77" spans="1:37">
      <c r="A77" s="37">
        <v>74</v>
      </c>
      <c r="B77" s="109" t="s">
        <v>109</v>
      </c>
      <c r="C77" s="37">
        <v>947</v>
      </c>
      <c r="D77" s="37">
        <v>692</v>
      </c>
      <c r="E77" s="37">
        <f t="shared" si="27"/>
        <v>73.0728616684266</v>
      </c>
      <c r="F77" s="37">
        <v>215</v>
      </c>
      <c r="G77" s="37">
        <f t="shared" si="28"/>
        <v>22.7032734952482</v>
      </c>
      <c r="H77" s="37">
        <v>2</v>
      </c>
      <c r="I77" s="37">
        <f t="shared" si="29"/>
        <v>0.211193241816262</v>
      </c>
      <c r="J77" s="37">
        <v>7</v>
      </c>
      <c r="K77" s="37">
        <f t="shared" si="30"/>
        <v>0.739176346356917</v>
      </c>
      <c r="L77" s="112">
        <v>679</v>
      </c>
      <c r="M77" s="112">
        <v>729</v>
      </c>
      <c r="N77" s="112">
        <f t="shared" si="31"/>
        <v>1408</v>
      </c>
      <c r="O77" s="37">
        <v>947</v>
      </c>
      <c r="P77" s="113">
        <f t="shared" si="35"/>
        <v>67.2585227272727</v>
      </c>
      <c r="Q77" s="37">
        <v>1324</v>
      </c>
      <c r="R77" s="37">
        <f t="shared" si="36"/>
        <v>94.0340909090909</v>
      </c>
      <c r="S77" s="37">
        <f t="shared" si="32"/>
        <v>412</v>
      </c>
      <c r="T77" s="37">
        <f t="shared" si="37"/>
        <v>31.1178247734139</v>
      </c>
      <c r="U77" s="37">
        <v>912</v>
      </c>
      <c r="V77" s="117">
        <f t="shared" si="38"/>
        <v>68.8821752265861</v>
      </c>
      <c r="W77" s="37">
        <v>84</v>
      </c>
      <c r="X77" s="37">
        <f t="shared" si="39"/>
        <v>5.96590909090909</v>
      </c>
      <c r="Y77" s="37">
        <f t="shared" si="47"/>
        <v>49</v>
      </c>
      <c r="Z77" s="3">
        <f t="shared" si="40"/>
        <v>58.3333333333333</v>
      </c>
      <c r="AA77" s="3">
        <v>35</v>
      </c>
      <c r="AB77" s="118">
        <f t="shared" si="41"/>
        <v>41.6666666666667</v>
      </c>
      <c r="AC77" s="3">
        <f t="shared" si="23"/>
        <v>947</v>
      </c>
      <c r="AD77" s="3" t="str">
        <f t="shared" si="42"/>
        <v>AVG</v>
      </c>
      <c r="AE77" s="30" t="str">
        <f t="shared" si="43"/>
        <v>EXCELLENT</v>
      </c>
      <c r="AF77" s="3" t="str">
        <f t="shared" si="44"/>
        <v>VLOW</v>
      </c>
      <c r="AG77" s="3" t="str">
        <f t="shared" si="33"/>
        <v>FEMALE DOM</v>
      </c>
      <c r="AH77" s="3" t="str">
        <f t="shared" si="45"/>
        <v>O</v>
      </c>
      <c r="AI77" s="36">
        <f t="shared" si="26"/>
        <v>50.3695881731785</v>
      </c>
      <c r="AJ77" s="35" t="str">
        <f t="shared" si="34"/>
        <v>BJP GAIN</v>
      </c>
      <c r="AK77" s="30" t="str">
        <f t="shared" si="46"/>
        <v>VERYHIGHMARGIN</v>
      </c>
    </row>
    <row r="78" spans="1:37">
      <c r="A78" s="37">
        <v>75</v>
      </c>
      <c r="B78" s="109" t="s">
        <v>110</v>
      </c>
      <c r="C78" s="37">
        <v>846</v>
      </c>
      <c r="D78" s="37">
        <v>563</v>
      </c>
      <c r="E78" s="37">
        <f t="shared" si="27"/>
        <v>66.548463356974</v>
      </c>
      <c r="F78" s="37">
        <v>250</v>
      </c>
      <c r="G78" s="37">
        <f t="shared" si="28"/>
        <v>29.5508274231678</v>
      </c>
      <c r="H78" s="37">
        <v>1</v>
      </c>
      <c r="I78" s="37">
        <f t="shared" si="29"/>
        <v>0.118203309692671</v>
      </c>
      <c r="J78" s="37">
        <v>4</v>
      </c>
      <c r="K78" s="37">
        <f t="shared" si="30"/>
        <v>0.472813238770686</v>
      </c>
      <c r="L78" s="112">
        <v>634</v>
      </c>
      <c r="M78" s="112">
        <v>666</v>
      </c>
      <c r="N78" s="112">
        <f t="shared" si="31"/>
        <v>1300</v>
      </c>
      <c r="O78" s="37">
        <v>846</v>
      </c>
      <c r="P78" s="113">
        <f t="shared" si="35"/>
        <v>65.0769230769231</v>
      </c>
      <c r="Q78" s="37">
        <v>1092</v>
      </c>
      <c r="R78" s="37">
        <f t="shared" si="36"/>
        <v>84</v>
      </c>
      <c r="S78" s="115">
        <f t="shared" si="32"/>
        <v>360</v>
      </c>
      <c r="T78" s="37">
        <f t="shared" si="37"/>
        <v>32.967032967033</v>
      </c>
      <c r="U78" s="37">
        <v>732</v>
      </c>
      <c r="V78" s="117">
        <f t="shared" si="38"/>
        <v>67.032967032967</v>
      </c>
      <c r="W78" s="37">
        <v>208</v>
      </c>
      <c r="X78" s="37">
        <f t="shared" si="39"/>
        <v>16</v>
      </c>
      <c r="Y78" s="37">
        <f t="shared" si="47"/>
        <v>94</v>
      </c>
      <c r="Z78" s="3">
        <f t="shared" si="40"/>
        <v>45.1923076923077</v>
      </c>
      <c r="AA78" s="3">
        <v>114</v>
      </c>
      <c r="AB78" s="118">
        <f t="shared" si="41"/>
        <v>54.8076923076923</v>
      </c>
      <c r="AC78" s="3">
        <f t="shared" si="23"/>
        <v>846</v>
      </c>
      <c r="AD78" s="3" t="str">
        <f t="shared" si="42"/>
        <v>AVG</v>
      </c>
      <c r="AE78" s="30" t="str">
        <f t="shared" si="43"/>
        <v>EXCELLENT</v>
      </c>
      <c r="AF78" s="3" t="str">
        <f t="shared" si="44"/>
        <v>VLOW</v>
      </c>
      <c r="AG78" s="3" t="str">
        <f t="shared" si="33"/>
        <v>FEMALE DOM</v>
      </c>
      <c r="AH78" s="3" t="str">
        <f t="shared" si="45"/>
        <v>O</v>
      </c>
      <c r="AI78" s="36">
        <f t="shared" si="26"/>
        <v>36.9976359338062</v>
      </c>
      <c r="AJ78" s="35" t="str">
        <f t="shared" si="34"/>
        <v>BJP GAIN</v>
      </c>
      <c r="AK78" s="38" t="str">
        <f t="shared" si="46"/>
        <v>MEDIUMMARGIN</v>
      </c>
    </row>
    <row r="79" spans="1:37">
      <c r="A79" s="37">
        <v>76</v>
      </c>
      <c r="B79" s="109" t="s">
        <v>111</v>
      </c>
      <c r="C79" s="37">
        <v>337</v>
      </c>
      <c r="D79" s="37">
        <v>205</v>
      </c>
      <c r="E79" s="37">
        <f t="shared" si="27"/>
        <v>60.8308605341246</v>
      </c>
      <c r="F79" s="37">
        <v>119</v>
      </c>
      <c r="G79" s="37">
        <f t="shared" si="28"/>
        <v>35.3115727002967</v>
      </c>
      <c r="H79" s="37">
        <v>4</v>
      </c>
      <c r="I79" s="37">
        <f t="shared" si="29"/>
        <v>1.18694362017804</v>
      </c>
      <c r="J79" s="37">
        <v>3</v>
      </c>
      <c r="K79" s="37">
        <f t="shared" si="30"/>
        <v>0.890207715133531</v>
      </c>
      <c r="L79" s="112">
        <v>236</v>
      </c>
      <c r="M79" s="112">
        <v>280</v>
      </c>
      <c r="N79" s="112">
        <f t="shared" si="31"/>
        <v>516</v>
      </c>
      <c r="O79" s="37">
        <v>337</v>
      </c>
      <c r="P79" s="113">
        <f t="shared" si="35"/>
        <v>65.3100775193798</v>
      </c>
      <c r="Q79" s="37">
        <v>463</v>
      </c>
      <c r="R79" s="37">
        <f t="shared" si="36"/>
        <v>89.7286821705426</v>
      </c>
      <c r="S79" s="37">
        <f t="shared" si="32"/>
        <v>137</v>
      </c>
      <c r="T79" s="37">
        <f t="shared" si="37"/>
        <v>29.5896328293737</v>
      </c>
      <c r="U79" s="37">
        <v>326</v>
      </c>
      <c r="V79" s="117">
        <f t="shared" si="38"/>
        <v>70.4103671706264</v>
      </c>
      <c r="W79" s="37">
        <v>20</v>
      </c>
      <c r="X79" s="37">
        <f t="shared" si="39"/>
        <v>10.2713178294574</v>
      </c>
      <c r="Y79" s="119">
        <f t="shared" si="47"/>
        <v>9</v>
      </c>
      <c r="Z79" s="3">
        <f t="shared" si="40"/>
        <v>45</v>
      </c>
      <c r="AA79" s="3">
        <v>11</v>
      </c>
      <c r="AB79" s="118">
        <f t="shared" si="41"/>
        <v>55</v>
      </c>
      <c r="AC79" s="3">
        <f t="shared" si="23"/>
        <v>337</v>
      </c>
      <c r="AD79" s="3" t="str">
        <f t="shared" si="42"/>
        <v>AVG</v>
      </c>
      <c r="AE79" s="30" t="str">
        <f t="shared" si="43"/>
        <v>EXCELLENT</v>
      </c>
      <c r="AF79" s="3" t="str">
        <f t="shared" si="44"/>
        <v>VLOW</v>
      </c>
      <c r="AG79" s="3" t="str">
        <f t="shared" si="33"/>
        <v>FEMALE DOM</v>
      </c>
      <c r="AH79" s="3" t="str">
        <f t="shared" si="45"/>
        <v>O</v>
      </c>
      <c r="AI79" s="36">
        <f t="shared" si="26"/>
        <v>25.5192878338279</v>
      </c>
      <c r="AJ79" s="35" t="str">
        <f t="shared" si="34"/>
        <v>BJP GAIN</v>
      </c>
      <c r="AK79" s="36" t="str">
        <f t="shared" si="46"/>
        <v>LOWMARGIN</v>
      </c>
    </row>
    <row r="80" spans="1:37">
      <c r="A80" s="37">
        <v>77</v>
      </c>
      <c r="B80" s="109" t="s">
        <v>112</v>
      </c>
      <c r="C80" s="37">
        <v>662</v>
      </c>
      <c r="D80" s="37">
        <v>402</v>
      </c>
      <c r="E80" s="37">
        <f t="shared" si="27"/>
        <v>60.7250755287009</v>
      </c>
      <c r="F80" s="37">
        <v>243</v>
      </c>
      <c r="G80" s="37">
        <f t="shared" si="28"/>
        <v>36.7069486404834</v>
      </c>
      <c r="H80" s="37">
        <v>0</v>
      </c>
      <c r="I80" s="37">
        <f t="shared" si="29"/>
        <v>0</v>
      </c>
      <c r="J80" s="37">
        <v>5</v>
      </c>
      <c r="K80" s="37">
        <f t="shared" si="30"/>
        <v>0.755287009063444</v>
      </c>
      <c r="L80" s="112">
        <v>436</v>
      </c>
      <c r="M80" s="112">
        <v>454</v>
      </c>
      <c r="N80" s="112">
        <f t="shared" si="31"/>
        <v>890</v>
      </c>
      <c r="O80" s="37">
        <v>662</v>
      </c>
      <c r="P80" s="113">
        <f t="shared" si="35"/>
        <v>74.3820224719101</v>
      </c>
      <c r="Q80" s="37">
        <v>693</v>
      </c>
      <c r="R80" s="37">
        <f t="shared" si="36"/>
        <v>77.8651685393259</v>
      </c>
      <c r="S80" s="37">
        <f t="shared" si="32"/>
        <v>164</v>
      </c>
      <c r="T80" s="37">
        <f t="shared" si="37"/>
        <v>23.6652236652237</v>
      </c>
      <c r="U80" s="37">
        <v>529</v>
      </c>
      <c r="V80" s="117">
        <f t="shared" si="38"/>
        <v>76.3347763347763</v>
      </c>
      <c r="W80" s="37">
        <v>199</v>
      </c>
      <c r="X80" s="37">
        <f t="shared" si="39"/>
        <v>22.1348314606741</v>
      </c>
      <c r="Y80" s="37">
        <f t="shared" si="47"/>
        <v>66</v>
      </c>
      <c r="Z80" s="3">
        <f t="shared" si="40"/>
        <v>33.1658291457286</v>
      </c>
      <c r="AA80" s="3">
        <v>133</v>
      </c>
      <c r="AB80" s="118">
        <f t="shared" si="41"/>
        <v>66.8341708542714</v>
      </c>
      <c r="AC80" s="3">
        <f t="shared" si="23"/>
        <v>662</v>
      </c>
      <c r="AD80" s="3" t="str">
        <f t="shared" si="42"/>
        <v>STRONG</v>
      </c>
      <c r="AE80" s="30" t="str">
        <f t="shared" si="43"/>
        <v>STRONG</v>
      </c>
      <c r="AF80" s="3" t="str">
        <f t="shared" si="44"/>
        <v>VLOW</v>
      </c>
      <c r="AG80" s="3" t="str">
        <f t="shared" si="33"/>
        <v>FEMALE DOM</v>
      </c>
      <c r="AH80" s="3" t="str">
        <f t="shared" si="45"/>
        <v>O</v>
      </c>
      <c r="AI80" s="36">
        <f t="shared" si="26"/>
        <v>24.0181268882175</v>
      </c>
      <c r="AJ80" s="35" t="str">
        <f t="shared" si="34"/>
        <v>BJP GAIN</v>
      </c>
      <c r="AK80" s="36" t="str">
        <f t="shared" si="46"/>
        <v>LOWMARGIN</v>
      </c>
    </row>
    <row r="81" spans="1:37">
      <c r="A81" s="37">
        <v>78</v>
      </c>
      <c r="B81" s="109" t="s">
        <v>113</v>
      </c>
      <c r="C81" s="37">
        <v>936</v>
      </c>
      <c r="D81" s="37">
        <v>664</v>
      </c>
      <c r="E81" s="37">
        <f t="shared" si="27"/>
        <v>70.9401709401709</v>
      </c>
      <c r="F81" s="37">
        <v>240</v>
      </c>
      <c r="G81" s="37">
        <f t="shared" si="28"/>
        <v>25.6410256410256</v>
      </c>
      <c r="H81" s="37">
        <v>2</v>
      </c>
      <c r="I81" s="37">
        <f t="shared" si="29"/>
        <v>0.213675213675214</v>
      </c>
      <c r="J81" s="37">
        <v>2</v>
      </c>
      <c r="K81" s="37">
        <f t="shared" si="30"/>
        <v>0.213675213675214</v>
      </c>
      <c r="L81" s="112">
        <v>631</v>
      </c>
      <c r="M81" s="112">
        <v>674</v>
      </c>
      <c r="N81" s="112">
        <f t="shared" si="31"/>
        <v>1305</v>
      </c>
      <c r="O81" s="37">
        <v>936</v>
      </c>
      <c r="P81" s="113">
        <f t="shared" si="35"/>
        <v>71.7241379310345</v>
      </c>
      <c r="Q81" s="37">
        <v>1148</v>
      </c>
      <c r="R81" s="37">
        <f t="shared" si="36"/>
        <v>87.9693486590038</v>
      </c>
      <c r="S81" s="37">
        <f t="shared" si="32"/>
        <v>298</v>
      </c>
      <c r="T81" s="37">
        <f t="shared" si="37"/>
        <v>25.9581881533101</v>
      </c>
      <c r="U81" s="37">
        <v>850</v>
      </c>
      <c r="V81" s="117">
        <f t="shared" si="38"/>
        <v>74.0418118466899</v>
      </c>
      <c r="W81" s="37">
        <v>157</v>
      </c>
      <c r="X81" s="37">
        <f t="shared" si="39"/>
        <v>12.0306513409962</v>
      </c>
      <c r="Y81" s="37">
        <f t="shared" si="47"/>
        <v>71</v>
      </c>
      <c r="Z81" s="3">
        <f t="shared" si="40"/>
        <v>45.2229299363057</v>
      </c>
      <c r="AA81" s="3">
        <v>86</v>
      </c>
      <c r="AB81" s="118">
        <f t="shared" si="41"/>
        <v>54.7770700636943</v>
      </c>
      <c r="AC81" s="3">
        <f t="shared" si="23"/>
        <v>936</v>
      </c>
      <c r="AD81" s="3" t="str">
        <f t="shared" si="42"/>
        <v>STRONG</v>
      </c>
      <c r="AE81" s="30" t="str">
        <f t="shared" si="43"/>
        <v>EXCELLENT</v>
      </c>
      <c r="AF81" s="3" t="str">
        <f t="shared" si="44"/>
        <v>VLOW</v>
      </c>
      <c r="AG81" s="3" t="str">
        <f t="shared" si="33"/>
        <v>FEMALE DOM</v>
      </c>
      <c r="AH81" s="3" t="str">
        <f t="shared" si="45"/>
        <v>O</v>
      </c>
      <c r="AI81" s="36">
        <f t="shared" si="26"/>
        <v>45.2991452991453</v>
      </c>
      <c r="AJ81" s="35" t="str">
        <f t="shared" si="34"/>
        <v>BJP GAIN</v>
      </c>
      <c r="AK81" s="34" t="str">
        <f t="shared" si="46"/>
        <v>HIGHMARGIN</v>
      </c>
    </row>
    <row r="82" spans="1:37">
      <c r="A82" s="37">
        <v>79</v>
      </c>
      <c r="B82" s="109" t="s">
        <v>114</v>
      </c>
      <c r="C82" s="37">
        <v>541</v>
      </c>
      <c r="D82" s="37">
        <v>395</v>
      </c>
      <c r="E82" s="37">
        <f t="shared" si="27"/>
        <v>73.0129390018484</v>
      </c>
      <c r="F82" s="37">
        <v>121</v>
      </c>
      <c r="G82" s="37">
        <f t="shared" si="28"/>
        <v>22.365988909427</v>
      </c>
      <c r="H82" s="37">
        <v>5</v>
      </c>
      <c r="I82" s="37">
        <f t="shared" si="29"/>
        <v>0.924214417744917</v>
      </c>
      <c r="J82" s="37">
        <v>3</v>
      </c>
      <c r="K82" s="37">
        <f t="shared" si="30"/>
        <v>0.55452865064695</v>
      </c>
      <c r="L82" s="112">
        <v>383</v>
      </c>
      <c r="M82" s="112">
        <v>434</v>
      </c>
      <c r="N82" s="112">
        <f t="shared" si="31"/>
        <v>817</v>
      </c>
      <c r="O82" s="37">
        <v>541</v>
      </c>
      <c r="P82" s="113">
        <f t="shared" si="35"/>
        <v>66.2178702570379</v>
      </c>
      <c r="Q82" s="37">
        <v>769</v>
      </c>
      <c r="R82" s="37">
        <f t="shared" si="36"/>
        <v>94.124847001224</v>
      </c>
      <c r="S82" s="115">
        <f t="shared" si="32"/>
        <v>254</v>
      </c>
      <c r="T82" s="37">
        <f t="shared" si="37"/>
        <v>33.0299089726918</v>
      </c>
      <c r="U82" s="37">
        <v>515</v>
      </c>
      <c r="V82" s="117">
        <f t="shared" si="38"/>
        <v>66.9700910273082</v>
      </c>
      <c r="W82" s="37">
        <v>46</v>
      </c>
      <c r="X82" s="37">
        <f t="shared" si="39"/>
        <v>5.87515299877602</v>
      </c>
      <c r="Y82" s="119">
        <f t="shared" si="47"/>
        <v>19</v>
      </c>
      <c r="Z82" s="3">
        <f t="shared" si="40"/>
        <v>41.304347826087</v>
      </c>
      <c r="AA82" s="3">
        <v>27</v>
      </c>
      <c r="AB82" s="118">
        <f t="shared" si="41"/>
        <v>58.695652173913</v>
      </c>
      <c r="AC82" s="3">
        <f t="shared" si="23"/>
        <v>542</v>
      </c>
      <c r="AD82" s="3" t="str">
        <f t="shared" si="42"/>
        <v>AVG</v>
      </c>
      <c r="AE82" s="30" t="str">
        <f t="shared" si="43"/>
        <v>EXCELLENT</v>
      </c>
      <c r="AF82" s="3" t="str">
        <f t="shared" si="44"/>
        <v>VLOW</v>
      </c>
      <c r="AG82" s="3" t="str">
        <f t="shared" si="33"/>
        <v>FEMALE DOM</v>
      </c>
      <c r="AH82" s="3" t="str">
        <f t="shared" si="45"/>
        <v>O</v>
      </c>
      <c r="AI82" s="36">
        <f t="shared" si="26"/>
        <v>50.6469500924214</v>
      </c>
      <c r="AJ82" s="35" t="str">
        <f t="shared" si="34"/>
        <v>BJP GAIN</v>
      </c>
      <c r="AK82" s="30" t="str">
        <f t="shared" si="46"/>
        <v>VERYHIGHMARGIN</v>
      </c>
    </row>
    <row r="83" spans="1:37">
      <c r="A83" s="37">
        <v>80</v>
      </c>
      <c r="B83" s="109" t="s">
        <v>115</v>
      </c>
      <c r="C83" s="37">
        <v>870</v>
      </c>
      <c r="D83" s="37">
        <v>551</v>
      </c>
      <c r="E83" s="37">
        <f t="shared" si="27"/>
        <v>63.3333333333333</v>
      </c>
      <c r="F83" s="37">
        <v>296</v>
      </c>
      <c r="G83" s="37">
        <f t="shared" si="28"/>
        <v>34.0229885057471</v>
      </c>
      <c r="H83" s="37">
        <v>1</v>
      </c>
      <c r="I83" s="37">
        <f t="shared" si="29"/>
        <v>0.114942528735632</v>
      </c>
      <c r="J83" s="37">
        <v>7</v>
      </c>
      <c r="K83" s="37">
        <f t="shared" si="30"/>
        <v>0.804597701149425</v>
      </c>
      <c r="L83" s="112">
        <v>620</v>
      </c>
      <c r="M83" s="112">
        <v>702</v>
      </c>
      <c r="N83" s="112">
        <f t="shared" si="31"/>
        <v>1322</v>
      </c>
      <c r="O83" s="37">
        <v>870</v>
      </c>
      <c r="P83" s="113">
        <f t="shared" si="35"/>
        <v>65.8093797276853</v>
      </c>
      <c r="Q83" s="37">
        <v>1132</v>
      </c>
      <c r="R83" s="37">
        <f t="shared" si="36"/>
        <v>85.6278366111952</v>
      </c>
      <c r="S83" s="37">
        <f t="shared" si="32"/>
        <v>404</v>
      </c>
      <c r="T83" s="37">
        <f t="shared" si="37"/>
        <v>35.6890459363958</v>
      </c>
      <c r="U83" s="37">
        <v>728</v>
      </c>
      <c r="V83" s="117">
        <f t="shared" si="38"/>
        <v>64.3109540636042</v>
      </c>
      <c r="W83" s="37">
        <v>186</v>
      </c>
      <c r="X83" s="37">
        <f t="shared" si="39"/>
        <v>14.3721633888048</v>
      </c>
      <c r="Y83" s="37">
        <f t="shared" si="47"/>
        <v>44</v>
      </c>
      <c r="Z83" s="3">
        <f t="shared" si="40"/>
        <v>23.6559139784946</v>
      </c>
      <c r="AA83" s="3">
        <v>142</v>
      </c>
      <c r="AB83" s="118">
        <f t="shared" si="41"/>
        <v>76.3440860215054</v>
      </c>
      <c r="AC83" s="3">
        <f t="shared" si="23"/>
        <v>870</v>
      </c>
      <c r="AD83" s="3" t="str">
        <f t="shared" si="42"/>
        <v>AVG</v>
      </c>
      <c r="AE83" s="30" t="str">
        <f t="shared" si="43"/>
        <v>EXCELLENT</v>
      </c>
      <c r="AF83" s="3" t="str">
        <f t="shared" si="44"/>
        <v>VLOW</v>
      </c>
      <c r="AG83" s="3" t="str">
        <f t="shared" si="33"/>
        <v>FEMALE DOM</v>
      </c>
      <c r="AH83" s="3" t="str">
        <f t="shared" si="45"/>
        <v>H</v>
      </c>
      <c r="AI83" s="36">
        <f t="shared" si="26"/>
        <v>29.3103448275862</v>
      </c>
      <c r="AJ83" s="35" t="str">
        <f t="shared" si="34"/>
        <v>BJP GAIN</v>
      </c>
      <c r="AK83" s="36" t="str">
        <f t="shared" si="46"/>
        <v>LOWMARGIN</v>
      </c>
    </row>
    <row r="84" spans="1:37">
      <c r="A84" s="37">
        <v>81</v>
      </c>
      <c r="B84" s="109" t="s">
        <v>116</v>
      </c>
      <c r="C84" s="37">
        <v>758</v>
      </c>
      <c r="D84" s="37">
        <v>550</v>
      </c>
      <c r="E84" s="37">
        <f t="shared" si="27"/>
        <v>72.5593667546174</v>
      </c>
      <c r="F84" s="37">
        <v>175</v>
      </c>
      <c r="G84" s="37">
        <f t="shared" si="28"/>
        <v>23.0870712401055</v>
      </c>
      <c r="H84" s="37">
        <v>1</v>
      </c>
      <c r="I84" s="37">
        <f t="shared" si="29"/>
        <v>0.131926121372032</v>
      </c>
      <c r="J84" s="37">
        <v>10</v>
      </c>
      <c r="K84" s="37">
        <f t="shared" si="30"/>
        <v>1.31926121372032</v>
      </c>
      <c r="L84" s="112">
        <v>513</v>
      </c>
      <c r="M84" s="112">
        <v>527</v>
      </c>
      <c r="N84" s="112">
        <f t="shared" si="31"/>
        <v>1040</v>
      </c>
      <c r="O84" s="37">
        <v>758</v>
      </c>
      <c r="P84" s="113">
        <f t="shared" si="35"/>
        <v>72.8846153846154</v>
      </c>
      <c r="Q84" s="37">
        <v>935</v>
      </c>
      <c r="R84" s="37">
        <f t="shared" si="36"/>
        <v>89.9038461538462</v>
      </c>
      <c r="S84" s="37">
        <f t="shared" si="32"/>
        <v>249</v>
      </c>
      <c r="T84" s="37">
        <f t="shared" si="37"/>
        <v>26.6310160427807</v>
      </c>
      <c r="U84" s="37">
        <v>686</v>
      </c>
      <c r="V84" s="117">
        <f t="shared" si="38"/>
        <v>73.3689839572192</v>
      </c>
      <c r="W84" s="37">
        <v>96</v>
      </c>
      <c r="X84" s="37">
        <f t="shared" si="39"/>
        <v>10.0961538461538</v>
      </c>
      <c r="Y84" s="37">
        <f t="shared" si="47"/>
        <v>24</v>
      </c>
      <c r="Z84" s="3">
        <f t="shared" si="40"/>
        <v>25</v>
      </c>
      <c r="AA84" s="3">
        <v>72</v>
      </c>
      <c r="AB84" s="118">
        <f t="shared" si="41"/>
        <v>75</v>
      </c>
      <c r="AC84" s="3">
        <f t="shared" si="23"/>
        <v>758</v>
      </c>
      <c r="AD84" s="3" t="str">
        <f t="shared" si="42"/>
        <v>STRONG</v>
      </c>
      <c r="AE84" s="30" t="str">
        <f t="shared" si="43"/>
        <v>EXCELLENT</v>
      </c>
      <c r="AF84" s="3" t="str">
        <f t="shared" si="44"/>
        <v>VLOW</v>
      </c>
      <c r="AG84" s="3" t="str">
        <f t="shared" si="33"/>
        <v>FEMALE DOM</v>
      </c>
      <c r="AH84" s="3" t="str">
        <f t="shared" si="45"/>
        <v>H</v>
      </c>
      <c r="AI84" s="36">
        <f t="shared" si="26"/>
        <v>49.4722955145119</v>
      </c>
      <c r="AJ84" s="35" t="str">
        <f t="shared" si="34"/>
        <v>BJP GAIN</v>
      </c>
      <c r="AK84" s="34" t="str">
        <f t="shared" si="46"/>
        <v>HIGHMARGIN</v>
      </c>
    </row>
    <row r="85" spans="1:37">
      <c r="A85" s="37">
        <v>82</v>
      </c>
      <c r="B85" s="109" t="s">
        <v>117</v>
      </c>
      <c r="C85" s="37">
        <v>466</v>
      </c>
      <c r="D85" s="37">
        <v>346</v>
      </c>
      <c r="E85" s="37">
        <f t="shared" si="27"/>
        <v>74.2489270386266</v>
      </c>
      <c r="F85" s="37">
        <v>94</v>
      </c>
      <c r="G85" s="37">
        <f t="shared" si="28"/>
        <v>20.1716738197425</v>
      </c>
      <c r="H85" s="37">
        <v>1</v>
      </c>
      <c r="I85" s="37">
        <f t="shared" si="29"/>
        <v>0.214592274678112</v>
      </c>
      <c r="J85" s="37">
        <v>5</v>
      </c>
      <c r="K85" s="37">
        <f t="shared" si="30"/>
        <v>1.07296137339056</v>
      </c>
      <c r="L85" s="112">
        <v>257</v>
      </c>
      <c r="M85" s="112">
        <v>294</v>
      </c>
      <c r="N85" s="112">
        <f t="shared" si="31"/>
        <v>551</v>
      </c>
      <c r="O85" s="37">
        <v>466</v>
      </c>
      <c r="P85" s="113">
        <f t="shared" si="35"/>
        <v>84.573502722323</v>
      </c>
      <c r="Q85" s="37">
        <v>538</v>
      </c>
      <c r="R85" s="37">
        <f t="shared" si="36"/>
        <v>97.6406533575318</v>
      </c>
      <c r="S85" s="37">
        <f t="shared" si="32"/>
        <v>81</v>
      </c>
      <c r="T85" s="37">
        <f t="shared" si="37"/>
        <v>15.0557620817844</v>
      </c>
      <c r="U85" s="37">
        <v>457</v>
      </c>
      <c r="V85" s="117">
        <f t="shared" si="38"/>
        <v>84.9442379182156</v>
      </c>
      <c r="W85" s="37">
        <v>10</v>
      </c>
      <c r="X85" s="37">
        <f t="shared" si="39"/>
        <v>2.35934664246824</v>
      </c>
      <c r="Y85" s="119">
        <f t="shared" si="47"/>
        <v>1</v>
      </c>
      <c r="Z85" s="3">
        <f t="shared" si="40"/>
        <v>10</v>
      </c>
      <c r="AA85" s="3">
        <v>9</v>
      </c>
      <c r="AB85" s="118">
        <f t="shared" si="41"/>
        <v>90</v>
      </c>
      <c r="AC85" s="3">
        <f t="shared" si="23"/>
        <v>466</v>
      </c>
      <c r="AD85" s="3" t="str">
        <f t="shared" si="42"/>
        <v>EXCELLENT</v>
      </c>
      <c r="AE85" s="30" t="str">
        <f t="shared" si="43"/>
        <v>EXCELLENT</v>
      </c>
      <c r="AF85" s="3" t="str">
        <f t="shared" si="44"/>
        <v>VLOW</v>
      </c>
      <c r="AG85" s="3" t="str">
        <f t="shared" si="33"/>
        <v>FEMALE DOM</v>
      </c>
      <c r="AH85" s="3" t="str">
        <f t="shared" si="45"/>
        <v>H</v>
      </c>
      <c r="AI85" s="36">
        <f t="shared" si="26"/>
        <v>54.0772532188841</v>
      </c>
      <c r="AJ85" s="35" t="str">
        <f t="shared" si="34"/>
        <v>BJP GAIN</v>
      </c>
      <c r="AK85" s="30" t="str">
        <f t="shared" si="46"/>
        <v>VERYHIGHMARGIN</v>
      </c>
    </row>
    <row r="86" spans="1:37">
      <c r="A86" s="37">
        <v>83</v>
      </c>
      <c r="B86" s="109" t="s">
        <v>118</v>
      </c>
      <c r="C86" s="37">
        <v>716</v>
      </c>
      <c r="D86" s="37">
        <v>407</v>
      </c>
      <c r="E86" s="37">
        <f t="shared" si="27"/>
        <v>56.8435754189944</v>
      </c>
      <c r="F86" s="37">
        <v>286</v>
      </c>
      <c r="G86" s="37">
        <f t="shared" si="28"/>
        <v>39.9441340782123</v>
      </c>
      <c r="H86" s="37">
        <v>4</v>
      </c>
      <c r="I86" s="37">
        <f t="shared" si="29"/>
        <v>0.558659217877095</v>
      </c>
      <c r="J86" s="37">
        <v>5</v>
      </c>
      <c r="K86" s="37">
        <f t="shared" si="30"/>
        <v>0.698324022346369</v>
      </c>
      <c r="L86" s="112">
        <v>428</v>
      </c>
      <c r="M86" s="112">
        <v>449</v>
      </c>
      <c r="N86" s="112">
        <f t="shared" si="31"/>
        <v>877</v>
      </c>
      <c r="O86" s="37">
        <v>716</v>
      </c>
      <c r="P86" s="113">
        <f t="shared" si="35"/>
        <v>81.6419612314709</v>
      </c>
      <c r="Q86" s="37">
        <v>695</v>
      </c>
      <c r="R86" s="37">
        <f t="shared" si="36"/>
        <v>79.2474344355758</v>
      </c>
      <c r="S86" s="115">
        <f t="shared" si="32"/>
        <v>103</v>
      </c>
      <c r="T86" s="37">
        <f t="shared" si="37"/>
        <v>14.8201438848921</v>
      </c>
      <c r="U86" s="37">
        <v>592</v>
      </c>
      <c r="V86" s="117">
        <f t="shared" si="38"/>
        <v>85.1798561151079</v>
      </c>
      <c r="W86" s="37">
        <v>177</v>
      </c>
      <c r="X86" s="37">
        <f t="shared" si="39"/>
        <v>20.7525655644242</v>
      </c>
      <c r="Y86" s="37">
        <f t="shared" si="47"/>
        <v>57</v>
      </c>
      <c r="Z86" s="3">
        <f t="shared" si="40"/>
        <v>32.2033898305085</v>
      </c>
      <c r="AA86" s="3">
        <v>120</v>
      </c>
      <c r="AB86" s="118">
        <f t="shared" si="41"/>
        <v>67.7966101694915</v>
      </c>
      <c r="AC86" s="3">
        <f t="shared" si="23"/>
        <v>712</v>
      </c>
      <c r="AD86" s="3" t="str">
        <f t="shared" si="42"/>
        <v>EXCELLENT</v>
      </c>
      <c r="AE86" s="30" t="str">
        <f t="shared" si="43"/>
        <v>STRONG</v>
      </c>
      <c r="AF86" s="3" t="str">
        <f t="shared" si="44"/>
        <v>VLOW</v>
      </c>
      <c r="AG86" s="3" t="str">
        <f t="shared" si="33"/>
        <v>FEMALE DOM</v>
      </c>
      <c r="AH86" s="3" t="str">
        <f t="shared" si="45"/>
        <v>O</v>
      </c>
      <c r="AI86" s="36">
        <f t="shared" si="26"/>
        <v>16.8994413407821</v>
      </c>
      <c r="AJ86" s="35" t="str">
        <f t="shared" si="34"/>
        <v>BJP GAIN</v>
      </c>
      <c r="AK86" s="36" t="str">
        <f t="shared" si="46"/>
        <v>LOWMARGIN</v>
      </c>
    </row>
    <row r="87" spans="1:37">
      <c r="A87" s="37">
        <v>84</v>
      </c>
      <c r="B87" s="109" t="s">
        <v>119</v>
      </c>
      <c r="C87" s="37">
        <v>587</v>
      </c>
      <c r="D87" s="37">
        <v>440</v>
      </c>
      <c r="E87" s="37">
        <f t="shared" si="27"/>
        <v>74.9574105621806</v>
      </c>
      <c r="F87" s="37">
        <v>124</v>
      </c>
      <c r="G87" s="37">
        <f t="shared" si="28"/>
        <v>21.1243611584327</v>
      </c>
      <c r="H87" s="37">
        <v>3</v>
      </c>
      <c r="I87" s="37">
        <f t="shared" si="29"/>
        <v>0.511073253833049</v>
      </c>
      <c r="J87" s="37">
        <v>9</v>
      </c>
      <c r="K87" s="37">
        <f t="shared" si="30"/>
        <v>1.53321976149915</v>
      </c>
      <c r="L87" s="112">
        <v>330</v>
      </c>
      <c r="M87" s="112">
        <v>368</v>
      </c>
      <c r="N87" s="112">
        <f t="shared" si="31"/>
        <v>698</v>
      </c>
      <c r="O87" s="37">
        <v>587</v>
      </c>
      <c r="P87" s="113">
        <f t="shared" si="35"/>
        <v>84.0974212034384</v>
      </c>
      <c r="Q87" s="37"/>
      <c r="R87" s="37">
        <f t="shared" si="36"/>
        <v>0</v>
      </c>
      <c r="S87" s="37">
        <f t="shared" si="32"/>
        <v>0</v>
      </c>
      <c r="T87" s="37" t="e">
        <f t="shared" si="37"/>
        <v>#DIV/0!</v>
      </c>
      <c r="U87" s="37"/>
      <c r="V87" s="117">
        <f t="shared" si="38"/>
        <v>0</v>
      </c>
      <c r="W87" s="37"/>
      <c r="X87" s="37">
        <f t="shared" si="39"/>
        <v>100</v>
      </c>
      <c r="Y87" s="37">
        <f t="shared" si="47"/>
        <v>0</v>
      </c>
      <c r="Z87" s="3" t="e">
        <f t="shared" si="40"/>
        <v>#DIV/0!</v>
      </c>
      <c r="AA87" s="3"/>
      <c r="AB87" s="118">
        <f t="shared" si="41"/>
        <v>0</v>
      </c>
      <c r="AC87" s="3">
        <f t="shared" si="23"/>
        <v>0</v>
      </c>
      <c r="AD87" s="3" t="str">
        <f t="shared" si="42"/>
        <v>EXCELLENT</v>
      </c>
      <c r="AE87" s="30" t="str">
        <f t="shared" si="43"/>
        <v>VLOW</v>
      </c>
      <c r="AF87" s="3" t="str">
        <f t="shared" si="44"/>
        <v>EXCELLENT</v>
      </c>
      <c r="AG87" s="3" t="str">
        <f t="shared" si="33"/>
        <v>FEMALE DOM</v>
      </c>
      <c r="AH87" s="3" t="e">
        <f t="shared" si="45"/>
        <v>#DIV/0!</v>
      </c>
      <c r="AI87" s="36">
        <f t="shared" si="26"/>
        <v>53.8330494037479</v>
      </c>
      <c r="AJ87" s="35" t="str">
        <f t="shared" si="34"/>
        <v>BJP GAIN</v>
      </c>
      <c r="AK87" s="30" t="str">
        <f t="shared" si="46"/>
        <v>VERYHIGHMARGIN</v>
      </c>
    </row>
    <row r="88" spans="1:37">
      <c r="A88" s="37">
        <v>85</v>
      </c>
      <c r="B88" s="109" t="s">
        <v>120</v>
      </c>
      <c r="C88" s="37">
        <v>819</v>
      </c>
      <c r="D88" s="37">
        <v>64</v>
      </c>
      <c r="E88" s="37">
        <f t="shared" si="27"/>
        <v>7.81440781440781</v>
      </c>
      <c r="F88" s="37">
        <v>691</v>
      </c>
      <c r="G88" s="37">
        <f t="shared" si="28"/>
        <v>84.3711843711844</v>
      </c>
      <c r="H88" s="37">
        <v>12</v>
      </c>
      <c r="I88" s="37">
        <f t="shared" si="29"/>
        <v>1.46520146520147</v>
      </c>
      <c r="J88" s="37">
        <v>40</v>
      </c>
      <c r="K88" s="37">
        <f t="shared" si="30"/>
        <v>4.88400488400488</v>
      </c>
      <c r="L88" s="112">
        <v>599</v>
      </c>
      <c r="M88" s="112">
        <v>621</v>
      </c>
      <c r="N88" s="112">
        <f t="shared" si="31"/>
        <v>1220</v>
      </c>
      <c r="O88" s="37">
        <v>819</v>
      </c>
      <c r="P88" s="113">
        <f t="shared" si="35"/>
        <v>67.1311475409836</v>
      </c>
      <c r="Q88" s="37">
        <v>4</v>
      </c>
      <c r="R88" s="37">
        <f t="shared" si="36"/>
        <v>0.327868852459016</v>
      </c>
      <c r="S88" s="37">
        <f t="shared" si="32"/>
        <v>4</v>
      </c>
      <c r="T88" s="37">
        <f t="shared" si="37"/>
        <v>100</v>
      </c>
      <c r="U88" s="37">
        <v>0</v>
      </c>
      <c r="V88" s="117">
        <f t="shared" si="38"/>
        <v>0</v>
      </c>
      <c r="W88" s="37">
        <v>1216</v>
      </c>
      <c r="X88" s="37">
        <f t="shared" si="39"/>
        <v>99.672131147541</v>
      </c>
      <c r="Y88" s="119">
        <f t="shared" si="47"/>
        <v>1175</v>
      </c>
      <c r="Z88" s="3">
        <f t="shared" si="40"/>
        <v>96.6282894736842</v>
      </c>
      <c r="AA88" s="3">
        <v>41</v>
      </c>
      <c r="AB88" s="118">
        <f t="shared" si="41"/>
        <v>3.37171052631579</v>
      </c>
      <c r="AC88" s="3">
        <f t="shared" si="23"/>
        <v>41</v>
      </c>
      <c r="AD88" s="3" t="str">
        <f t="shared" si="42"/>
        <v>AVG</v>
      </c>
      <c r="AE88" s="30" t="str">
        <f t="shared" si="43"/>
        <v>VLOW</v>
      </c>
      <c r="AF88" s="3" t="str">
        <f t="shared" si="44"/>
        <v>EXCELLENT</v>
      </c>
      <c r="AG88" s="3" t="str">
        <f t="shared" si="33"/>
        <v>FEMALE DOM</v>
      </c>
      <c r="AH88" s="3" t="str">
        <f t="shared" si="45"/>
        <v>H</v>
      </c>
      <c r="AI88" s="36">
        <f>G88-E88</f>
        <v>76.5567765567766</v>
      </c>
      <c r="AJ88" s="31" t="str">
        <f t="shared" si="34"/>
        <v>CONGRESSGAIN</v>
      </c>
      <c r="AK88" s="30" t="str">
        <f t="shared" si="46"/>
        <v>VERYHIGHMARGIN</v>
      </c>
    </row>
    <row r="89" spans="1:37">
      <c r="A89" s="37">
        <v>86</v>
      </c>
      <c r="B89" s="109" t="s">
        <v>121</v>
      </c>
      <c r="C89" s="37">
        <v>766</v>
      </c>
      <c r="D89" s="37">
        <v>15</v>
      </c>
      <c r="E89" s="37">
        <f t="shared" si="27"/>
        <v>1.95822454308094</v>
      </c>
      <c r="F89" s="37">
        <v>702</v>
      </c>
      <c r="G89" s="37">
        <f t="shared" si="28"/>
        <v>91.644908616188</v>
      </c>
      <c r="H89" s="37">
        <v>9</v>
      </c>
      <c r="I89" s="37">
        <f t="shared" si="29"/>
        <v>1.17493472584856</v>
      </c>
      <c r="J89" s="37">
        <v>25</v>
      </c>
      <c r="K89" s="37">
        <f t="shared" si="30"/>
        <v>3.26370757180157</v>
      </c>
      <c r="L89" s="112">
        <v>530</v>
      </c>
      <c r="M89" s="112">
        <v>526</v>
      </c>
      <c r="N89" s="112">
        <f t="shared" si="31"/>
        <v>1056</v>
      </c>
      <c r="O89" s="37">
        <v>766</v>
      </c>
      <c r="P89" s="113">
        <f t="shared" si="35"/>
        <v>72.5378787878788</v>
      </c>
      <c r="Q89" s="37">
        <v>0</v>
      </c>
      <c r="R89" s="37">
        <f t="shared" si="36"/>
        <v>0</v>
      </c>
      <c r="S89" s="37">
        <f t="shared" si="32"/>
        <v>0</v>
      </c>
      <c r="T89" s="37" t="e">
        <f t="shared" si="37"/>
        <v>#DIV/0!</v>
      </c>
      <c r="U89" s="37">
        <v>0</v>
      </c>
      <c r="V89" s="117">
        <f t="shared" si="38"/>
        <v>0</v>
      </c>
      <c r="W89" s="37">
        <v>1056</v>
      </c>
      <c r="X89" s="37">
        <f t="shared" si="39"/>
        <v>100</v>
      </c>
      <c r="Y89" s="37">
        <f t="shared" si="47"/>
        <v>290</v>
      </c>
      <c r="Z89" s="3">
        <f t="shared" si="40"/>
        <v>27.4621212121212</v>
      </c>
      <c r="AA89" s="3">
        <v>766</v>
      </c>
      <c r="AB89" s="118">
        <f t="shared" si="41"/>
        <v>72.5378787878788</v>
      </c>
      <c r="AC89" s="3">
        <f t="shared" si="23"/>
        <v>766</v>
      </c>
      <c r="AD89" s="3" t="str">
        <f t="shared" si="42"/>
        <v>STRONG</v>
      </c>
      <c r="AE89" s="30" t="str">
        <f t="shared" si="43"/>
        <v>VLOW</v>
      </c>
      <c r="AF89" s="3" t="str">
        <f t="shared" si="44"/>
        <v>EXCELLENT</v>
      </c>
      <c r="AG89" s="3" t="str">
        <f t="shared" si="33"/>
        <v>MEN</v>
      </c>
      <c r="AH89" s="3" t="e">
        <f t="shared" si="45"/>
        <v>#DIV/0!</v>
      </c>
      <c r="AI89" s="36">
        <f t="shared" ref="AI89:AI93" si="48">G89-E89</f>
        <v>89.686684073107</v>
      </c>
      <c r="AJ89" s="31" t="str">
        <f t="shared" si="34"/>
        <v>CONGRESSGAIN</v>
      </c>
      <c r="AK89" s="30" t="str">
        <f t="shared" si="46"/>
        <v>VERYHIGHMARGIN</v>
      </c>
    </row>
    <row r="90" spans="1:37">
      <c r="A90" s="37">
        <v>87</v>
      </c>
      <c r="B90" s="109" t="s">
        <v>122</v>
      </c>
      <c r="C90" s="37">
        <v>552</v>
      </c>
      <c r="D90" s="37">
        <v>11</v>
      </c>
      <c r="E90" s="37">
        <f t="shared" si="27"/>
        <v>1.99275362318841</v>
      </c>
      <c r="F90" s="37">
        <v>524</v>
      </c>
      <c r="G90" s="37">
        <f t="shared" si="28"/>
        <v>94.9275362318841</v>
      </c>
      <c r="H90" s="37">
        <v>5</v>
      </c>
      <c r="I90" s="37">
        <f t="shared" si="29"/>
        <v>0.905797101449275</v>
      </c>
      <c r="J90" s="37">
        <v>7</v>
      </c>
      <c r="K90" s="37">
        <f t="shared" si="30"/>
        <v>1.26811594202899</v>
      </c>
      <c r="L90" s="112">
        <v>359</v>
      </c>
      <c r="M90" s="112">
        <v>353</v>
      </c>
      <c r="N90" s="112">
        <f t="shared" si="31"/>
        <v>712</v>
      </c>
      <c r="O90" s="37">
        <v>552</v>
      </c>
      <c r="P90" s="113">
        <f t="shared" si="35"/>
        <v>77.5280898876404</v>
      </c>
      <c r="Q90" s="37">
        <v>0</v>
      </c>
      <c r="R90" s="37">
        <f t="shared" si="36"/>
        <v>0</v>
      </c>
      <c r="S90" s="115">
        <f t="shared" si="32"/>
        <v>0</v>
      </c>
      <c r="T90" s="37" t="e">
        <f t="shared" si="37"/>
        <v>#DIV/0!</v>
      </c>
      <c r="U90" s="37">
        <v>0</v>
      </c>
      <c r="V90" s="117">
        <f t="shared" si="38"/>
        <v>0</v>
      </c>
      <c r="W90" s="37">
        <v>691</v>
      </c>
      <c r="X90" s="37">
        <f t="shared" si="39"/>
        <v>100</v>
      </c>
      <c r="Y90" s="37">
        <f t="shared" si="47"/>
        <v>139</v>
      </c>
      <c r="Z90" s="3">
        <f t="shared" si="40"/>
        <v>20.1157742402315</v>
      </c>
      <c r="AA90" s="3">
        <v>552</v>
      </c>
      <c r="AB90" s="118">
        <f t="shared" si="41"/>
        <v>79.8842257597685</v>
      </c>
      <c r="AC90" s="3">
        <f t="shared" si="23"/>
        <v>552</v>
      </c>
      <c r="AD90" s="3" t="str">
        <f t="shared" si="42"/>
        <v>STRONG</v>
      </c>
      <c r="AE90" s="30" t="str">
        <f t="shared" si="43"/>
        <v>VLOW</v>
      </c>
      <c r="AF90" s="3" t="str">
        <f t="shared" si="44"/>
        <v>EXCELLENT</v>
      </c>
      <c r="AG90" s="3" t="str">
        <f t="shared" si="33"/>
        <v>MEN</v>
      </c>
      <c r="AH90" s="3" t="e">
        <f t="shared" si="45"/>
        <v>#DIV/0!</v>
      </c>
      <c r="AI90" s="36">
        <f t="shared" si="48"/>
        <v>92.9347826086957</v>
      </c>
      <c r="AJ90" s="31" t="str">
        <f t="shared" si="34"/>
        <v>CONGRESSGAIN</v>
      </c>
      <c r="AK90" s="30" t="str">
        <f t="shared" si="46"/>
        <v>VERYHIGHMARGIN</v>
      </c>
    </row>
    <row r="91" spans="1:37">
      <c r="A91" s="37">
        <v>88</v>
      </c>
      <c r="B91" s="109" t="s">
        <v>123</v>
      </c>
      <c r="C91" s="37">
        <v>710</v>
      </c>
      <c r="D91" s="37">
        <v>45</v>
      </c>
      <c r="E91" s="37">
        <f t="shared" si="27"/>
        <v>6.33802816901408</v>
      </c>
      <c r="F91" s="37">
        <v>599</v>
      </c>
      <c r="G91" s="37">
        <f t="shared" si="28"/>
        <v>84.3661971830986</v>
      </c>
      <c r="H91" s="37">
        <v>9</v>
      </c>
      <c r="I91" s="37">
        <f t="shared" si="29"/>
        <v>1.26760563380282</v>
      </c>
      <c r="J91" s="37">
        <v>47</v>
      </c>
      <c r="K91" s="37">
        <f t="shared" si="30"/>
        <v>6.61971830985915</v>
      </c>
      <c r="L91" s="122">
        <v>544</v>
      </c>
      <c r="M91" s="122">
        <v>547</v>
      </c>
      <c r="N91" s="122">
        <f t="shared" si="31"/>
        <v>1091</v>
      </c>
      <c r="O91" s="123">
        <v>710</v>
      </c>
      <c r="P91" s="124">
        <f t="shared" si="35"/>
        <v>65.0779101741522</v>
      </c>
      <c r="Q91" s="123">
        <v>0</v>
      </c>
      <c r="R91" s="37">
        <f t="shared" si="36"/>
        <v>0</v>
      </c>
      <c r="S91" s="123">
        <f t="shared" si="32"/>
        <v>0</v>
      </c>
      <c r="T91" s="37" t="e">
        <f t="shared" si="37"/>
        <v>#DIV/0!</v>
      </c>
      <c r="U91" s="123">
        <v>0</v>
      </c>
      <c r="V91" s="125">
        <f t="shared" si="38"/>
        <v>0</v>
      </c>
      <c r="W91" s="123">
        <v>1091</v>
      </c>
      <c r="X91" s="37">
        <f t="shared" si="39"/>
        <v>100</v>
      </c>
      <c r="Y91" s="127">
        <f t="shared" si="47"/>
        <v>389</v>
      </c>
      <c r="Z91" s="3">
        <f t="shared" si="40"/>
        <v>35.6553620531622</v>
      </c>
      <c r="AA91" s="128">
        <v>702</v>
      </c>
      <c r="AB91" s="129">
        <f t="shared" si="41"/>
        <v>64.3446379468378</v>
      </c>
      <c r="AC91" s="128">
        <f t="shared" si="23"/>
        <v>702</v>
      </c>
      <c r="AD91" s="3" t="str">
        <f t="shared" si="42"/>
        <v>AVG</v>
      </c>
      <c r="AE91" s="30" t="str">
        <f t="shared" si="43"/>
        <v>VLOW</v>
      </c>
      <c r="AF91" s="3" t="str">
        <f t="shared" si="44"/>
        <v>EXCELLENT</v>
      </c>
      <c r="AG91" s="3" t="str">
        <f t="shared" si="33"/>
        <v>FEMALE DOM</v>
      </c>
      <c r="AH91" s="3" t="e">
        <f t="shared" si="45"/>
        <v>#DIV/0!</v>
      </c>
      <c r="AI91" s="36">
        <f t="shared" si="48"/>
        <v>78.0281690140845</v>
      </c>
      <c r="AJ91" s="31" t="str">
        <f t="shared" si="34"/>
        <v>CONGRESSGAIN</v>
      </c>
      <c r="AK91" s="30" t="str">
        <f t="shared" si="46"/>
        <v>VERYHIGHMARGIN</v>
      </c>
    </row>
    <row r="92" spans="1:37">
      <c r="A92" s="37">
        <v>89</v>
      </c>
      <c r="B92" s="109" t="s">
        <v>124</v>
      </c>
      <c r="C92" s="37">
        <v>894</v>
      </c>
      <c r="D92" s="37">
        <v>13</v>
      </c>
      <c r="E92" s="37">
        <f t="shared" si="27"/>
        <v>1.45413870246085</v>
      </c>
      <c r="F92" s="37">
        <v>830</v>
      </c>
      <c r="G92" s="37">
        <f t="shared" si="28"/>
        <v>92.841163310962</v>
      </c>
      <c r="H92" s="37">
        <v>6</v>
      </c>
      <c r="I92" s="37">
        <f t="shared" si="29"/>
        <v>0.671140939597315</v>
      </c>
      <c r="J92" s="37">
        <v>23</v>
      </c>
      <c r="K92" s="37">
        <f t="shared" si="30"/>
        <v>2.57270693512304</v>
      </c>
      <c r="L92" s="112">
        <v>589</v>
      </c>
      <c r="M92" s="112">
        <v>641</v>
      </c>
      <c r="N92" s="112">
        <f t="shared" si="31"/>
        <v>1230</v>
      </c>
      <c r="O92" s="37">
        <v>894</v>
      </c>
      <c r="P92" s="113">
        <f t="shared" si="35"/>
        <v>72.6829268292683</v>
      </c>
      <c r="Q92" s="37">
        <v>0</v>
      </c>
      <c r="R92" s="37">
        <f t="shared" si="36"/>
        <v>0</v>
      </c>
      <c r="S92" s="37">
        <f t="shared" si="32"/>
        <v>0</v>
      </c>
      <c r="T92" s="37" t="e">
        <f t="shared" si="37"/>
        <v>#DIV/0!</v>
      </c>
      <c r="U92" s="37">
        <v>0</v>
      </c>
      <c r="V92" s="117">
        <f t="shared" si="38"/>
        <v>0</v>
      </c>
      <c r="W92" s="37">
        <v>1230</v>
      </c>
      <c r="X92" s="37">
        <f t="shared" si="39"/>
        <v>100</v>
      </c>
      <c r="Y92" s="37">
        <f t="shared" si="47"/>
        <v>336</v>
      </c>
      <c r="Z92" s="3">
        <f t="shared" si="40"/>
        <v>27.3170731707317</v>
      </c>
      <c r="AA92" s="3">
        <v>894</v>
      </c>
      <c r="AB92" s="118">
        <f t="shared" si="41"/>
        <v>72.6829268292683</v>
      </c>
      <c r="AC92" s="3">
        <f t="shared" si="23"/>
        <v>894</v>
      </c>
      <c r="AD92" s="3" t="str">
        <f t="shared" si="42"/>
        <v>STRONG</v>
      </c>
      <c r="AE92" s="30" t="str">
        <f t="shared" si="43"/>
        <v>VLOW</v>
      </c>
      <c r="AF92" s="3" t="str">
        <f t="shared" si="44"/>
        <v>EXCELLENT</v>
      </c>
      <c r="AG92" s="3" t="str">
        <f t="shared" si="33"/>
        <v>FEMALE DOM</v>
      </c>
      <c r="AH92" s="3" t="e">
        <f t="shared" si="45"/>
        <v>#DIV/0!</v>
      </c>
      <c r="AI92" s="36">
        <f t="shared" si="48"/>
        <v>91.3870246085011</v>
      </c>
      <c r="AJ92" s="31" t="str">
        <f t="shared" si="34"/>
        <v>CONGRESSGAIN</v>
      </c>
      <c r="AK92" s="30" t="str">
        <f t="shared" si="46"/>
        <v>VERYHIGHMARGIN</v>
      </c>
    </row>
    <row r="93" spans="1:37">
      <c r="A93" s="37">
        <v>90</v>
      </c>
      <c r="B93" s="109" t="s">
        <v>125</v>
      </c>
      <c r="C93" s="37">
        <v>804</v>
      </c>
      <c r="D93" s="37">
        <v>28</v>
      </c>
      <c r="E93" s="37">
        <f t="shared" si="27"/>
        <v>3.48258706467662</v>
      </c>
      <c r="F93" s="37">
        <v>720</v>
      </c>
      <c r="G93" s="37">
        <f t="shared" si="28"/>
        <v>89.5522388059701</v>
      </c>
      <c r="H93" s="37">
        <v>14</v>
      </c>
      <c r="I93" s="37">
        <f t="shared" si="29"/>
        <v>1.74129353233831</v>
      </c>
      <c r="J93" s="37">
        <v>28</v>
      </c>
      <c r="K93" s="37">
        <f t="shared" si="30"/>
        <v>3.48258706467662</v>
      </c>
      <c r="L93" s="112">
        <v>614</v>
      </c>
      <c r="M93" s="112">
        <v>586</v>
      </c>
      <c r="N93" s="112">
        <f t="shared" si="31"/>
        <v>1200</v>
      </c>
      <c r="O93" s="115">
        <v>804</v>
      </c>
      <c r="P93" s="113">
        <f t="shared" si="35"/>
        <v>67</v>
      </c>
      <c r="Q93" s="37"/>
      <c r="R93" s="37">
        <f t="shared" si="36"/>
        <v>0</v>
      </c>
      <c r="S93" s="37">
        <f t="shared" si="32"/>
        <v>0</v>
      </c>
      <c r="T93" s="37" t="e">
        <f t="shared" si="37"/>
        <v>#DIV/0!</v>
      </c>
      <c r="U93" s="37"/>
      <c r="V93" s="117">
        <f t="shared" si="38"/>
        <v>0</v>
      </c>
      <c r="W93" s="37"/>
      <c r="X93" s="37">
        <f t="shared" si="39"/>
        <v>100</v>
      </c>
      <c r="Y93" s="37">
        <f t="shared" si="47"/>
        <v>0</v>
      </c>
      <c r="Z93" s="3" t="e">
        <f t="shared" si="40"/>
        <v>#DIV/0!</v>
      </c>
      <c r="AA93" s="3"/>
      <c r="AB93" s="118">
        <f t="shared" si="41"/>
        <v>0</v>
      </c>
      <c r="AC93" s="3">
        <f t="shared" si="23"/>
        <v>0</v>
      </c>
      <c r="AD93" s="3" t="str">
        <f t="shared" si="42"/>
        <v>AVG</v>
      </c>
      <c r="AE93" s="30" t="str">
        <f t="shared" si="43"/>
        <v>VLOW</v>
      </c>
      <c r="AF93" s="3" t="str">
        <f t="shared" si="44"/>
        <v>EXCELLENT</v>
      </c>
      <c r="AG93" s="3" t="str">
        <f t="shared" si="33"/>
        <v>MEN</v>
      </c>
      <c r="AH93" s="3" t="e">
        <f t="shared" si="45"/>
        <v>#DIV/0!</v>
      </c>
      <c r="AI93" s="36">
        <f t="shared" si="48"/>
        <v>86.0696517412935</v>
      </c>
      <c r="AJ93" s="31" t="str">
        <f t="shared" si="34"/>
        <v>CONGRESSGAIN</v>
      </c>
      <c r="AK93" s="30" t="str">
        <f t="shared" si="46"/>
        <v>VERYHIGHMARGIN</v>
      </c>
    </row>
    <row r="94" spans="1:37">
      <c r="A94" s="37">
        <v>91</v>
      </c>
      <c r="B94" s="109" t="s">
        <v>126</v>
      </c>
      <c r="C94" s="37">
        <v>821</v>
      </c>
      <c r="D94" s="37">
        <v>714</v>
      </c>
      <c r="E94" s="37">
        <f t="shared" si="27"/>
        <v>86.9671132764921</v>
      </c>
      <c r="F94" s="37">
        <v>78</v>
      </c>
      <c r="G94" s="37">
        <f t="shared" si="28"/>
        <v>9.50060901339829</v>
      </c>
      <c r="H94" s="37">
        <v>3</v>
      </c>
      <c r="I94" s="37">
        <f t="shared" si="29"/>
        <v>0.365408038976857</v>
      </c>
      <c r="J94" s="37">
        <v>5</v>
      </c>
      <c r="K94" s="37">
        <f t="shared" si="30"/>
        <v>0.609013398294762</v>
      </c>
      <c r="L94" s="112">
        <v>529</v>
      </c>
      <c r="M94" s="112">
        <v>540</v>
      </c>
      <c r="N94" s="112">
        <f t="shared" si="31"/>
        <v>1069</v>
      </c>
      <c r="O94" s="37">
        <v>821</v>
      </c>
      <c r="P94" s="113">
        <f t="shared" si="35"/>
        <v>76.800748362956</v>
      </c>
      <c r="Q94" s="37">
        <v>1047</v>
      </c>
      <c r="R94" s="37">
        <f t="shared" si="36"/>
        <v>97.9420018709074</v>
      </c>
      <c r="S94" s="115">
        <f t="shared" si="32"/>
        <v>243</v>
      </c>
      <c r="T94" s="37">
        <f t="shared" si="37"/>
        <v>23.2091690544413</v>
      </c>
      <c r="U94" s="37">
        <v>804</v>
      </c>
      <c r="V94" s="117">
        <f t="shared" si="38"/>
        <v>76.7908309455587</v>
      </c>
      <c r="W94" s="37">
        <v>22</v>
      </c>
      <c r="X94" s="37">
        <f t="shared" si="39"/>
        <v>2.05799812909261</v>
      </c>
      <c r="Y94" s="119">
        <f t="shared" si="47"/>
        <v>5</v>
      </c>
      <c r="Z94" s="3">
        <f t="shared" si="40"/>
        <v>22.7272727272727</v>
      </c>
      <c r="AA94" s="3">
        <v>17</v>
      </c>
      <c r="AB94" s="118">
        <f t="shared" si="41"/>
        <v>77.2727272727273</v>
      </c>
      <c r="AC94" s="3">
        <f t="shared" si="23"/>
        <v>821</v>
      </c>
      <c r="AD94" s="3" t="str">
        <f t="shared" si="42"/>
        <v>STRONG</v>
      </c>
      <c r="AE94" s="30" t="str">
        <f t="shared" si="43"/>
        <v>EXCELLENT</v>
      </c>
      <c r="AF94" s="3" t="str">
        <f t="shared" si="44"/>
        <v>VLOW</v>
      </c>
      <c r="AG94" s="3" t="str">
        <f t="shared" si="33"/>
        <v>FEMALE DOM</v>
      </c>
      <c r="AH94" s="3" t="str">
        <f t="shared" si="45"/>
        <v>H</v>
      </c>
      <c r="AI94" s="36">
        <f>E94-G94</f>
        <v>77.4665042630938</v>
      </c>
      <c r="AJ94" s="35" t="str">
        <f t="shared" si="34"/>
        <v>BJP GAIN</v>
      </c>
      <c r="AK94" s="30" t="str">
        <f t="shared" si="46"/>
        <v>VERYHIGHMARGIN</v>
      </c>
    </row>
    <row r="95" spans="1:37">
      <c r="A95" s="37">
        <v>92</v>
      </c>
      <c r="B95" s="109" t="s">
        <v>127</v>
      </c>
      <c r="C95" s="37">
        <v>414</v>
      </c>
      <c r="D95" s="37">
        <v>236</v>
      </c>
      <c r="E95" s="37">
        <f t="shared" si="27"/>
        <v>57.0048309178744</v>
      </c>
      <c r="F95" s="37">
        <v>164</v>
      </c>
      <c r="G95" s="37">
        <f t="shared" si="28"/>
        <v>39.6135265700483</v>
      </c>
      <c r="H95" s="37">
        <v>2</v>
      </c>
      <c r="I95" s="37">
        <f t="shared" si="29"/>
        <v>0.483091787439614</v>
      </c>
      <c r="J95" s="37">
        <v>1</v>
      </c>
      <c r="K95" s="37">
        <f t="shared" si="30"/>
        <v>0.241545893719807</v>
      </c>
      <c r="L95" s="112">
        <v>256</v>
      </c>
      <c r="M95" s="112">
        <v>279</v>
      </c>
      <c r="N95" s="112">
        <f t="shared" si="31"/>
        <v>535</v>
      </c>
      <c r="O95" s="37">
        <v>414</v>
      </c>
      <c r="P95" s="113">
        <f t="shared" si="35"/>
        <v>77.3831775700935</v>
      </c>
      <c r="Q95" s="37">
        <v>336</v>
      </c>
      <c r="R95" s="37">
        <f t="shared" si="36"/>
        <v>62.803738317757</v>
      </c>
      <c r="S95" s="37">
        <f t="shared" si="32"/>
        <v>72</v>
      </c>
      <c r="T95" s="37">
        <f t="shared" si="37"/>
        <v>21.4285714285714</v>
      </c>
      <c r="U95" s="37">
        <v>264</v>
      </c>
      <c r="V95" s="117">
        <f t="shared" si="38"/>
        <v>78.5714285714286</v>
      </c>
      <c r="W95" s="37">
        <v>199</v>
      </c>
      <c r="X95" s="37">
        <f t="shared" si="39"/>
        <v>37.196261682243</v>
      </c>
      <c r="Y95" s="37">
        <f t="shared" si="47"/>
        <v>56</v>
      </c>
      <c r="Z95" s="3">
        <f t="shared" si="40"/>
        <v>28.1407035175879</v>
      </c>
      <c r="AA95" s="3">
        <v>143</v>
      </c>
      <c r="AB95" s="118">
        <f t="shared" si="41"/>
        <v>71.8592964824121</v>
      </c>
      <c r="AC95" s="3">
        <f t="shared" si="23"/>
        <v>407</v>
      </c>
      <c r="AD95" s="3" t="str">
        <f t="shared" si="42"/>
        <v>STRONG</v>
      </c>
      <c r="AE95" s="30" t="str">
        <f t="shared" si="43"/>
        <v>AVG</v>
      </c>
      <c r="AF95" s="3" t="str">
        <f t="shared" si="44"/>
        <v>VLOW</v>
      </c>
      <c r="AG95" s="3" t="str">
        <f t="shared" si="33"/>
        <v>FEMALE DOM</v>
      </c>
      <c r="AH95" s="3" t="str">
        <f t="shared" si="45"/>
        <v>O</v>
      </c>
      <c r="AI95" s="36">
        <f>E95-G95</f>
        <v>17.3913043478261</v>
      </c>
      <c r="AJ95" s="35" t="str">
        <f t="shared" si="34"/>
        <v>BJP GAIN</v>
      </c>
      <c r="AK95" s="36" t="str">
        <f t="shared" si="46"/>
        <v>LOWMARGIN</v>
      </c>
    </row>
    <row r="96" spans="1:37">
      <c r="A96" s="37">
        <v>93</v>
      </c>
      <c r="B96" s="109" t="s">
        <v>128</v>
      </c>
      <c r="C96" s="37">
        <v>1008</v>
      </c>
      <c r="D96" s="37">
        <v>898</v>
      </c>
      <c r="E96" s="37">
        <f t="shared" si="27"/>
        <v>89.0873015873016</v>
      </c>
      <c r="F96" s="37">
        <v>86</v>
      </c>
      <c r="G96" s="37">
        <f t="shared" si="28"/>
        <v>8.53174603174603</v>
      </c>
      <c r="H96" s="37">
        <v>6</v>
      </c>
      <c r="I96" s="37">
        <f t="shared" si="29"/>
        <v>0.595238095238095</v>
      </c>
      <c r="J96" s="37">
        <v>6</v>
      </c>
      <c r="K96" s="37">
        <f t="shared" si="30"/>
        <v>0.595238095238095</v>
      </c>
      <c r="L96" s="112">
        <v>589</v>
      </c>
      <c r="M96" s="112">
        <v>604</v>
      </c>
      <c r="N96" s="112">
        <f t="shared" si="31"/>
        <v>1193</v>
      </c>
      <c r="O96" s="37">
        <v>1008</v>
      </c>
      <c r="P96" s="113">
        <f t="shared" si="35"/>
        <v>84.4928751047779</v>
      </c>
      <c r="Q96" s="37">
        <v>1162</v>
      </c>
      <c r="R96" s="37">
        <f t="shared" si="36"/>
        <v>97.4015088013412</v>
      </c>
      <c r="S96" s="37">
        <f t="shared" si="32"/>
        <v>171</v>
      </c>
      <c r="T96" s="37">
        <f t="shared" si="37"/>
        <v>14.7160068846816</v>
      </c>
      <c r="U96" s="37">
        <v>991</v>
      </c>
      <c r="V96" s="117">
        <f t="shared" si="38"/>
        <v>85.2839931153184</v>
      </c>
      <c r="W96" s="37">
        <v>31</v>
      </c>
      <c r="X96" s="37">
        <f t="shared" si="39"/>
        <v>2.59849119865885</v>
      </c>
      <c r="Y96" s="37">
        <f t="shared" si="47"/>
        <v>14</v>
      </c>
      <c r="Z96" s="3">
        <f t="shared" si="40"/>
        <v>45.1612903225806</v>
      </c>
      <c r="AA96" s="3">
        <v>17</v>
      </c>
      <c r="AB96" s="118">
        <f t="shared" si="41"/>
        <v>54.8387096774194</v>
      </c>
      <c r="AC96" s="3">
        <f t="shared" ref="AC96:AC159" si="49">U96+AA96</f>
        <v>1008</v>
      </c>
      <c r="AD96" s="3" t="str">
        <f t="shared" si="42"/>
        <v>EXCELLENT</v>
      </c>
      <c r="AE96" s="30" t="str">
        <f t="shared" si="43"/>
        <v>EXCELLENT</v>
      </c>
      <c r="AF96" s="3" t="str">
        <f t="shared" si="44"/>
        <v>VLOW</v>
      </c>
      <c r="AG96" s="3" t="str">
        <f t="shared" si="33"/>
        <v>FEMALE DOM</v>
      </c>
      <c r="AH96" s="3" t="str">
        <f t="shared" si="45"/>
        <v>O</v>
      </c>
      <c r="AI96" s="36">
        <f>E96-G96</f>
        <v>80.5555555555556</v>
      </c>
      <c r="AJ96" s="35" t="str">
        <f t="shared" si="34"/>
        <v>BJP GAIN</v>
      </c>
      <c r="AK96" s="30" t="str">
        <f t="shared" si="46"/>
        <v>VERYHIGHMARGIN</v>
      </c>
    </row>
    <row r="97" spans="1:37">
      <c r="A97" s="37">
        <v>94</v>
      </c>
      <c r="B97" s="109" t="s">
        <v>129</v>
      </c>
      <c r="C97" s="37">
        <v>672</v>
      </c>
      <c r="D97" s="37">
        <v>296</v>
      </c>
      <c r="E97" s="37">
        <f t="shared" si="27"/>
        <v>44.047619047619</v>
      </c>
      <c r="F97" s="37">
        <v>361</v>
      </c>
      <c r="G97" s="37">
        <f t="shared" si="28"/>
        <v>53.7202380952381</v>
      </c>
      <c r="H97" s="37">
        <v>1</v>
      </c>
      <c r="I97" s="37">
        <f t="shared" si="29"/>
        <v>0.148809523809524</v>
      </c>
      <c r="J97" s="37">
        <v>2</v>
      </c>
      <c r="K97" s="37">
        <f t="shared" si="30"/>
        <v>0.297619047619048</v>
      </c>
      <c r="L97" s="112">
        <v>461</v>
      </c>
      <c r="M97" s="112">
        <v>513</v>
      </c>
      <c r="N97" s="112">
        <f t="shared" si="31"/>
        <v>974</v>
      </c>
      <c r="O97" s="37">
        <v>672</v>
      </c>
      <c r="P97" s="113">
        <f t="shared" si="35"/>
        <v>68.9938398357289</v>
      </c>
      <c r="Q97" s="37">
        <v>510</v>
      </c>
      <c r="R97" s="37">
        <f t="shared" si="36"/>
        <v>52.3613963039014</v>
      </c>
      <c r="S97" s="37">
        <f t="shared" si="32"/>
        <v>229</v>
      </c>
      <c r="T97" s="37">
        <f t="shared" si="37"/>
        <v>44.9019607843137</v>
      </c>
      <c r="U97" s="37">
        <v>281</v>
      </c>
      <c r="V97" s="117">
        <f t="shared" si="38"/>
        <v>55.0980392156863</v>
      </c>
      <c r="W97" s="37">
        <f>348+132-16</f>
        <v>464</v>
      </c>
      <c r="X97" s="37">
        <f t="shared" si="39"/>
        <v>47.6386036960986</v>
      </c>
      <c r="Y97" s="119">
        <f t="shared" si="47"/>
        <v>73</v>
      </c>
      <c r="Z97" s="3">
        <f t="shared" si="40"/>
        <v>15.7327586206897</v>
      </c>
      <c r="AA97" s="3">
        <f>672-281</f>
        <v>391</v>
      </c>
      <c r="AB97" s="118">
        <f t="shared" si="41"/>
        <v>84.2672413793103</v>
      </c>
      <c r="AC97" s="3">
        <f t="shared" si="49"/>
        <v>672</v>
      </c>
      <c r="AD97" s="3" t="str">
        <f t="shared" si="42"/>
        <v>AVG</v>
      </c>
      <c r="AE97" s="30" t="str">
        <f t="shared" si="43"/>
        <v>WEAK</v>
      </c>
      <c r="AF97" s="3" t="str">
        <f t="shared" si="44"/>
        <v>VLOW</v>
      </c>
      <c r="AG97" s="3" t="str">
        <f t="shared" si="33"/>
        <v>FEMALE DOM</v>
      </c>
      <c r="AH97" s="3" t="str">
        <f t="shared" si="45"/>
        <v>H</v>
      </c>
      <c r="AI97" s="36">
        <f>G97-E97</f>
        <v>9.67261904761905</v>
      </c>
      <c r="AJ97" s="31" t="str">
        <f t="shared" si="34"/>
        <v>CONGRESSGAIN</v>
      </c>
      <c r="AK97" s="32" t="str">
        <f t="shared" si="46"/>
        <v>NARROWMARGIN</v>
      </c>
    </row>
    <row r="98" spans="1:37">
      <c r="A98" s="37">
        <v>95</v>
      </c>
      <c r="B98" s="109" t="s">
        <v>130</v>
      </c>
      <c r="C98" s="37">
        <v>777</v>
      </c>
      <c r="D98" s="37">
        <v>145</v>
      </c>
      <c r="E98" s="37">
        <f t="shared" si="27"/>
        <v>18.6615186615187</v>
      </c>
      <c r="F98" s="37">
        <v>610</v>
      </c>
      <c r="G98" s="37">
        <f t="shared" si="28"/>
        <v>78.5070785070785</v>
      </c>
      <c r="H98" s="37">
        <v>8</v>
      </c>
      <c r="I98" s="37">
        <f t="shared" si="29"/>
        <v>1.02960102960103</v>
      </c>
      <c r="J98" s="37">
        <v>2</v>
      </c>
      <c r="K98" s="37">
        <f t="shared" si="30"/>
        <v>0.257400257400257</v>
      </c>
      <c r="L98" s="112">
        <v>549</v>
      </c>
      <c r="M98" s="112">
        <v>539</v>
      </c>
      <c r="N98" s="112">
        <f t="shared" si="31"/>
        <v>1088</v>
      </c>
      <c r="O98" s="37">
        <v>778</v>
      </c>
      <c r="P98" s="113">
        <f t="shared" si="35"/>
        <v>71.5073529411765</v>
      </c>
      <c r="Q98" s="37">
        <v>196</v>
      </c>
      <c r="R98" s="37">
        <f t="shared" si="36"/>
        <v>18.0147058823529</v>
      </c>
      <c r="S98" s="115">
        <f t="shared" si="32"/>
        <v>23</v>
      </c>
      <c r="T98" s="37">
        <f t="shared" si="37"/>
        <v>11.734693877551</v>
      </c>
      <c r="U98" s="37">
        <v>173</v>
      </c>
      <c r="V98" s="117">
        <f t="shared" si="38"/>
        <v>88.265306122449</v>
      </c>
      <c r="W98" s="37">
        <v>840</v>
      </c>
      <c r="X98" s="37">
        <f t="shared" si="39"/>
        <v>81.9852941176471</v>
      </c>
      <c r="Y98" s="37">
        <f t="shared" si="47"/>
        <v>302</v>
      </c>
      <c r="Z98" s="3">
        <f t="shared" si="40"/>
        <v>35.9523809523809</v>
      </c>
      <c r="AA98" s="3">
        <v>538</v>
      </c>
      <c r="AB98" s="118">
        <f t="shared" si="41"/>
        <v>64.047619047619</v>
      </c>
      <c r="AC98" s="3">
        <f t="shared" si="49"/>
        <v>711</v>
      </c>
      <c r="AD98" s="3" t="str">
        <f t="shared" si="42"/>
        <v>STRONG</v>
      </c>
      <c r="AE98" s="30" t="str">
        <f t="shared" si="43"/>
        <v>VLOW</v>
      </c>
      <c r="AF98" s="3" t="str">
        <f t="shared" si="44"/>
        <v>EXCELLENT</v>
      </c>
      <c r="AG98" s="3" t="str">
        <f t="shared" si="33"/>
        <v>MEN</v>
      </c>
      <c r="AH98" s="3" t="str">
        <f t="shared" si="45"/>
        <v>O</v>
      </c>
      <c r="AI98" s="36">
        <f t="shared" ref="AI98:AI100" si="50">G98-E98</f>
        <v>59.8455598455598</v>
      </c>
      <c r="AJ98" s="31" t="str">
        <f t="shared" si="34"/>
        <v>CONGRESSGAIN</v>
      </c>
      <c r="AK98" s="30" t="str">
        <f t="shared" si="46"/>
        <v>VERYHIGHMARGIN</v>
      </c>
    </row>
    <row r="99" spans="1:37">
      <c r="A99" s="37">
        <v>96</v>
      </c>
      <c r="B99" s="109" t="s">
        <v>131</v>
      </c>
      <c r="C99" s="37">
        <v>607</v>
      </c>
      <c r="D99" s="37">
        <v>89</v>
      </c>
      <c r="E99" s="37">
        <f t="shared" si="27"/>
        <v>14.662273476112</v>
      </c>
      <c r="F99" s="37">
        <v>505</v>
      </c>
      <c r="G99" s="37">
        <f t="shared" si="28"/>
        <v>83.1960461285008</v>
      </c>
      <c r="H99" s="37">
        <v>6</v>
      </c>
      <c r="I99" s="37">
        <f t="shared" si="29"/>
        <v>0.988467874794069</v>
      </c>
      <c r="J99" s="37">
        <v>4</v>
      </c>
      <c r="K99" s="37">
        <f t="shared" si="30"/>
        <v>0.658978583196046</v>
      </c>
      <c r="L99" s="112">
        <v>446</v>
      </c>
      <c r="M99" s="112">
        <v>444</v>
      </c>
      <c r="N99" s="112">
        <f t="shared" si="31"/>
        <v>890</v>
      </c>
      <c r="O99" s="37">
        <v>607</v>
      </c>
      <c r="P99" s="113">
        <f t="shared" si="35"/>
        <v>68.2022471910112</v>
      </c>
      <c r="Q99" s="37">
        <v>94</v>
      </c>
      <c r="R99" s="37">
        <f t="shared" si="36"/>
        <v>10.561797752809</v>
      </c>
      <c r="S99" s="37">
        <f t="shared" si="32"/>
        <v>32</v>
      </c>
      <c r="T99" s="37">
        <f t="shared" si="37"/>
        <v>34.0425531914894</v>
      </c>
      <c r="U99" s="37">
        <v>62</v>
      </c>
      <c r="V99" s="117">
        <f t="shared" si="38"/>
        <v>65.9574468085106</v>
      </c>
      <c r="W99" s="37">
        <v>740</v>
      </c>
      <c r="X99" s="37">
        <f t="shared" si="39"/>
        <v>89.438202247191</v>
      </c>
      <c r="Y99" s="37">
        <f t="shared" si="47"/>
        <v>246</v>
      </c>
      <c r="Z99" s="3">
        <f t="shared" si="40"/>
        <v>33.2432432432432</v>
      </c>
      <c r="AA99" s="3">
        <v>494</v>
      </c>
      <c r="AB99" s="118">
        <f t="shared" si="41"/>
        <v>66.7567567567568</v>
      </c>
      <c r="AC99" s="3">
        <f t="shared" si="49"/>
        <v>556</v>
      </c>
      <c r="AD99" s="3" t="str">
        <f t="shared" si="42"/>
        <v>AVG</v>
      </c>
      <c r="AE99" s="30" t="str">
        <f t="shared" si="43"/>
        <v>VLOW</v>
      </c>
      <c r="AF99" s="3" t="str">
        <f t="shared" si="44"/>
        <v>EXCELLENT</v>
      </c>
      <c r="AG99" s="3" t="str">
        <f t="shared" si="33"/>
        <v>MEN</v>
      </c>
      <c r="AH99" s="3" t="str">
        <f t="shared" si="45"/>
        <v>H</v>
      </c>
      <c r="AI99" s="36">
        <f t="shared" si="50"/>
        <v>68.5337726523888</v>
      </c>
      <c r="AJ99" s="31" t="str">
        <f t="shared" si="34"/>
        <v>CONGRESSGAIN</v>
      </c>
      <c r="AK99" s="30" t="str">
        <f t="shared" si="46"/>
        <v>VERYHIGHMARGIN</v>
      </c>
    </row>
    <row r="100" spans="1:37">
      <c r="A100" s="37">
        <v>97</v>
      </c>
      <c r="B100" s="109" t="s">
        <v>132</v>
      </c>
      <c r="C100" s="37">
        <v>682</v>
      </c>
      <c r="D100" s="37">
        <v>259</v>
      </c>
      <c r="E100" s="37">
        <f t="shared" si="27"/>
        <v>37.9765395894428</v>
      </c>
      <c r="F100" s="37">
        <v>407</v>
      </c>
      <c r="G100" s="37">
        <f t="shared" si="28"/>
        <v>59.6774193548387</v>
      </c>
      <c r="H100" s="37">
        <v>4</v>
      </c>
      <c r="I100" s="37">
        <f t="shared" si="29"/>
        <v>0.586510263929619</v>
      </c>
      <c r="J100" s="37">
        <v>4</v>
      </c>
      <c r="K100" s="37">
        <f t="shared" si="30"/>
        <v>0.586510263929619</v>
      </c>
      <c r="L100" s="112">
        <v>488</v>
      </c>
      <c r="M100" s="112">
        <v>505</v>
      </c>
      <c r="N100" s="112">
        <f t="shared" si="31"/>
        <v>993</v>
      </c>
      <c r="O100" s="37">
        <v>682</v>
      </c>
      <c r="P100" s="113">
        <f t="shared" si="35"/>
        <v>68.6807653575025</v>
      </c>
      <c r="Q100" s="37">
        <v>439</v>
      </c>
      <c r="R100" s="37">
        <f t="shared" si="36"/>
        <v>44.2094662638469</v>
      </c>
      <c r="S100" s="37">
        <f t="shared" si="32"/>
        <v>143</v>
      </c>
      <c r="T100" s="37">
        <f t="shared" si="37"/>
        <v>32.5740318906606</v>
      </c>
      <c r="U100" s="37">
        <v>296</v>
      </c>
      <c r="V100" s="117">
        <f t="shared" si="38"/>
        <v>67.4259681093394</v>
      </c>
      <c r="W100" s="37">
        <f>486+8</f>
        <v>494</v>
      </c>
      <c r="X100" s="37">
        <f t="shared" si="39"/>
        <v>55.7905337361531</v>
      </c>
      <c r="Y100" s="119">
        <f t="shared" si="47"/>
        <v>133</v>
      </c>
      <c r="Z100" s="3">
        <f t="shared" si="40"/>
        <v>26.9230769230769</v>
      </c>
      <c r="AA100" s="3">
        <f>359+2</f>
        <v>361</v>
      </c>
      <c r="AB100" s="118">
        <f t="shared" si="41"/>
        <v>73.0769230769231</v>
      </c>
      <c r="AC100" s="3">
        <f t="shared" si="49"/>
        <v>657</v>
      </c>
      <c r="AD100" s="3" t="str">
        <f t="shared" si="42"/>
        <v>AVG</v>
      </c>
      <c r="AE100" s="30" t="str">
        <f t="shared" si="43"/>
        <v>VLOW</v>
      </c>
      <c r="AF100" s="3" t="str">
        <f t="shared" si="44"/>
        <v>WEAK</v>
      </c>
      <c r="AG100" s="3" t="str">
        <f t="shared" si="33"/>
        <v>FEMALE DOM</v>
      </c>
      <c r="AH100" s="3" t="str">
        <f t="shared" si="45"/>
        <v>H</v>
      </c>
      <c r="AI100" s="36">
        <f t="shared" si="50"/>
        <v>21.7008797653959</v>
      </c>
      <c r="AJ100" s="31" t="str">
        <f t="shared" si="34"/>
        <v>CONGRESSGAIN</v>
      </c>
      <c r="AK100" s="36" t="str">
        <f t="shared" si="46"/>
        <v>LOWMARGIN</v>
      </c>
    </row>
    <row r="101" spans="1:37">
      <c r="A101" s="37">
        <v>98</v>
      </c>
      <c r="B101" s="109" t="s">
        <v>133</v>
      </c>
      <c r="C101" s="37">
        <v>772</v>
      </c>
      <c r="D101" s="37">
        <v>618</v>
      </c>
      <c r="E101" s="37">
        <f t="shared" si="27"/>
        <v>80.0518134715026</v>
      </c>
      <c r="F101" s="37">
        <v>116</v>
      </c>
      <c r="G101" s="37">
        <f t="shared" si="28"/>
        <v>15.0259067357513</v>
      </c>
      <c r="H101" s="37">
        <v>1</v>
      </c>
      <c r="I101" s="37">
        <f t="shared" si="29"/>
        <v>0.129533678756477</v>
      </c>
      <c r="J101" s="37">
        <v>2</v>
      </c>
      <c r="K101" s="37">
        <f t="shared" si="30"/>
        <v>0.259067357512953</v>
      </c>
      <c r="L101" s="112">
        <v>602</v>
      </c>
      <c r="M101" s="112">
        <v>651</v>
      </c>
      <c r="N101" s="112">
        <f t="shared" si="31"/>
        <v>1253</v>
      </c>
      <c r="O101" s="37">
        <v>772</v>
      </c>
      <c r="P101" s="113">
        <f t="shared" si="35"/>
        <v>61.6121308858739</v>
      </c>
      <c r="Q101" s="37"/>
      <c r="R101" s="37">
        <f t="shared" si="36"/>
        <v>0</v>
      </c>
      <c r="S101" s="37">
        <f t="shared" si="32"/>
        <v>0</v>
      </c>
      <c r="T101" s="37" t="e">
        <f t="shared" si="37"/>
        <v>#DIV/0!</v>
      </c>
      <c r="U101" s="37"/>
      <c r="V101" s="117">
        <f t="shared" si="38"/>
        <v>0</v>
      </c>
      <c r="W101" s="37"/>
      <c r="X101" s="37">
        <f t="shared" si="39"/>
        <v>100</v>
      </c>
      <c r="Y101" s="37">
        <f t="shared" si="47"/>
        <v>0</v>
      </c>
      <c r="Z101" s="3" t="e">
        <f t="shared" si="40"/>
        <v>#DIV/0!</v>
      </c>
      <c r="AA101" s="3"/>
      <c r="AB101" s="118">
        <f t="shared" si="41"/>
        <v>0</v>
      </c>
      <c r="AC101" s="3">
        <f t="shared" si="49"/>
        <v>0</v>
      </c>
      <c r="AD101" s="3" t="str">
        <f t="shared" si="42"/>
        <v>AVG</v>
      </c>
      <c r="AE101" s="30" t="str">
        <f t="shared" si="43"/>
        <v>VLOW</v>
      </c>
      <c r="AF101" s="3" t="str">
        <f t="shared" si="44"/>
        <v>EXCELLENT</v>
      </c>
      <c r="AG101" s="3" t="str">
        <f t="shared" si="33"/>
        <v>FEMALE DOM</v>
      </c>
      <c r="AH101" s="3" t="e">
        <f t="shared" si="45"/>
        <v>#DIV/0!</v>
      </c>
      <c r="AI101" s="36">
        <f>E101-G101</f>
        <v>65.0259067357513</v>
      </c>
      <c r="AJ101" s="35" t="str">
        <f t="shared" si="34"/>
        <v>BJP GAIN</v>
      </c>
      <c r="AK101" s="30" t="str">
        <f t="shared" si="46"/>
        <v>VERYHIGHMARGIN</v>
      </c>
    </row>
    <row r="102" spans="1:37">
      <c r="A102" s="37">
        <v>99</v>
      </c>
      <c r="B102" s="109" t="s">
        <v>134</v>
      </c>
      <c r="C102" s="37">
        <v>1007</v>
      </c>
      <c r="D102" s="37">
        <v>233</v>
      </c>
      <c r="E102" s="37">
        <f t="shared" si="27"/>
        <v>23.1380337636544</v>
      </c>
      <c r="F102" s="37">
        <v>763</v>
      </c>
      <c r="G102" s="37">
        <f t="shared" si="28"/>
        <v>75.7696127110228</v>
      </c>
      <c r="H102" s="37">
        <v>1</v>
      </c>
      <c r="I102" s="37">
        <f t="shared" si="29"/>
        <v>0.099304865938431</v>
      </c>
      <c r="J102" s="37">
        <v>0</v>
      </c>
      <c r="K102" s="37">
        <f t="shared" si="30"/>
        <v>0</v>
      </c>
      <c r="L102" s="112">
        <v>766</v>
      </c>
      <c r="M102" s="112">
        <v>721</v>
      </c>
      <c r="N102" s="112">
        <f t="shared" si="31"/>
        <v>1487</v>
      </c>
      <c r="O102" s="37">
        <v>1007</v>
      </c>
      <c r="P102" s="113">
        <f t="shared" si="35"/>
        <v>67.7202420981843</v>
      </c>
      <c r="Q102" s="37">
        <v>314</v>
      </c>
      <c r="R102" s="37">
        <f t="shared" si="36"/>
        <v>21.1163416274378</v>
      </c>
      <c r="S102" s="115">
        <f t="shared" si="32"/>
        <v>144</v>
      </c>
      <c r="T102" s="37">
        <f t="shared" si="37"/>
        <v>45.859872611465</v>
      </c>
      <c r="U102" s="37">
        <v>170</v>
      </c>
      <c r="V102" s="117">
        <f t="shared" si="38"/>
        <v>54.140127388535</v>
      </c>
      <c r="W102" s="37">
        <v>749</v>
      </c>
      <c r="X102" s="37">
        <f t="shared" si="39"/>
        <v>78.8836583725622</v>
      </c>
      <c r="Y102" s="37">
        <f t="shared" si="47"/>
        <v>149</v>
      </c>
      <c r="Z102" s="3">
        <f t="shared" si="40"/>
        <v>19.8931909212283</v>
      </c>
      <c r="AA102" s="3">
        <v>600</v>
      </c>
      <c r="AB102" s="118">
        <f t="shared" si="41"/>
        <v>80.1068090787717</v>
      </c>
      <c r="AC102" s="3">
        <f t="shared" si="49"/>
        <v>770</v>
      </c>
      <c r="AD102" s="3" t="str">
        <f t="shared" si="42"/>
        <v>AVG</v>
      </c>
      <c r="AE102" s="30" t="str">
        <f t="shared" si="43"/>
        <v>VLOW</v>
      </c>
      <c r="AF102" s="3" t="str">
        <f t="shared" si="44"/>
        <v>STRONG</v>
      </c>
      <c r="AG102" s="3" t="str">
        <f t="shared" si="33"/>
        <v>MEN</v>
      </c>
      <c r="AH102" s="3" t="str">
        <f t="shared" si="45"/>
        <v>H</v>
      </c>
      <c r="AI102" s="36">
        <f>G102-E102</f>
        <v>52.6315789473684</v>
      </c>
      <c r="AJ102" s="31" t="str">
        <f t="shared" si="34"/>
        <v>CONGRESSGAIN</v>
      </c>
      <c r="AK102" s="30" t="str">
        <f t="shared" si="46"/>
        <v>VERYHIGHMARGIN</v>
      </c>
    </row>
    <row r="103" spans="1:37">
      <c r="A103" s="37">
        <v>100</v>
      </c>
      <c r="B103" s="109" t="s">
        <v>135</v>
      </c>
      <c r="C103" s="37">
        <v>506</v>
      </c>
      <c r="D103" s="37">
        <v>143</v>
      </c>
      <c r="E103" s="37">
        <f t="shared" si="27"/>
        <v>28.2608695652174</v>
      </c>
      <c r="F103" s="37">
        <v>350</v>
      </c>
      <c r="G103" s="37">
        <f t="shared" si="28"/>
        <v>69.1699604743083</v>
      </c>
      <c r="H103" s="37">
        <v>2</v>
      </c>
      <c r="I103" s="37">
        <f t="shared" si="29"/>
        <v>0.395256916996047</v>
      </c>
      <c r="J103" s="37">
        <v>2</v>
      </c>
      <c r="K103" s="37">
        <f t="shared" si="30"/>
        <v>0.395256916996047</v>
      </c>
      <c r="L103" s="112">
        <v>365</v>
      </c>
      <c r="M103" s="112">
        <v>365</v>
      </c>
      <c r="N103" s="112">
        <f t="shared" si="31"/>
        <v>730</v>
      </c>
      <c r="O103" s="37">
        <v>506</v>
      </c>
      <c r="P103" s="113">
        <f t="shared" si="35"/>
        <v>69.3150684931507</v>
      </c>
      <c r="Q103" s="37"/>
      <c r="R103" s="37">
        <f t="shared" si="36"/>
        <v>0</v>
      </c>
      <c r="S103" s="37">
        <f t="shared" si="32"/>
        <v>0</v>
      </c>
      <c r="T103" s="37" t="e">
        <f t="shared" si="37"/>
        <v>#DIV/0!</v>
      </c>
      <c r="U103" s="37"/>
      <c r="V103" s="117">
        <f t="shared" si="38"/>
        <v>0</v>
      </c>
      <c r="W103" s="37"/>
      <c r="X103" s="37">
        <f t="shared" si="39"/>
        <v>100</v>
      </c>
      <c r="Y103" s="119">
        <f t="shared" si="47"/>
        <v>0</v>
      </c>
      <c r="Z103" s="3" t="e">
        <f t="shared" si="40"/>
        <v>#DIV/0!</v>
      </c>
      <c r="AA103" s="3"/>
      <c r="AB103" s="118">
        <f t="shared" si="41"/>
        <v>0</v>
      </c>
      <c r="AC103" s="3">
        <f t="shared" si="49"/>
        <v>0</v>
      </c>
      <c r="AD103" s="3" t="str">
        <f t="shared" si="42"/>
        <v>AVG</v>
      </c>
      <c r="AE103" s="30" t="str">
        <f t="shared" si="43"/>
        <v>VLOW</v>
      </c>
      <c r="AF103" s="3" t="str">
        <f t="shared" si="44"/>
        <v>EXCELLENT</v>
      </c>
      <c r="AG103" s="3" t="str">
        <f t="shared" si="33"/>
        <v>MEN</v>
      </c>
      <c r="AH103" s="3" t="e">
        <f t="shared" si="45"/>
        <v>#DIV/0!</v>
      </c>
      <c r="AI103" s="36">
        <f>G103-E103</f>
        <v>40.9090909090909</v>
      </c>
      <c r="AJ103" s="31" t="str">
        <f t="shared" si="34"/>
        <v>CONGRESSGAIN</v>
      </c>
      <c r="AK103" s="34" t="str">
        <f t="shared" si="46"/>
        <v>HIGHMARGIN</v>
      </c>
    </row>
    <row r="104" spans="1:37">
      <c r="A104" s="37">
        <v>101</v>
      </c>
      <c r="B104" s="109" t="s">
        <v>136</v>
      </c>
      <c r="C104" s="37">
        <v>403</v>
      </c>
      <c r="D104" s="37">
        <v>343</v>
      </c>
      <c r="E104" s="37">
        <f t="shared" si="27"/>
        <v>85.1116625310174</v>
      </c>
      <c r="F104" s="37">
        <v>50</v>
      </c>
      <c r="G104" s="37">
        <f t="shared" si="28"/>
        <v>12.4069478908189</v>
      </c>
      <c r="H104" s="37">
        <v>0</v>
      </c>
      <c r="I104" s="37">
        <f t="shared" si="29"/>
        <v>0</v>
      </c>
      <c r="J104" s="37">
        <v>2</v>
      </c>
      <c r="K104" s="37">
        <f t="shared" si="30"/>
        <v>0.496277915632754</v>
      </c>
      <c r="L104" s="112">
        <v>296</v>
      </c>
      <c r="M104" s="112">
        <v>285</v>
      </c>
      <c r="N104" s="112">
        <f t="shared" si="31"/>
        <v>581</v>
      </c>
      <c r="O104" s="37">
        <v>403</v>
      </c>
      <c r="P104" s="113">
        <f t="shared" si="35"/>
        <v>69.3631669535284</v>
      </c>
      <c r="Q104" s="37">
        <v>579</v>
      </c>
      <c r="R104" s="37">
        <f t="shared" si="36"/>
        <v>99.6557659208262</v>
      </c>
      <c r="S104" s="37">
        <f t="shared" si="32"/>
        <v>176</v>
      </c>
      <c r="T104" s="37">
        <f t="shared" si="37"/>
        <v>30.3972366148532</v>
      </c>
      <c r="U104" s="37">
        <v>403</v>
      </c>
      <c r="V104" s="117">
        <f t="shared" si="38"/>
        <v>69.6027633851468</v>
      </c>
      <c r="W104" s="37">
        <v>0</v>
      </c>
      <c r="X104" s="37">
        <f t="shared" si="39"/>
        <v>0.34423407917383</v>
      </c>
      <c r="Y104" s="37">
        <f t="shared" si="47"/>
        <v>0</v>
      </c>
      <c r="Z104" s="3" t="e">
        <f t="shared" si="40"/>
        <v>#DIV/0!</v>
      </c>
      <c r="AA104" s="3">
        <v>0</v>
      </c>
      <c r="AB104" s="118">
        <f t="shared" si="41"/>
        <v>0</v>
      </c>
      <c r="AC104" s="3">
        <f t="shared" si="49"/>
        <v>403</v>
      </c>
      <c r="AD104" s="3" t="str">
        <f t="shared" si="42"/>
        <v>AVG</v>
      </c>
      <c r="AE104" s="30" t="str">
        <f t="shared" si="43"/>
        <v>EXCELLENT</v>
      </c>
      <c r="AF104" s="3" t="str">
        <f t="shared" si="44"/>
        <v>VLOW</v>
      </c>
      <c r="AG104" s="3" t="str">
        <f t="shared" si="33"/>
        <v>MEN</v>
      </c>
      <c r="AH104" s="3" t="e">
        <f t="shared" si="45"/>
        <v>#DIV/0!</v>
      </c>
      <c r="AI104" s="36">
        <f>E104-G104</f>
        <v>72.7047146401985</v>
      </c>
      <c r="AJ104" s="35" t="str">
        <f t="shared" si="34"/>
        <v>BJP GAIN</v>
      </c>
      <c r="AK104" s="30" t="str">
        <f t="shared" si="46"/>
        <v>VERYHIGHMARGIN</v>
      </c>
    </row>
    <row r="105" spans="1:37">
      <c r="A105" s="37">
        <v>102</v>
      </c>
      <c r="B105" s="109" t="s">
        <v>137</v>
      </c>
      <c r="C105" s="37">
        <v>820</v>
      </c>
      <c r="D105" s="37">
        <v>675</v>
      </c>
      <c r="E105" s="37">
        <f t="shared" si="27"/>
        <v>82.3170731707317</v>
      </c>
      <c r="F105" s="37">
        <v>106</v>
      </c>
      <c r="G105" s="37">
        <f t="shared" si="28"/>
        <v>12.9268292682927</v>
      </c>
      <c r="H105" s="37">
        <v>1</v>
      </c>
      <c r="I105" s="37">
        <f t="shared" si="29"/>
        <v>0.121951219512195</v>
      </c>
      <c r="J105" s="37">
        <v>1</v>
      </c>
      <c r="K105" s="37">
        <f t="shared" si="30"/>
        <v>0.121951219512195</v>
      </c>
      <c r="L105" s="112">
        <v>580</v>
      </c>
      <c r="M105" s="112">
        <v>608</v>
      </c>
      <c r="N105" s="112">
        <f t="shared" si="31"/>
        <v>1188</v>
      </c>
      <c r="O105" s="37">
        <v>820</v>
      </c>
      <c r="P105" s="113">
        <f t="shared" si="35"/>
        <v>69.023569023569</v>
      </c>
      <c r="Q105" s="37">
        <v>1133</v>
      </c>
      <c r="R105" s="37">
        <f t="shared" si="36"/>
        <v>95.3703703703704</v>
      </c>
      <c r="S105" s="37">
        <f t="shared" si="32"/>
        <v>318</v>
      </c>
      <c r="T105" s="37">
        <f t="shared" si="37"/>
        <v>28.0670785525154</v>
      </c>
      <c r="U105" s="37">
        <v>815</v>
      </c>
      <c r="V105" s="117">
        <f t="shared" si="38"/>
        <v>71.9329214474846</v>
      </c>
      <c r="W105" s="37">
        <v>5</v>
      </c>
      <c r="X105" s="37">
        <f t="shared" si="39"/>
        <v>4.62962962962963</v>
      </c>
      <c r="Y105" s="37">
        <f t="shared" si="47"/>
        <v>2</v>
      </c>
      <c r="Z105" s="3">
        <f t="shared" si="40"/>
        <v>40</v>
      </c>
      <c r="AA105" s="3">
        <v>3</v>
      </c>
      <c r="AB105" s="118">
        <f t="shared" si="41"/>
        <v>60</v>
      </c>
      <c r="AC105" s="3">
        <f t="shared" si="49"/>
        <v>818</v>
      </c>
      <c r="AD105" s="3" t="str">
        <f t="shared" si="42"/>
        <v>AVG</v>
      </c>
      <c r="AE105" s="30" t="str">
        <f t="shared" si="43"/>
        <v>EXCELLENT</v>
      </c>
      <c r="AF105" s="3" t="str">
        <f t="shared" si="44"/>
        <v>VLOW</v>
      </c>
      <c r="AG105" s="3" t="str">
        <f t="shared" si="33"/>
        <v>FEMALE DOM</v>
      </c>
      <c r="AH105" s="3" t="str">
        <f t="shared" si="45"/>
        <v>O</v>
      </c>
      <c r="AI105" s="36">
        <f>E105-G105</f>
        <v>69.390243902439</v>
      </c>
      <c r="AJ105" s="35" t="str">
        <f t="shared" si="34"/>
        <v>BJP GAIN</v>
      </c>
      <c r="AK105" s="30" t="str">
        <f t="shared" si="46"/>
        <v>VERYHIGHMARGIN</v>
      </c>
    </row>
    <row r="106" spans="1:37">
      <c r="A106" s="37">
        <v>103</v>
      </c>
      <c r="B106" s="109" t="s">
        <v>138</v>
      </c>
      <c r="C106" s="37">
        <v>563</v>
      </c>
      <c r="D106" s="37">
        <v>212</v>
      </c>
      <c r="E106" s="37">
        <f t="shared" si="27"/>
        <v>37.6554174067496</v>
      </c>
      <c r="F106" s="37">
        <v>337</v>
      </c>
      <c r="G106" s="37">
        <f t="shared" si="28"/>
        <v>59.8579040852576</v>
      </c>
      <c r="H106" s="37">
        <v>0</v>
      </c>
      <c r="I106" s="37">
        <f t="shared" si="29"/>
        <v>0</v>
      </c>
      <c r="J106" s="37">
        <v>3</v>
      </c>
      <c r="K106" s="37">
        <f t="shared" si="30"/>
        <v>0.532859680284192</v>
      </c>
      <c r="L106" s="112">
        <v>422</v>
      </c>
      <c r="M106" s="112">
        <v>398</v>
      </c>
      <c r="N106" s="112">
        <f t="shared" si="31"/>
        <v>820</v>
      </c>
      <c r="O106" s="37">
        <v>563</v>
      </c>
      <c r="P106" s="113">
        <f t="shared" si="35"/>
        <v>68.6585365853659</v>
      </c>
      <c r="Q106" s="37">
        <v>392</v>
      </c>
      <c r="R106" s="37">
        <f t="shared" si="36"/>
        <v>47.8048780487805</v>
      </c>
      <c r="S106" s="115">
        <f t="shared" si="32"/>
        <v>124</v>
      </c>
      <c r="T106" s="37">
        <f t="shared" si="37"/>
        <v>31.6326530612245</v>
      </c>
      <c r="U106" s="37">
        <v>268</v>
      </c>
      <c r="V106" s="117">
        <f t="shared" si="38"/>
        <v>68.3673469387755</v>
      </c>
      <c r="W106" s="37">
        <f>390+38</f>
        <v>428</v>
      </c>
      <c r="X106" s="37">
        <f t="shared" si="39"/>
        <v>52.1951219512195</v>
      </c>
      <c r="Y106" s="119">
        <f t="shared" si="47"/>
        <v>136</v>
      </c>
      <c r="Z106" s="3">
        <f t="shared" si="40"/>
        <v>31.7757009345794</v>
      </c>
      <c r="AA106" s="3">
        <f>269+23</f>
        <v>292</v>
      </c>
      <c r="AB106" s="118">
        <f t="shared" si="41"/>
        <v>68.2242990654206</v>
      </c>
      <c r="AC106" s="3">
        <f t="shared" si="49"/>
        <v>560</v>
      </c>
      <c r="AD106" s="3" t="str">
        <f t="shared" si="42"/>
        <v>AVG</v>
      </c>
      <c r="AE106" s="30" t="str">
        <f t="shared" si="43"/>
        <v>VLOW</v>
      </c>
      <c r="AF106" s="3" t="str">
        <f t="shared" si="44"/>
        <v>WEAK</v>
      </c>
      <c r="AG106" s="3" t="str">
        <f t="shared" si="33"/>
        <v>MEN</v>
      </c>
      <c r="AH106" s="3" t="str">
        <f t="shared" si="45"/>
        <v>O</v>
      </c>
      <c r="AI106" s="36">
        <f>G106-E106</f>
        <v>22.202486678508</v>
      </c>
      <c r="AJ106" s="31" t="str">
        <f t="shared" si="34"/>
        <v>CONGRESSGAIN</v>
      </c>
      <c r="AK106" s="36" t="str">
        <f t="shared" si="46"/>
        <v>LOWMARGIN</v>
      </c>
    </row>
    <row r="107" spans="1:37">
      <c r="A107" s="37">
        <v>104</v>
      </c>
      <c r="B107" s="109" t="s">
        <v>139</v>
      </c>
      <c r="C107" s="37">
        <v>467</v>
      </c>
      <c r="D107" s="37">
        <v>230</v>
      </c>
      <c r="E107" s="37">
        <f t="shared" si="27"/>
        <v>49.2505353319058</v>
      </c>
      <c r="F107" s="37">
        <v>207</v>
      </c>
      <c r="G107" s="37">
        <f t="shared" si="28"/>
        <v>44.3254817987152</v>
      </c>
      <c r="H107" s="37">
        <v>6</v>
      </c>
      <c r="I107" s="37">
        <f t="shared" si="29"/>
        <v>1.2847965738758</v>
      </c>
      <c r="J107" s="37">
        <v>6</v>
      </c>
      <c r="K107" s="37">
        <f t="shared" si="30"/>
        <v>1.2847965738758</v>
      </c>
      <c r="L107" s="112">
        <v>357</v>
      </c>
      <c r="M107" s="112">
        <v>333</v>
      </c>
      <c r="N107" s="112">
        <f t="shared" si="31"/>
        <v>690</v>
      </c>
      <c r="O107" s="37">
        <v>467</v>
      </c>
      <c r="P107" s="113">
        <f t="shared" si="35"/>
        <v>67.6811594202899</v>
      </c>
      <c r="Q107" s="37">
        <f>690-293</f>
        <v>397</v>
      </c>
      <c r="R107" s="37">
        <f t="shared" si="36"/>
        <v>57.536231884058</v>
      </c>
      <c r="S107" s="37">
        <f t="shared" si="32"/>
        <v>109</v>
      </c>
      <c r="T107" s="37">
        <f t="shared" si="37"/>
        <v>27.455919395466</v>
      </c>
      <c r="U107" s="37">
        <f>467-179</f>
        <v>288</v>
      </c>
      <c r="V107" s="117">
        <f t="shared" si="38"/>
        <v>72.544080604534</v>
      </c>
      <c r="W107" s="37">
        <v>293</v>
      </c>
      <c r="X107" s="37">
        <f t="shared" si="39"/>
        <v>42.463768115942</v>
      </c>
      <c r="Y107" s="37">
        <f t="shared" si="47"/>
        <v>114</v>
      </c>
      <c r="Z107" s="3">
        <f t="shared" si="40"/>
        <v>38.9078498293515</v>
      </c>
      <c r="AA107" s="3">
        <v>179</v>
      </c>
      <c r="AB107" s="118">
        <f t="shared" si="41"/>
        <v>61.0921501706485</v>
      </c>
      <c r="AC107" s="3">
        <f t="shared" si="49"/>
        <v>467</v>
      </c>
      <c r="AD107" s="3" t="str">
        <f t="shared" si="42"/>
        <v>AVG</v>
      </c>
      <c r="AE107" s="30" t="str">
        <f t="shared" si="43"/>
        <v>WEAK</v>
      </c>
      <c r="AF107" s="3" t="str">
        <f t="shared" si="44"/>
        <v>VLOW</v>
      </c>
      <c r="AG107" s="3" t="str">
        <f t="shared" si="33"/>
        <v>MEN</v>
      </c>
      <c r="AH107" s="3" t="str">
        <f t="shared" si="45"/>
        <v>O</v>
      </c>
      <c r="AI107" s="36">
        <f>E107-G107</f>
        <v>4.92505353319058</v>
      </c>
      <c r="AJ107" s="35" t="str">
        <f t="shared" si="34"/>
        <v>BJP GAIN</v>
      </c>
      <c r="AK107" s="32" t="str">
        <f t="shared" si="46"/>
        <v>NARROWMARGIN</v>
      </c>
    </row>
    <row r="108" spans="1:37">
      <c r="A108" s="37">
        <v>105</v>
      </c>
      <c r="B108" s="109" t="s">
        <v>140</v>
      </c>
      <c r="C108" s="37">
        <v>574</v>
      </c>
      <c r="D108" s="37">
        <v>52</v>
      </c>
      <c r="E108" s="37">
        <f t="shared" si="27"/>
        <v>9.05923344947735</v>
      </c>
      <c r="F108" s="37">
        <v>466</v>
      </c>
      <c r="G108" s="37">
        <f t="shared" si="28"/>
        <v>81.184668989547</v>
      </c>
      <c r="H108" s="37">
        <v>34</v>
      </c>
      <c r="I108" s="37">
        <f t="shared" si="29"/>
        <v>5.92334494773519</v>
      </c>
      <c r="J108" s="37">
        <v>6</v>
      </c>
      <c r="K108" s="37">
        <f t="shared" si="30"/>
        <v>1.04529616724739</v>
      </c>
      <c r="L108" s="112">
        <v>471</v>
      </c>
      <c r="M108" s="112">
        <v>455</v>
      </c>
      <c r="N108" s="112">
        <f t="shared" si="31"/>
        <v>926</v>
      </c>
      <c r="O108" s="37">
        <v>574</v>
      </c>
      <c r="P108" s="113">
        <f t="shared" si="35"/>
        <v>61.9870410367171</v>
      </c>
      <c r="Q108" s="37">
        <f>926-861</f>
        <v>65</v>
      </c>
      <c r="R108" s="37">
        <f t="shared" si="36"/>
        <v>7.01943844492441</v>
      </c>
      <c r="S108" s="37">
        <f t="shared" si="32"/>
        <v>28</v>
      </c>
      <c r="T108" s="37">
        <f t="shared" si="37"/>
        <v>43.0769230769231</v>
      </c>
      <c r="U108" s="37">
        <f>574-537</f>
        <v>37</v>
      </c>
      <c r="V108" s="117">
        <f t="shared" si="38"/>
        <v>56.9230769230769</v>
      </c>
      <c r="W108" s="37">
        <v>861</v>
      </c>
      <c r="X108" s="37">
        <f t="shared" si="39"/>
        <v>92.9805615550756</v>
      </c>
      <c r="Y108" s="37">
        <f t="shared" si="47"/>
        <v>324</v>
      </c>
      <c r="Z108" s="3">
        <f t="shared" si="40"/>
        <v>37.6306620209059</v>
      </c>
      <c r="AA108" s="3">
        <v>537</v>
      </c>
      <c r="AB108" s="118">
        <f t="shared" si="41"/>
        <v>62.3693379790941</v>
      </c>
      <c r="AC108" s="3">
        <f t="shared" si="49"/>
        <v>574</v>
      </c>
      <c r="AD108" s="3" t="str">
        <f t="shared" si="42"/>
        <v>AVG</v>
      </c>
      <c r="AE108" s="30" t="str">
        <f t="shared" si="43"/>
        <v>VLOW</v>
      </c>
      <c r="AF108" s="3" t="str">
        <f t="shared" si="44"/>
        <v>EXCELLENT</v>
      </c>
      <c r="AG108" s="3" t="str">
        <f t="shared" si="33"/>
        <v>MEN</v>
      </c>
      <c r="AH108" s="3" t="str">
        <f t="shared" si="45"/>
        <v>H</v>
      </c>
      <c r="AI108" s="36">
        <f>G108-E108</f>
        <v>72.1254355400697</v>
      </c>
      <c r="AJ108" s="31" t="str">
        <f t="shared" si="34"/>
        <v>CONGRESSGAIN</v>
      </c>
      <c r="AK108" s="30" t="str">
        <f t="shared" si="46"/>
        <v>VERYHIGHMARGIN</v>
      </c>
    </row>
    <row r="109" spans="1:37">
      <c r="A109" s="37">
        <v>106</v>
      </c>
      <c r="B109" s="109" t="s">
        <v>141</v>
      </c>
      <c r="C109" s="37">
        <v>885</v>
      </c>
      <c r="D109" s="37">
        <v>422</v>
      </c>
      <c r="E109" s="37">
        <f t="shared" si="27"/>
        <v>47.683615819209</v>
      </c>
      <c r="F109" s="37">
        <v>411</v>
      </c>
      <c r="G109" s="37">
        <f t="shared" si="28"/>
        <v>46.4406779661017</v>
      </c>
      <c r="H109" s="37">
        <v>16</v>
      </c>
      <c r="I109" s="37">
        <f t="shared" si="29"/>
        <v>1.80790960451977</v>
      </c>
      <c r="J109" s="37">
        <v>4</v>
      </c>
      <c r="K109" s="37">
        <f t="shared" si="30"/>
        <v>0.451977401129944</v>
      </c>
      <c r="L109" s="112">
        <v>691</v>
      </c>
      <c r="M109" s="112">
        <v>678</v>
      </c>
      <c r="N109" s="112">
        <f t="shared" si="31"/>
        <v>1369</v>
      </c>
      <c r="O109" s="37">
        <v>885</v>
      </c>
      <c r="P109" s="113">
        <f t="shared" si="35"/>
        <v>64.645726807889</v>
      </c>
      <c r="Q109" s="37">
        <f>1369-596</f>
        <v>773</v>
      </c>
      <c r="R109" s="37">
        <f t="shared" si="36"/>
        <v>56.4645726807889</v>
      </c>
      <c r="S109" s="37">
        <f t="shared" si="32"/>
        <v>277</v>
      </c>
      <c r="T109" s="37">
        <f t="shared" si="37"/>
        <v>35.8344113842173</v>
      </c>
      <c r="U109" s="37">
        <f>885-389</f>
        <v>496</v>
      </c>
      <c r="V109" s="117">
        <f t="shared" si="38"/>
        <v>64.1655886157827</v>
      </c>
      <c r="W109" s="37">
        <v>596</v>
      </c>
      <c r="X109" s="37">
        <f t="shared" si="39"/>
        <v>43.5354273192111</v>
      </c>
      <c r="Y109" s="119">
        <f t="shared" si="47"/>
        <v>207</v>
      </c>
      <c r="Z109" s="3">
        <f t="shared" si="40"/>
        <v>34.7315436241611</v>
      </c>
      <c r="AA109" s="3">
        <v>389</v>
      </c>
      <c r="AB109" s="118">
        <f t="shared" si="41"/>
        <v>65.2684563758389</v>
      </c>
      <c r="AC109" s="3">
        <f t="shared" si="49"/>
        <v>885</v>
      </c>
      <c r="AD109" s="3" t="str">
        <f t="shared" si="42"/>
        <v>AVG</v>
      </c>
      <c r="AE109" s="30" t="str">
        <f t="shared" si="43"/>
        <v>WEAK</v>
      </c>
      <c r="AF109" s="3" t="str">
        <f t="shared" si="44"/>
        <v>VLOW</v>
      </c>
      <c r="AG109" s="3" t="str">
        <f t="shared" si="33"/>
        <v>MEN</v>
      </c>
      <c r="AH109" s="3" t="str">
        <f t="shared" si="45"/>
        <v>H</v>
      </c>
      <c r="AI109" s="36">
        <f>E109-G109</f>
        <v>1.24293785310734</v>
      </c>
      <c r="AJ109" s="35" t="str">
        <f t="shared" si="34"/>
        <v>BJP GAIN</v>
      </c>
      <c r="AK109" s="32" t="str">
        <f t="shared" si="46"/>
        <v>NARROWMARGIN</v>
      </c>
    </row>
    <row r="110" spans="1:37">
      <c r="A110" s="37">
        <v>107</v>
      </c>
      <c r="B110" s="109" t="s">
        <v>142</v>
      </c>
      <c r="C110" s="37">
        <v>632</v>
      </c>
      <c r="D110" s="37">
        <v>129</v>
      </c>
      <c r="E110" s="37">
        <f t="shared" si="27"/>
        <v>20.4113924050633</v>
      </c>
      <c r="F110" s="37">
        <v>486</v>
      </c>
      <c r="G110" s="37">
        <f t="shared" si="28"/>
        <v>76.8987341772152</v>
      </c>
      <c r="H110" s="37">
        <v>8</v>
      </c>
      <c r="I110" s="37">
        <f t="shared" si="29"/>
        <v>1.26582278481013</v>
      </c>
      <c r="J110" s="37">
        <v>5</v>
      </c>
      <c r="K110" s="37">
        <f t="shared" si="30"/>
        <v>0.791139240506329</v>
      </c>
      <c r="L110" s="112">
        <v>440</v>
      </c>
      <c r="M110" s="112">
        <v>404</v>
      </c>
      <c r="N110" s="112">
        <f t="shared" si="31"/>
        <v>844</v>
      </c>
      <c r="O110" s="37">
        <v>632</v>
      </c>
      <c r="P110" s="113">
        <f t="shared" si="35"/>
        <v>74.8815165876777</v>
      </c>
      <c r="Q110" s="37">
        <f>844-510</f>
        <v>334</v>
      </c>
      <c r="R110" s="37">
        <f t="shared" si="36"/>
        <v>39.5734597156398</v>
      </c>
      <c r="S110" s="115">
        <f t="shared" si="32"/>
        <v>212</v>
      </c>
      <c r="T110" s="37">
        <f t="shared" si="37"/>
        <v>63.4730538922156</v>
      </c>
      <c r="U110" s="37">
        <f>632-510</f>
        <v>122</v>
      </c>
      <c r="V110" s="117">
        <f t="shared" si="38"/>
        <v>36.5269461077844</v>
      </c>
      <c r="W110" s="37">
        <v>705</v>
      </c>
      <c r="X110" s="37">
        <f t="shared" si="39"/>
        <v>60.4265402843602</v>
      </c>
      <c r="Y110" s="37">
        <f t="shared" si="47"/>
        <v>195</v>
      </c>
      <c r="Z110" s="3">
        <f t="shared" si="40"/>
        <v>27.6595744680851</v>
      </c>
      <c r="AA110" s="3">
        <v>510</v>
      </c>
      <c r="AB110" s="118">
        <f t="shared" si="41"/>
        <v>72.3404255319149</v>
      </c>
      <c r="AC110" s="3">
        <f t="shared" si="49"/>
        <v>632</v>
      </c>
      <c r="AD110" s="3" t="str">
        <f t="shared" si="42"/>
        <v>STRONG</v>
      </c>
      <c r="AE110" s="30" t="str">
        <f t="shared" si="43"/>
        <v>VLOW</v>
      </c>
      <c r="AF110" s="3" t="str">
        <f t="shared" si="44"/>
        <v>AVG</v>
      </c>
      <c r="AG110" s="3" t="str">
        <f t="shared" si="33"/>
        <v>MEN</v>
      </c>
      <c r="AH110" s="3" t="str">
        <f t="shared" si="45"/>
        <v>H</v>
      </c>
      <c r="AI110" s="36">
        <f>G110-E110</f>
        <v>56.4873417721519</v>
      </c>
      <c r="AJ110" s="31" t="str">
        <f t="shared" si="34"/>
        <v>CONGRESSGAIN</v>
      </c>
      <c r="AK110" s="30" t="str">
        <f t="shared" si="46"/>
        <v>VERYHIGHMARGIN</v>
      </c>
    </row>
    <row r="111" spans="1:37">
      <c r="A111" s="37">
        <v>108</v>
      </c>
      <c r="B111" s="109" t="s">
        <v>143</v>
      </c>
      <c r="C111" s="37">
        <v>713</v>
      </c>
      <c r="D111" s="37">
        <v>37</v>
      </c>
      <c r="E111" s="37">
        <f t="shared" si="27"/>
        <v>5.18934081346424</v>
      </c>
      <c r="F111" s="37">
        <v>648</v>
      </c>
      <c r="G111" s="37">
        <f t="shared" si="28"/>
        <v>90.8835904628331</v>
      </c>
      <c r="H111" s="37">
        <v>9</v>
      </c>
      <c r="I111" s="37">
        <f t="shared" si="29"/>
        <v>1.26227208976157</v>
      </c>
      <c r="J111" s="37">
        <v>9</v>
      </c>
      <c r="K111" s="37">
        <f t="shared" si="30"/>
        <v>1.26227208976157</v>
      </c>
      <c r="L111" s="112">
        <v>572</v>
      </c>
      <c r="M111" s="112">
        <v>556</v>
      </c>
      <c r="N111" s="112">
        <f t="shared" si="31"/>
        <v>1128</v>
      </c>
      <c r="O111" s="37">
        <v>713</v>
      </c>
      <c r="P111" s="113">
        <f t="shared" si="35"/>
        <v>63.209219858156</v>
      </c>
      <c r="Q111" s="37">
        <f>1128-1105</f>
        <v>23</v>
      </c>
      <c r="R111" s="37">
        <f t="shared" si="36"/>
        <v>2.03900709219858</v>
      </c>
      <c r="S111" s="37">
        <f t="shared" si="32"/>
        <v>8</v>
      </c>
      <c r="T111" s="37">
        <f t="shared" si="37"/>
        <v>34.7826086956522</v>
      </c>
      <c r="U111" s="37">
        <f>713-698</f>
        <v>15</v>
      </c>
      <c r="V111" s="117">
        <f t="shared" si="38"/>
        <v>65.2173913043478</v>
      </c>
      <c r="W111" s="37">
        <v>1105</v>
      </c>
      <c r="X111" s="37">
        <f t="shared" si="39"/>
        <v>97.9609929078014</v>
      </c>
      <c r="Y111" s="37">
        <f t="shared" si="47"/>
        <v>407</v>
      </c>
      <c r="Z111" s="3">
        <f t="shared" si="40"/>
        <v>36.8325791855204</v>
      </c>
      <c r="AA111" s="3">
        <v>698</v>
      </c>
      <c r="AB111" s="118">
        <f t="shared" si="41"/>
        <v>63.1674208144796</v>
      </c>
      <c r="AC111" s="3">
        <f t="shared" si="49"/>
        <v>713</v>
      </c>
      <c r="AD111" s="3" t="str">
        <f t="shared" si="42"/>
        <v>AVG</v>
      </c>
      <c r="AE111" s="30" t="str">
        <f t="shared" si="43"/>
        <v>VLOW</v>
      </c>
      <c r="AF111" s="3" t="str">
        <f t="shared" si="44"/>
        <v>EXCELLENT</v>
      </c>
      <c r="AG111" s="3" t="str">
        <f t="shared" si="33"/>
        <v>MEN</v>
      </c>
      <c r="AH111" s="3" t="str">
        <f t="shared" si="45"/>
        <v>O</v>
      </c>
      <c r="AI111" s="36">
        <f>G111-E111</f>
        <v>85.6942496493689</v>
      </c>
      <c r="AJ111" s="31" t="str">
        <f t="shared" si="34"/>
        <v>CONGRESSGAIN</v>
      </c>
      <c r="AK111" s="30" t="str">
        <f t="shared" si="46"/>
        <v>VERYHIGHMARGIN</v>
      </c>
    </row>
    <row r="112" spans="1:37">
      <c r="A112" s="37">
        <v>109</v>
      </c>
      <c r="B112" s="109" t="s">
        <v>144</v>
      </c>
      <c r="C112" s="37">
        <v>430</v>
      </c>
      <c r="D112" s="37">
        <v>238</v>
      </c>
      <c r="E112" s="37">
        <f t="shared" si="27"/>
        <v>55.3488372093023</v>
      </c>
      <c r="F112" s="37">
        <v>185</v>
      </c>
      <c r="G112" s="37">
        <f t="shared" si="28"/>
        <v>43.0232558139535</v>
      </c>
      <c r="H112" s="37">
        <v>2</v>
      </c>
      <c r="I112" s="37">
        <f t="shared" si="29"/>
        <v>0.465116279069767</v>
      </c>
      <c r="J112" s="37">
        <v>1</v>
      </c>
      <c r="K112" s="37">
        <f t="shared" si="30"/>
        <v>0.232558139534884</v>
      </c>
      <c r="L112" s="112">
        <v>379</v>
      </c>
      <c r="M112" s="112">
        <v>347</v>
      </c>
      <c r="N112" s="112">
        <f t="shared" si="31"/>
        <v>726</v>
      </c>
      <c r="O112" s="37">
        <v>430</v>
      </c>
      <c r="P112" s="113">
        <f t="shared" si="35"/>
        <v>59.228650137741</v>
      </c>
      <c r="Q112" s="37">
        <v>448</v>
      </c>
      <c r="R112" s="37">
        <f t="shared" si="36"/>
        <v>61.7079889807163</v>
      </c>
      <c r="S112" s="37">
        <f t="shared" si="32"/>
        <v>195</v>
      </c>
      <c r="T112" s="37">
        <f t="shared" si="37"/>
        <v>43.5267857142857</v>
      </c>
      <c r="U112" s="37">
        <v>253</v>
      </c>
      <c r="V112" s="117">
        <f t="shared" si="38"/>
        <v>56.4732142857143</v>
      </c>
      <c r="W112" s="37">
        <f>726-448</f>
        <v>278</v>
      </c>
      <c r="X112" s="37">
        <f t="shared" si="39"/>
        <v>38.2920110192837</v>
      </c>
      <c r="Y112" s="119">
        <f t="shared" si="47"/>
        <v>101</v>
      </c>
      <c r="Z112" s="3">
        <f t="shared" si="40"/>
        <v>36.3309352517986</v>
      </c>
      <c r="AA112" s="3">
        <v>177</v>
      </c>
      <c r="AB112" s="118">
        <f t="shared" si="41"/>
        <v>63.6690647482014</v>
      </c>
      <c r="AC112" s="3">
        <f t="shared" si="49"/>
        <v>430</v>
      </c>
      <c r="AD112" s="3" t="str">
        <f t="shared" si="42"/>
        <v>WEAK</v>
      </c>
      <c r="AE112" s="30" t="str">
        <f t="shared" si="43"/>
        <v>AVG</v>
      </c>
      <c r="AF112" s="3" t="str">
        <f t="shared" si="44"/>
        <v>VLOW</v>
      </c>
      <c r="AG112" s="3" t="str">
        <f t="shared" si="33"/>
        <v>MEN</v>
      </c>
      <c r="AH112" s="3" t="str">
        <f t="shared" si="45"/>
        <v>H</v>
      </c>
      <c r="AI112" s="36">
        <f t="shared" ref="AI112:AI117" si="51">E112-G112</f>
        <v>12.3255813953488</v>
      </c>
      <c r="AJ112" s="35" t="str">
        <f t="shared" si="34"/>
        <v>BJP GAIN</v>
      </c>
      <c r="AK112" s="36" t="str">
        <f t="shared" si="46"/>
        <v>LOWMARGIN</v>
      </c>
    </row>
    <row r="113" spans="1:37">
      <c r="A113" s="115">
        <v>110</v>
      </c>
      <c r="B113" s="109" t="s">
        <v>145</v>
      </c>
      <c r="C113" s="115">
        <v>696</v>
      </c>
      <c r="D113" s="115">
        <v>562</v>
      </c>
      <c r="E113" s="37">
        <f t="shared" si="27"/>
        <v>80.7471264367816</v>
      </c>
      <c r="F113" s="115">
        <v>106</v>
      </c>
      <c r="G113" s="37">
        <f t="shared" si="28"/>
        <v>15.2298850574713</v>
      </c>
      <c r="H113" s="115">
        <v>2</v>
      </c>
      <c r="I113" s="37">
        <f t="shared" si="29"/>
        <v>0.28735632183908</v>
      </c>
      <c r="J113" s="115">
        <v>3</v>
      </c>
      <c r="K113" s="37">
        <f t="shared" si="30"/>
        <v>0.431034482758621</v>
      </c>
      <c r="L113" s="112">
        <v>509</v>
      </c>
      <c r="M113" s="112">
        <v>469</v>
      </c>
      <c r="N113" s="112">
        <f t="shared" si="31"/>
        <v>978</v>
      </c>
      <c r="O113" s="37">
        <v>696</v>
      </c>
      <c r="P113" s="113">
        <f t="shared" si="35"/>
        <v>71.1656441717791</v>
      </c>
      <c r="Q113" s="37">
        <v>900</v>
      </c>
      <c r="R113" s="37">
        <f t="shared" si="36"/>
        <v>92.0245398773006</v>
      </c>
      <c r="S113" s="37">
        <f t="shared" si="32"/>
        <v>258</v>
      </c>
      <c r="T113" s="37">
        <f t="shared" si="37"/>
        <v>28.6666666666667</v>
      </c>
      <c r="U113" s="37">
        <v>642</v>
      </c>
      <c r="V113" s="117">
        <f t="shared" si="38"/>
        <v>71.3333333333333</v>
      </c>
      <c r="W113" s="37">
        <f>78</f>
        <v>78</v>
      </c>
      <c r="X113" s="37">
        <f t="shared" si="39"/>
        <v>7.97546012269939</v>
      </c>
      <c r="Y113" s="37">
        <f t="shared" si="47"/>
        <v>24</v>
      </c>
      <c r="Z113" s="3">
        <f t="shared" si="40"/>
        <v>30.7692307692308</v>
      </c>
      <c r="AA113" s="3">
        <v>54</v>
      </c>
      <c r="AB113" s="118">
        <f t="shared" si="41"/>
        <v>69.2307692307692</v>
      </c>
      <c r="AC113" s="3">
        <f t="shared" si="49"/>
        <v>696</v>
      </c>
      <c r="AD113" s="3" t="str">
        <f t="shared" si="42"/>
        <v>STRONG</v>
      </c>
      <c r="AE113" s="30" t="str">
        <f t="shared" si="43"/>
        <v>EXCELLENT</v>
      </c>
      <c r="AF113" s="3" t="str">
        <f t="shared" si="44"/>
        <v>VLOW</v>
      </c>
      <c r="AG113" s="3" t="str">
        <f t="shared" si="33"/>
        <v>MEN</v>
      </c>
      <c r="AH113" s="3" t="str">
        <f t="shared" si="45"/>
        <v>O</v>
      </c>
      <c r="AI113" s="36">
        <f t="shared" si="51"/>
        <v>65.5172413793103</v>
      </c>
      <c r="AJ113" s="35" t="str">
        <f t="shared" si="34"/>
        <v>BJP GAIN</v>
      </c>
      <c r="AK113" s="30" t="str">
        <f t="shared" si="46"/>
        <v>VERYHIGHMARGIN</v>
      </c>
    </row>
    <row r="114" spans="1:37">
      <c r="A114" s="37">
        <v>111</v>
      </c>
      <c r="B114" s="109" t="s">
        <v>146</v>
      </c>
      <c r="C114" s="37">
        <v>614</v>
      </c>
      <c r="D114" s="37">
        <v>488</v>
      </c>
      <c r="E114" s="37">
        <f t="shared" si="27"/>
        <v>79.4788273615635</v>
      </c>
      <c r="F114" s="37">
        <v>99</v>
      </c>
      <c r="G114" s="37">
        <f t="shared" si="28"/>
        <v>16.1237785016287</v>
      </c>
      <c r="H114" s="37">
        <v>1</v>
      </c>
      <c r="I114" s="37">
        <f t="shared" si="29"/>
        <v>0.162866449511401</v>
      </c>
      <c r="J114" s="37">
        <v>1</v>
      </c>
      <c r="K114" s="37">
        <f t="shared" si="30"/>
        <v>0.162866449511401</v>
      </c>
      <c r="L114" s="112">
        <v>424</v>
      </c>
      <c r="M114" s="112">
        <v>447</v>
      </c>
      <c r="N114" s="112">
        <f t="shared" si="31"/>
        <v>871</v>
      </c>
      <c r="O114" s="37">
        <v>614</v>
      </c>
      <c r="P114" s="113">
        <f t="shared" si="35"/>
        <v>70.4936854190586</v>
      </c>
      <c r="Q114" s="37">
        <v>859</v>
      </c>
      <c r="R114" s="37">
        <f t="shared" si="36"/>
        <v>98.6222732491389</v>
      </c>
      <c r="S114" s="115">
        <f t="shared" si="32"/>
        <v>253</v>
      </c>
      <c r="T114" s="37">
        <f t="shared" si="37"/>
        <v>29.4528521536671</v>
      </c>
      <c r="U114" s="37">
        <v>606</v>
      </c>
      <c r="V114" s="117">
        <f t="shared" si="38"/>
        <v>70.5471478463329</v>
      </c>
      <c r="W114" s="37">
        <f>871-859</f>
        <v>12</v>
      </c>
      <c r="X114" s="37">
        <f t="shared" si="39"/>
        <v>1.37772675086107</v>
      </c>
      <c r="Y114" s="37">
        <f t="shared" si="47"/>
        <v>4</v>
      </c>
      <c r="Z114" s="3">
        <f t="shared" si="40"/>
        <v>33.3333333333333</v>
      </c>
      <c r="AA114" s="3">
        <v>8</v>
      </c>
      <c r="AB114" s="118">
        <f t="shared" si="41"/>
        <v>66.6666666666667</v>
      </c>
      <c r="AC114" s="3">
        <f t="shared" si="49"/>
        <v>614</v>
      </c>
      <c r="AD114" s="3" t="str">
        <f t="shared" si="42"/>
        <v>STRONG</v>
      </c>
      <c r="AE114" s="30" t="str">
        <f t="shared" si="43"/>
        <v>EXCELLENT</v>
      </c>
      <c r="AF114" s="3" t="str">
        <f t="shared" si="44"/>
        <v>VLOW</v>
      </c>
      <c r="AG114" s="3" t="str">
        <f t="shared" si="33"/>
        <v>FEMALE DOM</v>
      </c>
      <c r="AH114" s="3" t="str">
        <f t="shared" si="45"/>
        <v>O</v>
      </c>
      <c r="AI114" s="36">
        <f t="shared" si="51"/>
        <v>63.3550488599349</v>
      </c>
      <c r="AJ114" s="35" t="str">
        <f t="shared" si="34"/>
        <v>BJP GAIN</v>
      </c>
      <c r="AK114" s="30" t="str">
        <f t="shared" si="46"/>
        <v>VERYHIGHMARGIN</v>
      </c>
    </row>
    <row r="115" spans="1:37">
      <c r="A115" s="37">
        <v>112</v>
      </c>
      <c r="B115" s="109" t="s">
        <v>147</v>
      </c>
      <c r="C115" s="37">
        <v>906</v>
      </c>
      <c r="D115" s="37">
        <v>708</v>
      </c>
      <c r="E115" s="37">
        <f t="shared" si="27"/>
        <v>78.1456953642384</v>
      </c>
      <c r="F115" s="37">
        <v>146</v>
      </c>
      <c r="G115" s="37">
        <f t="shared" si="28"/>
        <v>16.1147902869757</v>
      </c>
      <c r="H115" s="37">
        <v>2</v>
      </c>
      <c r="I115" s="37">
        <f t="shared" si="29"/>
        <v>0.22075055187638</v>
      </c>
      <c r="J115" s="37">
        <v>3</v>
      </c>
      <c r="K115" s="37">
        <f t="shared" si="30"/>
        <v>0.33112582781457</v>
      </c>
      <c r="L115" s="112">
        <v>680</v>
      </c>
      <c r="M115" s="112">
        <v>680</v>
      </c>
      <c r="N115" s="112">
        <f t="shared" si="31"/>
        <v>1360</v>
      </c>
      <c r="O115" s="37">
        <v>906</v>
      </c>
      <c r="P115" s="113">
        <f t="shared" si="35"/>
        <v>66.6176470588235</v>
      </c>
      <c r="Q115" s="37">
        <v>1313</v>
      </c>
      <c r="R115" s="37">
        <f t="shared" si="36"/>
        <v>96.5441176470588</v>
      </c>
      <c r="S115" s="37">
        <f t="shared" si="32"/>
        <v>420</v>
      </c>
      <c r="T115" s="37">
        <f t="shared" si="37"/>
        <v>31.987814166032</v>
      </c>
      <c r="U115" s="37">
        <v>893</v>
      </c>
      <c r="V115" s="117">
        <f t="shared" si="38"/>
        <v>68.012185833968</v>
      </c>
      <c r="W115" s="37">
        <v>47</v>
      </c>
      <c r="X115" s="37">
        <f t="shared" si="39"/>
        <v>3.45588235294117</v>
      </c>
      <c r="Y115" s="119">
        <f t="shared" si="47"/>
        <v>34</v>
      </c>
      <c r="Z115" s="3">
        <f t="shared" si="40"/>
        <v>72.3404255319149</v>
      </c>
      <c r="AA115" s="3">
        <f>906-893</f>
        <v>13</v>
      </c>
      <c r="AB115" s="118">
        <f t="shared" si="41"/>
        <v>27.6595744680851</v>
      </c>
      <c r="AC115" s="3">
        <f t="shared" si="49"/>
        <v>906</v>
      </c>
      <c r="AD115" s="3" t="str">
        <f t="shared" si="42"/>
        <v>AVG</v>
      </c>
      <c r="AE115" s="30" t="str">
        <f t="shared" si="43"/>
        <v>EXCELLENT</v>
      </c>
      <c r="AF115" s="3" t="str">
        <f t="shared" si="44"/>
        <v>VLOW</v>
      </c>
      <c r="AG115" s="3" t="str">
        <f t="shared" si="33"/>
        <v>MEN</v>
      </c>
      <c r="AH115" s="3" t="str">
        <f t="shared" si="45"/>
        <v>O</v>
      </c>
      <c r="AI115" s="36">
        <f t="shared" si="51"/>
        <v>62.0309050772627</v>
      </c>
      <c r="AJ115" s="35" t="str">
        <f t="shared" si="34"/>
        <v>BJP GAIN</v>
      </c>
      <c r="AK115" s="30" t="str">
        <f t="shared" si="46"/>
        <v>VERYHIGHMARGIN</v>
      </c>
    </row>
    <row r="116" spans="1:37">
      <c r="A116" s="37">
        <v>113</v>
      </c>
      <c r="B116" s="109" t="s">
        <v>148</v>
      </c>
      <c r="C116" s="37">
        <v>674</v>
      </c>
      <c r="D116" s="37">
        <v>561</v>
      </c>
      <c r="E116" s="37">
        <f t="shared" si="27"/>
        <v>83.2344213649852</v>
      </c>
      <c r="F116" s="37">
        <v>93</v>
      </c>
      <c r="G116" s="37">
        <f t="shared" si="28"/>
        <v>13.7982195845697</v>
      </c>
      <c r="H116" s="37">
        <v>0</v>
      </c>
      <c r="I116" s="37">
        <f t="shared" si="29"/>
        <v>0</v>
      </c>
      <c r="J116" s="37">
        <v>3</v>
      </c>
      <c r="K116" s="37">
        <f t="shared" si="30"/>
        <v>0.445103857566766</v>
      </c>
      <c r="L116" s="112">
        <v>474</v>
      </c>
      <c r="M116" s="112">
        <v>451</v>
      </c>
      <c r="N116" s="112">
        <f t="shared" si="31"/>
        <v>925</v>
      </c>
      <c r="O116" s="37">
        <v>674</v>
      </c>
      <c r="P116" s="113">
        <f t="shared" si="35"/>
        <v>72.8648648648649</v>
      </c>
      <c r="Q116" s="37">
        <v>919</v>
      </c>
      <c r="R116" s="37">
        <f t="shared" si="36"/>
        <v>99.3513513513513</v>
      </c>
      <c r="S116" s="37">
        <f t="shared" si="32"/>
        <v>246</v>
      </c>
      <c r="T116" s="37">
        <f t="shared" si="37"/>
        <v>26.7682263329706</v>
      </c>
      <c r="U116" s="37">
        <v>673</v>
      </c>
      <c r="V116" s="117">
        <f t="shared" si="38"/>
        <v>73.2317736670294</v>
      </c>
      <c r="W116" s="37">
        <v>6</v>
      </c>
      <c r="X116" s="37">
        <f t="shared" si="39"/>
        <v>0.64864864864866</v>
      </c>
      <c r="Y116" s="37">
        <f t="shared" si="47"/>
        <v>5</v>
      </c>
      <c r="Z116" s="3">
        <f t="shared" si="40"/>
        <v>83.3333333333333</v>
      </c>
      <c r="AA116" s="3">
        <v>1</v>
      </c>
      <c r="AB116" s="118">
        <f t="shared" si="41"/>
        <v>16.6666666666667</v>
      </c>
      <c r="AC116" s="3">
        <f t="shared" si="49"/>
        <v>674</v>
      </c>
      <c r="AD116" s="3" t="str">
        <f t="shared" si="42"/>
        <v>STRONG</v>
      </c>
      <c r="AE116" s="30" t="str">
        <f t="shared" si="43"/>
        <v>EXCELLENT</v>
      </c>
      <c r="AF116" s="3" t="str">
        <f t="shared" si="44"/>
        <v>VLOW</v>
      </c>
      <c r="AG116" s="3" t="str">
        <f t="shared" si="33"/>
        <v>MEN</v>
      </c>
      <c r="AH116" s="3" t="str">
        <f t="shared" si="45"/>
        <v>O</v>
      </c>
      <c r="AI116" s="36">
        <f t="shared" si="51"/>
        <v>69.4362017804154</v>
      </c>
      <c r="AJ116" s="35" t="str">
        <f t="shared" si="34"/>
        <v>BJP GAIN</v>
      </c>
      <c r="AK116" s="30" t="str">
        <f t="shared" si="46"/>
        <v>VERYHIGHMARGIN</v>
      </c>
    </row>
    <row r="117" spans="1:37">
      <c r="A117" s="37">
        <v>114</v>
      </c>
      <c r="B117" s="109" t="s">
        <v>149</v>
      </c>
      <c r="C117" s="37">
        <v>547</v>
      </c>
      <c r="D117" s="37">
        <v>311</v>
      </c>
      <c r="E117" s="37">
        <f t="shared" si="27"/>
        <v>56.8555758683729</v>
      </c>
      <c r="F117" s="37">
        <v>226</v>
      </c>
      <c r="G117" s="37">
        <f t="shared" si="28"/>
        <v>41.3162705667276</v>
      </c>
      <c r="H117" s="37">
        <v>3</v>
      </c>
      <c r="I117" s="37">
        <f t="shared" si="29"/>
        <v>0.548446069469835</v>
      </c>
      <c r="J117" s="37">
        <v>3</v>
      </c>
      <c r="K117" s="37">
        <f t="shared" si="30"/>
        <v>0.548446069469835</v>
      </c>
      <c r="L117" s="112">
        <v>512</v>
      </c>
      <c r="M117" s="112">
        <v>501</v>
      </c>
      <c r="N117" s="112">
        <f t="shared" si="31"/>
        <v>1013</v>
      </c>
      <c r="O117" s="37">
        <v>547</v>
      </c>
      <c r="P117" s="113">
        <f t="shared" si="35"/>
        <v>53.9980256663376</v>
      </c>
      <c r="Q117" s="37">
        <v>673</v>
      </c>
      <c r="R117" s="37">
        <f t="shared" si="36"/>
        <v>66.436327739388</v>
      </c>
      <c r="S117" s="37">
        <f t="shared" si="32"/>
        <v>313</v>
      </c>
      <c r="T117" s="37">
        <f t="shared" si="37"/>
        <v>46.5081723625557</v>
      </c>
      <c r="U117" s="37">
        <v>360</v>
      </c>
      <c r="V117" s="117">
        <f t="shared" si="38"/>
        <v>53.4918276374443</v>
      </c>
      <c r="W117" s="37">
        <f>102+238</f>
        <v>340</v>
      </c>
      <c r="X117" s="37">
        <f t="shared" si="39"/>
        <v>33.563672260612</v>
      </c>
      <c r="Y117" s="37">
        <f t="shared" si="47"/>
        <v>153</v>
      </c>
      <c r="Z117" s="3">
        <f t="shared" si="40"/>
        <v>45</v>
      </c>
      <c r="AA117" s="3">
        <v>187</v>
      </c>
      <c r="AB117" s="118">
        <f t="shared" si="41"/>
        <v>55</v>
      </c>
      <c r="AC117" s="3">
        <f t="shared" si="49"/>
        <v>547</v>
      </c>
      <c r="AD117" s="3" t="str">
        <f t="shared" si="42"/>
        <v>WEAK</v>
      </c>
      <c r="AE117" s="30" t="str">
        <f t="shared" si="43"/>
        <v>AVG</v>
      </c>
      <c r="AF117" s="3" t="str">
        <f t="shared" si="44"/>
        <v>VLOW</v>
      </c>
      <c r="AG117" s="3" t="str">
        <f t="shared" si="33"/>
        <v>MEN</v>
      </c>
      <c r="AH117" s="3" t="str">
        <f t="shared" si="45"/>
        <v>H</v>
      </c>
      <c r="AI117" s="36">
        <f t="shared" si="51"/>
        <v>15.5393053016453</v>
      </c>
      <c r="AJ117" s="35" t="str">
        <f t="shared" si="34"/>
        <v>BJP GAIN</v>
      </c>
      <c r="AK117" s="36" t="str">
        <f t="shared" si="46"/>
        <v>LOWMARGIN</v>
      </c>
    </row>
    <row r="118" spans="1:37">
      <c r="A118" s="37">
        <v>115</v>
      </c>
      <c r="B118" s="109" t="s">
        <v>150</v>
      </c>
      <c r="C118" s="37">
        <v>623</v>
      </c>
      <c r="D118" s="37">
        <v>226</v>
      </c>
      <c r="E118" s="37">
        <f t="shared" si="27"/>
        <v>36.2760834670947</v>
      </c>
      <c r="F118" s="37">
        <v>389</v>
      </c>
      <c r="G118" s="37">
        <f t="shared" si="28"/>
        <v>62.4398073836276</v>
      </c>
      <c r="H118" s="37">
        <v>2</v>
      </c>
      <c r="I118" s="37">
        <f t="shared" si="29"/>
        <v>0.321027287319422</v>
      </c>
      <c r="J118" s="37">
        <v>4</v>
      </c>
      <c r="K118" s="37">
        <f t="shared" si="30"/>
        <v>0.642054574638844</v>
      </c>
      <c r="L118" s="112">
        <v>602</v>
      </c>
      <c r="M118" s="112">
        <v>634</v>
      </c>
      <c r="N118" s="112">
        <f t="shared" si="31"/>
        <v>1236</v>
      </c>
      <c r="O118" s="37">
        <v>623</v>
      </c>
      <c r="P118" s="113">
        <f t="shared" si="35"/>
        <v>50.4045307443366</v>
      </c>
      <c r="Q118" s="37">
        <v>525</v>
      </c>
      <c r="R118" s="37">
        <f t="shared" si="36"/>
        <v>42.4757281553398</v>
      </c>
      <c r="S118" s="115">
        <f t="shared" si="32"/>
        <v>252</v>
      </c>
      <c r="T118" s="37">
        <f t="shared" si="37"/>
        <v>48</v>
      </c>
      <c r="U118" s="37">
        <v>273</v>
      </c>
      <c r="V118" s="117">
        <f t="shared" si="38"/>
        <v>52</v>
      </c>
      <c r="W118" s="37">
        <v>677</v>
      </c>
      <c r="X118" s="37">
        <f t="shared" si="39"/>
        <v>57.5242718446602</v>
      </c>
      <c r="Y118" s="119">
        <f t="shared" si="47"/>
        <v>327</v>
      </c>
      <c r="Z118" s="3">
        <f t="shared" si="40"/>
        <v>48.301329394387</v>
      </c>
      <c r="AA118" s="3">
        <v>350</v>
      </c>
      <c r="AB118" s="118">
        <f t="shared" si="41"/>
        <v>51.698670605613</v>
      </c>
      <c r="AC118" s="3">
        <f t="shared" si="49"/>
        <v>623</v>
      </c>
      <c r="AD118" s="3" t="str">
        <f t="shared" si="42"/>
        <v>WEAK</v>
      </c>
      <c r="AE118" s="30" t="str">
        <f t="shared" si="43"/>
        <v>VLOW</v>
      </c>
      <c r="AF118" s="3" t="str">
        <f t="shared" si="44"/>
        <v>WEAK</v>
      </c>
      <c r="AG118" s="3" t="str">
        <f t="shared" si="33"/>
        <v>FEMALE DOM</v>
      </c>
      <c r="AH118" s="3" t="str">
        <f t="shared" si="45"/>
        <v>O</v>
      </c>
      <c r="AI118" s="36">
        <f t="shared" ref="AI118:AI127" si="52">G118-E118</f>
        <v>26.1637239165329</v>
      </c>
      <c r="AJ118" s="31" t="str">
        <f t="shared" si="34"/>
        <v>CONGRESSGAIN</v>
      </c>
      <c r="AK118" s="36" t="str">
        <f t="shared" si="46"/>
        <v>LOWMARGIN</v>
      </c>
    </row>
    <row r="119" spans="1:37">
      <c r="A119" s="37">
        <v>116</v>
      </c>
      <c r="B119" s="109" t="s">
        <v>151</v>
      </c>
      <c r="C119" s="37">
        <v>536</v>
      </c>
      <c r="D119" s="37">
        <v>261</v>
      </c>
      <c r="E119" s="37">
        <f t="shared" si="27"/>
        <v>48.6940298507463</v>
      </c>
      <c r="F119" s="37">
        <v>265</v>
      </c>
      <c r="G119" s="37">
        <f t="shared" si="28"/>
        <v>49.4402985074627</v>
      </c>
      <c r="H119" s="37">
        <v>2</v>
      </c>
      <c r="I119" s="37">
        <f t="shared" si="29"/>
        <v>0.373134328358209</v>
      </c>
      <c r="J119" s="37">
        <v>0</v>
      </c>
      <c r="K119" s="37">
        <f t="shared" si="30"/>
        <v>0</v>
      </c>
      <c r="L119" s="112">
        <v>494</v>
      </c>
      <c r="M119" s="112">
        <v>522</v>
      </c>
      <c r="N119" s="112">
        <f t="shared" si="31"/>
        <v>1016</v>
      </c>
      <c r="O119" s="37">
        <v>536</v>
      </c>
      <c r="P119" s="113">
        <f t="shared" si="35"/>
        <v>52.755905511811</v>
      </c>
      <c r="Q119" s="37"/>
      <c r="R119" s="37">
        <f t="shared" si="36"/>
        <v>0</v>
      </c>
      <c r="S119" s="37">
        <f t="shared" si="32"/>
        <v>0</v>
      </c>
      <c r="T119" s="37" t="e">
        <f t="shared" si="37"/>
        <v>#DIV/0!</v>
      </c>
      <c r="U119" s="37"/>
      <c r="V119" s="117">
        <f t="shared" si="38"/>
        <v>0</v>
      </c>
      <c r="W119" s="37"/>
      <c r="X119" s="37">
        <f t="shared" si="39"/>
        <v>100</v>
      </c>
      <c r="Y119" s="37">
        <f t="shared" si="47"/>
        <v>0</v>
      </c>
      <c r="Z119" s="3" t="e">
        <f t="shared" si="40"/>
        <v>#DIV/0!</v>
      </c>
      <c r="AA119" s="3"/>
      <c r="AB119" s="118">
        <f t="shared" si="41"/>
        <v>0</v>
      </c>
      <c r="AC119" s="3">
        <f t="shared" si="49"/>
        <v>0</v>
      </c>
      <c r="AD119" s="3" t="str">
        <f t="shared" si="42"/>
        <v>WEAK</v>
      </c>
      <c r="AE119" s="30" t="str">
        <f t="shared" si="43"/>
        <v>VLOW</v>
      </c>
      <c r="AF119" s="3" t="str">
        <f t="shared" si="44"/>
        <v>EXCELLENT</v>
      </c>
      <c r="AG119" s="3" t="str">
        <f t="shared" si="33"/>
        <v>FEMALE DOM</v>
      </c>
      <c r="AH119" s="3" t="e">
        <f t="shared" si="45"/>
        <v>#DIV/0!</v>
      </c>
      <c r="AI119" s="36">
        <f t="shared" si="52"/>
        <v>0.746268656716417</v>
      </c>
      <c r="AJ119" s="31" t="str">
        <f t="shared" si="34"/>
        <v>CONGRESSGAIN</v>
      </c>
      <c r="AK119" s="32" t="str">
        <f>IF(AI119&gt;=50,"VERYHIGHMARGIN",IF(AI119&gt;=40,"HIGHMARGIN",IF(AI119&gt;=30,"MEDIUMMARGIN",IF(AI119&gt;10,"LOWMARGIN",IF(AI119&lt;1,"NARROWMARGIN")))))</f>
        <v>NARROWMARGIN</v>
      </c>
    </row>
    <row r="120" spans="1:37">
      <c r="A120" s="37">
        <v>117</v>
      </c>
      <c r="B120" s="109" t="s">
        <v>152</v>
      </c>
      <c r="C120" s="37">
        <v>634</v>
      </c>
      <c r="D120" s="37">
        <v>291</v>
      </c>
      <c r="E120" s="37">
        <f t="shared" si="27"/>
        <v>45.8990536277603</v>
      </c>
      <c r="F120" s="37">
        <v>318</v>
      </c>
      <c r="G120" s="37">
        <f t="shared" si="28"/>
        <v>50.1577287066246</v>
      </c>
      <c r="H120" s="37">
        <v>5</v>
      </c>
      <c r="I120" s="37">
        <f t="shared" si="29"/>
        <v>0.788643533123028</v>
      </c>
      <c r="J120" s="37">
        <v>6</v>
      </c>
      <c r="K120" s="37">
        <f t="shared" si="30"/>
        <v>0.946372239747634</v>
      </c>
      <c r="L120" s="112">
        <v>496</v>
      </c>
      <c r="M120" s="112">
        <v>549</v>
      </c>
      <c r="N120" s="112">
        <f t="shared" si="31"/>
        <v>1045</v>
      </c>
      <c r="O120" s="37">
        <v>634</v>
      </c>
      <c r="P120" s="113">
        <f t="shared" si="35"/>
        <v>60.6698564593301</v>
      </c>
      <c r="Q120" s="37">
        <v>531</v>
      </c>
      <c r="R120" s="37">
        <f t="shared" si="36"/>
        <v>50.8133971291866</v>
      </c>
      <c r="S120" s="37">
        <f t="shared" si="32"/>
        <v>148</v>
      </c>
      <c r="T120" s="37">
        <f t="shared" si="37"/>
        <v>27.8719397363465</v>
      </c>
      <c r="U120" s="37">
        <v>383</v>
      </c>
      <c r="V120" s="117">
        <f t="shared" si="38"/>
        <v>72.1280602636535</v>
      </c>
      <c r="W120" s="37">
        <v>438</v>
      </c>
      <c r="X120" s="37">
        <f t="shared" si="39"/>
        <v>49.1866028708134</v>
      </c>
      <c r="Y120" s="37">
        <f t="shared" si="47"/>
        <v>215</v>
      </c>
      <c r="Z120" s="3">
        <f t="shared" si="40"/>
        <v>49.0867579908676</v>
      </c>
      <c r="AA120" s="3">
        <v>223</v>
      </c>
      <c r="AB120" s="118">
        <f t="shared" si="41"/>
        <v>50.9132420091324</v>
      </c>
      <c r="AC120" s="3">
        <f t="shared" si="49"/>
        <v>606</v>
      </c>
      <c r="AD120" s="3" t="str">
        <f t="shared" si="42"/>
        <v>AVG</v>
      </c>
      <c r="AE120" s="30" t="str">
        <f t="shared" si="43"/>
        <v>WEAK</v>
      </c>
      <c r="AF120" s="3" t="str">
        <f t="shared" si="44"/>
        <v>VLOW</v>
      </c>
      <c r="AG120" s="3" t="str">
        <f t="shared" si="33"/>
        <v>FEMALE DOM</v>
      </c>
      <c r="AH120" s="3" t="str">
        <f t="shared" si="45"/>
        <v>O</v>
      </c>
      <c r="AI120" s="36">
        <f t="shared" si="52"/>
        <v>4.25867507886435</v>
      </c>
      <c r="AJ120" s="31" t="str">
        <f t="shared" si="34"/>
        <v>CONGRESSGAIN</v>
      </c>
      <c r="AK120" s="32" t="str">
        <f t="shared" si="46"/>
        <v>NARROWMARGIN</v>
      </c>
    </row>
    <row r="121" spans="1:37">
      <c r="A121" s="37">
        <v>118</v>
      </c>
      <c r="B121" s="109" t="s">
        <v>153</v>
      </c>
      <c r="C121" s="37">
        <v>695</v>
      </c>
      <c r="D121" s="37">
        <v>205</v>
      </c>
      <c r="E121" s="37">
        <f t="shared" si="27"/>
        <v>29.4964028776978</v>
      </c>
      <c r="F121" s="37">
        <v>474</v>
      </c>
      <c r="G121" s="37">
        <f t="shared" si="28"/>
        <v>68.2014388489209</v>
      </c>
      <c r="H121" s="37">
        <v>5</v>
      </c>
      <c r="I121" s="37">
        <f t="shared" si="29"/>
        <v>0.719424460431655</v>
      </c>
      <c r="J121" s="37">
        <v>4</v>
      </c>
      <c r="K121" s="37">
        <f t="shared" si="30"/>
        <v>0.575539568345324</v>
      </c>
      <c r="L121" s="112">
        <v>494</v>
      </c>
      <c r="M121" s="112">
        <v>607</v>
      </c>
      <c r="N121" s="112">
        <f t="shared" si="31"/>
        <v>1101</v>
      </c>
      <c r="O121" s="37">
        <v>695</v>
      </c>
      <c r="P121" s="113">
        <f t="shared" si="35"/>
        <v>63.1244323342416</v>
      </c>
      <c r="Q121" s="37">
        <v>385</v>
      </c>
      <c r="R121" s="37">
        <f t="shared" si="36"/>
        <v>34.9682107175295</v>
      </c>
      <c r="S121" s="37">
        <f t="shared" si="32"/>
        <v>145</v>
      </c>
      <c r="T121" s="37">
        <f t="shared" si="37"/>
        <v>37.6623376623377</v>
      </c>
      <c r="U121" s="37">
        <v>240</v>
      </c>
      <c r="V121" s="117">
        <f t="shared" si="38"/>
        <v>62.3376623376623</v>
      </c>
      <c r="W121" s="37">
        <f>1101-385</f>
        <v>716</v>
      </c>
      <c r="X121" s="37">
        <f t="shared" si="39"/>
        <v>65.0317892824705</v>
      </c>
      <c r="Y121" s="119">
        <f t="shared" si="47"/>
        <v>261</v>
      </c>
      <c r="Z121" s="3">
        <f t="shared" si="40"/>
        <v>36.4525139664804</v>
      </c>
      <c r="AA121" s="3">
        <f>695-240</f>
        <v>455</v>
      </c>
      <c r="AB121" s="118">
        <f t="shared" si="41"/>
        <v>63.5474860335196</v>
      </c>
      <c r="AC121" s="3">
        <f t="shared" si="49"/>
        <v>695</v>
      </c>
      <c r="AD121" s="3" t="str">
        <f t="shared" si="42"/>
        <v>AVG</v>
      </c>
      <c r="AE121" s="30" t="str">
        <f t="shared" si="43"/>
        <v>VLOW</v>
      </c>
      <c r="AF121" s="3" t="str">
        <f t="shared" si="44"/>
        <v>AVG</v>
      </c>
      <c r="AG121" s="3" t="str">
        <f t="shared" si="33"/>
        <v>FEMALE DOM</v>
      </c>
      <c r="AH121" s="3" t="str">
        <f t="shared" si="45"/>
        <v>H</v>
      </c>
      <c r="AI121" s="36">
        <f t="shared" si="52"/>
        <v>38.705035971223</v>
      </c>
      <c r="AJ121" s="31" t="str">
        <f t="shared" si="34"/>
        <v>CONGRESSGAIN</v>
      </c>
      <c r="AK121" s="38" t="str">
        <f t="shared" si="46"/>
        <v>MEDIUMMARGIN</v>
      </c>
    </row>
    <row r="122" spans="1:37">
      <c r="A122" s="37">
        <v>119</v>
      </c>
      <c r="B122" s="109" t="s">
        <v>154</v>
      </c>
      <c r="C122" s="37">
        <v>961</v>
      </c>
      <c r="D122" s="37">
        <v>356</v>
      </c>
      <c r="E122" s="37">
        <f t="shared" si="27"/>
        <v>37.044745057232</v>
      </c>
      <c r="F122" s="37">
        <v>600</v>
      </c>
      <c r="G122" s="37">
        <f t="shared" si="28"/>
        <v>62.4349635796046</v>
      </c>
      <c r="H122" s="37">
        <v>1</v>
      </c>
      <c r="I122" s="37">
        <f t="shared" si="29"/>
        <v>0.104058272632674</v>
      </c>
      <c r="J122" s="37">
        <v>3</v>
      </c>
      <c r="K122" s="37">
        <f t="shared" si="30"/>
        <v>0.312174817898023</v>
      </c>
      <c r="L122" s="112">
        <v>641</v>
      </c>
      <c r="M122" s="112">
        <v>957</v>
      </c>
      <c r="N122" s="112">
        <f t="shared" si="31"/>
        <v>1598</v>
      </c>
      <c r="O122" s="37">
        <v>961</v>
      </c>
      <c r="P122" s="113">
        <f t="shared" si="35"/>
        <v>60.1376720901126</v>
      </c>
      <c r="Q122" s="37">
        <v>692</v>
      </c>
      <c r="R122" s="37">
        <f t="shared" si="36"/>
        <v>43.3041301627034</v>
      </c>
      <c r="S122" s="115">
        <f t="shared" si="32"/>
        <v>372</v>
      </c>
      <c r="T122" s="37">
        <f t="shared" si="37"/>
        <v>53.757225433526</v>
      </c>
      <c r="U122" s="37">
        <v>320</v>
      </c>
      <c r="V122" s="117">
        <f t="shared" si="38"/>
        <v>46.242774566474</v>
      </c>
      <c r="W122" s="37">
        <v>906</v>
      </c>
      <c r="X122" s="37">
        <f t="shared" si="39"/>
        <v>56.6958698372966</v>
      </c>
      <c r="Y122" s="37">
        <f t="shared" si="47"/>
        <v>261</v>
      </c>
      <c r="Z122" s="3">
        <f t="shared" si="40"/>
        <v>28.8079470198675</v>
      </c>
      <c r="AA122" s="3">
        <v>645</v>
      </c>
      <c r="AB122" s="118">
        <f t="shared" si="41"/>
        <v>71.1920529801324</v>
      </c>
      <c r="AC122" s="3">
        <f t="shared" si="49"/>
        <v>965</v>
      </c>
      <c r="AD122" s="3" t="str">
        <f t="shared" si="42"/>
        <v>AVG</v>
      </c>
      <c r="AE122" s="30" t="str">
        <f t="shared" si="43"/>
        <v>VLOW</v>
      </c>
      <c r="AF122" s="3" t="str">
        <f t="shared" si="44"/>
        <v>WEAK</v>
      </c>
      <c r="AG122" s="3" t="str">
        <f t="shared" si="33"/>
        <v>FEMALE DOM</v>
      </c>
      <c r="AH122" s="3" t="str">
        <f t="shared" si="45"/>
        <v>H</v>
      </c>
      <c r="AI122" s="36">
        <f t="shared" si="52"/>
        <v>25.3902185223725</v>
      </c>
      <c r="AJ122" s="31" t="str">
        <f t="shared" si="34"/>
        <v>CONGRESSGAIN</v>
      </c>
      <c r="AK122" s="36" t="str">
        <f t="shared" si="46"/>
        <v>LOWMARGIN</v>
      </c>
    </row>
    <row r="123" spans="1:37">
      <c r="A123" s="37">
        <v>120</v>
      </c>
      <c r="B123" s="109" t="s">
        <v>155</v>
      </c>
      <c r="C123" s="37">
        <v>694</v>
      </c>
      <c r="D123" s="37">
        <v>279</v>
      </c>
      <c r="E123" s="37">
        <f t="shared" si="27"/>
        <v>40.2017291066282</v>
      </c>
      <c r="F123" s="37">
        <v>398</v>
      </c>
      <c r="G123" s="37">
        <f t="shared" si="28"/>
        <v>57.3487031700288</v>
      </c>
      <c r="H123" s="37">
        <v>5</v>
      </c>
      <c r="I123" s="37">
        <f t="shared" si="29"/>
        <v>0.720461095100865</v>
      </c>
      <c r="J123" s="37">
        <v>2</v>
      </c>
      <c r="K123" s="37">
        <f t="shared" si="30"/>
        <v>0.288184438040346</v>
      </c>
      <c r="L123" s="112">
        <v>478</v>
      </c>
      <c r="M123" s="112">
        <v>553</v>
      </c>
      <c r="N123" s="112">
        <f t="shared" si="31"/>
        <v>1031</v>
      </c>
      <c r="O123" s="37">
        <v>694</v>
      </c>
      <c r="P123" s="113">
        <f t="shared" si="35"/>
        <v>67.3132880698351</v>
      </c>
      <c r="Q123" s="37">
        <v>609</v>
      </c>
      <c r="R123" s="37">
        <f t="shared" si="36"/>
        <v>59.0688651794374</v>
      </c>
      <c r="S123" s="37">
        <f t="shared" si="32"/>
        <v>205</v>
      </c>
      <c r="T123" s="37">
        <f t="shared" si="37"/>
        <v>33.6617405582923</v>
      </c>
      <c r="U123" s="37">
        <v>404</v>
      </c>
      <c r="V123" s="117">
        <f t="shared" si="38"/>
        <v>66.3382594417077</v>
      </c>
      <c r="W123" s="37">
        <f>1031-609</f>
        <v>422</v>
      </c>
      <c r="X123" s="37">
        <f t="shared" si="39"/>
        <v>40.9311348205626</v>
      </c>
      <c r="Y123" s="37">
        <f t="shared" si="47"/>
        <v>132</v>
      </c>
      <c r="Z123" s="3">
        <f t="shared" si="40"/>
        <v>31.2796208530806</v>
      </c>
      <c r="AA123" s="3">
        <f>694-404</f>
        <v>290</v>
      </c>
      <c r="AB123" s="118">
        <f t="shared" si="41"/>
        <v>68.7203791469194</v>
      </c>
      <c r="AC123" s="3">
        <f t="shared" si="49"/>
        <v>694</v>
      </c>
      <c r="AD123" s="3" t="str">
        <f t="shared" si="42"/>
        <v>AVG</v>
      </c>
      <c r="AE123" s="30" t="str">
        <f t="shared" si="43"/>
        <v>WEAK</v>
      </c>
      <c r="AF123" s="3" t="str">
        <f t="shared" si="44"/>
        <v>VLOW</v>
      </c>
      <c r="AG123" s="3" t="str">
        <f t="shared" si="33"/>
        <v>FEMALE DOM</v>
      </c>
      <c r="AH123" s="3" t="str">
        <f t="shared" si="45"/>
        <v>H</v>
      </c>
      <c r="AI123" s="36">
        <f t="shared" si="52"/>
        <v>17.1469740634006</v>
      </c>
      <c r="AJ123" s="31" t="str">
        <f t="shared" si="34"/>
        <v>CONGRESSGAIN</v>
      </c>
      <c r="AK123" s="36" t="str">
        <f t="shared" si="46"/>
        <v>LOWMARGIN</v>
      </c>
    </row>
    <row r="124" spans="1:37">
      <c r="A124" s="37">
        <v>121</v>
      </c>
      <c r="B124" s="109" t="s">
        <v>156</v>
      </c>
      <c r="C124" s="37">
        <v>527</v>
      </c>
      <c r="D124" s="37">
        <v>86</v>
      </c>
      <c r="E124" s="37">
        <f t="shared" si="27"/>
        <v>16.3187855787476</v>
      </c>
      <c r="F124" s="37">
        <v>430</v>
      </c>
      <c r="G124" s="37">
        <f t="shared" si="28"/>
        <v>81.5939278937381</v>
      </c>
      <c r="H124" s="37">
        <v>4</v>
      </c>
      <c r="I124" s="37">
        <f t="shared" si="29"/>
        <v>0.759013282732448</v>
      </c>
      <c r="J124" s="37">
        <v>1</v>
      </c>
      <c r="K124" s="37">
        <f t="shared" si="30"/>
        <v>0.189753320683112</v>
      </c>
      <c r="L124" s="112">
        <v>408</v>
      </c>
      <c r="M124" s="112">
        <v>662</v>
      </c>
      <c r="N124" s="112">
        <f t="shared" si="31"/>
        <v>1070</v>
      </c>
      <c r="O124" s="37">
        <v>527</v>
      </c>
      <c r="P124" s="113">
        <f t="shared" si="35"/>
        <v>49.2523364485981</v>
      </c>
      <c r="Q124" s="37">
        <v>335</v>
      </c>
      <c r="R124" s="37">
        <f t="shared" si="36"/>
        <v>31.3084112149533</v>
      </c>
      <c r="S124" s="37">
        <f t="shared" si="32"/>
        <v>130</v>
      </c>
      <c r="T124" s="37">
        <f t="shared" si="37"/>
        <v>38.8059701492537</v>
      </c>
      <c r="U124" s="37">
        <v>205</v>
      </c>
      <c r="V124" s="117">
        <f t="shared" si="38"/>
        <v>61.1940298507463</v>
      </c>
      <c r="W124" s="37">
        <v>735</v>
      </c>
      <c r="X124" s="37">
        <f t="shared" si="39"/>
        <v>68.6915887850467</v>
      </c>
      <c r="Y124" s="119">
        <f t="shared" si="47"/>
        <v>413</v>
      </c>
      <c r="Z124" s="3">
        <f t="shared" si="40"/>
        <v>56.1904761904762</v>
      </c>
      <c r="AA124" s="3">
        <v>322</v>
      </c>
      <c r="AB124" s="118">
        <f t="shared" si="41"/>
        <v>43.8095238095238</v>
      </c>
      <c r="AC124" s="3">
        <f t="shared" si="49"/>
        <v>527</v>
      </c>
      <c r="AD124" s="3" t="str">
        <f t="shared" si="42"/>
        <v>VLOW</v>
      </c>
      <c r="AE124" s="30" t="str">
        <f t="shared" si="43"/>
        <v>VLOW</v>
      </c>
      <c r="AF124" s="3" t="str">
        <f t="shared" si="44"/>
        <v>AVG</v>
      </c>
      <c r="AG124" s="3" t="str">
        <f t="shared" si="33"/>
        <v>FEMALE DOM</v>
      </c>
      <c r="AH124" s="3" t="str">
        <f t="shared" si="45"/>
        <v>O</v>
      </c>
      <c r="AI124" s="36">
        <f t="shared" si="52"/>
        <v>65.2751423149905</v>
      </c>
      <c r="AJ124" s="31" t="str">
        <f t="shared" si="34"/>
        <v>CONGRESSGAIN</v>
      </c>
      <c r="AK124" s="30" t="str">
        <f t="shared" si="46"/>
        <v>VERYHIGHMARGIN</v>
      </c>
    </row>
    <row r="125" spans="1:37">
      <c r="A125" s="37">
        <v>122</v>
      </c>
      <c r="B125" s="109" t="s">
        <v>157</v>
      </c>
      <c r="C125" s="37">
        <v>535</v>
      </c>
      <c r="D125" s="37">
        <v>200</v>
      </c>
      <c r="E125" s="37">
        <f t="shared" si="27"/>
        <v>37.3831775700935</v>
      </c>
      <c r="F125" s="37">
        <v>332</v>
      </c>
      <c r="G125" s="37">
        <f t="shared" si="28"/>
        <v>62.0560747663551</v>
      </c>
      <c r="H125" s="37">
        <v>2</v>
      </c>
      <c r="I125" s="37">
        <f t="shared" si="29"/>
        <v>0.373831775700935</v>
      </c>
      <c r="J125" s="37">
        <v>0</v>
      </c>
      <c r="K125" s="37">
        <f t="shared" si="30"/>
        <v>0</v>
      </c>
      <c r="L125" s="112">
        <v>351</v>
      </c>
      <c r="M125" s="112">
        <v>492</v>
      </c>
      <c r="N125" s="112">
        <f t="shared" si="31"/>
        <v>843</v>
      </c>
      <c r="O125" s="37">
        <v>535</v>
      </c>
      <c r="P125" s="113">
        <f t="shared" si="35"/>
        <v>63.4638196915777</v>
      </c>
      <c r="Q125" s="37"/>
      <c r="R125" s="37">
        <f t="shared" si="36"/>
        <v>0</v>
      </c>
      <c r="S125" s="37">
        <f t="shared" si="32"/>
        <v>0</v>
      </c>
      <c r="T125" s="37" t="e">
        <f t="shared" si="37"/>
        <v>#DIV/0!</v>
      </c>
      <c r="U125" s="37"/>
      <c r="V125" s="117">
        <f t="shared" si="38"/>
        <v>0</v>
      </c>
      <c r="W125" s="37"/>
      <c r="X125" s="37">
        <f t="shared" si="39"/>
        <v>100</v>
      </c>
      <c r="Y125" s="37">
        <f t="shared" si="47"/>
        <v>0</v>
      </c>
      <c r="Z125" s="3" t="e">
        <f t="shared" si="40"/>
        <v>#DIV/0!</v>
      </c>
      <c r="AA125" s="3"/>
      <c r="AB125" s="118">
        <f t="shared" si="41"/>
        <v>0</v>
      </c>
      <c r="AC125" s="3">
        <f t="shared" si="49"/>
        <v>0</v>
      </c>
      <c r="AD125" s="3" t="str">
        <f t="shared" si="42"/>
        <v>AVG</v>
      </c>
      <c r="AE125" s="30" t="str">
        <f t="shared" si="43"/>
        <v>VLOW</v>
      </c>
      <c r="AF125" s="3" t="str">
        <f t="shared" si="44"/>
        <v>EXCELLENT</v>
      </c>
      <c r="AG125" s="3" t="str">
        <f t="shared" si="33"/>
        <v>FEMALE DOM</v>
      </c>
      <c r="AH125" s="3" t="e">
        <f t="shared" si="45"/>
        <v>#DIV/0!</v>
      </c>
      <c r="AI125" s="36">
        <f t="shared" si="52"/>
        <v>24.6728971962617</v>
      </c>
      <c r="AJ125" s="31" t="str">
        <f t="shared" si="34"/>
        <v>CONGRESSGAIN</v>
      </c>
      <c r="AK125" s="36" t="str">
        <f t="shared" si="46"/>
        <v>LOWMARGIN</v>
      </c>
    </row>
    <row r="126" spans="1:37">
      <c r="A126" s="37">
        <v>123</v>
      </c>
      <c r="B126" s="109" t="s">
        <v>158</v>
      </c>
      <c r="C126" s="37">
        <v>700</v>
      </c>
      <c r="D126" s="37">
        <v>270</v>
      </c>
      <c r="E126" s="37">
        <f t="shared" si="27"/>
        <v>38.5714285714286</v>
      </c>
      <c r="F126" s="37">
        <v>412</v>
      </c>
      <c r="G126" s="37">
        <f t="shared" si="28"/>
        <v>58.8571428571429</v>
      </c>
      <c r="H126" s="37">
        <v>5</v>
      </c>
      <c r="I126" s="37">
        <f t="shared" si="29"/>
        <v>0.714285714285714</v>
      </c>
      <c r="J126" s="37">
        <v>2</v>
      </c>
      <c r="K126" s="37">
        <f t="shared" si="30"/>
        <v>0.285714285714286</v>
      </c>
      <c r="L126" s="112">
        <v>553</v>
      </c>
      <c r="M126" s="112">
        <v>649</v>
      </c>
      <c r="N126" s="112">
        <f t="shared" si="31"/>
        <v>1202</v>
      </c>
      <c r="O126" s="37">
        <v>700</v>
      </c>
      <c r="P126" s="113">
        <f t="shared" si="35"/>
        <v>58.2362728785358</v>
      </c>
      <c r="Q126" s="37" t="s">
        <v>159</v>
      </c>
      <c r="R126" s="37" t="e">
        <f t="shared" si="36"/>
        <v>#VALUE!</v>
      </c>
      <c r="S126" s="115">
        <v>0</v>
      </c>
      <c r="T126" s="37" t="e">
        <f t="shared" si="37"/>
        <v>#VALUE!</v>
      </c>
      <c r="U126" s="37">
        <v>366</v>
      </c>
      <c r="V126" s="117">
        <f t="shared" si="38"/>
        <v>0</v>
      </c>
      <c r="W126" s="37">
        <f>1202-603</f>
        <v>599</v>
      </c>
      <c r="X126" s="37" t="e">
        <f t="shared" si="39"/>
        <v>#VALUE!</v>
      </c>
      <c r="Y126" s="37">
        <f t="shared" si="47"/>
        <v>265</v>
      </c>
      <c r="Z126" s="3">
        <f t="shared" si="40"/>
        <v>44.2404006677796</v>
      </c>
      <c r="AA126" s="3">
        <f>700-366</f>
        <v>334</v>
      </c>
      <c r="AB126" s="118">
        <f t="shared" si="41"/>
        <v>55.7595993322204</v>
      </c>
      <c r="AC126" s="3">
        <f t="shared" si="49"/>
        <v>700</v>
      </c>
      <c r="AD126" s="3" t="str">
        <f t="shared" si="42"/>
        <v>WEAK</v>
      </c>
      <c r="AE126" s="30" t="e">
        <f t="shared" si="43"/>
        <v>#VALUE!</v>
      </c>
      <c r="AF126" s="3" t="e">
        <f t="shared" si="44"/>
        <v>#VALUE!</v>
      </c>
      <c r="AG126" s="3" t="str">
        <f t="shared" si="33"/>
        <v>FEMALE DOM</v>
      </c>
      <c r="AH126" s="3" t="e">
        <f t="shared" si="45"/>
        <v>#VALUE!</v>
      </c>
      <c r="AI126" s="36">
        <f t="shared" si="52"/>
        <v>20.2857142857143</v>
      </c>
      <c r="AJ126" s="31" t="str">
        <f t="shared" si="34"/>
        <v>CONGRESSGAIN</v>
      </c>
      <c r="AK126" s="36" t="str">
        <f t="shared" si="46"/>
        <v>LOWMARGIN</v>
      </c>
    </row>
    <row r="127" spans="1:37">
      <c r="A127" s="37">
        <v>124</v>
      </c>
      <c r="B127" s="109" t="s">
        <v>160</v>
      </c>
      <c r="C127" s="37">
        <v>685</v>
      </c>
      <c r="D127" s="37">
        <v>236</v>
      </c>
      <c r="E127" s="37">
        <f t="shared" si="27"/>
        <v>34.4525547445255</v>
      </c>
      <c r="F127" s="37">
        <v>442</v>
      </c>
      <c r="G127" s="37">
        <f t="shared" si="28"/>
        <v>64.5255474452555</v>
      </c>
      <c r="H127" s="37">
        <v>3</v>
      </c>
      <c r="I127" s="37">
        <f t="shared" si="29"/>
        <v>0.437956204379562</v>
      </c>
      <c r="J127" s="37">
        <v>1</v>
      </c>
      <c r="K127" s="37">
        <f t="shared" si="30"/>
        <v>0.145985401459854</v>
      </c>
      <c r="L127" s="112">
        <v>531</v>
      </c>
      <c r="M127" s="112">
        <v>637</v>
      </c>
      <c r="N127" s="112">
        <f t="shared" si="31"/>
        <v>1168</v>
      </c>
      <c r="O127" s="37">
        <v>685</v>
      </c>
      <c r="P127" s="113">
        <f t="shared" si="35"/>
        <v>58.6472602739726</v>
      </c>
      <c r="Q127" s="37">
        <v>586</v>
      </c>
      <c r="R127" s="37">
        <f t="shared" si="36"/>
        <v>50.1712328767123</v>
      </c>
      <c r="S127" s="37">
        <f t="shared" si="32"/>
        <v>268</v>
      </c>
      <c r="T127" s="37">
        <f t="shared" si="37"/>
        <v>45.7337883959044</v>
      </c>
      <c r="U127" s="37">
        <v>318</v>
      </c>
      <c r="V127" s="117">
        <f t="shared" si="38"/>
        <v>54.2662116040956</v>
      </c>
      <c r="W127" s="37">
        <f>441+119</f>
        <v>560</v>
      </c>
      <c r="X127" s="37">
        <f t="shared" si="39"/>
        <v>49.8287671232877</v>
      </c>
      <c r="Y127" s="119">
        <f t="shared" si="47"/>
        <v>193</v>
      </c>
      <c r="Z127" s="3">
        <f t="shared" si="40"/>
        <v>34.4642857142857</v>
      </c>
      <c r="AA127" s="3">
        <v>367</v>
      </c>
      <c r="AB127" s="118">
        <f t="shared" si="41"/>
        <v>65.5357142857143</v>
      </c>
      <c r="AC127" s="3">
        <f t="shared" si="49"/>
        <v>685</v>
      </c>
      <c r="AD127" s="3" t="str">
        <f t="shared" si="42"/>
        <v>WEAK</v>
      </c>
      <c r="AE127" s="30" t="str">
        <f t="shared" si="43"/>
        <v>WEAK</v>
      </c>
      <c r="AF127" s="3" t="str">
        <f t="shared" si="44"/>
        <v>VLOW</v>
      </c>
      <c r="AG127" s="3" t="str">
        <f t="shared" si="33"/>
        <v>FEMALE DOM</v>
      </c>
      <c r="AH127" s="3" t="str">
        <f t="shared" si="45"/>
        <v>H</v>
      </c>
      <c r="AI127" s="36">
        <f t="shared" si="52"/>
        <v>30.0729927007299</v>
      </c>
      <c r="AJ127" s="31" t="str">
        <f t="shared" si="34"/>
        <v>CONGRESSGAIN</v>
      </c>
      <c r="AK127" s="38" t="str">
        <f t="shared" si="46"/>
        <v>MEDIUMMARGIN</v>
      </c>
    </row>
    <row r="128" spans="1:37">
      <c r="A128" s="37">
        <v>125</v>
      </c>
      <c r="B128" s="109" t="s">
        <v>161</v>
      </c>
      <c r="C128" s="37">
        <v>779</v>
      </c>
      <c r="D128" s="37">
        <v>548</v>
      </c>
      <c r="E128" s="37">
        <f t="shared" si="27"/>
        <v>70.3465982028241</v>
      </c>
      <c r="F128" s="37">
        <v>206</v>
      </c>
      <c r="G128" s="37">
        <f t="shared" si="28"/>
        <v>26.4441591784339</v>
      </c>
      <c r="H128" s="37">
        <v>3</v>
      </c>
      <c r="I128" s="37">
        <f t="shared" si="29"/>
        <v>0.385109114249037</v>
      </c>
      <c r="J128" s="37">
        <v>6</v>
      </c>
      <c r="K128" s="37">
        <f t="shared" si="30"/>
        <v>0.770218228498075</v>
      </c>
      <c r="L128" s="112">
        <v>484</v>
      </c>
      <c r="M128" s="112">
        <v>530</v>
      </c>
      <c r="N128" s="112">
        <f t="shared" si="31"/>
        <v>1014</v>
      </c>
      <c r="O128" s="37">
        <v>779</v>
      </c>
      <c r="P128" s="113">
        <f t="shared" si="35"/>
        <v>76.8244575936884</v>
      </c>
      <c r="Q128" s="37"/>
      <c r="R128" s="37">
        <f t="shared" si="36"/>
        <v>0</v>
      </c>
      <c r="S128" s="37">
        <f t="shared" si="32"/>
        <v>0</v>
      </c>
      <c r="T128" s="37" t="e">
        <f t="shared" si="37"/>
        <v>#DIV/0!</v>
      </c>
      <c r="U128" s="37"/>
      <c r="V128" s="117">
        <f t="shared" si="38"/>
        <v>0</v>
      </c>
      <c r="W128" s="37"/>
      <c r="X128" s="37">
        <f t="shared" si="39"/>
        <v>100</v>
      </c>
      <c r="Y128" s="37">
        <f t="shared" si="47"/>
        <v>0</v>
      </c>
      <c r="Z128" s="3" t="e">
        <f t="shared" si="40"/>
        <v>#DIV/0!</v>
      </c>
      <c r="AA128" s="3"/>
      <c r="AB128" s="118">
        <f t="shared" si="41"/>
        <v>0</v>
      </c>
      <c r="AC128" s="3">
        <f t="shared" si="49"/>
        <v>0</v>
      </c>
      <c r="AD128" s="3" t="str">
        <f t="shared" si="42"/>
        <v>STRONG</v>
      </c>
      <c r="AE128" s="30" t="str">
        <f t="shared" si="43"/>
        <v>VLOW</v>
      </c>
      <c r="AF128" s="3" t="str">
        <f t="shared" si="44"/>
        <v>EXCELLENT</v>
      </c>
      <c r="AG128" s="3" t="str">
        <f t="shared" si="33"/>
        <v>FEMALE DOM</v>
      </c>
      <c r="AH128" s="3" t="e">
        <f t="shared" si="45"/>
        <v>#DIV/0!</v>
      </c>
      <c r="AI128" s="36">
        <f>E128-G128</f>
        <v>43.9024390243902</v>
      </c>
      <c r="AJ128" s="35" t="str">
        <f t="shared" si="34"/>
        <v>BJP GAIN</v>
      </c>
      <c r="AK128" s="34" t="str">
        <f t="shared" si="46"/>
        <v>HIGHMARGIN</v>
      </c>
    </row>
    <row r="129" spans="1:37">
      <c r="A129" s="37">
        <v>126</v>
      </c>
      <c r="B129" s="109" t="s">
        <v>162</v>
      </c>
      <c r="C129" s="37">
        <v>961</v>
      </c>
      <c r="D129" s="37">
        <v>487</v>
      </c>
      <c r="E129" s="37">
        <f t="shared" si="27"/>
        <v>50.6763787721124</v>
      </c>
      <c r="F129" s="37">
        <v>449</v>
      </c>
      <c r="G129" s="37">
        <f t="shared" si="28"/>
        <v>46.7221644120708</v>
      </c>
      <c r="H129" s="37">
        <v>4</v>
      </c>
      <c r="I129" s="37">
        <f t="shared" si="29"/>
        <v>0.416233090530697</v>
      </c>
      <c r="J129" s="37">
        <v>11</v>
      </c>
      <c r="K129" s="37">
        <f t="shared" si="30"/>
        <v>1.14464099895942</v>
      </c>
      <c r="L129" s="112">
        <v>801</v>
      </c>
      <c r="M129" s="112">
        <v>787</v>
      </c>
      <c r="N129" s="112">
        <f t="shared" si="31"/>
        <v>1588</v>
      </c>
      <c r="O129" s="37">
        <v>961</v>
      </c>
      <c r="P129" s="113">
        <f t="shared" si="35"/>
        <v>60.5163727959698</v>
      </c>
      <c r="Q129" s="37">
        <v>953</v>
      </c>
      <c r="R129" s="37">
        <f t="shared" si="36"/>
        <v>60.0125944584383</v>
      </c>
      <c r="S129" s="37">
        <f t="shared" si="32"/>
        <v>775</v>
      </c>
      <c r="T129" s="37">
        <f t="shared" si="37"/>
        <v>81.3221406086044</v>
      </c>
      <c r="U129" s="37">
        <v>178</v>
      </c>
      <c r="V129" s="117">
        <f t="shared" si="38"/>
        <v>18.6778593913956</v>
      </c>
      <c r="W129" s="37">
        <f>359+276</f>
        <v>635</v>
      </c>
      <c r="X129" s="37">
        <f t="shared" si="39"/>
        <v>39.9874055415617</v>
      </c>
      <c r="Y129" s="37">
        <f t="shared" si="47"/>
        <v>335</v>
      </c>
      <c r="Z129" s="3">
        <f t="shared" si="40"/>
        <v>52.755905511811</v>
      </c>
      <c r="AA129" s="3">
        <v>300</v>
      </c>
      <c r="AB129" s="118">
        <f t="shared" si="41"/>
        <v>47.244094488189</v>
      </c>
      <c r="AC129" s="3">
        <f t="shared" si="49"/>
        <v>478</v>
      </c>
      <c r="AD129" s="3" t="str">
        <f t="shared" si="42"/>
        <v>AVG</v>
      </c>
      <c r="AE129" s="30" t="str">
        <f t="shared" si="43"/>
        <v>AVG</v>
      </c>
      <c r="AF129" s="3" t="str">
        <f t="shared" si="44"/>
        <v>VLOW</v>
      </c>
      <c r="AG129" s="3" t="str">
        <f t="shared" si="33"/>
        <v>MEN</v>
      </c>
      <c r="AH129" s="3" t="str">
        <f t="shared" si="45"/>
        <v>H</v>
      </c>
      <c r="AI129" s="36">
        <f>E129-G129</f>
        <v>3.95421436004163</v>
      </c>
      <c r="AJ129" s="35" t="str">
        <f t="shared" si="34"/>
        <v>BJP GAIN</v>
      </c>
      <c r="AK129" s="32" t="str">
        <f t="shared" si="46"/>
        <v>NARROWMARGIN</v>
      </c>
    </row>
    <row r="130" spans="1:37">
      <c r="A130" s="37">
        <v>127</v>
      </c>
      <c r="B130" s="109" t="s">
        <v>163</v>
      </c>
      <c r="C130" s="37">
        <v>677</v>
      </c>
      <c r="D130" s="37">
        <v>349</v>
      </c>
      <c r="E130" s="37">
        <f t="shared" si="27"/>
        <v>51.5509601181684</v>
      </c>
      <c r="F130" s="37">
        <v>315</v>
      </c>
      <c r="G130" s="37">
        <f t="shared" si="28"/>
        <v>46.5288035450517</v>
      </c>
      <c r="H130" s="37">
        <v>0</v>
      </c>
      <c r="I130" s="37">
        <f t="shared" si="29"/>
        <v>0</v>
      </c>
      <c r="J130" s="37">
        <v>0</v>
      </c>
      <c r="K130" s="37">
        <f t="shared" si="30"/>
        <v>0</v>
      </c>
      <c r="L130" s="112">
        <v>508</v>
      </c>
      <c r="M130" s="112">
        <v>554</v>
      </c>
      <c r="N130" s="112">
        <f t="shared" si="31"/>
        <v>1062</v>
      </c>
      <c r="O130" s="37">
        <v>677</v>
      </c>
      <c r="P130" s="113">
        <f t="shared" si="35"/>
        <v>63.7476459510358</v>
      </c>
      <c r="Q130" s="37">
        <v>584</v>
      </c>
      <c r="R130" s="37">
        <f t="shared" si="36"/>
        <v>54.9905838041431</v>
      </c>
      <c r="S130" s="115">
        <f t="shared" si="32"/>
        <v>182</v>
      </c>
      <c r="T130" s="37">
        <f t="shared" si="37"/>
        <v>31.1643835616438</v>
      </c>
      <c r="U130" s="37">
        <v>402</v>
      </c>
      <c r="V130" s="117">
        <f t="shared" si="38"/>
        <v>68.8356164383562</v>
      </c>
      <c r="W130" s="37">
        <v>475</v>
      </c>
      <c r="X130" s="37">
        <f t="shared" si="39"/>
        <v>45.0094161958569</v>
      </c>
      <c r="Y130" s="119">
        <f t="shared" si="47"/>
        <v>205</v>
      </c>
      <c r="Z130" s="3">
        <f t="shared" si="40"/>
        <v>43.1578947368421</v>
      </c>
      <c r="AA130" s="3">
        <v>270</v>
      </c>
      <c r="AB130" s="118">
        <f t="shared" si="41"/>
        <v>56.8421052631579</v>
      </c>
      <c r="AC130" s="3">
        <f t="shared" si="49"/>
        <v>672</v>
      </c>
      <c r="AD130" s="3" t="str">
        <f t="shared" si="42"/>
        <v>AVG</v>
      </c>
      <c r="AE130" s="30" t="str">
        <f t="shared" si="43"/>
        <v>WEAK</v>
      </c>
      <c r="AF130" s="3" t="str">
        <f t="shared" si="44"/>
        <v>VLOW</v>
      </c>
      <c r="AG130" s="3" t="str">
        <f t="shared" si="33"/>
        <v>FEMALE DOM</v>
      </c>
      <c r="AH130" s="3" t="str">
        <f t="shared" si="45"/>
        <v>O</v>
      </c>
      <c r="AI130" s="36">
        <f>E130-G130</f>
        <v>5.02215657311669</v>
      </c>
      <c r="AJ130" s="35" t="str">
        <f t="shared" si="34"/>
        <v>BJP GAIN</v>
      </c>
      <c r="AK130" s="32" t="str">
        <f t="shared" si="46"/>
        <v>NARROWMARGIN</v>
      </c>
    </row>
    <row r="131" spans="1:37">
      <c r="A131" s="37">
        <v>128</v>
      </c>
      <c r="B131" s="109" t="s">
        <v>164</v>
      </c>
      <c r="C131" s="37">
        <v>354</v>
      </c>
      <c r="D131" s="37">
        <v>273</v>
      </c>
      <c r="E131" s="37">
        <f t="shared" si="27"/>
        <v>77.1186440677966</v>
      </c>
      <c r="F131" s="37">
        <v>71</v>
      </c>
      <c r="G131" s="37">
        <f t="shared" si="28"/>
        <v>20.0564971751412</v>
      </c>
      <c r="H131" s="37">
        <v>0</v>
      </c>
      <c r="I131" s="37">
        <f t="shared" si="29"/>
        <v>0</v>
      </c>
      <c r="J131" s="37">
        <v>1</v>
      </c>
      <c r="K131" s="37">
        <f t="shared" si="30"/>
        <v>0.282485875706215</v>
      </c>
      <c r="L131" s="112">
        <v>368</v>
      </c>
      <c r="M131" s="112">
        <v>430</v>
      </c>
      <c r="N131" s="112">
        <f t="shared" si="31"/>
        <v>798</v>
      </c>
      <c r="O131" s="37">
        <v>354</v>
      </c>
      <c r="P131" s="113">
        <f t="shared" si="35"/>
        <v>44.3609022556391</v>
      </c>
      <c r="Q131" s="37">
        <v>753</v>
      </c>
      <c r="R131" s="37">
        <f t="shared" si="36"/>
        <v>94.3609022556391</v>
      </c>
      <c r="S131" s="115">
        <f t="shared" si="32"/>
        <v>411</v>
      </c>
      <c r="T131" s="37">
        <f t="shared" si="37"/>
        <v>54.5816733067729</v>
      </c>
      <c r="U131" s="37">
        <v>342</v>
      </c>
      <c r="V131" s="117">
        <f t="shared" si="38"/>
        <v>45.4183266932271</v>
      </c>
      <c r="W131" s="37">
        <v>45</v>
      </c>
      <c r="X131" s="37">
        <f t="shared" si="39"/>
        <v>5.6390977443609</v>
      </c>
      <c r="Y131" s="37">
        <f t="shared" si="47"/>
        <v>31</v>
      </c>
      <c r="Z131" s="3">
        <f t="shared" si="40"/>
        <v>68.8888888888889</v>
      </c>
      <c r="AA131" s="3">
        <v>14</v>
      </c>
      <c r="AB131" s="118">
        <f t="shared" si="41"/>
        <v>31.1111111111111</v>
      </c>
      <c r="AC131" s="3">
        <f t="shared" si="49"/>
        <v>356</v>
      </c>
      <c r="AD131" s="3" t="str">
        <f t="shared" si="42"/>
        <v>VLOW</v>
      </c>
      <c r="AE131" s="30" t="str">
        <f t="shared" si="43"/>
        <v>EXCELLENT</v>
      </c>
      <c r="AF131" s="3" t="str">
        <f t="shared" si="44"/>
        <v>VLOW</v>
      </c>
      <c r="AG131" s="3" t="str">
        <f t="shared" si="33"/>
        <v>FEMALE DOM</v>
      </c>
      <c r="AH131" s="3" t="str">
        <f t="shared" si="45"/>
        <v>O</v>
      </c>
      <c r="AI131" s="36">
        <f>E131-G131</f>
        <v>57.0621468926554</v>
      </c>
      <c r="AJ131" s="35" t="str">
        <f t="shared" si="34"/>
        <v>BJP GAIN</v>
      </c>
      <c r="AK131" s="30" t="str">
        <f t="shared" si="46"/>
        <v>VERYHIGHMARGIN</v>
      </c>
    </row>
    <row r="132" spans="1:37">
      <c r="A132" s="37">
        <v>129</v>
      </c>
      <c r="B132" s="109" t="s">
        <v>165</v>
      </c>
      <c r="C132" s="37">
        <v>604</v>
      </c>
      <c r="D132" s="37">
        <v>164</v>
      </c>
      <c r="E132" s="37">
        <f t="shared" ref="E132:E195" si="53">(D132/C132)*100</f>
        <v>27.1523178807947</v>
      </c>
      <c r="F132" s="37">
        <v>428</v>
      </c>
      <c r="G132" s="37">
        <f t="shared" ref="G132:G195" si="54">(F132/C132)*100</f>
        <v>70.8609271523179</v>
      </c>
      <c r="H132" s="37">
        <v>0</v>
      </c>
      <c r="I132" s="37">
        <f t="shared" ref="I132:I195" si="55">(H132/C132)*100</f>
        <v>0</v>
      </c>
      <c r="J132" s="37">
        <v>4</v>
      </c>
      <c r="K132" s="37">
        <f t="shared" ref="K132:K195" si="56">(J132/C132)*100</f>
        <v>0.662251655629139</v>
      </c>
      <c r="L132" s="112">
        <v>519</v>
      </c>
      <c r="M132" s="112">
        <v>492</v>
      </c>
      <c r="N132" s="112">
        <f t="shared" ref="N132:N195" si="57">L132+M132</f>
        <v>1011</v>
      </c>
      <c r="O132" s="37">
        <v>604</v>
      </c>
      <c r="P132" s="113">
        <f t="shared" si="35"/>
        <v>59.7428288822948</v>
      </c>
      <c r="Q132" s="37">
        <v>334</v>
      </c>
      <c r="R132" s="37">
        <f t="shared" si="36"/>
        <v>33.0365974282888</v>
      </c>
      <c r="S132" s="37">
        <f t="shared" ref="S132:S195" si="58">Q132-U132</f>
        <v>136</v>
      </c>
      <c r="T132" s="37">
        <f t="shared" si="37"/>
        <v>40.7185628742515</v>
      </c>
      <c r="U132" s="37">
        <v>198</v>
      </c>
      <c r="V132" s="117">
        <f t="shared" si="38"/>
        <v>59.2814371257485</v>
      </c>
      <c r="W132" s="37">
        <f>506+171</f>
        <v>677</v>
      </c>
      <c r="X132" s="37">
        <f t="shared" si="39"/>
        <v>66.9634025717112</v>
      </c>
      <c r="Y132" s="37">
        <f t="shared" si="47"/>
        <v>275</v>
      </c>
      <c r="Z132" s="3">
        <f t="shared" si="40"/>
        <v>40.6203840472674</v>
      </c>
      <c r="AA132" s="3">
        <v>402</v>
      </c>
      <c r="AB132" s="118">
        <f t="shared" si="41"/>
        <v>59.3796159527326</v>
      </c>
      <c r="AC132" s="3">
        <f t="shared" si="49"/>
        <v>600</v>
      </c>
      <c r="AD132" s="3" t="str">
        <f t="shared" si="42"/>
        <v>WEAK</v>
      </c>
      <c r="AE132" s="30" t="str">
        <f t="shared" si="43"/>
        <v>VLOW</v>
      </c>
      <c r="AF132" s="3" t="str">
        <f t="shared" si="44"/>
        <v>AVG</v>
      </c>
      <c r="AG132" s="3" t="str">
        <f t="shared" ref="AG132:AG195" si="59">IF(M132&gt;L132,"FEMALE DOM","MEN")</f>
        <v>MEN</v>
      </c>
      <c r="AH132" s="3" t="str">
        <f t="shared" si="45"/>
        <v>H</v>
      </c>
      <c r="AI132" s="36">
        <f>G132-E132</f>
        <v>43.7086092715232</v>
      </c>
      <c r="AJ132" s="31" t="str">
        <f t="shared" ref="AJ132:AJ195" si="60">IF(E132&gt;G132,"BJP GAIN","CONGRESSGAIN")</f>
        <v>CONGRESSGAIN</v>
      </c>
      <c r="AK132" s="34" t="str">
        <f t="shared" si="46"/>
        <v>HIGHMARGIN</v>
      </c>
    </row>
    <row r="133" spans="1:37">
      <c r="A133" s="37">
        <v>130</v>
      </c>
      <c r="B133" s="109" t="s">
        <v>166</v>
      </c>
      <c r="C133" s="37">
        <v>267</v>
      </c>
      <c r="D133" s="37">
        <v>131</v>
      </c>
      <c r="E133" s="37">
        <f t="shared" si="53"/>
        <v>49.063670411985</v>
      </c>
      <c r="F133" s="37">
        <v>112</v>
      </c>
      <c r="G133" s="37">
        <f t="shared" si="54"/>
        <v>41.9475655430712</v>
      </c>
      <c r="H133" s="37">
        <v>1</v>
      </c>
      <c r="I133" s="37">
        <f t="shared" si="55"/>
        <v>0.374531835205993</v>
      </c>
      <c r="J133" s="37">
        <v>18</v>
      </c>
      <c r="K133" s="37">
        <f t="shared" si="56"/>
        <v>6.74157303370786</v>
      </c>
      <c r="L133" s="112">
        <v>333</v>
      </c>
      <c r="M133" s="112">
        <v>271</v>
      </c>
      <c r="N133" s="112">
        <f t="shared" si="57"/>
        <v>604</v>
      </c>
      <c r="O133" s="37">
        <v>267</v>
      </c>
      <c r="P133" s="113">
        <f t="shared" ref="P133:P196" si="61">O133/N133*100</f>
        <v>44.205298013245</v>
      </c>
      <c r="Q133" s="37"/>
      <c r="R133" s="37">
        <f t="shared" ref="R133:R196" si="62">(Q133/N133)*100</f>
        <v>0</v>
      </c>
      <c r="S133" s="37">
        <f t="shared" si="58"/>
        <v>0</v>
      </c>
      <c r="T133" s="37" t="e">
        <f t="shared" ref="T133:T196" si="63">(S133/Q133)*100</f>
        <v>#DIV/0!</v>
      </c>
      <c r="U133" s="37"/>
      <c r="V133" s="117">
        <f t="shared" ref="V133:V196" si="64">IFERROR(U133/Q133*100,0)</f>
        <v>0</v>
      </c>
      <c r="W133" s="37"/>
      <c r="X133" s="37">
        <f t="shared" ref="X133:X196" si="65">100-R133</f>
        <v>100</v>
      </c>
      <c r="Y133" s="119">
        <f t="shared" si="47"/>
        <v>0</v>
      </c>
      <c r="Z133" s="3" t="e">
        <f t="shared" ref="Z133:Z196" si="66">(Y133/W133)*100</f>
        <v>#DIV/0!</v>
      </c>
      <c r="AA133" s="3"/>
      <c r="AB133" s="118">
        <f t="shared" ref="AB133:AB196" si="67">IFERROR(AA133/W133*100,0)</f>
        <v>0</v>
      </c>
      <c r="AC133" s="3">
        <f t="shared" si="49"/>
        <v>0</v>
      </c>
      <c r="AD133" s="3" t="str">
        <f t="shared" ref="AD133:AD196" si="68">IF(P133&gt;80,"EXCELLENT",IF(P133&gt;70,"STRONG",IF(P133&gt;60,"AVG",IF(P133&gt;50,"WEAK",IF(P133&lt;50,"VLOW")))))</f>
        <v>VLOW</v>
      </c>
      <c r="AE133" s="30" t="str">
        <f t="shared" ref="AE133:AE196" si="69">IF(R133&gt;80,"EXCELLENT",IF(R133&gt;70,"STRONG",IF(R133&gt;60,"AVG",IF(R133&gt;50,"WEAK",IF(R133&lt;50,"VLOW")))))</f>
        <v>VLOW</v>
      </c>
      <c r="AF133" s="3" t="str">
        <f t="shared" ref="AF133:AF196" si="70">IF(X133&gt;80,"EXCELLENT",IF(X133&gt;70,"STRONG",IF(X133&gt;60,"AVG",IF(X133&gt;50,"WEAK",IF(X133&lt;50,"VLOW")))))</f>
        <v>EXCELLENT</v>
      </c>
      <c r="AG133" s="3" t="str">
        <f t="shared" si="59"/>
        <v>MEN</v>
      </c>
      <c r="AH133" s="3" t="e">
        <f t="shared" ref="AH133:AH196" si="71">IF(T133&gt;Z133,"H","O")</f>
        <v>#DIV/0!</v>
      </c>
      <c r="AI133" s="36">
        <f>E133-G133</f>
        <v>7.11610486891385</v>
      </c>
      <c r="AJ133" s="35" t="str">
        <f t="shared" si="60"/>
        <v>BJP GAIN</v>
      </c>
      <c r="AK133" s="32" t="str">
        <f t="shared" ref="AK133:AK196" si="72">IF(AI133&gt;=50,"VERYHIGHMARGIN",IF(AI133&gt;=40,"HIGHMARGIN",IF(AI133&gt;=30,"MEDIUMMARGIN",IF(AI133&gt;10,"LOWMARGIN",IF(AI133&gt;=1,"NARROWMARGIN")))))</f>
        <v>NARROWMARGIN</v>
      </c>
    </row>
    <row r="134" spans="1:37">
      <c r="A134" s="37">
        <v>131</v>
      </c>
      <c r="B134" s="109" t="s">
        <v>167</v>
      </c>
      <c r="C134" s="37">
        <v>848</v>
      </c>
      <c r="D134" s="37">
        <v>468</v>
      </c>
      <c r="E134" s="37">
        <f t="shared" si="53"/>
        <v>55.188679245283</v>
      </c>
      <c r="F134" s="37">
        <v>360</v>
      </c>
      <c r="G134" s="37">
        <f t="shared" si="54"/>
        <v>42.4528301886792</v>
      </c>
      <c r="H134" s="37">
        <v>7</v>
      </c>
      <c r="I134" s="37">
        <f t="shared" si="55"/>
        <v>0.825471698113208</v>
      </c>
      <c r="J134" s="37">
        <v>4</v>
      </c>
      <c r="K134" s="37">
        <f t="shared" si="56"/>
        <v>0.471698113207547</v>
      </c>
      <c r="L134" s="112">
        <v>563</v>
      </c>
      <c r="M134" s="112">
        <v>638</v>
      </c>
      <c r="N134" s="112">
        <f t="shared" si="57"/>
        <v>1201</v>
      </c>
      <c r="O134" s="37">
        <v>848</v>
      </c>
      <c r="P134" s="113">
        <f t="shared" si="61"/>
        <v>70.6078268109908</v>
      </c>
      <c r="Q134" s="37"/>
      <c r="R134" s="37">
        <f t="shared" si="62"/>
        <v>0</v>
      </c>
      <c r="S134" s="37">
        <f t="shared" si="58"/>
        <v>0</v>
      </c>
      <c r="T134" s="37" t="e">
        <f t="shared" si="63"/>
        <v>#DIV/0!</v>
      </c>
      <c r="U134" s="37"/>
      <c r="V134" s="117">
        <f t="shared" si="64"/>
        <v>0</v>
      </c>
      <c r="W134" s="37"/>
      <c r="X134" s="37">
        <f t="shared" si="65"/>
        <v>100</v>
      </c>
      <c r="Y134" s="37">
        <f t="shared" ref="Y134:Y197" si="73">W134-AA134</f>
        <v>0</v>
      </c>
      <c r="Z134" s="3" t="e">
        <f t="shared" si="66"/>
        <v>#DIV/0!</v>
      </c>
      <c r="AA134" s="3"/>
      <c r="AB134" s="118">
        <f t="shared" si="67"/>
        <v>0</v>
      </c>
      <c r="AC134" s="3">
        <f t="shared" si="49"/>
        <v>0</v>
      </c>
      <c r="AD134" s="3" t="str">
        <f t="shared" si="68"/>
        <v>STRONG</v>
      </c>
      <c r="AE134" s="30" t="str">
        <f t="shared" si="69"/>
        <v>VLOW</v>
      </c>
      <c r="AF134" s="3" t="str">
        <f t="shared" si="70"/>
        <v>EXCELLENT</v>
      </c>
      <c r="AG134" s="3" t="str">
        <f t="shared" si="59"/>
        <v>FEMALE DOM</v>
      </c>
      <c r="AH134" s="3" t="e">
        <f t="shared" si="71"/>
        <v>#DIV/0!</v>
      </c>
      <c r="AI134" s="36">
        <f>E134-G134</f>
        <v>12.7358490566038</v>
      </c>
      <c r="AJ134" s="35" t="str">
        <f t="shared" si="60"/>
        <v>BJP GAIN</v>
      </c>
      <c r="AK134" s="36" t="str">
        <f t="shared" si="72"/>
        <v>LOWMARGIN</v>
      </c>
    </row>
    <row r="135" spans="1:37">
      <c r="A135" s="37">
        <v>132</v>
      </c>
      <c r="B135" s="109" t="s">
        <v>168</v>
      </c>
      <c r="C135" s="37">
        <v>634</v>
      </c>
      <c r="D135" s="37">
        <v>281</v>
      </c>
      <c r="E135" s="37">
        <f t="shared" si="53"/>
        <v>44.3217665615142</v>
      </c>
      <c r="F135" s="37">
        <v>335</v>
      </c>
      <c r="G135" s="37">
        <f t="shared" si="54"/>
        <v>52.8391167192429</v>
      </c>
      <c r="H135" s="37">
        <v>5</v>
      </c>
      <c r="I135" s="37">
        <f t="shared" si="55"/>
        <v>0.788643533123028</v>
      </c>
      <c r="J135" s="37">
        <v>3</v>
      </c>
      <c r="K135" s="37">
        <f t="shared" si="56"/>
        <v>0.473186119873817</v>
      </c>
      <c r="L135" s="112">
        <v>509</v>
      </c>
      <c r="M135" s="112">
        <v>538</v>
      </c>
      <c r="N135" s="112">
        <f t="shared" si="57"/>
        <v>1047</v>
      </c>
      <c r="O135" s="37">
        <v>634</v>
      </c>
      <c r="P135" s="113">
        <f t="shared" si="61"/>
        <v>60.5539637058262</v>
      </c>
      <c r="Q135" s="37"/>
      <c r="R135" s="37">
        <f t="shared" si="62"/>
        <v>0</v>
      </c>
      <c r="S135" s="115">
        <f t="shared" si="58"/>
        <v>0</v>
      </c>
      <c r="T135" s="37" t="e">
        <f t="shared" si="63"/>
        <v>#DIV/0!</v>
      </c>
      <c r="U135" s="37"/>
      <c r="V135" s="117">
        <f t="shared" si="64"/>
        <v>0</v>
      </c>
      <c r="W135" s="37"/>
      <c r="X135" s="37">
        <f t="shared" si="65"/>
        <v>100</v>
      </c>
      <c r="Y135" s="37">
        <f t="shared" si="73"/>
        <v>0</v>
      </c>
      <c r="Z135" s="3" t="e">
        <f t="shared" si="66"/>
        <v>#DIV/0!</v>
      </c>
      <c r="AA135" s="3"/>
      <c r="AB135" s="118">
        <f t="shared" si="67"/>
        <v>0</v>
      </c>
      <c r="AC135" s="3">
        <f t="shared" si="49"/>
        <v>0</v>
      </c>
      <c r="AD135" s="3" t="str">
        <f t="shared" si="68"/>
        <v>AVG</v>
      </c>
      <c r="AE135" s="30" t="str">
        <f t="shared" si="69"/>
        <v>VLOW</v>
      </c>
      <c r="AF135" s="3" t="str">
        <f t="shared" si="70"/>
        <v>EXCELLENT</v>
      </c>
      <c r="AG135" s="3" t="str">
        <f t="shared" si="59"/>
        <v>FEMALE DOM</v>
      </c>
      <c r="AH135" s="3" t="e">
        <f t="shared" si="71"/>
        <v>#DIV/0!</v>
      </c>
      <c r="AI135" s="36">
        <f>G135-E135</f>
        <v>8.51735015772871</v>
      </c>
      <c r="AJ135" s="31" t="str">
        <f t="shared" si="60"/>
        <v>CONGRESSGAIN</v>
      </c>
      <c r="AK135" s="32" t="str">
        <f t="shared" si="72"/>
        <v>NARROWMARGIN</v>
      </c>
    </row>
    <row r="136" spans="1:37">
      <c r="A136" s="37">
        <v>133</v>
      </c>
      <c r="B136" s="109" t="s">
        <v>169</v>
      </c>
      <c r="C136" s="37">
        <v>761</v>
      </c>
      <c r="D136" s="37">
        <v>378</v>
      </c>
      <c r="E136" s="37">
        <f t="shared" si="53"/>
        <v>49.6714848883049</v>
      </c>
      <c r="F136" s="37">
        <v>373</v>
      </c>
      <c r="G136" s="37">
        <f t="shared" si="54"/>
        <v>49.0144546649146</v>
      </c>
      <c r="H136" s="37">
        <v>0</v>
      </c>
      <c r="I136" s="37">
        <f t="shared" si="55"/>
        <v>0</v>
      </c>
      <c r="J136" s="37">
        <v>6</v>
      </c>
      <c r="K136" s="37">
        <f t="shared" si="56"/>
        <v>0.788436268068331</v>
      </c>
      <c r="L136" s="112">
        <v>647</v>
      </c>
      <c r="M136" s="112">
        <v>650</v>
      </c>
      <c r="N136" s="112">
        <f t="shared" si="57"/>
        <v>1297</v>
      </c>
      <c r="O136" s="37">
        <v>761</v>
      </c>
      <c r="P136" s="113">
        <f t="shared" si="61"/>
        <v>58.6738627602159</v>
      </c>
      <c r="Q136" s="37"/>
      <c r="R136" s="37">
        <f t="shared" si="62"/>
        <v>0</v>
      </c>
      <c r="S136" s="37">
        <f t="shared" si="58"/>
        <v>0</v>
      </c>
      <c r="T136" s="37" t="e">
        <f t="shared" si="63"/>
        <v>#DIV/0!</v>
      </c>
      <c r="U136" s="37"/>
      <c r="V136" s="117">
        <f t="shared" si="64"/>
        <v>0</v>
      </c>
      <c r="W136" s="37"/>
      <c r="X136" s="37">
        <f t="shared" si="65"/>
        <v>100</v>
      </c>
      <c r="Y136" s="119">
        <f t="shared" si="73"/>
        <v>0</v>
      </c>
      <c r="Z136" s="3" t="e">
        <f t="shared" si="66"/>
        <v>#DIV/0!</v>
      </c>
      <c r="AA136" s="3"/>
      <c r="AB136" s="118">
        <f t="shared" si="67"/>
        <v>0</v>
      </c>
      <c r="AC136" s="3">
        <f t="shared" si="49"/>
        <v>0</v>
      </c>
      <c r="AD136" s="3" t="str">
        <f t="shared" si="68"/>
        <v>WEAK</v>
      </c>
      <c r="AE136" s="30" t="str">
        <f t="shared" si="69"/>
        <v>VLOW</v>
      </c>
      <c r="AF136" s="3" t="str">
        <f t="shared" si="70"/>
        <v>EXCELLENT</v>
      </c>
      <c r="AG136" s="3" t="str">
        <f t="shared" si="59"/>
        <v>FEMALE DOM</v>
      </c>
      <c r="AH136" s="3" t="e">
        <f t="shared" si="71"/>
        <v>#DIV/0!</v>
      </c>
      <c r="AI136" s="36">
        <f>E136-G136</f>
        <v>0.657030223390272</v>
      </c>
      <c r="AJ136" s="35" t="str">
        <f t="shared" si="60"/>
        <v>BJP GAIN</v>
      </c>
      <c r="AK136" s="32" t="str">
        <f>IF(AI136&gt;=50,"VERYHIGHMARGIN",IF(AI136&gt;=40,"HIGHMARGIN",IF(AI136&gt;=30,"MEDIUMMARGIN",IF(AI136&gt;10,"LOWMARGIN",IF(AI136&lt;1,"NARROWMARGIN")))))</f>
        <v>NARROWMARGIN</v>
      </c>
    </row>
    <row r="137" spans="1:37">
      <c r="A137" s="37">
        <v>134</v>
      </c>
      <c r="B137" s="109" t="s">
        <v>170</v>
      </c>
      <c r="C137" s="37">
        <v>653</v>
      </c>
      <c r="D137" s="37">
        <v>201</v>
      </c>
      <c r="E137" s="37">
        <f t="shared" si="53"/>
        <v>30.781010719755</v>
      </c>
      <c r="F137" s="37">
        <v>442</v>
      </c>
      <c r="G137" s="37">
        <f t="shared" si="54"/>
        <v>67.687595712098</v>
      </c>
      <c r="H137" s="37">
        <v>3</v>
      </c>
      <c r="I137" s="37">
        <f t="shared" si="55"/>
        <v>0.459418070444104</v>
      </c>
      <c r="J137" s="37">
        <v>2</v>
      </c>
      <c r="K137" s="37">
        <f t="shared" si="56"/>
        <v>0.306278713629403</v>
      </c>
      <c r="L137" s="112">
        <v>486</v>
      </c>
      <c r="M137" s="112">
        <v>507</v>
      </c>
      <c r="N137" s="112">
        <f t="shared" si="57"/>
        <v>993</v>
      </c>
      <c r="O137" s="37">
        <v>653</v>
      </c>
      <c r="P137" s="113">
        <f t="shared" si="61"/>
        <v>65.7603222557905</v>
      </c>
      <c r="Q137" s="37">
        <v>326</v>
      </c>
      <c r="R137" s="37">
        <f t="shared" si="62"/>
        <v>32.8298086606244</v>
      </c>
      <c r="S137" s="37">
        <f t="shared" si="58"/>
        <v>90</v>
      </c>
      <c r="T137" s="37">
        <f t="shared" si="63"/>
        <v>27.6073619631902</v>
      </c>
      <c r="U137" s="37">
        <v>236</v>
      </c>
      <c r="V137" s="117">
        <f t="shared" si="64"/>
        <v>72.3926380368098</v>
      </c>
      <c r="W137" s="37">
        <f>993-326</f>
        <v>667</v>
      </c>
      <c r="X137" s="37">
        <f t="shared" si="65"/>
        <v>67.1701913393756</v>
      </c>
      <c r="Y137" s="37">
        <f t="shared" si="73"/>
        <v>250</v>
      </c>
      <c r="Z137" s="3">
        <f t="shared" si="66"/>
        <v>37.4812593703148</v>
      </c>
      <c r="AA137" s="3">
        <f>653-236</f>
        <v>417</v>
      </c>
      <c r="AB137" s="118">
        <f t="shared" si="67"/>
        <v>62.5187406296852</v>
      </c>
      <c r="AC137" s="3">
        <f t="shared" si="49"/>
        <v>653</v>
      </c>
      <c r="AD137" s="3" t="str">
        <f t="shared" si="68"/>
        <v>AVG</v>
      </c>
      <c r="AE137" s="30" t="str">
        <f t="shared" si="69"/>
        <v>VLOW</v>
      </c>
      <c r="AF137" s="3" t="str">
        <f t="shared" si="70"/>
        <v>AVG</v>
      </c>
      <c r="AG137" s="3" t="str">
        <f t="shared" si="59"/>
        <v>FEMALE DOM</v>
      </c>
      <c r="AH137" s="3" t="str">
        <f t="shared" si="71"/>
        <v>O</v>
      </c>
      <c r="AI137" s="36">
        <f>G137-E137</f>
        <v>36.906584992343</v>
      </c>
      <c r="AJ137" s="31" t="str">
        <f t="shared" si="60"/>
        <v>CONGRESSGAIN</v>
      </c>
      <c r="AK137" s="38" t="str">
        <f t="shared" si="72"/>
        <v>MEDIUMMARGIN</v>
      </c>
    </row>
    <row r="138" spans="1:37">
      <c r="A138" s="37">
        <v>135</v>
      </c>
      <c r="B138" s="109" t="s">
        <v>171</v>
      </c>
      <c r="C138" s="37">
        <v>889</v>
      </c>
      <c r="D138" s="37">
        <v>175</v>
      </c>
      <c r="E138" s="37">
        <f t="shared" si="53"/>
        <v>19.6850393700787</v>
      </c>
      <c r="F138" s="37">
        <v>679</v>
      </c>
      <c r="G138" s="37">
        <f t="shared" si="54"/>
        <v>76.3779527559055</v>
      </c>
      <c r="H138" s="37">
        <v>21</v>
      </c>
      <c r="I138" s="37">
        <f t="shared" si="55"/>
        <v>2.36220472440945</v>
      </c>
      <c r="J138" s="37">
        <v>2</v>
      </c>
      <c r="K138" s="37">
        <f t="shared" si="56"/>
        <v>0.224971878515186</v>
      </c>
      <c r="L138" s="112">
        <v>700</v>
      </c>
      <c r="M138" s="112">
        <v>666</v>
      </c>
      <c r="N138" s="112">
        <f t="shared" si="57"/>
        <v>1366</v>
      </c>
      <c r="O138" s="37">
        <v>889</v>
      </c>
      <c r="P138" s="113">
        <f t="shared" si="61"/>
        <v>65.0805270863836</v>
      </c>
      <c r="Q138" s="37"/>
      <c r="R138" s="37">
        <f t="shared" si="62"/>
        <v>0</v>
      </c>
      <c r="S138" s="37">
        <f t="shared" si="58"/>
        <v>0</v>
      </c>
      <c r="T138" s="37" t="e">
        <f t="shared" si="63"/>
        <v>#DIV/0!</v>
      </c>
      <c r="U138" s="37"/>
      <c r="V138" s="117">
        <f t="shared" si="64"/>
        <v>0</v>
      </c>
      <c r="W138" s="37"/>
      <c r="X138" s="37">
        <f t="shared" si="65"/>
        <v>100</v>
      </c>
      <c r="Y138" s="37">
        <f t="shared" si="73"/>
        <v>0</v>
      </c>
      <c r="Z138" s="3" t="e">
        <f t="shared" si="66"/>
        <v>#DIV/0!</v>
      </c>
      <c r="AA138" s="3"/>
      <c r="AB138" s="118">
        <f t="shared" si="67"/>
        <v>0</v>
      </c>
      <c r="AC138" s="3">
        <f t="shared" si="49"/>
        <v>0</v>
      </c>
      <c r="AD138" s="3" t="str">
        <f t="shared" si="68"/>
        <v>AVG</v>
      </c>
      <c r="AE138" s="30" t="str">
        <f t="shared" si="69"/>
        <v>VLOW</v>
      </c>
      <c r="AF138" s="3" t="str">
        <f t="shared" si="70"/>
        <v>EXCELLENT</v>
      </c>
      <c r="AG138" s="3" t="str">
        <f t="shared" si="59"/>
        <v>MEN</v>
      </c>
      <c r="AH138" s="3" t="e">
        <f t="shared" si="71"/>
        <v>#DIV/0!</v>
      </c>
      <c r="AI138" s="36">
        <f>G138-E138</f>
        <v>56.6929133858268</v>
      </c>
      <c r="AJ138" s="31" t="str">
        <f t="shared" si="60"/>
        <v>CONGRESSGAIN</v>
      </c>
      <c r="AK138" s="30" t="str">
        <f t="shared" si="72"/>
        <v>VERYHIGHMARGIN</v>
      </c>
    </row>
    <row r="139" spans="1:37">
      <c r="A139" s="37">
        <v>136</v>
      </c>
      <c r="B139" s="109" t="s">
        <v>172</v>
      </c>
      <c r="C139" s="37">
        <v>744</v>
      </c>
      <c r="D139" s="37">
        <v>352</v>
      </c>
      <c r="E139" s="37">
        <f t="shared" si="53"/>
        <v>47.3118279569892</v>
      </c>
      <c r="F139" s="37">
        <v>370</v>
      </c>
      <c r="G139" s="37">
        <f t="shared" si="54"/>
        <v>49.7311827956989</v>
      </c>
      <c r="H139" s="37">
        <v>4</v>
      </c>
      <c r="I139" s="37">
        <f t="shared" si="55"/>
        <v>0.537634408602151</v>
      </c>
      <c r="J139" s="37">
        <v>12</v>
      </c>
      <c r="K139" s="37">
        <f t="shared" si="56"/>
        <v>1.61290322580645</v>
      </c>
      <c r="L139" s="112">
        <v>428</v>
      </c>
      <c r="M139" s="112">
        <v>725</v>
      </c>
      <c r="N139" s="112">
        <f t="shared" si="57"/>
        <v>1153</v>
      </c>
      <c r="O139" s="37">
        <v>744</v>
      </c>
      <c r="P139" s="113">
        <f t="shared" si="61"/>
        <v>64.5273200346921</v>
      </c>
      <c r="Q139" s="37">
        <f>405+174</f>
        <v>579</v>
      </c>
      <c r="R139" s="37">
        <f t="shared" si="62"/>
        <v>50.2168256721596</v>
      </c>
      <c r="S139" s="115">
        <f t="shared" si="58"/>
        <v>174</v>
      </c>
      <c r="T139" s="37">
        <f t="shared" si="63"/>
        <v>30.0518134715026</v>
      </c>
      <c r="U139" s="37">
        <v>405</v>
      </c>
      <c r="V139" s="117">
        <f t="shared" si="64"/>
        <v>69.9481865284974</v>
      </c>
      <c r="W139" s="37">
        <f>121+70+212+214</f>
        <v>617</v>
      </c>
      <c r="X139" s="37">
        <f t="shared" si="65"/>
        <v>49.7831743278404</v>
      </c>
      <c r="Y139" s="119">
        <f t="shared" si="73"/>
        <v>278</v>
      </c>
      <c r="Z139" s="3">
        <f t="shared" si="66"/>
        <v>45.0567260940032</v>
      </c>
      <c r="AA139" s="3">
        <v>339</v>
      </c>
      <c r="AB139" s="118">
        <f t="shared" si="67"/>
        <v>54.9432739059968</v>
      </c>
      <c r="AC139" s="3">
        <f t="shared" si="49"/>
        <v>744</v>
      </c>
      <c r="AD139" s="3" t="str">
        <f t="shared" si="68"/>
        <v>AVG</v>
      </c>
      <c r="AE139" s="30" t="str">
        <f t="shared" si="69"/>
        <v>WEAK</v>
      </c>
      <c r="AF139" s="3" t="str">
        <f t="shared" si="70"/>
        <v>VLOW</v>
      </c>
      <c r="AG139" s="3" t="str">
        <f t="shared" si="59"/>
        <v>FEMALE DOM</v>
      </c>
      <c r="AH139" s="3" t="str">
        <f t="shared" si="71"/>
        <v>O</v>
      </c>
      <c r="AI139" s="36">
        <f>G139-E139</f>
        <v>2.41935483870968</v>
      </c>
      <c r="AJ139" s="31" t="str">
        <f t="shared" si="60"/>
        <v>CONGRESSGAIN</v>
      </c>
      <c r="AK139" s="32" t="str">
        <f t="shared" si="72"/>
        <v>NARROWMARGIN</v>
      </c>
    </row>
    <row r="140" spans="1:37">
      <c r="A140" s="37">
        <v>137</v>
      </c>
      <c r="B140" s="109" t="s">
        <v>173</v>
      </c>
      <c r="C140" s="37">
        <v>651</v>
      </c>
      <c r="D140" s="37">
        <v>405</v>
      </c>
      <c r="E140" s="37">
        <f t="shared" si="53"/>
        <v>62.2119815668203</v>
      </c>
      <c r="F140" s="37">
        <v>232</v>
      </c>
      <c r="G140" s="37">
        <f t="shared" si="54"/>
        <v>35.6374807987711</v>
      </c>
      <c r="H140" s="37">
        <v>2</v>
      </c>
      <c r="I140" s="37">
        <f t="shared" si="55"/>
        <v>0.307219662058372</v>
      </c>
      <c r="J140" s="37">
        <v>2</v>
      </c>
      <c r="K140" s="37">
        <f t="shared" si="56"/>
        <v>0.307219662058372</v>
      </c>
      <c r="L140" s="112">
        <v>488</v>
      </c>
      <c r="M140" s="112">
        <v>485</v>
      </c>
      <c r="N140" s="112">
        <f t="shared" si="57"/>
        <v>973</v>
      </c>
      <c r="O140" s="37">
        <v>651</v>
      </c>
      <c r="P140" s="113">
        <f t="shared" si="61"/>
        <v>66.9064748201439</v>
      </c>
      <c r="Q140" s="37"/>
      <c r="R140" s="37">
        <f t="shared" si="62"/>
        <v>0</v>
      </c>
      <c r="S140" s="37">
        <f t="shared" si="58"/>
        <v>0</v>
      </c>
      <c r="T140" s="37" t="e">
        <f t="shared" si="63"/>
        <v>#DIV/0!</v>
      </c>
      <c r="U140" s="37"/>
      <c r="V140" s="117">
        <f t="shared" si="64"/>
        <v>0</v>
      </c>
      <c r="W140" s="37"/>
      <c r="X140" s="37">
        <f t="shared" si="65"/>
        <v>100</v>
      </c>
      <c r="Y140" s="37">
        <f t="shared" si="73"/>
        <v>0</v>
      </c>
      <c r="Z140" s="3" t="e">
        <f t="shared" si="66"/>
        <v>#DIV/0!</v>
      </c>
      <c r="AA140" s="3"/>
      <c r="AB140" s="118">
        <f t="shared" si="67"/>
        <v>0</v>
      </c>
      <c r="AC140" s="3">
        <f t="shared" si="49"/>
        <v>0</v>
      </c>
      <c r="AD140" s="3" t="str">
        <f t="shared" si="68"/>
        <v>AVG</v>
      </c>
      <c r="AE140" s="30" t="str">
        <f t="shared" si="69"/>
        <v>VLOW</v>
      </c>
      <c r="AF140" s="3" t="str">
        <f t="shared" si="70"/>
        <v>EXCELLENT</v>
      </c>
      <c r="AG140" s="3" t="str">
        <f t="shared" si="59"/>
        <v>MEN</v>
      </c>
      <c r="AH140" s="3" t="e">
        <f t="shared" si="71"/>
        <v>#DIV/0!</v>
      </c>
      <c r="AI140" s="36">
        <f>E140-G140</f>
        <v>26.5745007680491</v>
      </c>
      <c r="AJ140" s="35" t="str">
        <f t="shared" si="60"/>
        <v>BJP GAIN</v>
      </c>
      <c r="AK140" s="36" t="str">
        <f t="shared" si="72"/>
        <v>LOWMARGIN</v>
      </c>
    </row>
    <row r="141" spans="1:37">
      <c r="A141" s="37">
        <v>138</v>
      </c>
      <c r="B141" s="109" t="s">
        <v>174</v>
      </c>
      <c r="C141" s="37">
        <v>625</v>
      </c>
      <c r="D141" s="37">
        <v>438</v>
      </c>
      <c r="E141" s="37">
        <f t="shared" si="53"/>
        <v>70.08</v>
      </c>
      <c r="F141" s="37">
        <v>172</v>
      </c>
      <c r="G141" s="37">
        <f t="shared" si="54"/>
        <v>27.52</v>
      </c>
      <c r="H141" s="37">
        <v>4</v>
      </c>
      <c r="I141" s="37">
        <f t="shared" si="55"/>
        <v>0.64</v>
      </c>
      <c r="J141" s="37">
        <v>6</v>
      </c>
      <c r="K141" s="37">
        <f t="shared" si="56"/>
        <v>0.96</v>
      </c>
      <c r="L141" s="112">
        <v>454</v>
      </c>
      <c r="M141" s="112">
        <v>471</v>
      </c>
      <c r="N141" s="112">
        <f t="shared" si="57"/>
        <v>925</v>
      </c>
      <c r="O141" s="37">
        <v>625</v>
      </c>
      <c r="P141" s="113">
        <f t="shared" si="61"/>
        <v>67.5675675675676</v>
      </c>
      <c r="Q141" s="37">
        <v>765</v>
      </c>
      <c r="R141" s="37">
        <f t="shared" si="62"/>
        <v>82.7027027027027</v>
      </c>
      <c r="S141" s="37">
        <f t="shared" si="58"/>
        <v>247</v>
      </c>
      <c r="T141" s="37">
        <f t="shared" si="63"/>
        <v>32.2875816993464</v>
      </c>
      <c r="U141" s="37">
        <v>518</v>
      </c>
      <c r="V141" s="117">
        <f t="shared" si="64"/>
        <v>67.7124183006536</v>
      </c>
      <c r="W141" s="37">
        <f>925-765</f>
        <v>160</v>
      </c>
      <c r="X141" s="37">
        <f t="shared" si="65"/>
        <v>17.2972972972973</v>
      </c>
      <c r="Y141" s="37">
        <f t="shared" si="73"/>
        <v>53</v>
      </c>
      <c r="Z141" s="3">
        <f t="shared" si="66"/>
        <v>33.125</v>
      </c>
      <c r="AA141" s="3">
        <f>625-518</f>
        <v>107</v>
      </c>
      <c r="AB141" s="118">
        <f t="shared" si="67"/>
        <v>66.875</v>
      </c>
      <c r="AC141" s="3">
        <f t="shared" si="49"/>
        <v>625</v>
      </c>
      <c r="AD141" s="3" t="str">
        <f t="shared" si="68"/>
        <v>AVG</v>
      </c>
      <c r="AE141" s="30" t="str">
        <f t="shared" si="69"/>
        <v>EXCELLENT</v>
      </c>
      <c r="AF141" s="3" t="str">
        <f t="shared" si="70"/>
        <v>VLOW</v>
      </c>
      <c r="AG141" s="3" t="str">
        <f t="shared" si="59"/>
        <v>FEMALE DOM</v>
      </c>
      <c r="AH141" s="3" t="str">
        <f t="shared" si="71"/>
        <v>O</v>
      </c>
      <c r="AI141" s="36">
        <f>E141-G141</f>
        <v>42.56</v>
      </c>
      <c r="AJ141" s="35" t="str">
        <f t="shared" si="60"/>
        <v>BJP GAIN</v>
      </c>
      <c r="AK141" s="34" t="str">
        <f t="shared" si="72"/>
        <v>HIGHMARGIN</v>
      </c>
    </row>
    <row r="142" spans="1:37">
      <c r="A142" s="37">
        <v>139</v>
      </c>
      <c r="B142" s="109" t="s">
        <v>175</v>
      </c>
      <c r="C142" s="37">
        <v>515</v>
      </c>
      <c r="D142" s="37">
        <v>283</v>
      </c>
      <c r="E142" s="37">
        <f t="shared" si="53"/>
        <v>54.9514563106796</v>
      </c>
      <c r="F142" s="37">
        <v>218</v>
      </c>
      <c r="G142" s="37">
        <f t="shared" si="54"/>
        <v>42.3300970873786</v>
      </c>
      <c r="H142" s="37">
        <v>1</v>
      </c>
      <c r="I142" s="37">
        <f t="shared" si="55"/>
        <v>0.194174757281553</v>
      </c>
      <c r="J142" s="37">
        <v>6</v>
      </c>
      <c r="K142" s="37">
        <f t="shared" si="56"/>
        <v>1.16504854368932</v>
      </c>
      <c r="L142" s="112">
        <v>310</v>
      </c>
      <c r="M142" s="112">
        <v>415</v>
      </c>
      <c r="N142" s="112">
        <f t="shared" si="57"/>
        <v>725</v>
      </c>
      <c r="O142" s="37">
        <v>515</v>
      </c>
      <c r="P142" s="113">
        <f t="shared" si="61"/>
        <v>71.0344827586207</v>
      </c>
      <c r="Q142" s="37">
        <v>552</v>
      </c>
      <c r="R142" s="37">
        <f t="shared" si="62"/>
        <v>76.1379310344827</v>
      </c>
      <c r="S142" s="37">
        <f t="shared" si="58"/>
        <v>121</v>
      </c>
      <c r="T142" s="37">
        <f t="shared" si="63"/>
        <v>21.9202898550725</v>
      </c>
      <c r="U142" s="37">
        <v>431</v>
      </c>
      <c r="V142" s="117">
        <f t="shared" si="64"/>
        <v>78.0797101449275</v>
      </c>
      <c r="W142" s="37">
        <v>173</v>
      </c>
      <c r="X142" s="37">
        <f t="shared" si="65"/>
        <v>23.8620689655173</v>
      </c>
      <c r="Y142" s="119">
        <f t="shared" si="73"/>
        <v>107</v>
      </c>
      <c r="Z142" s="3">
        <f t="shared" si="66"/>
        <v>61.849710982659</v>
      </c>
      <c r="AA142" s="3">
        <v>66</v>
      </c>
      <c r="AB142" s="118">
        <f t="shared" si="67"/>
        <v>38.150289017341</v>
      </c>
      <c r="AC142" s="3">
        <f t="shared" si="49"/>
        <v>497</v>
      </c>
      <c r="AD142" s="3" t="str">
        <f t="shared" si="68"/>
        <v>STRONG</v>
      </c>
      <c r="AE142" s="30" t="str">
        <f t="shared" si="69"/>
        <v>STRONG</v>
      </c>
      <c r="AF142" s="3" t="str">
        <f t="shared" si="70"/>
        <v>VLOW</v>
      </c>
      <c r="AG142" s="3" t="str">
        <f t="shared" si="59"/>
        <v>FEMALE DOM</v>
      </c>
      <c r="AH142" s="3" t="str">
        <f t="shared" si="71"/>
        <v>O</v>
      </c>
      <c r="AI142" s="36">
        <f>E142-G142</f>
        <v>12.621359223301</v>
      </c>
      <c r="AJ142" s="35" t="str">
        <f t="shared" si="60"/>
        <v>BJP GAIN</v>
      </c>
      <c r="AK142" s="36" t="str">
        <f t="shared" si="72"/>
        <v>LOWMARGIN</v>
      </c>
    </row>
    <row r="143" spans="1:37">
      <c r="A143" s="37">
        <v>140</v>
      </c>
      <c r="B143" s="109" t="s">
        <v>176</v>
      </c>
      <c r="C143" s="37">
        <v>611</v>
      </c>
      <c r="D143" s="37">
        <v>398</v>
      </c>
      <c r="E143" s="37">
        <f t="shared" si="53"/>
        <v>65.139116202946</v>
      </c>
      <c r="F143" s="37">
        <v>193</v>
      </c>
      <c r="G143" s="37">
        <f t="shared" si="54"/>
        <v>31.5875613747954</v>
      </c>
      <c r="H143" s="37">
        <v>4</v>
      </c>
      <c r="I143" s="37">
        <f t="shared" si="55"/>
        <v>0.654664484451719</v>
      </c>
      <c r="J143" s="37">
        <v>11</v>
      </c>
      <c r="K143" s="37">
        <f t="shared" si="56"/>
        <v>1.80032733224223</v>
      </c>
      <c r="L143" s="112">
        <v>429</v>
      </c>
      <c r="M143" s="112">
        <v>482</v>
      </c>
      <c r="N143" s="112">
        <f t="shared" si="57"/>
        <v>911</v>
      </c>
      <c r="O143" s="37">
        <v>611</v>
      </c>
      <c r="P143" s="113">
        <f t="shared" si="61"/>
        <v>67.0691547749726</v>
      </c>
      <c r="Q143" s="37"/>
      <c r="R143" s="37">
        <f t="shared" si="62"/>
        <v>0</v>
      </c>
      <c r="S143" s="115">
        <f t="shared" si="58"/>
        <v>0</v>
      </c>
      <c r="T143" s="37" t="e">
        <f t="shared" si="63"/>
        <v>#DIV/0!</v>
      </c>
      <c r="U143" s="37"/>
      <c r="V143" s="117">
        <f t="shared" si="64"/>
        <v>0</v>
      </c>
      <c r="W143" s="37"/>
      <c r="X143" s="37">
        <f t="shared" si="65"/>
        <v>100</v>
      </c>
      <c r="Y143" s="37">
        <f t="shared" si="73"/>
        <v>0</v>
      </c>
      <c r="Z143" s="3" t="e">
        <f t="shared" si="66"/>
        <v>#DIV/0!</v>
      </c>
      <c r="AA143" s="3"/>
      <c r="AB143" s="118">
        <f t="shared" si="67"/>
        <v>0</v>
      </c>
      <c r="AC143" s="3">
        <f t="shared" si="49"/>
        <v>0</v>
      </c>
      <c r="AD143" s="3" t="str">
        <f t="shared" si="68"/>
        <v>AVG</v>
      </c>
      <c r="AE143" s="30" t="str">
        <f t="shared" si="69"/>
        <v>VLOW</v>
      </c>
      <c r="AF143" s="3" t="str">
        <f t="shared" si="70"/>
        <v>EXCELLENT</v>
      </c>
      <c r="AG143" s="3" t="str">
        <f t="shared" si="59"/>
        <v>FEMALE DOM</v>
      </c>
      <c r="AH143" s="3" t="e">
        <f t="shared" si="71"/>
        <v>#DIV/0!</v>
      </c>
      <c r="AI143" s="36">
        <f>E143-G143</f>
        <v>33.5515548281506</v>
      </c>
      <c r="AJ143" s="35" t="str">
        <f t="shared" si="60"/>
        <v>BJP GAIN</v>
      </c>
      <c r="AK143" s="38" t="str">
        <f t="shared" si="72"/>
        <v>MEDIUMMARGIN</v>
      </c>
    </row>
    <row r="144" spans="1:37">
      <c r="A144" s="37">
        <v>141</v>
      </c>
      <c r="B144" s="109" t="s">
        <v>177</v>
      </c>
      <c r="C144" s="37">
        <v>559</v>
      </c>
      <c r="D144" s="37">
        <v>188</v>
      </c>
      <c r="E144" s="37">
        <f t="shared" si="53"/>
        <v>33.6314847942755</v>
      </c>
      <c r="F144" s="37">
        <v>351</v>
      </c>
      <c r="G144" s="37">
        <f t="shared" si="54"/>
        <v>62.7906976744186</v>
      </c>
      <c r="H144" s="37">
        <v>6</v>
      </c>
      <c r="I144" s="37">
        <f t="shared" si="55"/>
        <v>1.07334525939177</v>
      </c>
      <c r="J144" s="37">
        <v>5</v>
      </c>
      <c r="K144" s="37">
        <f t="shared" si="56"/>
        <v>0.894454382826476</v>
      </c>
      <c r="L144" s="112">
        <v>404</v>
      </c>
      <c r="M144" s="112">
        <v>440</v>
      </c>
      <c r="N144" s="112">
        <f t="shared" si="57"/>
        <v>844</v>
      </c>
      <c r="O144" s="37">
        <v>559</v>
      </c>
      <c r="P144" s="113">
        <f t="shared" si="61"/>
        <v>66.2322274881517</v>
      </c>
      <c r="Q144" s="37">
        <v>382</v>
      </c>
      <c r="R144" s="37">
        <f t="shared" si="62"/>
        <v>45.260663507109</v>
      </c>
      <c r="S144" s="37">
        <f t="shared" si="58"/>
        <v>127</v>
      </c>
      <c r="T144" s="37">
        <f t="shared" si="63"/>
        <v>33.2460732984293</v>
      </c>
      <c r="U144" s="37">
        <v>255</v>
      </c>
      <c r="V144" s="117">
        <f t="shared" si="64"/>
        <v>66.7539267015707</v>
      </c>
      <c r="W144" s="37">
        <f>384+92</f>
        <v>476</v>
      </c>
      <c r="X144" s="37">
        <f t="shared" si="65"/>
        <v>54.739336492891</v>
      </c>
      <c r="Y144" s="37">
        <f t="shared" si="73"/>
        <v>172</v>
      </c>
      <c r="Z144" s="3">
        <f t="shared" si="66"/>
        <v>36.1344537815126</v>
      </c>
      <c r="AA144" s="3">
        <f>251+53</f>
        <v>304</v>
      </c>
      <c r="AB144" s="118">
        <f t="shared" si="67"/>
        <v>63.8655462184874</v>
      </c>
      <c r="AC144" s="3">
        <f t="shared" si="49"/>
        <v>559</v>
      </c>
      <c r="AD144" s="3" t="str">
        <f t="shared" si="68"/>
        <v>AVG</v>
      </c>
      <c r="AE144" s="30" t="str">
        <f t="shared" si="69"/>
        <v>VLOW</v>
      </c>
      <c r="AF144" s="3" t="str">
        <f t="shared" si="70"/>
        <v>WEAK</v>
      </c>
      <c r="AG144" s="3" t="str">
        <f t="shared" si="59"/>
        <v>FEMALE DOM</v>
      </c>
      <c r="AH144" s="3" t="str">
        <f t="shared" si="71"/>
        <v>O</v>
      </c>
      <c r="AI144" s="36">
        <f>G144-E144</f>
        <v>29.1592128801431</v>
      </c>
      <c r="AJ144" s="31" t="str">
        <f t="shared" si="60"/>
        <v>CONGRESSGAIN</v>
      </c>
      <c r="AK144" s="36" t="str">
        <f t="shared" si="72"/>
        <v>LOWMARGIN</v>
      </c>
    </row>
    <row r="145" spans="1:37">
      <c r="A145" s="37">
        <v>142</v>
      </c>
      <c r="B145" s="109" t="s">
        <v>178</v>
      </c>
      <c r="C145" s="37">
        <v>960</v>
      </c>
      <c r="D145" s="37">
        <v>362</v>
      </c>
      <c r="E145" s="37">
        <f t="shared" si="53"/>
        <v>37.7083333333333</v>
      </c>
      <c r="F145" s="37">
        <v>534</v>
      </c>
      <c r="G145" s="37">
        <f t="shared" si="54"/>
        <v>55.625</v>
      </c>
      <c r="H145" s="37">
        <v>8</v>
      </c>
      <c r="I145" s="37">
        <f t="shared" si="55"/>
        <v>0.833333333333333</v>
      </c>
      <c r="J145" s="37">
        <v>11</v>
      </c>
      <c r="K145" s="37">
        <f t="shared" si="56"/>
        <v>1.14583333333333</v>
      </c>
      <c r="L145" s="112">
        <v>808</v>
      </c>
      <c r="M145" s="112">
        <v>777</v>
      </c>
      <c r="N145" s="112">
        <f t="shared" si="57"/>
        <v>1585</v>
      </c>
      <c r="O145" s="37">
        <v>960</v>
      </c>
      <c r="P145" s="113">
        <f t="shared" si="61"/>
        <v>60.5678233438486</v>
      </c>
      <c r="Q145" s="37"/>
      <c r="R145" s="37">
        <f t="shared" si="62"/>
        <v>0</v>
      </c>
      <c r="S145" s="37">
        <f t="shared" si="58"/>
        <v>0</v>
      </c>
      <c r="T145" s="37" t="e">
        <f t="shared" si="63"/>
        <v>#DIV/0!</v>
      </c>
      <c r="U145" s="37"/>
      <c r="V145" s="117">
        <f t="shared" si="64"/>
        <v>0</v>
      </c>
      <c r="W145" s="37"/>
      <c r="X145" s="37">
        <f t="shared" si="65"/>
        <v>100</v>
      </c>
      <c r="Y145" s="119">
        <f t="shared" si="73"/>
        <v>0</v>
      </c>
      <c r="Z145" s="3" t="e">
        <f t="shared" si="66"/>
        <v>#DIV/0!</v>
      </c>
      <c r="AA145" s="3"/>
      <c r="AB145" s="118">
        <f t="shared" si="67"/>
        <v>0</v>
      </c>
      <c r="AC145" s="3">
        <f t="shared" si="49"/>
        <v>0</v>
      </c>
      <c r="AD145" s="3" t="str">
        <f t="shared" si="68"/>
        <v>AVG</v>
      </c>
      <c r="AE145" s="30" t="str">
        <f t="shared" si="69"/>
        <v>VLOW</v>
      </c>
      <c r="AF145" s="3" t="str">
        <f t="shared" si="70"/>
        <v>EXCELLENT</v>
      </c>
      <c r="AG145" s="3" t="str">
        <f t="shared" si="59"/>
        <v>MEN</v>
      </c>
      <c r="AH145" s="3" t="e">
        <f t="shared" si="71"/>
        <v>#DIV/0!</v>
      </c>
      <c r="AI145" s="36">
        <f>G145-E145</f>
        <v>17.9166666666667</v>
      </c>
      <c r="AJ145" s="31" t="str">
        <f t="shared" si="60"/>
        <v>CONGRESSGAIN</v>
      </c>
      <c r="AK145" s="36" t="str">
        <f t="shared" si="72"/>
        <v>LOWMARGIN</v>
      </c>
    </row>
    <row r="146" spans="1:37">
      <c r="A146" s="37">
        <v>143</v>
      </c>
      <c r="B146" s="109" t="s">
        <v>179</v>
      </c>
      <c r="C146" s="37">
        <v>765</v>
      </c>
      <c r="D146" s="37">
        <v>469</v>
      </c>
      <c r="E146" s="37">
        <f t="shared" si="53"/>
        <v>61.3071895424837</v>
      </c>
      <c r="F146" s="37">
        <v>256</v>
      </c>
      <c r="G146" s="37">
        <f t="shared" si="54"/>
        <v>33.4640522875817</v>
      </c>
      <c r="H146" s="37">
        <v>5</v>
      </c>
      <c r="I146" s="37">
        <f t="shared" si="55"/>
        <v>0.65359477124183</v>
      </c>
      <c r="J146" s="37">
        <v>13</v>
      </c>
      <c r="K146" s="37">
        <f t="shared" si="56"/>
        <v>1.69934640522876</v>
      </c>
      <c r="L146" s="112">
        <v>531</v>
      </c>
      <c r="M146" s="112">
        <v>602</v>
      </c>
      <c r="N146" s="112">
        <f t="shared" si="57"/>
        <v>1133</v>
      </c>
      <c r="O146" s="37">
        <v>765</v>
      </c>
      <c r="P146" s="113">
        <f t="shared" si="61"/>
        <v>67.5198587819947</v>
      </c>
      <c r="Q146" s="37"/>
      <c r="R146" s="37">
        <f t="shared" si="62"/>
        <v>0</v>
      </c>
      <c r="S146" s="37">
        <f t="shared" si="58"/>
        <v>0</v>
      </c>
      <c r="T146" s="37" t="e">
        <f t="shared" si="63"/>
        <v>#DIV/0!</v>
      </c>
      <c r="U146" s="37"/>
      <c r="V146" s="117">
        <f t="shared" si="64"/>
        <v>0</v>
      </c>
      <c r="W146" s="37"/>
      <c r="X146" s="37">
        <f t="shared" si="65"/>
        <v>100</v>
      </c>
      <c r="Y146" s="37">
        <f t="shared" si="73"/>
        <v>0</v>
      </c>
      <c r="Z146" s="3" t="e">
        <f t="shared" si="66"/>
        <v>#DIV/0!</v>
      </c>
      <c r="AA146" s="3"/>
      <c r="AB146" s="118">
        <f t="shared" si="67"/>
        <v>0</v>
      </c>
      <c r="AC146" s="3">
        <f t="shared" si="49"/>
        <v>0</v>
      </c>
      <c r="AD146" s="3" t="str">
        <f t="shared" si="68"/>
        <v>AVG</v>
      </c>
      <c r="AE146" s="30" t="str">
        <f t="shared" si="69"/>
        <v>VLOW</v>
      </c>
      <c r="AF146" s="3" t="str">
        <f t="shared" si="70"/>
        <v>EXCELLENT</v>
      </c>
      <c r="AG146" s="3" t="str">
        <f t="shared" si="59"/>
        <v>FEMALE DOM</v>
      </c>
      <c r="AH146" s="3" t="e">
        <f t="shared" si="71"/>
        <v>#DIV/0!</v>
      </c>
      <c r="AI146" s="36">
        <f>E146-G146</f>
        <v>27.843137254902</v>
      </c>
      <c r="AJ146" s="35" t="str">
        <f t="shared" si="60"/>
        <v>BJP GAIN</v>
      </c>
      <c r="AK146" s="36" t="str">
        <f t="shared" si="72"/>
        <v>LOWMARGIN</v>
      </c>
    </row>
    <row r="147" spans="1:37">
      <c r="A147" s="37">
        <v>144</v>
      </c>
      <c r="B147" s="109" t="s">
        <v>180</v>
      </c>
      <c r="C147" s="37">
        <v>426</v>
      </c>
      <c r="D147" s="37">
        <v>22</v>
      </c>
      <c r="E147" s="37">
        <f t="shared" si="53"/>
        <v>5.16431924882629</v>
      </c>
      <c r="F147" s="37">
        <v>395</v>
      </c>
      <c r="G147" s="37">
        <f t="shared" si="54"/>
        <v>92.7230046948357</v>
      </c>
      <c r="H147" s="37">
        <v>3</v>
      </c>
      <c r="I147" s="37">
        <f t="shared" si="55"/>
        <v>0.704225352112676</v>
      </c>
      <c r="J147" s="37">
        <v>1</v>
      </c>
      <c r="K147" s="37">
        <f t="shared" si="56"/>
        <v>0.234741784037559</v>
      </c>
      <c r="L147" s="112">
        <v>281</v>
      </c>
      <c r="M147" s="112">
        <v>278</v>
      </c>
      <c r="N147" s="112">
        <f t="shared" si="57"/>
        <v>559</v>
      </c>
      <c r="O147" s="37">
        <v>426</v>
      </c>
      <c r="P147" s="113">
        <f t="shared" si="61"/>
        <v>76.2075134168157</v>
      </c>
      <c r="Q147" s="37">
        <v>34</v>
      </c>
      <c r="R147" s="37">
        <f t="shared" si="62"/>
        <v>6.08228980322004</v>
      </c>
      <c r="S147" s="115">
        <f t="shared" si="58"/>
        <v>24</v>
      </c>
      <c r="T147" s="37">
        <f t="shared" si="63"/>
        <v>70.5882352941177</v>
      </c>
      <c r="U147" s="37">
        <v>10</v>
      </c>
      <c r="V147" s="117">
        <f t="shared" si="64"/>
        <v>29.4117647058824</v>
      </c>
      <c r="W147" s="37">
        <v>525</v>
      </c>
      <c r="X147" s="37">
        <f t="shared" si="65"/>
        <v>93.91771019678</v>
      </c>
      <c r="Y147" s="37">
        <f t="shared" si="73"/>
        <v>115</v>
      </c>
      <c r="Z147" s="3">
        <f t="shared" si="66"/>
        <v>21.9047619047619</v>
      </c>
      <c r="AA147" s="3">
        <v>410</v>
      </c>
      <c r="AB147" s="118">
        <f t="shared" si="67"/>
        <v>78.0952380952381</v>
      </c>
      <c r="AC147" s="3">
        <f t="shared" si="49"/>
        <v>420</v>
      </c>
      <c r="AD147" s="3" t="str">
        <f t="shared" si="68"/>
        <v>STRONG</v>
      </c>
      <c r="AE147" s="30" t="str">
        <f t="shared" si="69"/>
        <v>VLOW</v>
      </c>
      <c r="AF147" s="3" t="str">
        <f t="shared" si="70"/>
        <v>EXCELLENT</v>
      </c>
      <c r="AG147" s="3" t="str">
        <f t="shared" si="59"/>
        <v>MEN</v>
      </c>
      <c r="AH147" s="3" t="str">
        <f t="shared" si="71"/>
        <v>H</v>
      </c>
      <c r="AI147" s="36">
        <f t="shared" ref="AI147:AI157" si="74">G147-E147</f>
        <v>87.5586854460094</v>
      </c>
      <c r="AJ147" s="31" t="str">
        <f t="shared" si="60"/>
        <v>CONGRESSGAIN</v>
      </c>
      <c r="AK147" s="30" t="str">
        <f t="shared" si="72"/>
        <v>VERYHIGHMARGIN</v>
      </c>
    </row>
    <row r="148" spans="1:37">
      <c r="A148" s="37">
        <v>145</v>
      </c>
      <c r="B148" s="109" t="s">
        <v>181</v>
      </c>
      <c r="C148" s="37">
        <v>661</v>
      </c>
      <c r="D148" s="37">
        <v>35</v>
      </c>
      <c r="E148" s="37">
        <f t="shared" si="53"/>
        <v>5.29500756429652</v>
      </c>
      <c r="F148" s="37">
        <v>606</v>
      </c>
      <c r="G148" s="37">
        <f t="shared" si="54"/>
        <v>91.679273827534</v>
      </c>
      <c r="H148" s="37">
        <v>2</v>
      </c>
      <c r="I148" s="37">
        <f t="shared" si="55"/>
        <v>0.302571860816944</v>
      </c>
      <c r="J148" s="37">
        <v>2</v>
      </c>
      <c r="K148" s="37">
        <f t="shared" si="56"/>
        <v>0.302571860816944</v>
      </c>
      <c r="L148" s="112">
        <v>312</v>
      </c>
      <c r="M148" s="112">
        <v>559</v>
      </c>
      <c r="N148" s="112">
        <f t="shared" si="57"/>
        <v>871</v>
      </c>
      <c r="O148" s="37">
        <v>661</v>
      </c>
      <c r="P148" s="113">
        <f t="shared" si="61"/>
        <v>75.8897818599311</v>
      </c>
      <c r="Q148" s="37">
        <v>116</v>
      </c>
      <c r="R148" s="37">
        <f t="shared" si="62"/>
        <v>13.3180252583238</v>
      </c>
      <c r="S148" s="37">
        <f t="shared" si="58"/>
        <v>70</v>
      </c>
      <c r="T148" s="37">
        <f t="shared" si="63"/>
        <v>60.3448275862069</v>
      </c>
      <c r="U148" s="37">
        <v>46</v>
      </c>
      <c r="V148" s="117">
        <f t="shared" si="64"/>
        <v>39.6551724137931</v>
      </c>
      <c r="W148" s="37">
        <v>725</v>
      </c>
      <c r="X148" s="37">
        <f t="shared" si="65"/>
        <v>86.6819747416762</v>
      </c>
      <c r="Y148" s="119">
        <f t="shared" si="73"/>
        <v>725</v>
      </c>
      <c r="Z148" s="3">
        <f t="shared" si="66"/>
        <v>100</v>
      </c>
      <c r="AA148" s="3"/>
      <c r="AB148" s="118">
        <f t="shared" si="67"/>
        <v>0</v>
      </c>
      <c r="AC148" s="3">
        <f t="shared" si="49"/>
        <v>46</v>
      </c>
      <c r="AD148" s="3" t="str">
        <f t="shared" si="68"/>
        <v>STRONG</v>
      </c>
      <c r="AE148" s="30" t="str">
        <f t="shared" si="69"/>
        <v>VLOW</v>
      </c>
      <c r="AF148" s="3" t="str">
        <f t="shared" si="70"/>
        <v>EXCELLENT</v>
      </c>
      <c r="AG148" s="3" t="str">
        <f t="shared" si="59"/>
        <v>FEMALE DOM</v>
      </c>
      <c r="AH148" s="3" t="str">
        <f t="shared" si="71"/>
        <v>O</v>
      </c>
      <c r="AI148" s="36">
        <f t="shared" si="74"/>
        <v>86.3842662632375</v>
      </c>
      <c r="AJ148" s="31" t="str">
        <f t="shared" si="60"/>
        <v>CONGRESSGAIN</v>
      </c>
      <c r="AK148" s="30" t="str">
        <f t="shared" si="72"/>
        <v>VERYHIGHMARGIN</v>
      </c>
    </row>
    <row r="149" spans="1:37">
      <c r="A149" s="37">
        <v>146</v>
      </c>
      <c r="B149" s="109" t="s">
        <v>182</v>
      </c>
      <c r="C149" s="37">
        <v>532</v>
      </c>
      <c r="D149" s="37">
        <v>44</v>
      </c>
      <c r="E149" s="37">
        <f t="shared" si="53"/>
        <v>8.27067669172932</v>
      </c>
      <c r="F149" s="37">
        <v>485</v>
      </c>
      <c r="G149" s="37">
        <f t="shared" si="54"/>
        <v>91.1654135338346</v>
      </c>
      <c r="H149" s="37">
        <v>1</v>
      </c>
      <c r="I149" s="37">
        <f t="shared" si="55"/>
        <v>0.18796992481203</v>
      </c>
      <c r="J149" s="37">
        <v>0</v>
      </c>
      <c r="K149" s="37">
        <f t="shared" si="56"/>
        <v>0</v>
      </c>
      <c r="L149" s="112">
        <v>438</v>
      </c>
      <c r="M149" s="112">
        <v>625</v>
      </c>
      <c r="N149" s="112">
        <f t="shared" si="57"/>
        <v>1063</v>
      </c>
      <c r="O149" s="37">
        <v>532</v>
      </c>
      <c r="P149" s="113">
        <f t="shared" si="61"/>
        <v>50.0470366886171</v>
      </c>
      <c r="Q149" s="37">
        <v>157</v>
      </c>
      <c r="R149" s="37">
        <f t="shared" si="62"/>
        <v>14.7695202257761</v>
      </c>
      <c r="S149" s="37">
        <f t="shared" si="58"/>
        <v>67</v>
      </c>
      <c r="T149" s="37">
        <f t="shared" si="63"/>
        <v>42.6751592356688</v>
      </c>
      <c r="U149" s="37">
        <v>90</v>
      </c>
      <c r="V149" s="117">
        <f t="shared" si="64"/>
        <v>57.3248407643312</v>
      </c>
      <c r="W149" s="37">
        <v>897</v>
      </c>
      <c r="X149" s="37">
        <f t="shared" si="65"/>
        <v>85.2304797742239</v>
      </c>
      <c r="Y149" s="37">
        <f t="shared" si="73"/>
        <v>457</v>
      </c>
      <c r="Z149" s="3">
        <f t="shared" si="66"/>
        <v>50.9476031215162</v>
      </c>
      <c r="AA149" s="3">
        <v>440</v>
      </c>
      <c r="AB149" s="118">
        <f t="shared" si="67"/>
        <v>49.0523968784838</v>
      </c>
      <c r="AC149" s="3">
        <f t="shared" si="49"/>
        <v>530</v>
      </c>
      <c r="AD149" s="3" t="str">
        <f t="shared" si="68"/>
        <v>WEAK</v>
      </c>
      <c r="AE149" s="30" t="str">
        <f t="shared" si="69"/>
        <v>VLOW</v>
      </c>
      <c r="AF149" s="3" t="str">
        <f t="shared" si="70"/>
        <v>EXCELLENT</v>
      </c>
      <c r="AG149" s="3" t="str">
        <f t="shared" si="59"/>
        <v>FEMALE DOM</v>
      </c>
      <c r="AH149" s="3" t="str">
        <f t="shared" si="71"/>
        <v>O</v>
      </c>
      <c r="AI149" s="36">
        <f t="shared" si="74"/>
        <v>82.8947368421053</v>
      </c>
      <c r="AJ149" s="31" t="str">
        <f t="shared" si="60"/>
        <v>CONGRESSGAIN</v>
      </c>
      <c r="AK149" s="30" t="str">
        <f t="shared" si="72"/>
        <v>VERYHIGHMARGIN</v>
      </c>
    </row>
    <row r="150" spans="1:37">
      <c r="A150" s="37">
        <v>147</v>
      </c>
      <c r="B150" s="109" t="s">
        <v>183</v>
      </c>
      <c r="C150" s="37">
        <v>528</v>
      </c>
      <c r="D150" s="37">
        <v>51</v>
      </c>
      <c r="E150" s="37">
        <f t="shared" si="53"/>
        <v>9.65909090909091</v>
      </c>
      <c r="F150" s="37">
        <v>465</v>
      </c>
      <c r="G150" s="37">
        <f t="shared" si="54"/>
        <v>88.0681818181818</v>
      </c>
      <c r="H150" s="37">
        <v>4</v>
      </c>
      <c r="I150" s="37">
        <f t="shared" si="55"/>
        <v>0.757575757575758</v>
      </c>
      <c r="J150" s="37">
        <v>1</v>
      </c>
      <c r="K150" s="37">
        <f t="shared" si="56"/>
        <v>0.189393939393939</v>
      </c>
      <c r="L150" s="112">
        <v>335</v>
      </c>
      <c r="M150" s="112">
        <v>577</v>
      </c>
      <c r="N150" s="112">
        <f t="shared" si="57"/>
        <v>912</v>
      </c>
      <c r="O150" s="37">
        <v>528</v>
      </c>
      <c r="P150" s="113">
        <f t="shared" si="61"/>
        <v>57.8947368421053</v>
      </c>
      <c r="Q150" s="37">
        <v>130</v>
      </c>
      <c r="R150" s="37">
        <f t="shared" si="62"/>
        <v>14.2543859649123</v>
      </c>
      <c r="S150" s="37">
        <f t="shared" si="58"/>
        <v>92</v>
      </c>
      <c r="T150" s="37">
        <f t="shared" si="63"/>
        <v>70.7692307692308</v>
      </c>
      <c r="U150" s="37">
        <v>38</v>
      </c>
      <c r="V150" s="117">
        <f t="shared" si="64"/>
        <v>29.2307692307692</v>
      </c>
      <c r="W150" s="37">
        <v>792</v>
      </c>
      <c r="X150" s="37">
        <f t="shared" si="65"/>
        <v>85.7456140350877</v>
      </c>
      <c r="Y150" s="37">
        <f t="shared" si="73"/>
        <v>312</v>
      </c>
      <c r="Z150" s="3">
        <f t="shared" si="66"/>
        <v>39.3939393939394</v>
      </c>
      <c r="AA150" s="3">
        <v>480</v>
      </c>
      <c r="AB150" s="118">
        <f t="shared" si="67"/>
        <v>60.6060606060606</v>
      </c>
      <c r="AC150" s="3">
        <f t="shared" si="49"/>
        <v>518</v>
      </c>
      <c r="AD150" s="3" t="str">
        <f t="shared" si="68"/>
        <v>WEAK</v>
      </c>
      <c r="AE150" s="30" t="str">
        <f t="shared" si="69"/>
        <v>VLOW</v>
      </c>
      <c r="AF150" s="3" t="str">
        <f t="shared" si="70"/>
        <v>EXCELLENT</v>
      </c>
      <c r="AG150" s="3" t="str">
        <f t="shared" si="59"/>
        <v>FEMALE DOM</v>
      </c>
      <c r="AH150" s="3" t="str">
        <f t="shared" si="71"/>
        <v>H</v>
      </c>
      <c r="AI150" s="36">
        <f t="shared" si="74"/>
        <v>78.4090909090909</v>
      </c>
      <c r="AJ150" s="31" t="str">
        <f t="shared" si="60"/>
        <v>CONGRESSGAIN</v>
      </c>
      <c r="AK150" s="30" t="str">
        <f t="shared" si="72"/>
        <v>VERYHIGHMARGIN</v>
      </c>
    </row>
    <row r="151" spans="1:37">
      <c r="A151" s="37">
        <v>148</v>
      </c>
      <c r="B151" s="109" t="s">
        <v>184</v>
      </c>
      <c r="C151" s="37">
        <v>515</v>
      </c>
      <c r="D151" s="37">
        <v>88</v>
      </c>
      <c r="E151" s="37">
        <f t="shared" si="53"/>
        <v>17.0873786407767</v>
      </c>
      <c r="F151" s="37">
        <v>423</v>
      </c>
      <c r="G151" s="37">
        <f t="shared" si="54"/>
        <v>82.1359223300971</v>
      </c>
      <c r="H151" s="37">
        <v>0</v>
      </c>
      <c r="I151" s="37">
        <f t="shared" si="55"/>
        <v>0</v>
      </c>
      <c r="J151" s="37">
        <v>0</v>
      </c>
      <c r="K151" s="37">
        <f t="shared" si="56"/>
        <v>0</v>
      </c>
      <c r="L151" s="112">
        <v>410</v>
      </c>
      <c r="M151" s="112">
        <v>503</v>
      </c>
      <c r="N151" s="112">
        <f t="shared" si="57"/>
        <v>913</v>
      </c>
      <c r="O151" s="37">
        <v>515</v>
      </c>
      <c r="P151" s="113">
        <f t="shared" si="61"/>
        <v>56.407447973713</v>
      </c>
      <c r="Q151" s="37">
        <v>204</v>
      </c>
      <c r="R151" s="37">
        <f t="shared" si="62"/>
        <v>22.3439211391019</v>
      </c>
      <c r="S151" s="115">
        <f t="shared" si="58"/>
        <v>81</v>
      </c>
      <c r="T151" s="37">
        <f t="shared" si="63"/>
        <v>39.7058823529412</v>
      </c>
      <c r="U151" s="37">
        <v>123</v>
      </c>
      <c r="V151" s="117">
        <f t="shared" si="64"/>
        <v>60.2941176470588</v>
      </c>
      <c r="W151" s="37">
        <f>367+344+15</f>
        <v>726</v>
      </c>
      <c r="X151" s="37">
        <f t="shared" si="65"/>
        <v>77.6560788608981</v>
      </c>
      <c r="Y151" s="119">
        <f t="shared" si="73"/>
        <v>349</v>
      </c>
      <c r="Z151" s="3">
        <f t="shared" si="66"/>
        <v>48.0716253443526</v>
      </c>
      <c r="AA151" s="3">
        <f>184+193</f>
        <v>377</v>
      </c>
      <c r="AB151" s="118">
        <f t="shared" si="67"/>
        <v>51.9283746556474</v>
      </c>
      <c r="AC151" s="3">
        <f t="shared" si="49"/>
        <v>500</v>
      </c>
      <c r="AD151" s="3" t="str">
        <f t="shared" si="68"/>
        <v>WEAK</v>
      </c>
      <c r="AE151" s="30" t="str">
        <f t="shared" si="69"/>
        <v>VLOW</v>
      </c>
      <c r="AF151" s="3" t="str">
        <f t="shared" si="70"/>
        <v>STRONG</v>
      </c>
      <c r="AG151" s="3" t="str">
        <f t="shared" si="59"/>
        <v>FEMALE DOM</v>
      </c>
      <c r="AH151" s="3" t="str">
        <f t="shared" si="71"/>
        <v>O</v>
      </c>
      <c r="AI151" s="36">
        <f t="shared" si="74"/>
        <v>65.0485436893204</v>
      </c>
      <c r="AJ151" s="31" t="str">
        <f t="shared" si="60"/>
        <v>CONGRESSGAIN</v>
      </c>
      <c r="AK151" s="30" t="str">
        <f t="shared" si="72"/>
        <v>VERYHIGHMARGIN</v>
      </c>
    </row>
    <row r="152" spans="1:37">
      <c r="A152" s="37">
        <v>149</v>
      </c>
      <c r="B152" s="109" t="s">
        <v>184</v>
      </c>
      <c r="C152" s="37">
        <v>622</v>
      </c>
      <c r="D152" s="37">
        <v>111</v>
      </c>
      <c r="E152" s="37">
        <f t="shared" si="53"/>
        <v>17.8456591639871</v>
      </c>
      <c r="F152" s="37">
        <v>503</v>
      </c>
      <c r="G152" s="37">
        <f t="shared" si="54"/>
        <v>80.8681672025724</v>
      </c>
      <c r="H152" s="37">
        <v>0</v>
      </c>
      <c r="I152" s="37">
        <f t="shared" si="55"/>
        <v>0</v>
      </c>
      <c r="J152" s="37">
        <v>0</v>
      </c>
      <c r="K152" s="37">
        <f t="shared" si="56"/>
        <v>0</v>
      </c>
      <c r="L152" s="112">
        <v>476</v>
      </c>
      <c r="M152" s="112">
        <v>574</v>
      </c>
      <c r="N152" s="112">
        <f t="shared" si="57"/>
        <v>1050</v>
      </c>
      <c r="O152" s="37">
        <v>622</v>
      </c>
      <c r="P152" s="113">
        <f t="shared" si="61"/>
        <v>59.2380952380952</v>
      </c>
      <c r="Q152" s="37"/>
      <c r="R152" s="37">
        <f t="shared" si="62"/>
        <v>0</v>
      </c>
      <c r="S152" s="37">
        <f t="shared" si="58"/>
        <v>0</v>
      </c>
      <c r="T152" s="37" t="e">
        <f t="shared" si="63"/>
        <v>#DIV/0!</v>
      </c>
      <c r="U152" s="37"/>
      <c r="V152" s="117">
        <f t="shared" si="64"/>
        <v>0</v>
      </c>
      <c r="W152" s="37"/>
      <c r="X152" s="37">
        <f t="shared" si="65"/>
        <v>100</v>
      </c>
      <c r="Y152" s="37">
        <f t="shared" si="73"/>
        <v>0</v>
      </c>
      <c r="Z152" s="3" t="e">
        <f t="shared" si="66"/>
        <v>#DIV/0!</v>
      </c>
      <c r="AA152" s="3"/>
      <c r="AB152" s="118">
        <f t="shared" si="67"/>
        <v>0</v>
      </c>
      <c r="AC152" s="3">
        <f t="shared" si="49"/>
        <v>0</v>
      </c>
      <c r="AD152" s="3" t="str">
        <f t="shared" si="68"/>
        <v>WEAK</v>
      </c>
      <c r="AE152" s="30" t="str">
        <f t="shared" si="69"/>
        <v>VLOW</v>
      </c>
      <c r="AF152" s="3" t="str">
        <f t="shared" si="70"/>
        <v>EXCELLENT</v>
      </c>
      <c r="AG152" s="3" t="str">
        <f t="shared" si="59"/>
        <v>FEMALE DOM</v>
      </c>
      <c r="AH152" s="3" t="e">
        <f t="shared" si="71"/>
        <v>#DIV/0!</v>
      </c>
      <c r="AI152" s="36">
        <f t="shared" si="74"/>
        <v>63.0225080385852</v>
      </c>
      <c r="AJ152" s="31" t="str">
        <f t="shared" si="60"/>
        <v>CONGRESSGAIN</v>
      </c>
      <c r="AK152" s="30" t="str">
        <f t="shared" si="72"/>
        <v>VERYHIGHMARGIN</v>
      </c>
    </row>
    <row r="153" spans="1:37">
      <c r="A153" s="37">
        <v>150</v>
      </c>
      <c r="B153" s="109" t="s">
        <v>185</v>
      </c>
      <c r="C153" s="37">
        <v>697</v>
      </c>
      <c r="D153" s="37">
        <v>253</v>
      </c>
      <c r="E153" s="37">
        <f t="shared" si="53"/>
        <v>36.2984218077475</v>
      </c>
      <c r="F153" s="37">
        <v>434</v>
      </c>
      <c r="G153" s="37">
        <f t="shared" si="54"/>
        <v>62.2668579626973</v>
      </c>
      <c r="H153" s="37">
        <v>0</v>
      </c>
      <c r="I153" s="37">
        <f t="shared" si="55"/>
        <v>0</v>
      </c>
      <c r="J153" s="37">
        <v>4</v>
      </c>
      <c r="K153" s="37">
        <f t="shared" si="56"/>
        <v>0.573888091822095</v>
      </c>
      <c r="L153" s="112">
        <v>591</v>
      </c>
      <c r="M153" s="112">
        <v>644</v>
      </c>
      <c r="N153" s="112">
        <f t="shared" si="57"/>
        <v>1235</v>
      </c>
      <c r="O153" s="37">
        <v>697</v>
      </c>
      <c r="P153" s="113">
        <f t="shared" si="61"/>
        <v>56.4372469635627</v>
      </c>
      <c r="Q153" s="37">
        <v>511</v>
      </c>
      <c r="R153" s="37">
        <f t="shared" si="62"/>
        <v>41.3765182186235</v>
      </c>
      <c r="S153" s="37">
        <f t="shared" si="58"/>
        <v>219</v>
      </c>
      <c r="T153" s="37">
        <f t="shared" si="63"/>
        <v>42.8571428571429</v>
      </c>
      <c r="U153" s="37">
        <v>292</v>
      </c>
      <c r="V153" s="117">
        <f t="shared" si="64"/>
        <v>57.1428571428571</v>
      </c>
      <c r="W153" s="37">
        <v>724</v>
      </c>
      <c r="X153" s="37">
        <f t="shared" si="65"/>
        <v>58.6234817813765</v>
      </c>
      <c r="Y153" s="37">
        <f t="shared" si="73"/>
        <v>394</v>
      </c>
      <c r="Z153" s="3">
        <f t="shared" si="66"/>
        <v>54.4198895027624</v>
      </c>
      <c r="AA153" s="3">
        <v>330</v>
      </c>
      <c r="AB153" s="118">
        <f t="shared" si="67"/>
        <v>45.5801104972376</v>
      </c>
      <c r="AC153" s="3">
        <f t="shared" si="49"/>
        <v>622</v>
      </c>
      <c r="AD153" s="3" t="str">
        <f t="shared" si="68"/>
        <v>WEAK</v>
      </c>
      <c r="AE153" s="30" t="str">
        <f t="shared" si="69"/>
        <v>VLOW</v>
      </c>
      <c r="AF153" s="3" t="str">
        <f t="shared" si="70"/>
        <v>WEAK</v>
      </c>
      <c r="AG153" s="3" t="str">
        <f t="shared" si="59"/>
        <v>FEMALE DOM</v>
      </c>
      <c r="AH153" s="3" t="str">
        <f t="shared" si="71"/>
        <v>O</v>
      </c>
      <c r="AI153" s="36">
        <f t="shared" si="74"/>
        <v>25.9684361549498</v>
      </c>
      <c r="AJ153" s="31" t="str">
        <f t="shared" si="60"/>
        <v>CONGRESSGAIN</v>
      </c>
      <c r="AK153" s="36" t="str">
        <f t="shared" si="72"/>
        <v>LOWMARGIN</v>
      </c>
    </row>
    <row r="154" spans="1:37">
      <c r="A154" s="37">
        <v>151</v>
      </c>
      <c r="B154" s="109" t="s">
        <v>186</v>
      </c>
      <c r="C154" s="37">
        <v>781</v>
      </c>
      <c r="D154" s="37">
        <v>243</v>
      </c>
      <c r="E154" s="37">
        <f t="shared" si="53"/>
        <v>31.1139564660691</v>
      </c>
      <c r="F154" s="37">
        <v>524</v>
      </c>
      <c r="G154" s="37">
        <f t="shared" si="54"/>
        <v>67.0934699103713</v>
      </c>
      <c r="H154" s="37">
        <v>2</v>
      </c>
      <c r="I154" s="37">
        <f t="shared" si="55"/>
        <v>0.256081946222791</v>
      </c>
      <c r="J154" s="37">
        <v>5</v>
      </c>
      <c r="K154" s="37">
        <f t="shared" si="56"/>
        <v>0.640204865556978</v>
      </c>
      <c r="L154" s="112">
        <v>671</v>
      </c>
      <c r="M154" s="112">
        <v>723</v>
      </c>
      <c r="N154" s="112">
        <f t="shared" si="57"/>
        <v>1394</v>
      </c>
      <c r="O154" s="37">
        <v>781</v>
      </c>
      <c r="P154" s="113">
        <f t="shared" si="61"/>
        <v>56.025824964132</v>
      </c>
      <c r="Q154" s="37">
        <v>553</v>
      </c>
      <c r="R154" s="37">
        <f t="shared" si="62"/>
        <v>39.6700143472023</v>
      </c>
      <c r="S154" s="37">
        <f t="shared" si="58"/>
        <v>267</v>
      </c>
      <c r="T154" s="37">
        <f t="shared" si="63"/>
        <v>48.2820976491863</v>
      </c>
      <c r="U154" s="37">
        <v>286</v>
      </c>
      <c r="V154" s="117">
        <f t="shared" si="64"/>
        <v>51.7179023508137</v>
      </c>
      <c r="W154" s="37">
        <f>613+228</f>
        <v>841</v>
      </c>
      <c r="X154" s="37">
        <f t="shared" si="65"/>
        <v>60.3299856527977</v>
      </c>
      <c r="Y154" s="119">
        <f t="shared" si="73"/>
        <v>381</v>
      </c>
      <c r="Z154" s="3">
        <f t="shared" si="66"/>
        <v>45.3032104637336</v>
      </c>
      <c r="AA154" s="3">
        <f>349+111</f>
        <v>460</v>
      </c>
      <c r="AB154" s="118">
        <f t="shared" si="67"/>
        <v>54.6967895362664</v>
      </c>
      <c r="AC154" s="3">
        <f t="shared" si="49"/>
        <v>746</v>
      </c>
      <c r="AD154" s="3" t="str">
        <f t="shared" si="68"/>
        <v>WEAK</v>
      </c>
      <c r="AE154" s="30" t="str">
        <f t="shared" si="69"/>
        <v>VLOW</v>
      </c>
      <c r="AF154" s="3" t="str">
        <f t="shared" si="70"/>
        <v>AVG</v>
      </c>
      <c r="AG154" s="3" t="str">
        <f t="shared" si="59"/>
        <v>FEMALE DOM</v>
      </c>
      <c r="AH154" s="3" t="str">
        <f t="shared" si="71"/>
        <v>H</v>
      </c>
      <c r="AI154" s="36">
        <f t="shared" si="74"/>
        <v>35.9795134443022</v>
      </c>
      <c r="AJ154" s="31" t="str">
        <f t="shared" si="60"/>
        <v>CONGRESSGAIN</v>
      </c>
      <c r="AK154" s="38" t="str">
        <f t="shared" si="72"/>
        <v>MEDIUMMARGIN</v>
      </c>
    </row>
    <row r="155" spans="1:37">
      <c r="A155" s="37">
        <v>152</v>
      </c>
      <c r="B155" s="109" t="s">
        <v>187</v>
      </c>
      <c r="C155" s="37">
        <v>664</v>
      </c>
      <c r="D155" s="37">
        <v>182</v>
      </c>
      <c r="E155" s="37">
        <f t="shared" si="53"/>
        <v>27.4096385542169</v>
      </c>
      <c r="F155" s="37">
        <v>478</v>
      </c>
      <c r="G155" s="37">
        <f t="shared" si="54"/>
        <v>71.9879518072289</v>
      </c>
      <c r="H155" s="37">
        <v>1</v>
      </c>
      <c r="I155" s="37">
        <f t="shared" si="55"/>
        <v>0.150602409638554</v>
      </c>
      <c r="J155" s="37">
        <v>1</v>
      </c>
      <c r="K155" s="37">
        <f t="shared" si="56"/>
        <v>0.150602409638554</v>
      </c>
      <c r="L155" s="112">
        <v>514</v>
      </c>
      <c r="M155" s="112">
        <v>622</v>
      </c>
      <c r="N155" s="112">
        <f t="shared" si="57"/>
        <v>1136</v>
      </c>
      <c r="O155" s="37">
        <v>664</v>
      </c>
      <c r="P155" s="113">
        <f t="shared" si="61"/>
        <v>58.4507042253521</v>
      </c>
      <c r="Q155" s="37">
        <v>389</v>
      </c>
      <c r="R155" s="37">
        <f t="shared" si="62"/>
        <v>34.2429577464789</v>
      </c>
      <c r="S155" s="115">
        <f t="shared" si="58"/>
        <v>163</v>
      </c>
      <c r="T155" s="37">
        <f t="shared" si="63"/>
        <v>41.9023136246787</v>
      </c>
      <c r="U155" s="37">
        <v>226</v>
      </c>
      <c r="V155" s="117">
        <f t="shared" si="64"/>
        <v>58.0976863753213</v>
      </c>
      <c r="W155" s="37">
        <v>750</v>
      </c>
      <c r="X155" s="37">
        <f t="shared" si="65"/>
        <v>65.7570422535211</v>
      </c>
      <c r="Y155" s="37">
        <f t="shared" si="73"/>
        <v>312</v>
      </c>
      <c r="Z155" s="3">
        <f t="shared" si="66"/>
        <v>41.6</v>
      </c>
      <c r="AA155" s="3">
        <v>438</v>
      </c>
      <c r="AB155" s="118">
        <f t="shared" si="67"/>
        <v>58.4</v>
      </c>
      <c r="AC155" s="3">
        <f t="shared" si="49"/>
        <v>664</v>
      </c>
      <c r="AD155" s="3" t="str">
        <f t="shared" si="68"/>
        <v>WEAK</v>
      </c>
      <c r="AE155" s="30" t="str">
        <f t="shared" si="69"/>
        <v>VLOW</v>
      </c>
      <c r="AF155" s="3" t="str">
        <f t="shared" si="70"/>
        <v>AVG</v>
      </c>
      <c r="AG155" s="3" t="str">
        <f t="shared" si="59"/>
        <v>FEMALE DOM</v>
      </c>
      <c r="AH155" s="3" t="str">
        <f t="shared" si="71"/>
        <v>H</v>
      </c>
      <c r="AI155" s="36">
        <f t="shared" si="74"/>
        <v>44.578313253012</v>
      </c>
      <c r="AJ155" s="31" t="str">
        <f t="shared" si="60"/>
        <v>CONGRESSGAIN</v>
      </c>
      <c r="AK155" s="34" t="str">
        <f t="shared" si="72"/>
        <v>HIGHMARGIN</v>
      </c>
    </row>
    <row r="156" spans="1:37">
      <c r="A156" s="37">
        <v>153</v>
      </c>
      <c r="B156" s="109" t="s">
        <v>188</v>
      </c>
      <c r="C156" s="37">
        <v>433</v>
      </c>
      <c r="D156" s="37">
        <v>90</v>
      </c>
      <c r="E156" s="37">
        <f t="shared" si="53"/>
        <v>20.7852193995381</v>
      </c>
      <c r="F156" s="37">
        <v>336</v>
      </c>
      <c r="G156" s="37">
        <f t="shared" si="54"/>
        <v>77.5981524249423</v>
      </c>
      <c r="H156" s="37">
        <v>0</v>
      </c>
      <c r="I156" s="37">
        <f t="shared" si="55"/>
        <v>0</v>
      </c>
      <c r="J156" s="37">
        <v>0</v>
      </c>
      <c r="K156" s="37">
        <f t="shared" si="56"/>
        <v>0</v>
      </c>
      <c r="L156" s="112">
        <v>396</v>
      </c>
      <c r="M156" s="112">
        <v>431</v>
      </c>
      <c r="N156" s="112">
        <f t="shared" si="57"/>
        <v>827</v>
      </c>
      <c r="O156" s="37">
        <v>433</v>
      </c>
      <c r="P156" s="113">
        <f t="shared" si="61"/>
        <v>52.3579201934704</v>
      </c>
      <c r="Q156" s="37"/>
      <c r="R156" s="37">
        <f t="shared" si="62"/>
        <v>0</v>
      </c>
      <c r="S156" s="37">
        <f t="shared" si="58"/>
        <v>0</v>
      </c>
      <c r="T156" s="37" t="e">
        <f t="shared" si="63"/>
        <v>#DIV/0!</v>
      </c>
      <c r="U156" s="37"/>
      <c r="V156" s="117">
        <f t="shared" si="64"/>
        <v>0</v>
      </c>
      <c r="W156" s="37"/>
      <c r="X156" s="37">
        <f t="shared" si="65"/>
        <v>100</v>
      </c>
      <c r="Y156" s="37">
        <f t="shared" si="73"/>
        <v>0</v>
      </c>
      <c r="Z156" s="3" t="e">
        <f t="shared" si="66"/>
        <v>#DIV/0!</v>
      </c>
      <c r="AA156" s="3"/>
      <c r="AB156" s="118">
        <f t="shared" si="67"/>
        <v>0</v>
      </c>
      <c r="AC156" s="3">
        <f t="shared" si="49"/>
        <v>0</v>
      </c>
      <c r="AD156" s="3" t="str">
        <f t="shared" si="68"/>
        <v>WEAK</v>
      </c>
      <c r="AE156" s="30" t="str">
        <f t="shared" si="69"/>
        <v>VLOW</v>
      </c>
      <c r="AF156" s="3" t="str">
        <f t="shared" si="70"/>
        <v>EXCELLENT</v>
      </c>
      <c r="AG156" s="3" t="str">
        <f t="shared" si="59"/>
        <v>FEMALE DOM</v>
      </c>
      <c r="AH156" s="3" t="e">
        <f t="shared" si="71"/>
        <v>#DIV/0!</v>
      </c>
      <c r="AI156" s="36">
        <f t="shared" si="74"/>
        <v>56.8129330254042</v>
      </c>
      <c r="AJ156" s="31" t="str">
        <f t="shared" si="60"/>
        <v>CONGRESSGAIN</v>
      </c>
      <c r="AK156" s="30" t="str">
        <f t="shared" si="72"/>
        <v>VERYHIGHMARGIN</v>
      </c>
    </row>
    <row r="157" spans="1:37">
      <c r="A157" s="37">
        <v>154</v>
      </c>
      <c r="B157" s="109" t="s">
        <v>189</v>
      </c>
      <c r="C157" s="37">
        <v>967</v>
      </c>
      <c r="D157" s="37">
        <v>363</v>
      </c>
      <c r="E157" s="37">
        <f t="shared" si="53"/>
        <v>37.5387797311272</v>
      </c>
      <c r="F157" s="37">
        <v>589</v>
      </c>
      <c r="G157" s="37">
        <f t="shared" si="54"/>
        <v>60.9100310237849</v>
      </c>
      <c r="H157" s="37">
        <v>5</v>
      </c>
      <c r="I157" s="37">
        <f t="shared" si="55"/>
        <v>0.517063081695967</v>
      </c>
      <c r="J157" s="37">
        <v>4</v>
      </c>
      <c r="K157" s="37">
        <f t="shared" si="56"/>
        <v>0.413650465356774</v>
      </c>
      <c r="L157" s="112">
        <v>714</v>
      </c>
      <c r="M157" s="112">
        <v>809</v>
      </c>
      <c r="N157" s="112">
        <f t="shared" si="57"/>
        <v>1523</v>
      </c>
      <c r="O157" s="37">
        <v>967</v>
      </c>
      <c r="P157" s="113">
        <f t="shared" si="61"/>
        <v>63.4931057124097</v>
      </c>
      <c r="Q157" s="37">
        <v>680</v>
      </c>
      <c r="R157" s="37">
        <f t="shared" si="62"/>
        <v>44.6487196323047</v>
      </c>
      <c r="S157" s="37">
        <f t="shared" si="58"/>
        <v>470</v>
      </c>
      <c r="T157" s="37">
        <f t="shared" si="63"/>
        <v>69.1176470588235</v>
      </c>
      <c r="U157" s="37">
        <v>210</v>
      </c>
      <c r="V157" s="117">
        <f t="shared" si="64"/>
        <v>30.8823529411765</v>
      </c>
      <c r="W157" s="37">
        <v>836</v>
      </c>
      <c r="X157" s="37">
        <f t="shared" si="65"/>
        <v>55.3512803676953</v>
      </c>
      <c r="Y157" s="119">
        <f t="shared" si="73"/>
        <v>84</v>
      </c>
      <c r="Z157" s="3">
        <f t="shared" si="66"/>
        <v>10.0478468899522</v>
      </c>
      <c r="AA157" s="3">
        <v>752</v>
      </c>
      <c r="AB157" s="118">
        <f t="shared" si="67"/>
        <v>89.9521531100478</v>
      </c>
      <c r="AC157" s="3">
        <f t="shared" si="49"/>
        <v>962</v>
      </c>
      <c r="AD157" s="3" t="str">
        <f t="shared" si="68"/>
        <v>AVG</v>
      </c>
      <c r="AE157" s="30" t="str">
        <f t="shared" si="69"/>
        <v>VLOW</v>
      </c>
      <c r="AF157" s="3" t="str">
        <f t="shared" si="70"/>
        <v>WEAK</v>
      </c>
      <c r="AG157" s="3" t="str">
        <f t="shared" si="59"/>
        <v>FEMALE DOM</v>
      </c>
      <c r="AH157" s="3" t="str">
        <f t="shared" si="71"/>
        <v>H</v>
      </c>
      <c r="AI157" s="36">
        <f t="shared" si="74"/>
        <v>23.3712512926577</v>
      </c>
      <c r="AJ157" s="31" t="str">
        <f t="shared" si="60"/>
        <v>CONGRESSGAIN</v>
      </c>
      <c r="AK157" s="36" t="str">
        <f t="shared" si="72"/>
        <v>LOWMARGIN</v>
      </c>
    </row>
    <row r="158" spans="1:37">
      <c r="A158" s="37">
        <v>155</v>
      </c>
      <c r="B158" s="109" t="s">
        <v>190</v>
      </c>
      <c r="C158" s="37">
        <v>896</v>
      </c>
      <c r="D158" s="37">
        <v>502</v>
      </c>
      <c r="E158" s="37">
        <f t="shared" si="53"/>
        <v>56.0267857142857</v>
      </c>
      <c r="F158" s="37">
        <v>357</v>
      </c>
      <c r="G158" s="37">
        <f t="shared" si="54"/>
        <v>39.84375</v>
      </c>
      <c r="H158" s="37">
        <v>3</v>
      </c>
      <c r="I158" s="37">
        <f t="shared" si="55"/>
        <v>0.334821428571429</v>
      </c>
      <c r="J158" s="37">
        <v>16</v>
      </c>
      <c r="K158" s="37">
        <f t="shared" si="56"/>
        <v>1.78571428571429</v>
      </c>
      <c r="L158" s="112">
        <v>723</v>
      </c>
      <c r="M158" s="112">
        <v>779</v>
      </c>
      <c r="N158" s="112">
        <f t="shared" si="57"/>
        <v>1502</v>
      </c>
      <c r="O158" s="37">
        <v>896</v>
      </c>
      <c r="P158" s="113">
        <f t="shared" si="61"/>
        <v>59.6537949400799</v>
      </c>
      <c r="Q158" s="37">
        <v>543</v>
      </c>
      <c r="R158" s="37">
        <f t="shared" si="62"/>
        <v>36.1517976031957</v>
      </c>
      <c r="S158" s="37">
        <f t="shared" si="58"/>
        <v>93</v>
      </c>
      <c r="T158" s="37">
        <f t="shared" si="63"/>
        <v>17.1270718232044</v>
      </c>
      <c r="U158" s="37">
        <v>450</v>
      </c>
      <c r="V158" s="117">
        <f t="shared" si="64"/>
        <v>82.8729281767956</v>
      </c>
      <c r="W158" s="37">
        <v>194</v>
      </c>
      <c r="X158" s="37">
        <f t="shared" si="65"/>
        <v>63.8482023968043</v>
      </c>
      <c r="Y158" s="37">
        <f t="shared" si="73"/>
        <v>44</v>
      </c>
      <c r="Z158" s="3">
        <f t="shared" si="66"/>
        <v>22.680412371134</v>
      </c>
      <c r="AA158" s="3">
        <v>150</v>
      </c>
      <c r="AB158" s="118">
        <f t="shared" si="67"/>
        <v>77.319587628866</v>
      </c>
      <c r="AC158" s="3">
        <f t="shared" si="49"/>
        <v>600</v>
      </c>
      <c r="AD158" s="3" t="str">
        <f t="shared" si="68"/>
        <v>WEAK</v>
      </c>
      <c r="AE158" s="30" t="str">
        <f t="shared" si="69"/>
        <v>VLOW</v>
      </c>
      <c r="AF158" s="3" t="str">
        <f t="shared" si="70"/>
        <v>AVG</v>
      </c>
      <c r="AG158" s="3" t="str">
        <f t="shared" si="59"/>
        <v>FEMALE DOM</v>
      </c>
      <c r="AH158" s="3" t="str">
        <f t="shared" si="71"/>
        <v>O</v>
      </c>
      <c r="AI158" s="36">
        <f>E158-G158</f>
        <v>16.1830357142857</v>
      </c>
      <c r="AJ158" s="35" t="str">
        <f t="shared" si="60"/>
        <v>BJP GAIN</v>
      </c>
      <c r="AK158" s="36" t="str">
        <f t="shared" si="72"/>
        <v>LOWMARGIN</v>
      </c>
    </row>
    <row r="159" spans="1:37">
      <c r="A159" s="37">
        <v>156</v>
      </c>
      <c r="B159" s="109" t="s">
        <v>191</v>
      </c>
      <c r="C159" s="37">
        <v>559</v>
      </c>
      <c r="D159" s="37">
        <v>229</v>
      </c>
      <c r="E159" s="37">
        <f t="shared" si="53"/>
        <v>40.9660107334526</v>
      </c>
      <c r="F159" s="37">
        <v>317</v>
      </c>
      <c r="G159" s="37">
        <f t="shared" si="54"/>
        <v>56.7084078711986</v>
      </c>
      <c r="H159" s="37">
        <v>7</v>
      </c>
      <c r="I159" s="37">
        <f t="shared" si="55"/>
        <v>1.25223613595707</v>
      </c>
      <c r="J159" s="37">
        <v>5</v>
      </c>
      <c r="K159" s="37">
        <f t="shared" si="56"/>
        <v>0.894454382826476</v>
      </c>
      <c r="L159" s="112">
        <v>353</v>
      </c>
      <c r="M159" s="112">
        <v>461</v>
      </c>
      <c r="N159" s="112">
        <f t="shared" si="57"/>
        <v>814</v>
      </c>
      <c r="O159" s="37">
        <v>559</v>
      </c>
      <c r="P159" s="113">
        <f t="shared" si="61"/>
        <v>68.6732186732187</v>
      </c>
      <c r="Q159" s="37"/>
      <c r="R159" s="37">
        <f t="shared" si="62"/>
        <v>0</v>
      </c>
      <c r="S159" s="115">
        <f t="shared" si="58"/>
        <v>0</v>
      </c>
      <c r="T159" s="37" t="e">
        <f t="shared" si="63"/>
        <v>#DIV/0!</v>
      </c>
      <c r="U159" s="37"/>
      <c r="V159" s="117">
        <f t="shared" si="64"/>
        <v>0</v>
      </c>
      <c r="W159" s="37"/>
      <c r="X159" s="37">
        <f t="shared" si="65"/>
        <v>100</v>
      </c>
      <c r="Y159" s="37">
        <f t="shared" si="73"/>
        <v>0</v>
      </c>
      <c r="Z159" s="3" t="e">
        <f t="shared" si="66"/>
        <v>#DIV/0!</v>
      </c>
      <c r="AA159" s="3"/>
      <c r="AB159" s="118">
        <f t="shared" si="67"/>
        <v>0</v>
      </c>
      <c r="AC159" s="3">
        <f t="shared" si="49"/>
        <v>0</v>
      </c>
      <c r="AD159" s="3" t="str">
        <f t="shared" si="68"/>
        <v>AVG</v>
      </c>
      <c r="AE159" s="30" t="str">
        <f t="shared" si="69"/>
        <v>VLOW</v>
      </c>
      <c r="AF159" s="3" t="str">
        <f t="shared" si="70"/>
        <v>EXCELLENT</v>
      </c>
      <c r="AG159" s="3" t="str">
        <f t="shared" si="59"/>
        <v>FEMALE DOM</v>
      </c>
      <c r="AH159" s="3" t="e">
        <f t="shared" si="71"/>
        <v>#DIV/0!</v>
      </c>
      <c r="AI159" s="36">
        <f>G159-E159</f>
        <v>15.742397137746</v>
      </c>
      <c r="AJ159" s="31" t="str">
        <f t="shared" si="60"/>
        <v>CONGRESSGAIN</v>
      </c>
      <c r="AK159" s="36" t="str">
        <f t="shared" si="72"/>
        <v>LOWMARGIN</v>
      </c>
    </row>
    <row r="160" spans="1:37">
      <c r="A160" s="37">
        <v>157</v>
      </c>
      <c r="B160" s="109" t="s">
        <v>192</v>
      </c>
      <c r="C160" s="37">
        <v>425</v>
      </c>
      <c r="D160" s="37">
        <v>128</v>
      </c>
      <c r="E160" s="37">
        <f t="shared" si="53"/>
        <v>30.1176470588235</v>
      </c>
      <c r="F160" s="37">
        <v>289</v>
      </c>
      <c r="G160" s="37">
        <f t="shared" si="54"/>
        <v>68</v>
      </c>
      <c r="H160" s="37">
        <v>2</v>
      </c>
      <c r="I160" s="37">
        <f t="shared" si="55"/>
        <v>0.470588235294118</v>
      </c>
      <c r="J160" s="37">
        <v>2</v>
      </c>
      <c r="K160" s="37">
        <f t="shared" si="56"/>
        <v>0.470588235294118</v>
      </c>
      <c r="L160" s="112">
        <v>318</v>
      </c>
      <c r="M160" s="112">
        <v>377</v>
      </c>
      <c r="N160" s="112">
        <f t="shared" si="57"/>
        <v>695</v>
      </c>
      <c r="O160" s="37">
        <v>425</v>
      </c>
      <c r="P160" s="113">
        <f t="shared" si="61"/>
        <v>61.1510791366906</v>
      </c>
      <c r="Q160" s="37">
        <v>784</v>
      </c>
      <c r="R160" s="37">
        <f t="shared" si="62"/>
        <v>112.805755395683</v>
      </c>
      <c r="S160" s="37">
        <f t="shared" si="58"/>
        <v>484</v>
      </c>
      <c r="T160" s="37">
        <f t="shared" si="63"/>
        <v>61.734693877551</v>
      </c>
      <c r="U160" s="37">
        <v>300</v>
      </c>
      <c r="V160" s="117">
        <f t="shared" si="64"/>
        <v>38.265306122449</v>
      </c>
      <c r="W160" s="37">
        <v>223</v>
      </c>
      <c r="X160" s="37">
        <f t="shared" si="65"/>
        <v>-12.8057553956834</v>
      </c>
      <c r="Y160" s="119">
        <f t="shared" si="73"/>
        <v>118</v>
      </c>
      <c r="Z160" s="3">
        <f t="shared" si="66"/>
        <v>52.914798206278</v>
      </c>
      <c r="AA160" s="3">
        <v>105</v>
      </c>
      <c r="AB160" s="118">
        <f t="shared" si="67"/>
        <v>47.085201793722</v>
      </c>
      <c r="AC160" s="3">
        <f t="shared" ref="AC160:AC223" si="75">U160+AA160</f>
        <v>405</v>
      </c>
      <c r="AD160" s="3" t="str">
        <f t="shared" si="68"/>
        <v>AVG</v>
      </c>
      <c r="AE160" s="30" t="str">
        <f t="shared" si="69"/>
        <v>EXCELLENT</v>
      </c>
      <c r="AF160" s="3" t="str">
        <f t="shared" si="70"/>
        <v>VLOW</v>
      </c>
      <c r="AG160" s="3" t="str">
        <f t="shared" si="59"/>
        <v>FEMALE DOM</v>
      </c>
      <c r="AH160" s="3" t="str">
        <f t="shared" si="71"/>
        <v>H</v>
      </c>
      <c r="AI160" s="36">
        <f>G160-E160</f>
        <v>37.8823529411765</v>
      </c>
      <c r="AJ160" s="31" t="str">
        <f t="shared" si="60"/>
        <v>CONGRESSGAIN</v>
      </c>
      <c r="AK160" s="38" t="str">
        <f t="shared" si="72"/>
        <v>MEDIUMMARGIN</v>
      </c>
    </row>
    <row r="161" spans="1:37">
      <c r="A161" s="37">
        <v>158</v>
      </c>
      <c r="B161" s="109" t="s">
        <v>193</v>
      </c>
      <c r="C161" s="37">
        <v>903</v>
      </c>
      <c r="D161" s="37">
        <v>466</v>
      </c>
      <c r="E161" s="37">
        <f t="shared" si="53"/>
        <v>51.6057585825028</v>
      </c>
      <c r="F161" s="37">
        <v>410</v>
      </c>
      <c r="G161" s="37">
        <f t="shared" si="54"/>
        <v>45.4042081949059</v>
      </c>
      <c r="H161" s="37">
        <v>2</v>
      </c>
      <c r="I161" s="37">
        <f t="shared" si="55"/>
        <v>0.221483942414175</v>
      </c>
      <c r="J161" s="37">
        <v>12</v>
      </c>
      <c r="K161" s="37">
        <f t="shared" si="56"/>
        <v>1.32890365448505</v>
      </c>
      <c r="L161" s="112">
        <v>618</v>
      </c>
      <c r="M161" s="112">
        <v>720</v>
      </c>
      <c r="N161" s="112">
        <f t="shared" si="57"/>
        <v>1338</v>
      </c>
      <c r="O161" s="37">
        <v>903</v>
      </c>
      <c r="P161" s="113">
        <f t="shared" si="61"/>
        <v>67.4887892376682</v>
      </c>
      <c r="Q161" s="37">
        <v>900</v>
      </c>
      <c r="R161" s="37">
        <f t="shared" si="62"/>
        <v>67.2645739910314</v>
      </c>
      <c r="S161" s="37">
        <f t="shared" si="58"/>
        <v>331</v>
      </c>
      <c r="T161" s="37">
        <f t="shared" si="63"/>
        <v>36.7777777777778</v>
      </c>
      <c r="U161" s="37">
        <v>569</v>
      </c>
      <c r="V161" s="117">
        <f t="shared" si="64"/>
        <v>63.2222222222222</v>
      </c>
      <c r="W161" s="37">
        <f>1338-900</f>
        <v>438</v>
      </c>
      <c r="X161" s="37">
        <f t="shared" si="65"/>
        <v>32.7354260089686</v>
      </c>
      <c r="Y161" s="37">
        <f t="shared" si="73"/>
        <v>104</v>
      </c>
      <c r="Z161" s="3">
        <f t="shared" si="66"/>
        <v>23.7442922374429</v>
      </c>
      <c r="AA161" s="3">
        <f>903-569</f>
        <v>334</v>
      </c>
      <c r="AB161" s="118">
        <f t="shared" si="67"/>
        <v>76.2557077625571</v>
      </c>
      <c r="AC161" s="3">
        <f t="shared" si="75"/>
        <v>903</v>
      </c>
      <c r="AD161" s="3" t="str">
        <f t="shared" si="68"/>
        <v>AVG</v>
      </c>
      <c r="AE161" s="30" t="str">
        <f t="shared" si="69"/>
        <v>AVG</v>
      </c>
      <c r="AF161" s="3" t="str">
        <f t="shared" si="70"/>
        <v>VLOW</v>
      </c>
      <c r="AG161" s="3" t="str">
        <f t="shared" si="59"/>
        <v>FEMALE DOM</v>
      </c>
      <c r="AH161" s="3" t="str">
        <f t="shared" si="71"/>
        <v>H</v>
      </c>
      <c r="AI161" s="36">
        <f>E161-G161</f>
        <v>6.2015503875969</v>
      </c>
      <c r="AJ161" s="35" t="str">
        <f t="shared" si="60"/>
        <v>BJP GAIN</v>
      </c>
      <c r="AK161" s="32" t="str">
        <f t="shared" si="72"/>
        <v>NARROWMARGIN</v>
      </c>
    </row>
    <row r="162" spans="1:37">
      <c r="A162" s="37">
        <v>159</v>
      </c>
      <c r="B162" s="109" t="s">
        <v>194</v>
      </c>
      <c r="C162" s="37">
        <v>721</v>
      </c>
      <c r="D162" s="37">
        <v>440</v>
      </c>
      <c r="E162" s="37">
        <f t="shared" si="53"/>
        <v>61.0263522884882</v>
      </c>
      <c r="F162" s="37">
        <v>271</v>
      </c>
      <c r="G162" s="37">
        <f t="shared" si="54"/>
        <v>37.5866851595007</v>
      </c>
      <c r="H162" s="37">
        <v>0</v>
      </c>
      <c r="I162" s="37">
        <f t="shared" si="55"/>
        <v>0</v>
      </c>
      <c r="J162" s="37">
        <v>3</v>
      </c>
      <c r="K162" s="37">
        <f t="shared" si="56"/>
        <v>0.416088765603329</v>
      </c>
      <c r="L162" s="112">
        <v>494</v>
      </c>
      <c r="M162" s="112">
        <v>553</v>
      </c>
      <c r="N162" s="112">
        <f t="shared" si="57"/>
        <v>1047</v>
      </c>
      <c r="O162" s="37">
        <v>721</v>
      </c>
      <c r="P162" s="113">
        <f t="shared" si="61"/>
        <v>68.8634192932187</v>
      </c>
      <c r="Q162" s="37">
        <v>784</v>
      </c>
      <c r="R162" s="37">
        <f t="shared" si="62"/>
        <v>74.8806112702961</v>
      </c>
      <c r="S162" s="37">
        <f t="shared" si="58"/>
        <v>784</v>
      </c>
      <c r="T162" s="37">
        <f t="shared" si="63"/>
        <v>100</v>
      </c>
      <c r="U162" s="37"/>
      <c r="V162" s="117">
        <f t="shared" si="64"/>
        <v>0</v>
      </c>
      <c r="W162" s="37">
        <f>15+208</f>
        <v>223</v>
      </c>
      <c r="X162" s="37">
        <f t="shared" si="65"/>
        <v>25.1193887297039</v>
      </c>
      <c r="Y162" s="37">
        <f t="shared" si="73"/>
        <v>223</v>
      </c>
      <c r="Z162" s="3">
        <f t="shared" si="66"/>
        <v>100</v>
      </c>
      <c r="AA162" s="3"/>
      <c r="AB162" s="118">
        <f t="shared" si="67"/>
        <v>0</v>
      </c>
      <c r="AC162" s="3">
        <f t="shared" si="75"/>
        <v>0</v>
      </c>
      <c r="AD162" s="3" t="str">
        <f t="shared" si="68"/>
        <v>AVG</v>
      </c>
      <c r="AE162" s="30" t="str">
        <f t="shared" si="69"/>
        <v>STRONG</v>
      </c>
      <c r="AF162" s="3" t="str">
        <f t="shared" si="70"/>
        <v>VLOW</v>
      </c>
      <c r="AG162" s="3" t="str">
        <f t="shared" si="59"/>
        <v>FEMALE DOM</v>
      </c>
      <c r="AH162" s="3" t="str">
        <f t="shared" si="71"/>
        <v>O</v>
      </c>
      <c r="AI162" s="36">
        <f>E162-G162</f>
        <v>23.4396671289875</v>
      </c>
      <c r="AJ162" s="35" t="str">
        <f t="shared" si="60"/>
        <v>BJP GAIN</v>
      </c>
      <c r="AK162" s="36" t="str">
        <f t="shared" si="72"/>
        <v>LOWMARGIN</v>
      </c>
    </row>
    <row r="163" spans="1:37">
      <c r="A163" s="37">
        <v>160</v>
      </c>
      <c r="B163" s="109" t="s">
        <v>195</v>
      </c>
      <c r="C163" s="37">
        <v>974</v>
      </c>
      <c r="D163" s="37">
        <v>565</v>
      </c>
      <c r="E163" s="37">
        <f t="shared" si="53"/>
        <v>58.0082135523614</v>
      </c>
      <c r="F163" s="37">
        <v>387</v>
      </c>
      <c r="G163" s="37">
        <f t="shared" si="54"/>
        <v>39.7330595482546</v>
      </c>
      <c r="H163" s="37">
        <v>9</v>
      </c>
      <c r="I163" s="37">
        <f t="shared" si="55"/>
        <v>0.924024640657084</v>
      </c>
      <c r="J163" s="37">
        <v>7</v>
      </c>
      <c r="K163" s="37">
        <f t="shared" si="56"/>
        <v>0.718685831622177</v>
      </c>
      <c r="L163" s="112">
        <v>651</v>
      </c>
      <c r="M163" s="112">
        <v>703</v>
      </c>
      <c r="N163" s="112">
        <f t="shared" si="57"/>
        <v>1354</v>
      </c>
      <c r="O163" s="37">
        <v>974</v>
      </c>
      <c r="P163" s="113">
        <f t="shared" si="61"/>
        <v>71.9350073855244</v>
      </c>
      <c r="Q163" s="37"/>
      <c r="R163" s="37">
        <f t="shared" si="62"/>
        <v>0</v>
      </c>
      <c r="S163" s="115">
        <f t="shared" si="58"/>
        <v>0</v>
      </c>
      <c r="T163" s="37" t="e">
        <f t="shared" si="63"/>
        <v>#DIV/0!</v>
      </c>
      <c r="U163" s="37"/>
      <c r="V163" s="117">
        <f t="shared" si="64"/>
        <v>0</v>
      </c>
      <c r="W163" s="37"/>
      <c r="X163" s="37">
        <f t="shared" si="65"/>
        <v>100</v>
      </c>
      <c r="Y163" s="119">
        <f t="shared" si="73"/>
        <v>0</v>
      </c>
      <c r="Z163" s="3" t="e">
        <f t="shared" si="66"/>
        <v>#DIV/0!</v>
      </c>
      <c r="AA163" s="3"/>
      <c r="AB163" s="118">
        <f t="shared" si="67"/>
        <v>0</v>
      </c>
      <c r="AC163" s="3">
        <f t="shared" si="75"/>
        <v>0</v>
      </c>
      <c r="AD163" s="3" t="str">
        <f t="shared" si="68"/>
        <v>STRONG</v>
      </c>
      <c r="AE163" s="30" t="str">
        <f t="shared" si="69"/>
        <v>VLOW</v>
      </c>
      <c r="AF163" s="3" t="str">
        <f t="shared" si="70"/>
        <v>EXCELLENT</v>
      </c>
      <c r="AG163" s="3" t="str">
        <f t="shared" si="59"/>
        <v>FEMALE DOM</v>
      </c>
      <c r="AH163" s="3" t="e">
        <f t="shared" si="71"/>
        <v>#DIV/0!</v>
      </c>
      <c r="AI163" s="36">
        <f>E163-G163</f>
        <v>18.2751540041068</v>
      </c>
      <c r="AJ163" s="35" t="str">
        <f t="shared" si="60"/>
        <v>BJP GAIN</v>
      </c>
      <c r="AK163" s="36" t="str">
        <f t="shared" si="72"/>
        <v>LOWMARGIN</v>
      </c>
    </row>
    <row r="164" spans="1:37">
      <c r="A164" s="37">
        <v>161</v>
      </c>
      <c r="B164" s="109" t="s">
        <v>196</v>
      </c>
      <c r="C164" s="37">
        <v>544</v>
      </c>
      <c r="D164" s="37">
        <v>199</v>
      </c>
      <c r="E164" s="37">
        <f t="shared" si="53"/>
        <v>36.5808823529412</v>
      </c>
      <c r="F164" s="37">
        <v>334</v>
      </c>
      <c r="G164" s="37">
        <f t="shared" si="54"/>
        <v>61.3970588235294</v>
      </c>
      <c r="H164" s="37">
        <v>0</v>
      </c>
      <c r="I164" s="37">
        <f t="shared" si="55"/>
        <v>0</v>
      </c>
      <c r="J164" s="37">
        <v>7</v>
      </c>
      <c r="K164" s="37">
        <f t="shared" si="56"/>
        <v>1.28676470588235</v>
      </c>
      <c r="L164" s="112">
        <v>402</v>
      </c>
      <c r="M164" s="112">
        <v>410</v>
      </c>
      <c r="N164" s="112">
        <f t="shared" si="57"/>
        <v>812</v>
      </c>
      <c r="O164" s="37">
        <v>544</v>
      </c>
      <c r="P164" s="113">
        <f t="shared" si="61"/>
        <v>66.9950738916256</v>
      </c>
      <c r="Q164" s="37">
        <v>369</v>
      </c>
      <c r="R164" s="37">
        <f t="shared" si="62"/>
        <v>45.4433497536946</v>
      </c>
      <c r="S164" s="37">
        <f t="shared" si="58"/>
        <v>125</v>
      </c>
      <c r="T164" s="37">
        <f t="shared" si="63"/>
        <v>33.8753387533875</v>
      </c>
      <c r="U164" s="37">
        <v>244</v>
      </c>
      <c r="V164" s="117">
        <f t="shared" si="64"/>
        <v>66.1246612466125</v>
      </c>
      <c r="W164" s="37">
        <v>443</v>
      </c>
      <c r="X164" s="37">
        <f t="shared" si="65"/>
        <v>54.5566502463054</v>
      </c>
      <c r="Y164" s="37">
        <f t="shared" si="73"/>
        <v>148</v>
      </c>
      <c r="Z164" s="3">
        <f t="shared" si="66"/>
        <v>33.4085778781038</v>
      </c>
      <c r="AA164" s="3">
        <v>295</v>
      </c>
      <c r="AB164" s="118">
        <f t="shared" si="67"/>
        <v>66.5914221218962</v>
      </c>
      <c r="AC164" s="3">
        <f t="shared" si="75"/>
        <v>539</v>
      </c>
      <c r="AD164" s="3" t="str">
        <f t="shared" si="68"/>
        <v>AVG</v>
      </c>
      <c r="AE164" s="30" t="str">
        <f t="shared" si="69"/>
        <v>VLOW</v>
      </c>
      <c r="AF164" s="3" t="str">
        <f t="shared" si="70"/>
        <v>WEAK</v>
      </c>
      <c r="AG164" s="3" t="str">
        <f t="shared" si="59"/>
        <v>FEMALE DOM</v>
      </c>
      <c r="AH164" s="3" t="str">
        <f t="shared" si="71"/>
        <v>H</v>
      </c>
      <c r="AI164" s="36">
        <f>G164-E164</f>
        <v>24.8161764705882</v>
      </c>
      <c r="AJ164" s="31" t="str">
        <f t="shared" si="60"/>
        <v>CONGRESSGAIN</v>
      </c>
      <c r="AK164" s="36" t="str">
        <f t="shared" si="72"/>
        <v>LOWMARGIN</v>
      </c>
    </row>
    <row r="165" spans="1:37">
      <c r="A165" s="37">
        <v>162</v>
      </c>
      <c r="B165" s="109" t="s">
        <v>197</v>
      </c>
      <c r="C165" s="37">
        <v>657</v>
      </c>
      <c r="D165" s="37">
        <v>459</v>
      </c>
      <c r="E165" s="37">
        <f t="shared" si="53"/>
        <v>69.8630136986301</v>
      </c>
      <c r="F165" s="37">
        <v>162</v>
      </c>
      <c r="G165" s="37">
        <f t="shared" si="54"/>
        <v>24.6575342465753</v>
      </c>
      <c r="H165" s="37">
        <v>5</v>
      </c>
      <c r="I165" s="37">
        <f t="shared" si="55"/>
        <v>0.76103500761035</v>
      </c>
      <c r="J165" s="37">
        <v>19</v>
      </c>
      <c r="K165" s="37">
        <f t="shared" si="56"/>
        <v>2.89193302891933</v>
      </c>
      <c r="L165" s="112">
        <v>389</v>
      </c>
      <c r="M165" s="112">
        <v>463</v>
      </c>
      <c r="N165" s="112">
        <f t="shared" si="57"/>
        <v>852</v>
      </c>
      <c r="O165" s="37">
        <v>657</v>
      </c>
      <c r="P165" s="113">
        <f t="shared" si="61"/>
        <v>77.112676056338</v>
      </c>
      <c r="Q165" s="37">
        <v>574</v>
      </c>
      <c r="R165" s="37">
        <f t="shared" si="62"/>
        <v>67.3708920187793</v>
      </c>
      <c r="S165" s="37">
        <f t="shared" si="58"/>
        <v>37</v>
      </c>
      <c r="T165" s="37">
        <f t="shared" si="63"/>
        <v>6.44599303135888</v>
      </c>
      <c r="U165" s="37">
        <v>537</v>
      </c>
      <c r="V165" s="117">
        <f t="shared" si="64"/>
        <v>93.5540069686411</v>
      </c>
      <c r="W165" s="37">
        <v>385</v>
      </c>
      <c r="X165" s="37">
        <f t="shared" si="65"/>
        <v>32.6291079812207</v>
      </c>
      <c r="Y165" s="37">
        <f t="shared" si="73"/>
        <v>385</v>
      </c>
      <c r="Z165" s="3">
        <f t="shared" si="66"/>
        <v>100</v>
      </c>
      <c r="AA165" s="3"/>
      <c r="AB165" s="118">
        <f t="shared" si="67"/>
        <v>0</v>
      </c>
      <c r="AC165" s="3">
        <f t="shared" si="75"/>
        <v>537</v>
      </c>
      <c r="AD165" s="3" t="str">
        <f t="shared" si="68"/>
        <v>STRONG</v>
      </c>
      <c r="AE165" s="30" t="str">
        <f t="shared" si="69"/>
        <v>AVG</v>
      </c>
      <c r="AF165" s="3" t="str">
        <f t="shared" si="70"/>
        <v>VLOW</v>
      </c>
      <c r="AG165" s="3" t="str">
        <f t="shared" si="59"/>
        <v>FEMALE DOM</v>
      </c>
      <c r="AH165" s="3" t="str">
        <f t="shared" si="71"/>
        <v>O</v>
      </c>
      <c r="AI165" s="36">
        <f>E165-G165</f>
        <v>45.2054794520548</v>
      </c>
      <c r="AJ165" s="35" t="str">
        <f t="shared" si="60"/>
        <v>BJP GAIN</v>
      </c>
      <c r="AK165" s="34" t="str">
        <f t="shared" si="72"/>
        <v>HIGHMARGIN</v>
      </c>
    </row>
    <row r="166" spans="1:37">
      <c r="A166" s="37">
        <v>163</v>
      </c>
      <c r="B166" s="109" t="s">
        <v>198</v>
      </c>
      <c r="C166" s="37">
        <v>754</v>
      </c>
      <c r="D166" s="37">
        <v>275</v>
      </c>
      <c r="E166" s="37">
        <f t="shared" si="53"/>
        <v>36.4721485411141</v>
      </c>
      <c r="F166" s="37">
        <v>397</v>
      </c>
      <c r="G166" s="37">
        <f t="shared" si="54"/>
        <v>52.6525198938992</v>
      </c>
      <c r="H166" s="37">
        <v>2</v>
      </c>
      <c r="I166" s="37">
        <f t="shared" si="55"/>
        <v>0.26525198938992</v>
      </c>
      <c r="J166" s="37">
        <v>70</v>
      </c>
      <c r="K166" s="37">
        <f t="shared" si="56"/>
        <v>9.28381962864722</v>
      </c>
      <c r="L166" s="112">
        <v>493</v>
      </c>
      <c r="M166" s="112">
        <v>505</v>
      </c>
      <c r="N166" s="112">
        <f t="shared" si="57"/>
        <v>998</v>
      </c>
      <c r="O166" s="37">
        <v>754</v>
      </c>
      <c r="P166" s="113">
        <f t="shared" si="61"/>
        <v>75.5511022044088</v>
      </c>
      <c r="Q166" s="37">
        <v>607</v>
      </c>
      <c r="R166" s="37">
        <f t="shared" si="62"/>
        <v>60.8216432865731</v>
      </c>
      <c r="S166" s="37">
        <f t="shared" si="58"/>
        <v>187</v>
      </c>
      <c r="T166" s="37">
        <f t="shared" si="63"/>
        <v>30.8072487644152</v>
      </c>
      <c r="U166" s="37">
        <v>420</v>
      </c>
      <c r="V166" s="117">
        <f t="shared" si="64"/>
        <v>69.1927512355849</v>
      </c>
      <c r="W166" s="37">
        <v>391</v>
      </c>
      <c r="X166" s="37">
        <f t="shared" si="65"/>
        <v>39.1783567134269</v>
      </c>
      <c r="Y166" s="119">
        <f t="shared" si="73"/>
        <v>63</v>
      </c>
      <c r="Z166" s="3">
        <f t="shared" si="66"/>
        <v>16.1125319693095</v>
      </c>
      <c r="AA166" s="3">
        <v>328</v>
      </c>
      <c r="AB166" s="118">
        <f t="shared" si="67"/>
        <v>83.8874680306905</v>
      </c>
      <c r="AC166" s="3">
        <f t="shared" si="75"/>
        <v>748</v>
      </c>
      <c r="AD166" s="3" t="str">
        <f t="shared" si="68"/>
        <v>STRONG</v>
      </c>
      <c r="AE166" s="30" t="str">
        <f t="shared" si="69"/>
        <v>AVG</v>
      </c>
      <c r="AF166" s="3" t="str">
        <f t="shared" si="70"/>
        <v>VLOW</v>
      </c>
      <c r="AG166" s="3" t="str">
        <f t="shared" si="59"/>
        <v>FEMALE DOM</v>
      </c>
      <c r="AH166" s="3" t="str">
        <f t="shared" si="71"/>
        <v>H</v>
      </c>
      <c r="AI166" s="36">
        <f>G166-E166</f>
        <v>16.1803713527852</v>
      </c>
      <c r="AJ166" s="31" t="str">
        <f t="shared" si="60"/>
        <v>CONGRESSGAIN</v>
      </c>
      <c r="AK166" s="36" t="str">
        <f t="shared" si="72"/>
        <v>LOWMARGIN</v>
      </c>
    </row>
    <row r="167" spans="1:37">
      <c r="A167" s="37">
        <v>164</v>
      </c>
      <c r="B167" s="109" t="s">
        <v>199</v>
      </c>
      <c r="C167" s="37">
        <v>524</v>
      </c>
      <c r="D167" s="37">
        <v>322</v>
      </c>
      <c r="E167" s="37">
        <f t="shared" si="53"/>
        <v>61.4503816793893</v>
      </c>
      <c r="F167" s="37">
        <v>154</v>
      </c>
      <c r="G167" s="37">
        <f t="shared" si="54"/>
        <v>29.3893129770992</v>
      </c>
      <c r="H167" s="37">
        <v>4</v>
      </c>
      <c r="I167" s="37">
        <f t="shared" si="55"/>
        <v>0.763358778625954</v>
      </c>
      <c r="J167" s="37">
        <v>30</v>
      </c>
      <c r="K167" s="37">
        <f t="shared" si="56"/>
        <v>5.72519083969466</v>
      </c>
      <c r="L167" s="112">
        <v>327</v>
      </c>
      <c r="M167" s="112">
        <v>393</v>
      </c>
      <c r="N167" s="112">
        <f t="shared" si="57"/>
        <v>720</v>
      </c>
      <c r="O167" s="37">
        <v>524</v>
      </c>
      <c r="P167" s="113">
        <f t="shared" si="61"/>
        <v>72.7777777777778</v>
      </c>
      <c r="Q167" s="37">
        <v>523</v>
      </c>
      <c r="R167" s="37">
        <f t="shared" si="62"/>
        <v>72.6388888888889</v>
      </c>
      <c r="S167" s="115">
        <f t="shared" si="58"/>
        <v>120</v>
      </c>
      <c r="T167" s="37">
        <f t="shared" si="63"/>
        <v>22.9445506692161</v>
      </c>
      <c r="U167" s="37">
        <v>403</v>
      </c>
      <c r="V167" s="117">
        <f t="shared" si="64"/>
        <v>77.0554493307839</v>
      </c>
      <c r="W167" s="37">
        <f>23+76</f>
        <v>99</v>
      </c>
      <c r="X167" s="37">
        <f t="shared" si="65"/>
        <v>27.3611111111111</v>
      </c>
      <c r="Y167" s="37">
        <f t="shared" si="73"/>
        <v>54</v>
      </c>
      <c r="Z167" s="3">
        <f t="shared" si="66"/>
        <v>54.5454545454545</v>
      </c>
      <c r="AA167" s="3">
        <f>12+33</f>
        <v>45</v>
      </c>
      <c r="AB167" s="118">
        <f t="shared" si="67"/>
        <v>45.4545454545455</v>
      </c>
      <c r="AC167" s="3">
        <f t="shared" si="75"/>
        <v>448</v>
      </c>
      <c r="AD167" s="3" t="str">
        <f t="shared" si="68"/>
        <v>STRONG</v>
      </c>
      <c r="AE167" s="30" t="str">
        <f t="shared" si="69"/>
        <v>STRONG</v>
      </c>
      <c r="AF167" s="3" t="str">
        <f t="shared" si="70"/>
        <v>VLOW</v>
      </c>
      <c r="AG167" s="3" t="str">
        <f t="shared" si="59"/>
        <v>FEMALE DOM</v>
      </c>
      <c r="AH167" s="3" t="str">
        <f t="shared" si="71"/>
        <v>O</v>
      </c>
      <c r="AI167" s="36">
        <f t="shared" ref="AI167:AI177" si="76">E167-G167</f>
        <v>32.0610687022901</v>
      </c>
      <c r="AJ167" s="35" t="str">
        <f t="shared" si="60"/>
        <v>BJP GAIN</v>
      </c>
      <c r="AK167" s="38" t="str">
        <f t="shared" si="72"/>
        <v>MEDIUMMARGIN</v>
      </c>
    </row>
    <row r="168" spans="1:37">
      <c r="A168" s="37">
        <v>165</v>
      </c>
      <c r="B168" s="109" t="s">
        <v>200</v>
      </c>
      <c r="C168" s="37">
        <v>1048</v>
      </c>
      <c r="D168" s="37">
        <v>731</v>
      </c>
      <c r="E168" s="37">
        <f t="shared" si="53"/>
        <v>69.7519083969466</v>
      </c>
      <c r="F168" s="37">
        <v>282</v>
      </c>
      <c r="G168" s="37">
        <f t="shared" si="54"/>
        <v>26.9083969465649</v>
      </c>
      <c r="H168" s="37">
        <v>4</v>
      </c>
      <c r="I168" s="37">
        <f t="shared" si="55"/>
        <v>0.381679389312977</v>
      </c>
      <c r="J168" s="37">
        <v>14</v>
      </c>
      <c r="K168" s="37">
        <f t="shared" si="56"/>
        <v>1.33587786259542</v>
      </c>
      <c r="L168" s="112">
        <v>670</v>
      </c>
      <c r="M168" s="112">
        <v>784</v>
      </c>
      <c r="N168" s="112">
        <f t="shared" si="57"/>
        <v>1454</v>
      </c>
      <c r="O168" s="37">
        <v>1048</v>
      </c>
      <c r="P168" s="113">
        <f t="shared" si="61"/>
        <v>72.0770288858322</v>
      </c>
      <c r="Q168" s="37">
        <v>1165</v>
      </c>
      <c r="R168" s="37">
        <f t="shared" si="62"/>
        <v>80.1237964236589</v>
      </c>
      <c r="S168" s="37">
        <f t="shared" si="58"/>
        <v>365</v>
      </c>
      <c r="T168" s="37">
        <f t="shared" si="63"/>
        <v>31.3304721030043</v>
      </c>
      <c r="U168" s="37">
        <v>800</v>
      </c>
      <c r="V168" s="117">
        <f t="shared" si="64"/>
        <v>68.6695278969957</v>
      </c>
      <c r="W168" s="37">
        <v>289</v>
      </c>
      <c r="X168" s="37">
        <f t="shared" si="65"/>
        <v>19.8762035763411</v>
      </c>
      <c r="Y168" s="37">
        <f t="shared" si="73"/>
        <v>227</v>
      </c>
      <c r="Z168" s="3">
        <f t="shared" si="66"/>
        <v>78.5467128027682</v>
      </c>
      <c r="AA168" s="3">
        <v>62</v>
      </c>
      <c r="AB168" s="118">
        <f t="shared" si="67"/>
        <v>21.4532871972318</v>
      </c>
      <c r="AC168" s="3">
        <f t="shared" si="75"/>
        <v>862</v>
      </c>
      <c r="AD168" s="3" t="str">
        <f t="shared" si="68"/>
        <v>STRONG</v>
      </c>
      <c r="AE168" s="30" t="str">
        <f t="shared" si="69"/>
        <v>EXCELLENT</v>
      </c>
      <c r="AF168" s="3" t="str">
        <f t="shared" si="70"/>
        <v>VLOW</v>
      </c>
      <c r="AG168" s="3" t="str">
        <f t="shared" si="59"/>
        <v>FEMALE DOM</v>
      </c>
      <c r="AH168" s="3" t="str">
        <f t="shared" si="71"/>
        <v>O</v>
      </c>
      <c r="AI168" s="36">
        <f t="shared" si="76"/>
        <v>42.8435114503817</v>
      </c>
      <c r="AJ168" s="35" t="str">
        <f t="shared" si="60"/>
        <v>BJP GAIN</v>
      </c>
      <c r="AK168" s="34" t="str">
        <f t="shared" si="72"/>
        <v>HIGHMARGIN</v>
      </c>
    </row>
    <row r="169" spans="1:37">
      <c r="A169" s="37">
        <v>166</v>
      </c>
      <c r="B169" s="109" t="s">
        <v>201</v>
      </c>
      <c r="C169" s="37">
        <v>827</v>
      </c>
      <c r="D169" s="37">
        <v>510</v>
      </c>
      <c r="E169" s="37">
        <f t="shared" si="53"/>
        <v>61.6686819830713</v>
      </c>
      <c r="F169" s="37">
        <v>291</v>
      </c>
      <c r="G169" s="37">
        <f t="shared" si="54"/>
        <v>35.1874244256348</v>
      </c>
      <c r="H169" s="37">
        <v>1</v>
      </c>
      <c r="I169" s="37">
        <f t="shared" si="55"/>
        <v>0.120918984280532</v>
      </c>
      <c r="J169" s="37">
        <v>10</v>
      </c>
      <c r="K169" s="37">
        <f t="shared" si="56"/>
        <v>1.20918984280532</v>
      </c>
      <c r="L169" s="112">
        <v>683</v>
      </c>
      <c r="M169" s="112">
        <v>655</v>
      </c>
      <c r="N169" s="112">
        <f t="shared" si="57"/>
        <v>1338</v>
      </c>
      <c r="O169" s="37">
        <v>827</v>
      </c>
      <c r="P169" s="113">
        <f t="shared" si="61"/>
        <v>61.8086696562033</v>
      </c>
      <c r="Q169" s="37">
        <v>958</v>
      </c>
      <c r="R169" s="37">
        <f t="shared" si="62"/>
        <v>71.5994020926756</v>
      </c>
      <c r="S169" s="37">
        <f t="shared" si="58"/>
        <v>336</v>
      </c>
      <c r="T169" s="37">
        <f t="shared" si="63"/>
        <v>35.0730688935282</v>
      </c>
      <c r="U169" s="37">
        <v>622</v>
      </c>
      <c r="V169" s="117">
        <f t="shared" si="64"/>
        <v>64.9269311064718</v>
      </c>
      <c r="W169" s="37">
        <f>13+367</f>
        <v>380</v>
      </c>
      <c r="X169" s="37">
        <f t="shared" si="65"/>
        <v>28.4005979073244</v>
      </c>
      <c r="Y169" s="119">
        <f t="shared" si="73"/>
        <v>195</v>
      </c>
      <c r="Z169" s="3">
        <f t="shared" si="66"/>
        <v>51.3157894736842</v>
      </c>
      <c r="AA169" s="3">
        <f>7+178</f>
        <v>185</v>
      </c>
      <c r="AB169" s="118">
        <f t="shared" si="67"/>
        <v>48.6842105263158</v>
      </c>
      <c r="AC169" s="3">
        <f t="shared" si="75"/>
        <v>807</v>
      </c>
      <c r="AD169" s="3" t="str">
        <f t="shared" si="68"/>
        <v>AVG</v>
      </c>
      <c r="AE169" s="30" t="str">
        <f t="shared" si="69"/>
        <v>STRONG</v>
      </c>
      <c r="AF169" s="3" t="str">
        <f t="shared" si="70"/>
        <v>VLOW</v>
      </c>
      <c r="AG169" s="3" t="str">
        <f t="shared" si="59"/>
        <v>MEN</v>
      </c>
      <c r="AH169" s="3" t="str">
        <f t="shared" si="71"/>
        <v>O</v>
      </c>
      <c r="AI169" s="36">
        <f t="shared" si="76"/>
        <v>26.4812575574365</v>
      </c>
      <c r="AJ169" s="35" t="str">
        <f t="shared" si="60"/>
        <v>BJP GAIN</v>
      </c>
      <c r="AK169" s="36" t="str">
        <f t="shared" si="72"/>
        <v>LOWMARGIN</v>
      </c>
    </row>
    <row r="170" spans="1:37">
      <c r="A170" s="37">
        <v>167</v>
      </c>
      <c r="B170" s="109" t="s">
        <v>202</v>
      </c>
      <c r="C170" s="37">
        <v>669</v>
      </c>
      <c r="D170" s="37">
        <v>477</v>
      </c>
      <c r="E170" s="37">
        <f t="shared" si="53"/>
        <v>71.3004484304933</v>
      </c>
      <c r="F170" s="37">
        <v>172</v>
      </c>
      <c r="G170" s="37">
        <f t="shared" si="54"/>
        <v>25.7100149476831</v>
      </c>
      <c r="H170" s="37">
        <v>0</v>
      </c>
      <c r="I170" s="37">
        <f t="shared" si="55"/>
        <v>0</v>
      </c>
      <c r="J170" s="37">
        <v>6</v>
      </c>
      <c r="K170" s="37">
        <f t="shared" si="56"/>
        <v>0.896860986547085</v>
      </c>
      <c r="L170" s="112">
        <v>453</v>
      </c>
      <c r="M170" s="112">
        <v>483</v>
      </c>
      <c r="N170" s="112">
        <f t="shared" si="57"/>
        <v>936</v>
      </c>
      <c r="O170" s="37">
        <v>669</v>
      </c>
      <c r="P170" s="113">
        <f t="shared" si="61"/>
        <v>71.474358974359</v>
      </c>
      <c r="Q170" s="37">
        <v>786</v>
      </c>
      <c r="R170" s="37">
        <f t="shared" si="62"/>
        <v>83.974358974359</v>
      </c>
      <c r="S170" s="37">
        <f t="shared" si="58"/>
        <v>245</v>
      </c>
      <c r="T170" s="37">
        <f t="shared" si="63"/>
        <v>31.1704834605598</v>
      </c>
      <c r="U170" s="37">
        <v>541</v>
      </c>
      <c r="V170" s="117">
        <f t="shared" si="64"/>
        <v>68.8295165394402</v>
      </c>
      <c r="W170" s="37">
        <v>150</v>
      </c>
      <c r="X170" s="37">
        <f t="shared" si="65"/>
        <v>16.025641025641</v>
      </c>
      <c r="Y170" s="37">
        <f t="shared" si="73"/>
        <v>59</v>
      </c>
      <c r="Z170" s="3">
        <f t="shared" si="66"/>
        <v>39.3333333333333</v>
      </c>
      <c r="AA170" s="3">
        <v>91</v>
      </c>
      <c r="AB170" s="118">
        <f t="shared" si="67"/>
        <v>60.6666666666667</v>
      </c>
      <c r="AC170" s="3">
        <f t="shared" si="75"/>
        <v>632</v>
      </c>
      <c r="AD170" s="3" t="str">
        <f t="shared" si="68"/>
        <v>STRONG</v>
      </c>
      <c r="AE170" s="30" t="str">
        <f t="shared" si="69"/>
        <v>EXCELLENT</v>
      </c>
      <c r="AF170" s="3" t="str">
        <f t="shared" si="70"/>
        <v>VLOW</v>
      </c>
      <c r="AG170" s="3" t="str">
        <f t="shared" si="59"/>
        <v>FEMALE DOM</v>
      </c>
      <c r="AH170" s="3" t="str">
        <f t="shared" si="71"/>
        <v>O</v>
      </c>
      <c r="AI170" s="36">
        <f t="shared" si="76"/>
        <v>45.5904334828102</v>
      </c>
      <c r="AJ170" s="35" t="str">
        <f t="shared" si="60"/>
        <v>BJP GAIN</v>
      </c>
      <c r="AK170" s="34" t="str">
        <f t="shared" si="72"/>
        <v>HIGHMARGIN</v>
      </c>
    </row>
    <row r="171" spans="1:37">
      <c r="A171" s="37">
        <v>168</v>
      </c>
      <c r="B171" s="109" t="s">
        <v>203</v>
      </c>
      <c r="C171" s="37">
        <v>395</v>
      </c>
      <c r="D171" s="37">
        <v>197</v>
      </c>
      <c r="E171" s="37">
        <f t="shared" si="53"/>
        <v>49.873417721519</v>
      </c>
      <c r="F171" s="37">
        <v>187</v>
      </c>
      <c r="G171" s="37">
        <f t="shared" si="54"/>
        <v>47.3417721518987</v>
      </c>
      <c r="H171" s="37">
        <v>0</v>
      </c>
      <c r="I171" s="37">
        <f t="shared" si="55"/>
        <v>0</v>
      </c>
      <c r="J171" s="37">
        <v>4</v>
      </c>
      <c r="K171" s="37">
        <f t="shared" si="56"/>
        <v>1.0126582278481</v>
      </c>
      <c r="L171" s="112">
        <v>285</v>
      </c>
      <c r="M171" s="112">
        <v>315</v>
      </c>
      <c r="N171" s="112">
        <f t="shared" si="57"/>
        <v>600</v>
      </c>
      <c r="O171" s="37">
        <v>395</v>
      </c>
      <c r="P171" s="113">
        <f t="shared" si="61"/>
        <v>65.8333333333333</v>
      </c>
      <c r="Q171" s="37">
        <v>325</v>
      </c>
      <c r="R171" s="37">
        <f t="shared" si="62"/>
        <v>54.1666666666667</v>
      </c>
      <c r="S171" s="115">
        <f t="shared" si="58"/>
        <v>121</v>
      </c>
      <c r="T171" s="37">
        <f t="shared" si="63"/>
        <v>37.2307692307692</v>
      </c>
      <c r="U171" s="37">
        <v>204</v>
      </c>
      <c r="V171" s="117">
        <f t="shared" si="64"/>
        <v>62.7692307692308</v>
      </c>
      <c r="W171" s="37">
        <v>275</v>
      </c>
      <c r="X171" s="37">
        <f t="shared" si="65"/>
        <v>45.8333333333333</v>
      </c>
      <c r="Y171" s="37">
        <f t="shared" si="73"/>
        <v>111</v>
      </c>
      <c r="Z171" s="3">
        <f t="shared" si="66"/>
        <v>40.3636363636364</v>
      </c>
      <c r="AA171" s="3">
        <v>164</v>
      </c>
      <c r="AB171" s="118">
        <f t="shared" si="67"/>
        <v>59.6363636363636</v>
      </c>
      <c r="AC171" s="3">
        <f t="shared" si="75"/>
        <v>368</v>
      </c>
      <c r="AD171" s="3" t="str">
        <f t="shared" si="68"/>
        <v>AVG</v>
      </c>
      <c r="AE171" s="30" t="str">
        <f t="shared" si="69"/>
        <v>WEAK</v>
      </c>
      <c r="AF171" s="3" t="str">
        <f t="shared" si="70"/>
        <v>VLOW</v>
      </c>
      <c r="AG171" s="3" t="str">
        <f t="shared" si="59"/>
        <v>FEMALE DOM</v>
      </c>
      <c r="AH171" s="3" t="str">
        <f t="shared" si="71"/>
        <v>O</v>
      </c>
      <c r="AI171" s="36">
        <f t="shared" si="76"/>
        <v>2.53164556962025</v>
      </c>
      <c r="AJ171" s="35" t="str">
        <f t="shared" si="60"/>
        <v>BJP GAIN</v>
      </c>
      <c r="AK171" s="32" t="str">
        <f t="shared" si="72"/>
        <v>NARROWMARGIN</v>
      </c>
    </row>
    <row r="172" spans="1:37">
      <c r="A172" s="37">
        <v>169</v>
      </c>
      <c r="B172" s="109" t="s">
        <v>204</v>
      </c>
      <c r="C172" s="37">
        <v>607</v>
      </c>
      <c r="D172" s="37">
        <v>402</v>
      </c>
      <c r="E172" s="37">
        <f t="shared" si="53"/>
        <v>66.2273476112026</v>
      </c>
      <c r="F172" s="37">
        <v>185</v>
      </c>
      <c r="G172" s="37">
        <f t="shared" si="54"/>
        <v>30.4777594728171</v>
      </c>
      <c r="H172" s="37">
        <v>1</v>
      </c>
      <c r="I172" s="37">
        <f t="shared" si="55"/>
        <v>0.164744645799012</v>
      </c>
      <c r="J172" s="37">
        <v>11</v>
      </c>
      <c r="K172" s="37">
        <f t="shared" si="56"/>
        <v>1.81219110378913</v>
      </c>
      <c r="L172" s="112">
        <v>398</v>
      </c>
      <c r="M172" s="112">
        <v>429</v>
      </c>
      <c r="N172" s="112">
        <f t="shared" si="57"/>
        <v>827</v>
      </c>
      <c r="O172" s="37">
        <v>607</v>
      </c>
      <c r="P172" s="113">
        <f t="shared" si="61"/>
        <v>73.397823458283</v>
      </c>
      <c r="Q172" s="37">
        <v>463</v>
      </c>
      <c r="R172" s="37">
        <f t="shared" si="62"/>
        <v>55.9854897218863</v>
      </c>
      <c r="S172" s="37">
        <f t="shared" si="58"/>
        <v>137</v>
      </c>
      <c r="T172" s="37">
        <f t="shared" si="63"/>
        <v>29.5896328293737</v>
      </c>
      <c r="U172" s="37">
        <v>326</v>
      </c>
      <c r="V172" s="117">
        <f t="shared" si="64"/>
        <v>70.4103671706264</v>
      </c>
      <c r="W172" s="37">
        <v>20</v>
      </c>
      <c r="X172" s="37">
        <f t="shared" si="65"/>
        <v>44.0145102781137</v>
      </c>
      <c r="Y172" s="119">
        <f t="shared" si="73"/>
        <v>9</v>
      </c>
      <c r="Z172" s="3">
        <f t="shared" si="66"/>
        <v>45</v>
      </c>
      <c r="AA172" s="3">
        <v>11</v>
      </c>
      <c r="AB172" s="118">
        <f t="shared" si="67"/>
        <v>55</v>
      </c>
      <c r="AC172" s="3">
        <f t="shared" si="75"/>
        <v>337</v>
      </c>
      <c r="AD172" s="3" t="str">
        <f t="shared" si="68"/>
        <v>STRONG</v>
      </c>
      <c r="AE172" s="30" t="str">
        <f t="shared" si="69"/>
        <v>WEAK</v>
      </c>
      <c r="AF172" s="3" t="str">
        <f t="shared" si="70"/>
        <v>VLOW</v>
      </c>
      <c r="AG172" s="3" t="str">
        <f t="shared" si="59"/>
        <v>FEMALE DOM</v>
      </c>
      <c r="AH172" s="3" t="str">
        <f t="shared" si="71"/>
        <v>O</v>
      </c>
      <c r="AI172" s="36">
        <f t="shared" si="76"/>
        <v>35.7495881383855</v>
      </c>
      <c r="AJ172" s="35" t="str">
        <f t="shared" si="60"/>
        <v>BJP GAIN</v>
      </c>
      <c r="AK172" s="38" t="str">
        <f t="shared" si="72"/>
        <v>MEDIUMMARGIN</v>
      </c>
    </row>
    <row r="173" spans="1:37">
      <c r="A173" s="37">
        <v>170</v>
      </c>
      <c r="B173" s="109" t="s">
        <v>205</v>
      </c>
      <c r="C173" s="37">
        <v>749</v>
      </c>
      <c r="D173" s="37">
        <v>594</v>
      </c>
      <c r="E173" s="37">
        <f t="shared" si="53"/>
        <v>79.305740987984</v>
      </c>
      <c r="F173" s="37">
        <v>125</v>
      </c>
      <c r="G173" s="37">
        <f t="shared" si="54"/>
        <v>16.6889185580774</v>
      </c>
      <c r="H173" s="37">
        <v>1</v>
      </c>
      <c r="I173" s="37">
        <f t="shared" si="55"/>
        <v>0.133511348464619</v>
      </c>
      <c r="J173" s="37">
        <v>15</v>
      </c>
      <c r="K173" s="37">
        <f t="shared" si="56"/>
        <v>2.00267022696929</v>
      </c>
      <c r="L173" s="112">
        <v>474</v>
      </c>
      <c r="M173" s="112">
        <v>547</v>
      </c>
      <c r="N173" s="112">
        <f t="shared" si="57"/>
        <v>1021</v>
      </c>
      <c r="O173" s="37">
        <v>749</v>
      </c>
      <c r="P173" s="113">
        <f t="shared" si="61"/>
        <v>73.3594515181195</v>
      </c>
      <c r="Q173" s="37">
        <v>890</v>
      </c>
      <c r="R173" s="37">
        <f t="shared" si="62"/>
        <v>87.1694417238002</v>
      </c>
      <c r="S173" s="37">
        <f t="shared" si="58"/>
        <v>218</v>
      </c>
      <c r="T173" s="37">
        <f t="shared" si="63"/>
        <v>24.4943820224719</v>
      </c>
      <c r="U173" s="37">
        <v>672</v>
      </c>
      <c r="V173" s="117">
        <f t="shared" si="64"/>
        <v>75.5056179775281</v>
      </c>
      <c r="W173" s="37">
        <f>34+90</f>
        <v>124</v>
      </c>
      <c r="X173" s="37">
        <f t="shared" si="65"/>
        <v>12.8305582761998</v>
      </c>
      <c r="Y173" s="37">
        <f t="shared" si="73"/>
        <v>56</v>
      </c>
      <c r="Z173" s="3">
        <f t="shared" si="66"/>
        <v>45.1612903225806</v>
      </c>
      <c r="AA173" s="3">
        <f>24+44</f>
        <v>68</v>
      </c>
      <c r="AB173" s="118">
        <f t="shared" si="67"/>
        <v>54.8387096774194</v>
      </c>
      <c r="AC173" s="3">
        <f t="shared" si="75"/>
        <v>740</v>
      </c>
      <c r="AD173" s="3" t="str">
        <f t="shared" si="68"/>
        <v>STRONG</v>
      </c>
      <c r="AE173" s="30" t="str">
        <f t="shared" si="69"/>
        <v>EXCELLENT</v>
      </c>
      <c r="AF173" s="3" t="str">
        <f t="shared" si="70"/>
        <v>VLOW</v>
      </c>
      <c r="AG173" s="3" t="str">
        <f t="shared" si="59"/>
        <v>FEMALE DOM</v>
      </c>
      <c r="AH173" s="3" t="str">
        <f t="shared" si="71"/>
        <v>O</v>
      </c>
      <c r="AI173" s="36">
        <f t="shared" si="76"/>
        <v>62.6168224299065</v>
      </c>
      <c r="AJ173" s="35" t="str">
        <f t="shared" si="60"/>
        <v>BJP GAIN</v>
      </c>
      <c r="AK173" s="30" t="str">
        <f t="shared" si="72"/>
        <v>VERYHIGHMARGIN</v>
      </c>
    </row>
    <row r="174" spans="1:37">
      <c r="A174" s="37">
        <v>171</v>
      </c>
      <c r="B174" s="109" t="s">
        <v>206</v>
      </c>
      <c r="C174" s="37">
        <v>747</v>
      </c>
      <c r="D174" s="37">
        <v>465</v>
      </c>
      <c r="E174" s="37">
        <f t="shared" si="53"/>
        <v>62.2489959839357</v>
      </c>
      <c r="F174" s="37">
        <v>272</v>
      </c>
      <c r="G174" s="37">
        <f t="shared" si="54"/>
        <v>36.4123159303882</v>
      </c>
      <c r="H174" s="37">
        <v>0</v>
      </c>
      <c r="I174" s="37">
        <f t="shared" si="55"/>
        <v>0</v>
      </c>
      <c r="J174" s="37">
        <v>4</v>
      </c>
      <c r="K174" s="37">
        <f t="shared" si="56"/>
        <v>0.535475234270415</v>
      </c>
      <c r="L174" s="112">
        <v>502</v>
      </c>
      <c r="M174" s="112">
        <v>552</v>
      </c>
      <c r="N174" s="112">
        <f t="shared" si="57"/>
        <v>1054</v>
      </c>
      <c r="O174" s="37">
        <v>747</v>
      </c>
      <c r="P174" s="113">
        <f t="shared" si="61"/>
        <v>70.8728652751423</v>
      </c>
      <c r="Q174" s="37">
        <v>781</v>
      </c>
      <c r="R174" s="37">
        <f t="shared" si="62"/>
        <v>74.0986717267552</v>
      </c>
      <c r="S174" s="37">
        <f t="shared" si="58"/>
        <v>221</v>
      </c>
      <c r="T174" s="37">
        <f t="shared" si="63"/>
        <v>28.2970550576184</v>
      </c>
      <c r="U174" s="37">
        <v>560</v>
      </c>
      <c r="V174" s="117">
        <f t="shared" si="64"/>
        <v>71.7029449423816</v>
      </c>
      <c r="W174" s="37">
        <f>35+238</f>
        <v>273</v>
      </c>
      <c r="X174" s="37">
        <f t="shared" si="65"/>
        <v>25.9013282732448</v>
      </c>
      <c r="Y174" s="37">
        <f t="shared" si="73"/>
        <v>89</v>
      </c>
      <c r="Z174" s="3">
        <f t="shared" si="66"/>
        <v>32.6007326007326</v>
      </c>
      <c r="AA174" s="3">
        <f>24+160</f>
        <v>184</v>
      </c>
      <c r="AB174" s="118">
        <f t="shared" si="67"/>
        <v>67.3992673992674</v>
      </c>
      <c r="AC174" s="3">
        <f t="shared" si="75"/>
        <v>744</v>
      </c>
      <c r="AD174" s="3" t="str">
        <f t="shared" si="68"/>
        <v>STRONG</v>
      </c>
      <c r="AE174" s="30" t="str">
        <f t="shared" si="69"/>
        <v>STRONG</v>
      </c>
      <c r="AF174" s="3" t="str">
        <f t="shared" si="70"/>
        <v>VLOW</v>
      </c>
      <c r="AG174" s="3" t="str">
        <f t="shared" si="59"/>
        <v>FEMALE DOM</v>
      </c>
      <c r="AH174" s="3" t="str">
        <f t="shared" si="71"/>
        <v>O</v>
      </c>
      <c r="AI174" s="36">
        <f t="shared" si="76"/>
        <v>25.8366800535475</v>
      </c>
      <c r="AJ174" s="35" t="str">
        <f t="shared" si="60"/>
        <v>BJP GAIN</v>
      </c>
      <c r="AK174" s="36" t="str">
        <f t="shared" si="72"/>
        <v>LOWMARGIN</v>
      </c>
    </row>
    <row r="175" spans="1:37">
      <c r="A175" s="37">
        <v>172</v>
      </c>
      <c r="B175" s="109" t="s">
        <v>207</v>
      </c>
      <c r="C175" s="37">
        <v>586</v>
      </c>
      <c r="D175" s="37">
        <v>303</v>
      </c>
      <c r="E175" s="37">
        <f t="shared" si="53"/>
        <v>51.7064846416382</v>
      </c>
      <c r="F175" s="37">
        <v>270</v>
      </c>
      <c r="G175" s="37">
        <f t="shared" si="54"/>
        <v>46.0750853242321</v>
      </c>
      <c r="H175" s="37">
        <v>3</v>
      </c>
      <c r="I175" s="37">
        <f t="shared" si="55"/>
        <v>0.511945392491468</v>
      </c>
      <c r="J175" s="37">
        <v>1</v>
      </c>
      <c r="K175" s="37">
        <f t="shared" si="56"/>
        <v>0.170648464163823</v>
      </c>
      <c r="L175" s="112">
        <v>412</v>
      </c>
      <c r="M175" s="112">
        <v>409</v>
      </c>
      <c r="N175" s="112">
        <f t="shared" si="57"/>
        <v>821</v>
      </c>
      <c r="O175" s="37">
        <v>586</v>
      </c>
      <c r="P175" s="113">
        <f t="shared" si="61"/>
        <v>71.3763702801462</v>
      </c>
      <c r="Q175" s="37">
        <v>485</v>
      </c>
      <c r="R175" s="37">
        <f t="shared" si="62"/>
        <v>59.074299634592</v>
      </c>
      <c r="S175" s="115">
        <f t="shared" si="58"/>
        <v>135</v>
      </c>
      <c r="T175" s="37">
        <f t="shared" si="63"/>
        <v>27.8350515463918</v>
      </c>
      <c r="U175" s="37">
        <v>350</v>
      </c>
      <c r="V175" s="117">
        <f t="shared" si="64"/>
        <v>72.1649484536082</v>
      </c>
      <c r="W175" s="37">
        <v>336</v>
      </c>
      <c r="X175" s="37">
        <f t="shared" si="65"/>
        <v>40.925700365408</v>
      </c>
      <c r="Y175" s="119">
        <f t="shared" si="73"/>
        <v>100</v>
      </c>
      <c r="Z175" s="3">
        <f t="shared" si="66"/>
        <v>29.7619047619048</v>
      </c>
      <c r="AA175" s="3">
        <v>236</v>
      </c>
      <c r="AB175" s="118">
        <f t="shared" si="67"/>
        <v>70.2380952380952</v>
      </c>
      <c r="AC175" s="3">
        <f t="shared" si="75"/>
        <v>586</v>
      </c>
      <c r="AD175" s="3" t="str">
        <f t="shared" si="68"/>
        <v>STRONG</v>
      </c>
      <c r="AE175" s="30" t="str">
        <f t="shared" si="69"/>
        <v>WEAK</v>
      </c>
      <c r="AF175" s="3" t="str">
        <f t="shared" si="70"/>
        <v>VLOW</v>
      </c>
      <c r="AG175" s="3" t="str">
        <f t="shared" si="59"/>
        <v>MEN</v>
      </c>
      <c r="AH175" s="3" t="str">
        <f t="shared" si="71"/>
        <v>O</v>
      </c>
      <c r="AI175" s="36">
        <f t="shared" si="76"/>
        <v>5.63139931740614</v>
      </c>
      <c r="AJ175" s="35" t="str">
        <f t="shared" si="60"/>
        <v>BJP GAIN</v>
      </c>
      <c r="AK175" s="32" t="str">
        <f t="shared" si="72"/>
        <v>NARROWMARGIN</v>
      </c>
    </row>
    <row r="176" spans="1:37">
      <c r="A176" s="37">
        <v>173</v>
      </c>
      <c r="B176" s="109" t="s">
        <v>208</v>
      </c>
      <c r="C176" s="37">
        <v>502</v>
      </c>
      <c r="D176" s="37">
        <v>248</v>
      </c>
      <c r="E176" s="37">
        <f t="shared" si="53"/>
        <v>49.402390438247</v>
      </c>
      <c r="F176" s="37">
        <v>245</v>
      </c>
      <c r="G176" s="37">
        <f t="shared" si="54"/>
        <v>48.804780876494</v>
      </c>
      <c r="H176" s="37">
        <v>2</v>
      </c>
      <c r="I176" s="37">
        <f t="shared" si="55"/>
        <v>0.398406374501992</v>
      </c>
      <c r="J176" s="37">
        <v>1</v>
      </c>
      <c r="K176" s="37">
        <f t="shared" si="56"/>
        <v>0.199203187250996</v>
      </c>
      <c r="L176" s="112">
        <v>371</v>
      </c>
      <c r="M176" s="112">
        <v>388</v>
      </c>
      <c r="N176" s="112">
        <f t="shared" si="57"/>
        <v>759</v>
      </c>
      <c r="O176" s="37">
        <v>502</v>
      </c>
      <c r="P176" s="113">
        <f t="shared" si="61"/>
        <v>66.1396574440053</v>
      </c>
      <c r="Q176" s="37">
        <v>410</v>
      </c>
      <c r="R176" s="37">
        <f t="shared" si="62"/>
        <v>54.0184453227931</v>
      </c>
      <c r="S176" s="37">
        <f t="shared" si="58"/>
        <v>123</v>
      </c>
      <c r="T176" s="37">
        <f t="shared" si="63"/>
        <v>30</v>
      </c>
      <c r="U176" s="37">
        <v>287</v>
      </c>
      <c r="V176" s="117">
        <f t="shared" si="64"/>
        <v>70</v>
      </c>
      <c r="W176" s="37">
        <v>349</v>
      </c>
      <c r="X176" s="37">
        <f t="shared" si="65"/>
        <v>45.9815546772069</v>
      </c>
      <c r="Y176" s="37">
        <f t="shared" si="73"/>
        <v>134</v>
      </c>
      <c r="Z176" s="3">
        <f t="shared" si="66"/>
        <v>38.3954154727794</v>
      </c>
      <c r="AA176" s="3">
        <v>215</v>
      </c>
      <c r="AB176" s="118">
        <f t="shared" si="67"/>
        <v>61.6045845272206</v>
      </c>
      <c r="AC176" s="3">
        <f t="shared" si="75"/>
        <v>502</v>
      </c>
      <c r="AD176" s="3" t="str">
        <f t="shared" si="68"/>
        <v>AVG</v>
      </c>
      <c r="AE176" s="30" t="str">
        <f t="shared" si="69"/>
        <v>WEAK</v>
      </c>
      <c r="AF176" s="3" t="str">
        <f t="shared" si="70"/>
        <v>VLOW</v>
      </c>
      <c r="AG176" s="3" t="str">
        <f t="shared" si="59"/>
        <v>FEMALE DOM</v>
      </c>
      <c r="AH176" s="3" t="str">
        <f t="shared" si="71"/>
        <v>O</v>
      </c>
      <c r="AI176" s="36">
        <f t="shared" si="76"/>
        <v>0.597609561752989</v>
      </c>
      <c r="AJ176" s="35" t="str">
        <f t="shared" si="60"/>
        <v>BJP GAIN</v>
      </c>
      <c r="AK176" s="32" t="str">
        <f>IF(AI176&gt;=50,"VERYHIGHMARGIN",IF(AI176&gt;=40,"HIGHMARGIN",IF(AI176&gt;=30,"MEDIUMMARGIN",IF(AI176&gt;10,"LOWMARGIN",IF(AI176&lt;1,"NARROWMARGIN")))))</f>
        <v>NARROWMARGIN</v>
      </c>
    </row>
    <row r="177" spans="1:37">
      <c r="A177" s="37">
        <v>174</v>
      </c>
      <c r="B177" s="109" t="s">
        <v>209</v>
      </c>
      <c r="C177" s="37">
        <v>684</v>
      </c>
      <c r="D177" s="37">
        <v>343</v>
      </c>
      <c r="E177" s="37">
        <f t="shared" si="53"/>
        <v>50.1461988304094</v>
      </c>
      <c r="F177" s="37">
        <v>323</v>
      </c>
      <c r="G177" s="37">
        <f t="shared" si="54"/>
        <v>47.2222222222222</v>
      </c>
      <c r="H177" s="37">
        <v>3</v>
      </c>
      <c r="I177" s="37">
        <f t="shared" si="55"/>
        <v>0.43859649122807</v>
      </c>
      <c r="J177" s="37">
        <v>3</v>
      </c>
      <c r="K177" s="37">
        <f t="shared" si="56"/>
        <v>0.43859649122807</v>
      </c>
      <c r="L177" s="112">
        <v>535</v>
      </c>
      <c r="M177" s="112">
        <v>579</v>
      </c>
      <c r="N177" s="112">
        <f t="shared" si="57"/>
        <v>1114</v>
      </c>
      <c r="O177" s="37">
        <v>684</v>
      </c>
      <c r="P177" s="113">
        <f t="shared" si="61"/>
        <v>61.4003590664273</v>
      </c>
      <c r="Q177" s="37">
        <v>652</v>
      </c>
      <c r="R177" s="37">
        <f t="shared" si="62"/>
        <v>58.5278276481149</v>
      </c>
      <c r="S177" s="37">
        <f t="shared" si="58"/>
        <v>203</v>
      </c>
      <c r="T177" s="37">
        <f t="shared" si="63"/>
        <v>31.1349693251534</v>
      </c>
      <c r="U177" s="37">
        <v>449</v>
      </c>
      <c r="V177" s="117">
        <f t="shared" si="64"/>
        <v>68.8650306748466</v>
      </c>
      <c r="W177" s="37">
        <v>459</v>
      </c>
      <c r="X177" s="37">
        <f t="shared" si="65"/>
        <v>41.4721723518851</v>
      </c>
      <c r="Y177" s="37">
        <f t="shared" si="73"/>
        <v>224</v>
      </c>
      <c r="Z177" s="3">
        <f t="shared" si="66"/>
        <v>48.80174291939</v>
      </c>
      <c r="AA177" s="3">
        <v>235</v>
      </c>
      <c r="AB177" s="118">
        <f t="shared" si="67"/>
        <v>51.19825708061</v>
      </c>
      <c r="AC177" s="3">
        <f t="shared" si="75"/>
        <v>684</v>
      </c>
      <c r="AD177" s="3" t="str">
        <f t="shared" si="68"/>
        <v>AVG</v>
      </c>
      <c r="AE177" s="30" t="str">
        <f t="shared" si="69"/>
        <v>WEAK</v>
      </c>
      <c r="AF177" s="3" t="str">
        <f t="shared" si="70"/>
        <v>VLOW</v>
      </c>
      <c r="AG177" s="3" t="str">
        <f t="shared" si="59"/>
        <v>FEMALE DOM</v>
      </c>
      <c r="AH177" s="3" t="str">
        <f t="shared" si="71"/>
        <v>O</v>
      </c>
      <c r="AI177" s="36">
        <f t="shared" si="76"/>
        <v>2.92397660818714</v>
      </c>
      <c r="AJ177" s="35" t="str">
        <f t="shared" si="60"/>
        <v>BJP GAIN</v>
      </c>
      <c r="AK177" s="32" t="str">
        <f t="shared" si="72"/>
        <v>NARROWMARGIN</v>
      </c>
    </row>
    <row r="178" spans="1:37">
      <c r="A178" s="37">
        <v>175</v>
      </c>
      <c r="B178" s="109" t="s">
        <v>210</v>
      </c>
      <c r="C178" s="37">
        <v>637</v>
      </c>
      <c r="D178" s="37">
        <v>298</v>
      </c>
      <c r="E178" s="37">
        <f t="shared" si="53"/>
        <v>46.7817896389325</v>
      </c>
      <c r="F178" s="37">
        <v>303</v>
      </c>
      <c r="G178" s="37">
        <f t="shared" si="54"/>
        <v>47.5667189952904</v>
      </c>
      <c r="H178" s="37">
        <v>2</v>
      </c>
      <c r="I178" s="37">
        <f t="shared" si="55"/>
        <v>0.313971742543171</v>
      </c>
      <c r="J178" s="37">
        <v>11</v>
      </c>
      <c r="K178" s="37">
        <f t="shared" si="56"/>
        <v>1.72684458398744</v>
      </c>
      <c r="L178" s="112">
        <v>463</v>
      </c>
      <c r="M178" s="112">
        <v>514</v>
      </c>
      <c r="N178" s="112">
        <f t="shared" si="57"/>
        <v>977</v>
      </c>
      <c r="O178" s="37">
        <v>637</v>
      </c>
      <c r="P178" s="113">
        <f t="shared" si="61"/>
        <v>65.1995905834186</v>
      </c>
      <c r="Q178" s="37">
        <v>530</v>
      </c>
      <c r="R178" s="37">
        <f t="shared" si="62"/>
        <v>54.2476970317298</v>
      </c>
      <c r="S178" s="37">
        <f t="shared" si="58"/>
        <v>178</v>
      </c>
      <c r="T178" s="37">
        <f t="shared" si="63"/>
        <v>33.5849056603774</v>
      </c>
      <c r="U178" s="37">
        <v>352</v>
      </c>
      <c r="V178" s="117">
        <f t="shared" si="64"/>
        <v>66.4150943396226</v>
      </c>
      <c r="W178" s="37">
        <v>424</v>
      </c>
      <c r="X178" s="37">
        <f t="shared" si="65"/>
        <v>45.7523029682702</v>
      </c>
      <c r="Y178" s="119">
        <f t="shared" si="73"/>
        <v>169</v>
      </c>
      <c r="Z178" s="3">
        <f t="shared" si="66"/>
        <v>39.8584905660377</v>
      </c>
      <c r="AA178" s="3">
        <v>255</v>
      </c>
      <c r="AB178" s="118">
        <f t="shared" si="67"/>
        <v>60.1415094339623</v>
      </c>
      <c r="AC178" s="3">
        <f t="shared" si="75"/>
        <v>607</v>
      </c>
      <c r="AD178" s="3" t="str">
        <f t="shared" si="68"/>
        <v>AVG</v>
      </c>
      <c r="AE178" s="30" t="str">
        <f t="shared" si="69"/>
        <v>WEAK</v>
      </c>
      <c r="AF178" s="3" t="str">
        <f t="shared" si="70"/>
        <v>VLOW</v>
      </c>
      <c r="AG178" s="3" t="str">
        <f t="shared" si="59"/>
        <v>FEMALE DOM</v>
      </c>
      <c r="AH178" s="3" t="str">
        <f t="shared" si="71"/>
        <v>O</v>
      </c>
      <c r="AI178" s="36">
        <f>G178-E178</f>
        <v>0.784929356357928</v>
      </c>
      <c r="AJ178" s="31" t="str">
        <f t="shared" si="60"/>
        <v>CONGRESSGAIN</v>
      </c>
      <c r="AK178" s="32" t="str">
        <f>IF(AI178&gt;=50,"VERYHIGHMARGIN",IF(AI178&gt;=40,"HIGHMARGIN",IF(AI178&gt;=30,"MEDIUMMARGIN",IF(AI178&gt;10,"LOWMARGIN",IF(AI178&lt;1,"NARROWMARGIN")))))</f>
        <v>NARROWMARGIN</v>
      </c>
    </row>
    <row r="179" spans="1:37">
      <c r="A179" s="37">
        <v>176</v>
      </c>
      <c r="B179" s="109" t="s">
        <v>211</v>
      </c>
      <c r="C179" s="37">
        <v>640</v>
      </c>
      <c r="D179" s="37">
        <v>493</v>
      </c>
      <c r="E179" s="37">
        <f t="shared" si="53"/>
        <v>77.03125</v>
      </c>
      <c r="F179" s="37">
        <v>125</v>
      </c>
      <c r="G179" s="37">
        <f t="shared" si="54"/>
        <v>19.53125</v>
      </c>
      <c r="H179" s="37">
        <v>3</v>
      </c>
      <c r="I179" s="37">
        <f t="shared" si="55"/>
        <v>0.46875</v>
      </c>
      <c r="J179" s="37">
        <v>5</v>
      </c>
      <c r="K179" s="37">
        <f t="shared" si="56"/>
        <v>0.78125</v>
      </c>
      <c r="L179" s="112">
        <v>391</v>
      </c>
      <c r="M179" s="112">
        <v>463</v>
      </c>
      <c r="N179" s="112">
        <f t="shared" si="57"/>
        <v>854</v>
      </c>
      <c r="O179" s="37">
        <v>640</v>
      </c>
      <c r="P179" s="113">
        <f t="shared" si="61"/>
        <v>74.9414519906323</v>
      </c>
      <c r="Q179" s="37">
        <v>742</v>
      </c>
      <c r="R179" s="37">
        <f t="shared" si="62"/>
        <v>86.8852459016393</v>
      </c>
      <c r="S179" s="115">
        <f t="shared" si="58"/>
        <v>172</v>
      </c>
      <c r="T179" s="37">
        <f t="shared" si="63"/>
        <v>23.1805929919137</v>
      </c>
      <c r="U179" s="37">
        <v>570</v>
      </c>
      <c r="V179" s="117">
        <f t="shared" si="64"/>
        <v>76.8194070080862</v>
      </c>
      <c r="W179" s="37">
        <v>112</v>
      </c>
      <c r="X179" s="37">
        <f t="shared" si="65"/>
        <v>13.1147540983607</v>
      </c>
      <c r="Y179" s="37">
        <f t="shared" si="73"/>
        <v>44</v>
      </c>
      <c r="Z179" s="3">
        <f t="shared" si="66"/>
        <v>39.2857142857143</v>
      </c>
      <c r="AA179" s="3">
        <v>68</v>
      </c>
      <c r="AB179" s="118">
        <f t="shared" si="67"/>
        <v>60.7142857142857</v>
      </c>
      <c r="AC179" s="3">
        <f t="shared" si="75"/>
        <v>638</v>
      </c>
      <c r="AD179" s="3" t="str">
        <f t="shared" si="68"/>
        <v>STRONG</v>
      </c>
      <c r="AE179" s="30" t="str">
        <f t="shared" si="69"/>
        <v>EXCELLENT</v>
      </c>
      <c r="AF179" s="3" t="str">
        <f t="shared" si="70"/>
        <v>VLOW</v>
      </c>
      <c r="AG179" s="3" t="str">
        <f t="shared" si="59"/>
        <v>FEMALE DOM</v>
      </c>
      <c r="AH179" s="3" t="str">
        <f t="shared" si="71"/>
        <v>O</v>
      </c>
      <c r="AI179" s="36">
        <f>E179-G179</f>
        <v>57.5</v>
      </c>
      <c r="AJ179" s="35" t="str">
        <f t="shared" si="60"/>
        <v>BJP GAIN</v>
      </c>
      <c r="AK179" s="30" t="str">
        <f t="shared" si="72"/>
        <v>VERYHIGHMARGIN</v>
      </c>
    </row>
    <row r="180" spans="1:37">
      <c r="A180" s="37">
        <v>177</v>
      </c>
      <c r="B180" s="109" t="s">
        <v>212</v>
      </c>
      <c r="C180" s="37">
        <v>542</v>
      </c>
      <c r="D180" s="37">
        <v>412</v>
      </c>
      <c r="E180" s="37">
        <f t="shared" si="53"/>
        <v>76.0147601476015</v>
      </c>
      <c r="F180" s="37">
        <v>108</v>
      </c>
      <c r="G180" s="37">
        <f t="shared" si="54"/>
        <v>19.9261992619926</v>
      </c>
      <c r="H180" s="37">
        <v>3</v>
      </c>
      <c r="I180" s="37">
        <f t="shared" si="55"/>
        <v>0.55350553505535</v>
      </c>
      <c r="J180" s="37">
        <v>12</v>
      </c>
      <c r="K180" s="37">
        <f t="shared" si="56"/>
        <v>2.2140221402214</v>
      </c>
      <c r="L180" s="112">
        <v>320</v>
      </c>
      <c r="M180" s="112">
        <v>364</v>
      </c>
      <c r="N180" s="112">
        <f t="shared" si="57"/>
        <v>684</v>
      </c>
      <c r="O180" s="37">
        <v>542</v>
      </c>
      <c r="P180" s="113">
        <f t="shared" si="61"/>
        <v>79.2397660818713</v>
      </c>
      <c r="Q180" s="37">
        <v>587</v>
      </c>
      <c r="R180" s="37">
        <f t="shared" si="62"/>
        <v>85.8187134502924</v>
      </c>
      <c r="S180" s="37">
        <f t="shared" si="58"/>
        <v>128</v>
      </c>
      <c r="T180" s="37">
        <f t="shared" si="63"/>
        <v>21.8057921635434</v>
      </c>
      <c r="U180" s="37">
        <v>459</v>
      </c>
      <c r="V180" s="117">
        <f t="shared" si="64"/>
        <v>78.1942078364566</v>
      </c>
      <c r="W180" s="37">
        <v>83</v>
      </c>
      <c r="X180" s="37">
        <f t="shared" si="65"/>
        <v>14.1812865497076</v>
      </c>
      <c r="Y180" s="37">
        <f t="shared" si="73"/>
        <v>18</v>
      </c>
      <c r="Z180" s="3">
        <f t="shared" si="66"/>
        <v>21.6867469879518</v>
      </c>
      <c r="AA180" s="3">
        <v>65</v>
      </c>
      <c r="AB180" s="118">
        <f t="shared" si="67"/>
        <v>78.3132530120482</v>
      </c>
      <c r="AC180" s="3">
        <f t="shared" si="75"/>
        <v>524</v>
      </c>
      <c r="AD180" s="3" t="str">
        <f t="shared" si="68"/>
        <v>STRONG</v>
      </c>
      <c r="AE180" s="30" t="str">
        <f t="shared" si="69"/>
        <v>EXCELLENT</v>
      </c>
      <c r="AF180" s="3" t="str">
        <f t="shared" si="70"/>
        <v>VLOW</v>
      </c>
      <c r="AG180" s="3" t="str">
        <f t="shared" si="59"/>
        <v>FEMALE DOM</v>
      </c>
      <c r="AH180" s="3" t="str">
        <f t="shared" si="71"/>
        <v>H</v>
      </c>
      <c r="AI180" s="36">
        <f>E180-G180</f>
        <v>56.0885608856089</v>
      </c>
      <c r="AJ180" s="35" t="str">
        <f t="shared" si="60"/>
        <v>BJP GAIN</v>
      </c>
      <c r="AK180" s="30" t="str">
        <f t="shared" si="72"/>
        <v>VERYHIGHMARGIN</v>
      </c>
    </row>
    <row r="181" spans="1:37">
      <c r="A181" s="37">
        <v>178</v>
      </c>
      <c r="B181" s="109" t="s">
        <v>213</v>
      </c>
      <c r="C181" s="37">
        <v>880</v>
      </c>
      <c r="D181" s="37">
        <v>477</v>
      </c>
      <c r="E181" s="37">
        <f t="shared" si="53"/>
        <v>54.2045454545455</v>
      </c>
      <c r="F181" s="37">
        <v>379</v>
      </c>
      <c r="G181" s="37">
        <f t="shared" si="54"/>
        <v>43.0681818181818</v>
      </c>
      <c r="H181" s="37">
        <v>1</v>
      </c>
      <c r="I181" s="37">
        <f t="shared" si="55"/>
        <v>0.113636363636364</v>
      </c>
      <c r="J181" s="37">
        <v>12</v>
      </c>
      <c r="K181" s="37">
        <f t="shared" si="56"/>
        <v>1.36363636363636</v>
      </c>
      <c r="L181" s="112">
        <v>556</v>
      </c>
      <c r="M181" s="112">
        <v>561</v>
      </c>
      <c r="N181" s="112">
        <f t="shared" si="57"/>
        <v>1117</v>
      </c>
      <c r="O181" s="37">
        <v>880</v>
      </c>
      <c r="P181" s="113">
        <f t="shared" si="61"/>
        <v>78.7824529991047</v>
      </c>
      <c r="Q181" s="37">
        <v>641</v>
      </c>
      <c r="R181" s="37">
        <f t="shared" si="62"/>
        <v>57.3858549686661</v>
      </c>
      <c r="S181" s="37">
        <f t="shared" si="58"/>
        <v>130</v>
      </c>
      <c r="T181" s="37">
        <f t="shared" si="63"/>
        <v>20.2808112324493</v>
      </c>
      <c r="U181" s="37">
        <v>511</v>
      </c>
      <c r="V181" s="117">
        <f t="shared" si="64"/>
        <v>79.7191887675507</v>
      </c>
      <c r="W181" s="37">
        <f>1117-641</f>
        <v>476</v>
      </c>
      <c r="X181" s="37">
        <f t="shared" si="65"/>
        <v>42.6141450313339</v>
      </c>
      <c r="Y181" s="119">
        <f t="shared" si="73"/>
        <v>107</v>
      </c>
      <c r="Z181" s="3">
        <f t="shared" si="66"/>
        <v>22.4789915966387</v>
      </c>
      <c r="AA181" s="3">
        <f>880-511</f>
        <v>369</v>
      </c>
      <c r="AB181" s="118">
        <f t="shared" si="67"/>
        <v>77.5210084033613</v>
      </c>
      <c r="AC181" s="3">
        <f t="shared" si="75"/>
        <v>880</v>
      </c>
      <c r="AD181" s="3" t="str">
        <f t="shared" si="68"/>
        <v>STRONG</v>
      </c>
      <c r="AE181" s="30" t="str">
        <f t="shared" si="69"/>
        <v>WEAK</v>
      </c>
      <c r="AF181" s="3" t="str">
        <f t="shared" si="70"/>
        <v>VLOW</v>
      </c>
      <c r="AG181" s="3" t="str">
        <f t="shared" si="59"/>
        <v>FEMALE DOM</v>
      </c>
      <c r="AH181" s="3" t="str">
        <f t="shared" si="71"/>
        <v>O</v>
      </c>
      <c r="AI181" s="36">
        <f>E181-G181</f>
        <v>11.1363636363636</v>
      </c>
      <c r="AJ181" s="35" t="str">
        <f t="shared" si="60"/>
        <v>BJP GAIN</v>
      </c>
      <c r="AK181" s="36" t="str">
        <f t="shared" si="72"/>
        <v>LOWMARGIN</v>
      </c>
    </row>
    <row r="182" spans="1:37">
      <c r="A182" s="37">
        <v>179</v>
      </c>
      <c r="B182" s="109" t="s">
        <v>214</v>
      </c>
      <c r="C182" s="37">
        <v>966</v>
      </c>
      <c r="D182" s="37">
        <v>52</v>
      </c>
      <c r="E182" s="37">
        <f t="shared" si="53"/>
        <v>5.38302277432712</v>
      </c>
      <c r="F182" s="37">
        <v>846</v>
      </c>
      <c r="G182" s="37">
        <f t="shared" si="54"/>
        <v>87.5776397515528</v>
      </c>
      <c r="H182" s="37">
        <v>2</v>
      </c>
      <c r="I182" s="37">
        <f t="shared" si="55"/>
        <v>0.20703933747412</v>
      </c>
      <c r="J182" s="37">
        <v>45</v>
      </c>
      <c r="K182" s="37">
        <f t="shared" si="56"/>
        <v>4.6583850931677</v>
      </c>
      <c r="L182" s="112">
        <v>703</v>
      </c>
      <c r="M182" s="112">
        <v>656</v>
      </c>
      <c r="N182" s="112">
        <f t="shared" si="57"/>
        <v>1359</v>
      </c>
      <c r="O182" s="37">
        <v>966</v>
      </c>
      <c r="P182" s="113">
        <f t="shared" si="61"/>
        <v>71.0816777041943</v>
      </c>
      <c r="Q182" s="37">
        <v>74</v>
      </c>
      <c r="R182" s="37">
        <f t="shared" si="62"/>
        <v>5.44518027961737</v>
      </c>
      <c r="S182" s="37">
        <f t="shared" si="58"/>
        <v>25</v>
      </c>
      <c r="T182" s="37">
        <f t="shared" si="63"/>
        <v>33.7837837837838</v>
      </c>
      <c r="U182" s="37">
        <v>49</v>
      </c>
      <c r="V182" s="117">
        <f t="shared" si="64"/>
        <v>66.2162162162162</v>
      </c>
      <c r="W182" s="37">
        <v>1285</v>
      </c>
      <c r="X182" s="37">
        <f t="shared" si="65"/>
        <v>94.5548197203826</v>
      </c>
      <c r="Y182" s="37">
        <f t="shared" si="73"/>
        <v>416</v>
      </c>
      <c r="Z182" s="3">
        <f t="shared" si="66"/>
        <v>32.3735408560311</v>
      </c>
      <c r="AA182" s="3">
        <v>869</v>
      </c>
      <c r="AB182" s="118">
        <f t="shared" si="67"/>
        <v>67.6264591439689</v>
      </c>
      <c r="AC182" s="3">
        <f t="shared" si="75"/>
        <v>918</v>
      </c>
      <c r="AD182" s="3" t="str">
        <f t="shared" si="68"/>
        <v>STRONG</v>
      </c>
      <c r="AE182" s="30" t="str">
        <f t="shared" si="69"/>
        <v>VLOW</v>
      </c>
      <c r="AF182" s="3" t="str">
        <f t="shared" si="70"/>
        <v>EXCELLENT</v>
      </c>
      <c r="AG182" s="3" t="str">
        <f t="shared" si="59"/>
        <v>MEN</v>
      </c>
      <c r="AH182" s="3" t="str">
        <f t="shared" si="71"/>
        <v>H</v>
      </c>
      <c r="AI182" s="36">
        <f>G182-E182</f>
        <v>82.1946169772257</v>
      </c>
      <c r="AJ182" s="31" t="str">
        <f t="shared" si="60"/>
        <v>CONGRESSGAIN</v>
      </c>
      <c r="AK182" s="30" t="str">
        <f t="shared" si="72"/>
        <v>VERYHIGHMARGIN</v>
      </c>
    </row>
    <row r="183" spans="1:37">
      <c r="A183" s="37">
        <v>180</v>
      </c>
      <c r="B183" s="109" t="s">
        <v>215</v>
      </c>
      <c r="C183" s="37">
        <v>862</v>
      </c>
      <c r="D183" s="37">
        <v>502</v>
      </c>
      <c r="E183" s="37">
        <f t="shared" si="53"/>
        <v>58.2366589327146</v>
      </c>
      <c r="F183" s="37">
        <v>348</v>
      </c>
      <c r="G183" s="37">
        <f t="shared" si="54"/>
        <v>40.3712296983759</v>
      </c>
      <c r="H183" s="37">
        <v>0</v>
      </c>
      <c r="I183" s="37">
        <f t="shared" si="55"/>
        <v>0</v>
      </c>
      <c r="J183" s="37">
        <v>7</v>
      </c>
      <c r="K183" s="37">
        <f t="shared" si="56"/>
        <v>0.812064965197216</v>
      </c>
      <c r="L183" s="112">
        <v>566</v>
      </c>
      <c r="M183" s="112">
        <v>641</v>
      </c>
      <c r="N183" s="112">
        <f t="shared" si="57"/>
        <v>1207</v>
      </c>
      <c r="O183" s="37">
        <v>862</v>
      </c>
      <c r="P183" s="113">
        <f t="shared" si="61"/>
        <v>71.4167357083679</v>
      </c>
      <c r="Q183" s="37">
        <v>845</v>
      </c>
      <c r="R183" s="37">
        <f t="shared" si="62"/>
        <v>70.0082850041425</v>
      </c>
      <c r="S183" s="115">
        <f t="shared" si="58"/>
        <v>530</v>
      </c>
      <c r="T183" s="37">
        <f t="shared" si="63"/>
        <v>62.7218934911243</v>
      </c>
      <c r="U183" s="37">
        <v>315</v>
      </c>
      <c r="V183" s="117">
        <f t="shared" si="64"/>
        <v>37.2781065088757</v>
      </c>
      <c r="W183" s="37">
        <v>362</v>
      </c>
      <c r="X183" s="37">
        <f t="shared" si="65"/>
        <v>29.9917149958575</v>
      </c>
      <c r="Y183" s="37">
        <f t="shared" si="73"/>
        <v>230</v>
      </c>
      <c r="Z183" s="3">
        <f t="shared" si="66"/>
        <v>63.5359116022099</v>
      </c>
      <c r="AA183" s="3">
        <v>132</v>
      </c>
      <c r="AB183" s="118">
        <f t="shared" si="67"/>
        <v>36.4640883977901</v>
      </c>
      <c r="AC183" s="3">
        <f t="shared" si="75"/>
        <v>447</v>
      </c>
      <c r="AD183" s="3" t="str">
        <f t="shared" si="68"/>
        <v>STRONG</v>
      </c>
      <c r="AE183" s="30" t="str">
        <f t="shared" si="69"/>
        <v>STRONG</v>
      </c>
      <c r="AF183" s="3" t="str">
        <f t="shared" si="70"/>
        <v>VLOW</v>
      </c>
      <c r="AG183" s="3" t="str">
        <f t="shared" si="59"/>
        <v>FEMALE DOM</v>
      </c>
      <c r="AH183" s="3" t="str">
        <f t="shared" si="71"/>
        <v>O</v>
      </c>
      <c r="AI183" s="36">
        <f>E183-G183</f>
        <v>17.8654292343387</v>
      </c>
      <c r="AJ183" s="35" t="str">
        <f t="shared" si="60"/>
        <v>BJP GAIN</v>
      </c>
      <c r="AK183" s="36" t="str">
        <f t="shared" si="72"/>
        <v>LOWMARGIN</v>
      </c>
    </row>
    <row r="184" spans="1:37">
      <c r="A184" s="37">
        <v>181</v>
      </c>
      <c r="B184" s="109" t="s">
        <v>216</v>
      </c>
      <c r="C184" s="37">
        <v>1010</v>
      </c>
      <c r="D184" s="37">
        <v>27</v>
      </c>
      <c r="E184" s="37">
        <f t="shared" si="53"/>
        <v>2.67326732673267</v>
      </c>
      <c r="F184" s="37">
        <v>930</v>
      </c>
      <c r="G184" s="37">
        <f t="shared" si="54"/>
        <v>92.0792079207921</v>
      </c>
      <c r="H184" s="37">
        <v>5</v>
      </c>
      <c r="I184" s="37">
        <f t="shared" si="55"/>
        <v>0.495049504950495</v>
      </c>
      <c r="J184" s="37">
        <v>22</v>
      </c>
      <c r="K184" s="37">
        <f t="shared" si="56"/>
        <v>2.17821782178218</v>
      </c>
      <c r="L184" s="112">
        <v>817</v>
      </c>
      <c r="M184" s="112">
        <v>696</v>
      </c>
      <c r="N184" s="112">
        <f t="shared" si="57"/>
        <v>1513</v>
      </c>
      <c r="O184" s="37">
        <v>1010</v>
      </c>
      <c r="P184" s="113">
        <f t="shared" si="61"/>
        <v>66.7547918043622</v>
      </c>
      <c r="Q184" s="37">
        <v>53</v>
      </c>
      <c r="R184" s="37">
        <f t="shared" si="62"/>
        <v>3.50297422339722</v>
      </c>
      <c r="S184" s="37">
        <f t="shared" si="58"/>
        <v>27</v>
      </c>
      <c r="T184" s="37">
        <f t="shared" si="63"/>
        <v>50.9433962264151</v>
      </c>
      <c r="U184" s="37">
        <v>26</v>
      </c>
      <c r="V184" s="117">
        <f t="shared" si="64"/>
        <v>49.0566037735849</v>
      </c>
      <c r="W184" s="37">
        <v>1460</v>
      </c>
      <c r="X184" s="37">
        <f t="shared" si="65"/>
        <v>96.4970257766028</v>
      </c>
      <c r="Y184" s="119">
        <f t="shared" si="73"/>
        <v>477</v>
      </c>
      <c r="Z184" s="3">
        <f t="shared" si="66"/>
        <v>32.6712328767123</v>
      </c>
      <c r="AA184" s="3">
        <v>983</v>
      </c>
      <c r="AB184" s="118">
        <f t="shared" si="67"/>
        <v>67.3287671232877</v>
      </c>
      <c r="AC184" s="3">
        <f t="shared" si="75"/>
        <v>1009</v>
      </c>
      <c r="AD184" s="3" t="str">
        <f t="shared" si="68"/>
        <v>AVG</v>
      </c>
      <c r="AE184" s="30" t="str">
        <f t="shared" si="69"/>
        <v>VLOW</v>
      </c>
      <c r="AF184" s="3" t="str">
        <f t="shared" si="70"/>
        <v>EXCELLENT</v>
      </c>
      <c r="AG184" s="3" t="str">
        <f t="shared" si="59"/>
        <v>MEN</v>
      </c>
      <c r="AH184" s="3" t="str">
        <f t="shared" si="71"/>
        <v>H</v>
      </c>
      <c r="AI184" s="36">
        <f>G184-E184</f>
        <v>89.4059405940594</v>
      </c>
      <c r="AJ184" s="31" t="str">
        <f t="shared" si="60"/>
        <v>CONGRESSGAIN</v>
      </c>
      <c r="AK184" s="30" t="str">
        <f t="shared" si="72"/>
        <v>VERYHIGHMARGIN</v>
      </c>
    </row>
    <row r="185" spans="1:37">
      <c r="A185" s="37">
        <v>182</v>
      </c>
      <c r="B185" s="109" t="s">
        <v>217</v>
      </c>
      <c r="C185" s="37">
        <v>620</v>
      </c>
      <c r="D185" s="37">
        <v>345</v>
      </c>
      <c r="E185" s="37">
        <f t="shared" si="53"/>
        <v>55.6451612903226</v>
      </c>
      <c r="F185" s="37">
        <v>228</v>
      </c>
      <c r="G185" s="37">
        <f t="shared" si="54"/>
        <v>36.7741935483871</v>
      </c>
      <c r="H185" s="37">
        <v>4</v>
      </c>
      <c r="I185" s="37">
        <f t="shared" si="55"/>
        <v>0.645161290322581</v>
      </c>
      <c r="J185" s="37">
        <v>25</v>
      </c>
      <c r="K185" s="37">
        <f t="shared" si="56"/>
        <v>4.03225806451613</v>
      </c>
      <c r="L185" s="112">
        <v>434</v>
      </c>
      <c r="M185" s="112">
        <v>458</v>
      </c>
      <c r="N185" s="112">
        <f t="shared" si="57"/>
        <v>892</v>
      </c>
      <c r="O185" s="37">
        <v>620</v>
      </c>
      <c r="P185" s="113">
        <f t="shared" si="61"/>
        <v>69.5067264573991</v>
      </c>
      <c r="Q185" s="37">
        <v>554</v>
      </c>
      <c r="R185" s="37">
        <f t="shared" si="62"/>
        <v>62.1076233183856</v>
      </c>
      <c r="S185" s="37">
        <f t="shared" si="58"/>
        <v>154</v>
      </c>
      <c r="T185" s="37">
        <f t="shared" si="63"/>
        <v>27.7978339350181</v>
      </c>
      <c r="U185" s="37">
        <v>400</v>
      </c>
      <c r="V185" s="117">
        <f t="shared" si="64"/>
        <v>72.202166064982</v>
      </c>
      <c r="W185" s="37">
        <v>338</v>
      </c>
      <c r="X185" s="37">
        <f t="shared" si="65"/>
        <v>37.8923766816144</v>
      </c>
      <c r="Y185" s="37">
        <f t="shared" si="73"/>
        <v>118</v>
      </c>
      <c r="Z185" s="3">
        <f t="shared" si="66"/>
        <v>34.9112426035503</v>
      </c>
      <c r="AA185" s="3">
        <v>220</v>
      </c>
      <c r="AB185" s="118">
        <f t="shared" si="67"/>
        <v>65.0887573964497</v>
      </c>
      <c r="AC185" s="3">
        <f t="shared" si="75"/>
        <v>620</v>
      </c>
      <c r="AD185" s="3" t="str">
        <f t="shared" si="68"/>
        <v>AVG</v>
      </c>
      <c r="AE185" s="30" t="str">
        <f t="shared" si="69"/>
        <v>AVG</v>
      </c>
      <c r="AF185" s="3" t="str">
        <f t="shared" si="70"/>
        <v>VLOW</v>
      </c>
      <c r="AG185" s="3" t="str">
        <f t="shared" si="59"/>
        <v>FEMALE DOM</v>
      </c>
      <c r="AH185" s="3" t="str">
        <f t="shared" si="71"/>
        <v>O</v>
      </c>
      <c r="AI185" s="36">
        <f>E185-G185</f>
        <v>18.8709677419355</v>
      </c>
      <c r="AJ185" s="35" t="str">
        <f t="shared" si="60"/>
        <v>BJP GAIN</v>
      </c>
      <c r="AK185" s="36" t="str">
        <f t="shared" si="72"/>
        <v>LOWMARGIN</v>
      </c>
    </row>
    <row r="186" spans="1:37">
      <c r="A186" s="37">
        <v>183</v>
      </c>
      <c r="B186" s="109" t="s">
        <v>218</v>
      </c>
      <c r="C186" s="37">
        <v>851</v>
      </c>
      <c r="D186" s="37">
        <v>67</v>
      </c>
      <c r="E186" s="37">
        <f t="shared" si="53"/>
        <v>7.87309048178613</v>
      </c>
      <c r="F186" s="37">
        <v>735</v>
      </c>
      <c r="G186" s="37">
        <f t="shared" si="54"/>
        <v>86.3689776733255</v>
      </c>
      <c r="H186" s="37">
        <v>5</v>
      </c>
      <c r="I186" s="37">
        <f t="shared" si="55"/>
        <v>0.587544065804935</v>
      </c>
      <c r="J186" s="37">
        <v>20</v>
      </c>
      <c r="K186" s="37">
        <f t="shared" si="56"/>
        <v>2.35017626321974</v>
      </c>
      <c r="L186" s="112">
        <v>562</v>
      </c>
      <c r="M186" s="112">
        <v>620</v>
      </c>
      <c r="N186" s="112">
        <f t="shared" si="57"/>
        <v>1182</v>
      </c>
      <c r="O186" s="37">
        <v>851</v>
      </c>
      <c r="P186" s="113">
        <f t="shared" si="61"/>
        <v>71.9966159052453</v>
      </c>
      <c r="Q186" s="37">
        <v>100</v>
      </c>
      <c r="R186" s="37">
        <f t="shared" si="62"/>
        <v>8.46023688663283</v>
      </c>
      <c r="S186" s="37">
        <f t="shared" si="58"/>
        <v>32</v>
      </c>
      <c r="T186" s="37">
        <f t="shared" si="63"/>
        <v>32</v>
      </c>
      <c r="U186" s="37">
        <v>68</v>
      </c>
      <c r="V186" s="117">
        <f t="shared" si="64"/>
        <v>68</v>
      </c>
      <c r="W186" s="37">
        <f>1020+3</f>
        <v>1023</v>
      </c>
      <c r="X186" s="37">
        <f t="shared" si="65"/>
        <v>91.5397631133672</v>
      </c>
      <c r="Y186" s="37">
        <f t="shared" si="73"/>
        <v>271</v>
      </c>
      <c r="Z186" s="3">
        <f t="shared" si="66"/>
        <v>26.4907135874878</v>
      </c>
      <c r="AA186" s="3">
        <f>749+3</f>
        <v>752</v>
      </c>
      <c r="AB186" s="118">
        <f t="shared" si="67"/>
        <v>73.5092864125122</v>
      </c>
      <c r="AC186" s="3">
        <f t="shared" si="75"/>
        <v>820</v>
      </c>
      <c r="AD186" s="3" t="str">
        <f t="shared" si="68"/>
        <v>STRONG</v>
      </c>
      <c r="AE186" s="30" t="str">
        <f t="shared" si="69"/>
        <v>VLOW</v>
      </c>
      <c r="AF186" s="3" t="str">
        <f t="shared" si="70"/>
        <v>EXCELLENT</v>
      </c>
      <c r="AG186" s="3" t="str">
        <f t="shared" si="59"/>
        <v>FEMALE DOM</v>
      </c>
      <c r="AH186" s="3" t="str">
        <f t="shared" si="71"/>
        <v>H</v>
      </c>
      <c r="AI186" s="36">
        <f>G186-E186</f>
        <v>78.4958871915394</v>
      </c>
      <c r="AJ186" s="31" t="str">
        <f t="shared" si="60"/>
        <v>CONGRESSGAIN</v>
      </c>
      <c r="AK186" s="30" t="str">
        <f t="shared" si="72"/>
        <v>VERYHIGHMARGIN</v>
      </c>
    </row>
    <row r="187" spans="1:37">
      <c r="A187" s="37">
        <v>184</v>
      </c>
      <c r="B187" s="109" t="s">
        <v>219</v>
      </c>
      <c r="C187" s="37">
        <v>857</v>
      </c>
      <c r="D187" s="37">
        <v>229</v>
      </c>
      <c r="E187" s="37">
        <f t="shared" si="53"/>
        <v>26.7211201866978</v>
      </c>
      <c r="F187" s="37">
        <v>587</v>
      </c>
      <c r="G187" s="37">
        <f t="shared" si="54"/>
        <v>68.4947491248541</v>
      </c>
      <c r="H187" s="37">
        <v>16</v>
      </c>
      <c r="I187" s="37">
        <f t="shared" si="55"/>
        <v>1.86697782963827</v>
      </c>
      <c r="J187" s="37">
        <v>9</v>
      </c>
      <c r="K187" s="37">
        <f t="shared" si="56"/>
        <v>1.05017502917153</v>
      </c>
      <c r="L187" s="112">
        <v>550</v>
      </c>
      <c r="M187" s="112">
        <v>560</v>
      </c>
      <c r="N187" s="112">
        <f t="shared" si="57"/>
        <v>1110</v>
      </c>
      <c r="O187" s="37">
        <v>857</v>
      </c>
      <c r="P187" s="113">
        <f t="shared" si="61"/>
        <v>77.2072072072072</v>
      </c>
      <c r="Q187" s="37">
        <v>365</v>
      </c>
      <c r="R187" s="37">
        <f t="shared" si="62"/>
        <v>32.8828828828829</v>
      </c>
      <c r="S187" s="115">
        <f t="shared" si="58"/>
        <v>79</v>
      </c>
      <c r="T187" s="37">
        <f t="shared" si="63"/>
        <v>21.6438356164384</v>
      </c>
      <c r="U187" s="37">
        <v>286</v>
      </c>
      <c r="V187" s="117">
        <f t="shared" si="64"/>
        <v>78.3561643835616</v>
      </c>
      <c r="W187" s="37">
        <f>687+58</f>
        <v>745</v>
      </c>
      <c r="X187" s="37">
        <f t="shared" si="65"/>
        <v>67.1171171171171</v>
      </c>
      <c r="Y187" s="119">
        <f t="shared" si="73"/>
        <v>161</v>
      </c>
      <c r="Z187" s="3">
        <f t="shared" si="66"/>
        <v>21.6107382550336</v>
      </c>
      <c r="AA187" s="3">
        <f>544+40</f>
        <v>584</v>
      </c>
      <c r="AB187" s="118">
        <f t="shared" si="67"/>
        <v>78.3892617449664</v>
      </c>
      <c r="AC187" s="3">
        <f t="shared" si="75"/>
        <v>870</v>
      </c>
      <c r="AD187" s="3" t="str">
        <f t="shared" si="68"/>
        <v>STRONG</v>
      </c>
      <c r="AE187" s="30" t="str">
        <f t="shared" si="69"/>
        <v>VLOW</v>
      </c>
      <c r="AF187" s="3" t="str">
        <f t="shared" si="70"/>
        <v>AVG</v>
      </c>
      <c r="AG187" s="3" t="str">
        <f t="shared" si="59"/>
        <v>FEMALE DOM</v>
      </c>
      <c r="AH187" s="3" t="str">
        <f t="shared" si="71"/>
        <v>H</v>
      </c>
      <c r="AI187" s="36">
        <f>G187-E187</f>
        <v>41.7736289381564</v>
      </c>
      <c r="AJ187" s="31" t="str">
        <f t="shared" si="60"/>
        <v>CONGRESSGAIN</v>
      </c>
      <c r="AK187" s="34" t="str">
        <f t="shared" si="72"/>
        <v>HIGHMARGIN</v>
      </c>
    </row>
    <row r="188" spans="1:37">
      <c r="A188" s="37">
        <v>185</v>
      </c>
      <c r="B188" s="109" t="s">
        <v>220</v>
      </c>
      <c r="C188" s="37">
        <v>867</v>
      </c>
      <c r="D188" s="37">
        <v>219</v>
      </c>
      <c r="E188" s="37">
        <f t="shared" si="53"/>
        <v>25.2595155709343</v>
      </c>
      <c r="F188" s="37">
        <v>616</v>
      </c>
      <c r="G188" s="37">
        <f t="shared" si="54"/>
        <v>71.0495963091119</v>
      </c>
      <c r="H188" s="37">
        <v>8</v>
      </c>
      <c r="I188" s="37">
        <f t="shared" si="55"/>
        <v>0.922722029988466</v>
      </c>
      <c r="J188" s="37">
        <v>18</v>
      </c>
      <c r="K188" s="37">
        <f t="shared" si="56"/>
        <v>2.07612456747405</v>
      </c>
      <c r="L188" s="112">
        <v>651</v>
      </c>
      <c r="M188" s="112">
        <v>682</v>
      </c>
      <c r="N188" s="112">
        <f t="shared" si="57"/>
        <v>1333</v>
      </c>
      <c r="O188" s="37">
        <v>867</v>
      </c>
      <c r="P188" s="113">
        <f t="shared" si="61"/>
        <v>65.0412603150788</v>
      </c>
      <c r="Q188" s="37">
        <v>345</v>
      </c>
      <c r="R188" s="37">
        <f t="shared" si="62"/>
        <v>25.8814703675919</v>
      </c>
      <c r="S188" s="37">
        <f t="shared" si="58"/>
        <v>78</v>
      </c>
      <c r="T188" s="37">
        <f t="shared" si="63"/>
        <v>22.6086956521739</v>
      </c>
      <c r="U188" s="37">
        <v>267</v>
      </c>
      <c r="V188" s="117">
        <f t="shared" si="64"/>
        <v>77.3913043478261</v>
      </c>
      <c r="W188" s="37">
        <f>963+31</f>
        <v>994</v>
      </c>
      <c r="X188" s="37">
        <f t="shared" si="65"/>
        <v>74.1185296324081</v>
      </c>
      <c r="Y188" s="37">
        <f t="shared" si="73"/>
        <v>385</v>
      </c>
      <c r="Z188" s="3">
        <f t="shared" si="66"/>
        <v>38.7323943661972</v>
      </c>
      <c r="AA188" s="3">
        <f>581+28</f>
        <v>609</v>
      </c>
      <c r="AB188" s="118">
        <f t="shared" si="67"/>
        <v>61.2676056338028</v>
      </c>
      <c r="AC188" s="3">
        <f t="shared" si="75"/>
        <v>876</v>
      </c>
      <c r="AD188" s="3" t="str">
        <f t="shared" si="68"/>
        <v>AVG</v>
      </c>
      <c r="AE188" s="30" t="str">
        <f t="shared" si="69"/>
        <v>VLOW</v>
      </c>
      <c r="AF188" s="3" t="str">
        <f t="shared" si="70"/>
        <v>STRONG</v>
      </c>
      <c r="AG188" s="3" t="str">
        <f t="shared" si="59"/>
        <v>FEMALE DOM</v>
      </c>
      <c r="AH188" s="3" t="str">
        <f t="shared" si="71"/>
        <v>O</v>
      </c>
      <c r="AI188" s="36">
        <f>G188-E188</f>
        <v>45.7900807381776</v>
      </c>
      <c r="AJ188" s="31" t="str">
        <f t="shared" si="60"/>
        <v>CONGRESSGAIN</v>
      </c>
      <c r="AK188" s="34" t="str">
        <f t="shared" si="72"/>
        <v>HIGHMARGIN</v>
      </c>
    </row>
    <row r="189" spans="1:37">
      <c r="A189" s="37">
        <v>186</v>
      </c>
      <c r="B189" s="109" t="s">
        <v>221</v>
      </c>
      <c r="C189" s="37">
        <v>691</v>
      </c>
      <c r="D189" s="37">
        <v>497</v>
      </c>
      <c r="E189" s="37">
        <f t="shared" si="53"/>
        <v>71.9247467438495</v>
      </c>
      <c r="F189" s="37">
        <v>156</v>
      </c>
      <c r="G189" s="37">
        <f t="shared" si="54"/>
        <v>22.575976845152</v>
      </c>
      <c r="H189" s="37">
        <v>3</v>
      </c>
      <c r="I189" s="37">
        <f t="shared" si="55"/>
        <v>0.434153400868307</v>
      </c>
      <c r="J189" s="37">
        <v>20</v>
      </c>
      <c r="K189" s="37">
        <f t="shared" si="56"/>
        <v>2.89435600578871</v>
      </c>
      <c r="L189" s="112">
        <v>444</v>
      </c>
      <c r="M189" s="112">
        <v>449</v>
      </c>
      <c r="N189" s="112">
        <f t="shared" si="57"/>
        <v>893</v>
      </c>
      <c r="O189" s="37">
        <v>691</v>
      </c>
      <c r="P189" s="113">
        <f t="shared" si="61"/>
        <v>77.3796192609182</v>
      </c>
      <c r="Q189" s="37">
        <v>711</v>
      </c>
      <c r="R189" s="37">
        <f t="shared" si="62"/>
        <v>79.6192609182531</v>
      </c>
      <c r="S189" s="37">
        <f t="shared" si="58"/>
        <v>149</v>
      </c>
      <c r="T189" s="37">
        <f t="shared" si="63"/>
        <v>20.9563994374121</v>
      </c>
      <c r="U189" s="37">
        <v>562</v>
      </c>
      <c r="V189" s="117">
        <f t="shared" si="64"/>
        <v>79.0436005625879</v>
      </c>
      <c r="W189" s="37">
        <f>49+26</f>
        <v>75</v>
      </c>
      <c r="X189" s="37">
        <f t="shared" si="65"/>
        <v>20.3807390817469</v>
      </c>
      <c r="Y189" s="37">
        <f t="shared" si="73"/>
        <v>29</v>
      </c>
      <c r="Z189" s="3">
        <f t="shared" si="66"/>
        <v>38.6666666666667</v>
      </c>
      <c r="AA189" s="3">
        <f>31+15</f>
        <v>46</v>
      </c>
      <c r="AB189" s="118">
        <f t="shared" si="67"/>
        <v>61.3333333333333</v>
      </c>
      <c r="AC189" s="3">
        <f t="shared" si="75"/>
        <v>608</v>
      </c>
      <c r="AD189" s="3" t="str">
        <f t="shared" si="68"/>
        <v>STRONG</v>
      </c>
      <c r="AE189" s="30" t="str">
        <f t="shared" si="69"/>
        <v>STRONG</v>
      </c>
      <c r="AF189" s="3" t="str">
        <f t="shared" si="70"/>
        <v>VLOW</v>
      </c>
      <c r="AG189" s="3" t="str">
        <f t="shared" si="59"/>
        <v>FEMALE DOM</v>
      </c>
      <c r="AH189" s="3" t="str">
        <f t="shared" si="71"/>
        <v>O</v>
      </c>
      <c r="AI189" s="36">
        <f>E189-G189</f>
        <v>49.3487698986975</v>
      </c>
      <c r="AJ189" s="35" t="str">
        <f t="shared" si="60"/>
        <v>BJP GAIN</v>
      </c>
      <c r="AK189" s="34" t="str">
        <f t="shared" si="72"/>
        <v>HIGHMARGIN</v>
      </c>
    </row>
    <row r="190" spans="1:37">
      <c r="A190" s="37">
        <v>187</v>
      </c>
      <c r="B190" s="109" t="s">
        <v>222</v>
      </c>
      <c r="C190" s="37">
        <v>672</v>
      </c>
      <c r="D190" s="37">
        <v>301</v>
      </c>
      <c r="E190" s="37">
        <f t="shared" si="53"/>
        <v>44.7916666666667</v>
      </c>
      <c r="F190" s="37">
        <v>298</v>
      </c>
      <c r="G190" s="37">
        <f t="shared" si="54"/>
        <v>44.3452380952381</v>
      </c>
      <c r="H190" s="37">
        <v>9</v>
      </c>
      <c r="I190" s="37">
        <f t="shared" si="55"/>
        <v>1.33928571428571</v>
      </c>
      <c r="J190" s="37">
        <v>54</v>
      </c>
      <c r="K190" s="37">
        <f t="shared" si="56"/>
        <v>8.03571428571429</v>
      </c>
      <c r="L190" s="112">
        <v>445</v>
      </c>
      <c r="M190" s="112">
        <v>500</v>
      </c>
      <c r="N190" s="112">
        <f t="shared" si="57"/>
        <v>945</v>
      </c>
      <c r="O190" s="37">
        <v>672</v>
      </c>
      <c r="P190" s="113">
        <f t="shared" si="61"/>
        <v>71.1111111111111</v>
      </c>
      <c r="Q190" s="37">
        <v>574</v>
      </c>
      <c r="R190" s="37">
        <f t="shared" si="62"/>
        <v>60.7407407407407</v>
      </c>
      <c r="S190" s="37">
        <f t="shared" si="58"/>
        <v>227</v>
      </c>
      <c r="T190" s="37">
        <f t="shared" si="63"/>
        <v>39.5470383275261</v>
      </c>
      <c r="U190" s="37">
        <v>347</v>
      </c>
      <c r="V190" s="117">
        <f t="shared" si="64"/>
        <v>60.4529616724739</v>
      </c>
      <c r="W190" s="37">
        <v>371</v>
      </c>
      <c r="X190" s="37">
        <f t="shared" si="65"/>
        <v>39.2592592592593</v>
      </c>
      <c r="Y190" s="119">
        <f t="shared" si="73"/>
        <v>154</v>
      </c>
      <c r="Z190" s="3">
        <f t="shared" si="66"/>
        <v>41.5094339622642</v>
      </c>
      <c r="AA190" s="3">
        <v>217</v>
      </c>
      <c r="AB190" s="118">
        <f t="shared" si="67"/>
        <v>58.4905660377358</v>
      </c>
      <c r="AC190" s="3">
        <f t="shared" si="75"/>
        <v>564</v>
      </c>
      <c r="AD190" s="3" t="str">
        <f t="shared" si="68"/>
        <v>STRONG</v>
      </c>
      <c r="AE190" s="30" t="str">
        <f t="shared" si="69"/>
        <v>AVG</v>
      </c>
      <c r="AF190" s="3" t="str">
        <f t="shared" si="70"/>
        <v>VLOW</v>
      </c>
      <c r="AG190" s="3" t="str">
        <f t="shared" si="59"/>
        <v>FEMALE DOM</v>
      </c>
      <c r="AH190" s="3" t="str">
        <f t="shared" si="71"/>
        <v>O</v>
      </c>
      <c r="AI190" s="36">
        <f>E190-G190</f>
        <v>0.446428571428577</v>
      </c>
      <c r="AJ190" s="35" t="str">
        <f t="shared" si="60"/>
        <v>BJP GAIN</v>
      </c>
      <c r="AK190" s="32" t="str">
        <f>IF(AI190&gt;=50,"VERYHIGHMARGIN",IF(AI190&gt;=40,"HIGHMARGIN",IF(AI190&gt;=30,"MEDIUMMARGIN",IF(AI190&gt;10,"LOWMARGIN",IF(AI190&lt;1,"NARROWMARGIN")))))</f>
        <v>NARROWMARGIN</v>
      </c>
    </row>
    <row r="191" spans="1:37">
      <c r="A191" s="37">
        <v>188</v>
      </c>
      <c r="B191" s="109" t="s">
        <v>223</v>
      </c>
      <c r="C191" s="37">
        <v>469</v>
      </c>
      <c r="D191" s="37">
        <v>199</v>
      </c>
      <c r="E191" s="37">
        <f t="shared" si="53"/>
        <v>42.4307036247335</v>
      </c>
      <c r="F191" s="37">
        <v>233</v>
      </c>
      <c r="G191" s="37">
        <f t="shared" si="54"/>
        <v>49.680170575693</v>
      </c>
      <c r="H191" s="37">
        <v>7</v>
      </c>
      <c r="I191" s="37">
        <f t="shared" si="55"/>
        <v>1.49253731343284</v>
      </c>
      <c r="J191" s="37">
        <v>23</v>
      </c>
      <c r="K191" s="37">
        <f t="shared" si="56"/>
        <v>4.90405117270789</v>
      </c>
      <c r="L191" s="112">
        <v>333</v>
      </c>
      <c r="M191" s="112">
        <v>349</v>
      </c>
      <c r="N191" s="112">
        <f t="shared" si="57"/>
        <v>682</v>
      </c>
      <c r="O191" s="37">
        <v>469</v>
      </c>
      <c r="P191" s="113">
        <f t="shared" si="61"/>
        <v>68.7683284457478</v>
      </c>
      <c r="Q191" s="37">
        <v>368</v>
      </c>
      <c r="R191" s="37">
        <f t="shared" si="62"/>
        <v>53.9589442815249</v>
      </c>
      <c r="S191" s="115">
        <f t="shared" si="58"/>
        <v>122</v>
      </c>
      <c r="T191" s="37">
        <f t="shared" si="63"/>
        <v>33.1521739130435</v>
      </c>
      <c r="U191" s="37">
        <v>246</v>
      </c>
      <c r="V191" s="117">
        <f t="shared" si="64"/>
        <v>66.8478260869565</v>
      </c>
      <c r="W191" s="37">
        <f>277+35</f>
        <v>312</v>
      </c>
      <c r="X191" s="37">
        <f t="shared" si="65"/>
        <v>46.0410557184751</v>
      </c>
      <c r="Y191" s="37">
        <f t="shared" si="73"/>
        <v>89</v>
      </c>
      <c r="Z191" s="3">
        <f t="shared" si="66"/>
        <v>28.525641025641</v>
      </c>
      <c r="AA191" s="3">
        <f>192+23+8</f>
        <v>223</v>
      </c>
      <c r="AB191" s="118">
        <f t="shared" si="67"/>
        <v>71.474358974359</v>
      </c>
      <c r="AC191" s="3">
        <f t="shared" si="75"/>
        <v>469</v>
      </c>
      <c r="AD191" s="3" t="str">
        <f t="shared" si="68"/>
        <v>AVG</v>
      </c>
      <c r="AE191" s="30" t="str">
        <f t="shared" si="69"/>
        <v>WEAK</v>
      </c>
      <c r="AF191" s="3" t="str">
        <f t="shared" si="70"/>
        <v>VLOW</v>
      </c>
      <c r="AG191" s="3" t="str">
        <f t="shared" si="59"/>
        <v>FEMALE DOM</v>
      </c>
      <c r="AH191" s="3" t="str">
        <f t="shared" si="71"/>
        <v>H</v>
      </c>
      <c r="AI191" s="36">
        <f>G191-E191</f>
        <v>7.24946695095949</v>
      </c>
      <c r="AJ191" s="31" t="str">
        <f t="shared" si="60"/>
        <v>CONGRESSGAIN</v>
      </c>
      <c r="AK191" s="32" t="str">
        <f t="shared" si="72"/>
        <v>NARROWMARGIN</v>
      </c>
    </row>
    <row r="192" spans="1:37">
      <c r="A192" s="37">
        <v>189</v>
      </c>
      <c r="B192" s="109" t="s">
        <v>224</v>
      </c>
      <c r="C192" s="37">
        <v>840</v>
      </c>
      <c r="D192" s="37">
        <v>509</v>
      </c>
      <c r="E192" s="37">
        <f t="shared" si="53"/>
        <v>60.5952380952381</v>
      </c>
      <c r="F192" s="37">
        <v>249</v>
      </c>
      <c r="G192" s="37">
        <f t="shared" si="54"/>
        <v>29.6428571428571</v>
      </c>
      <c r="H192" s="37">
        <v>0</v>
      </c>
      <c r="I192" s="37">
        <f t="shared" si="55"/>
        <v>0</v>
      </c>
      <c r="J192" s="37">
        <v>71</v>
      </c>
      <c r="K192" s="37">
        <f t="shared" si="56"/>
        <v>8.45238095238095</v>
      </c>
      <c r="L192" s="112">
        <v>578</v>
      </c>
      <c r="M192" s="112">
        <v>615</v>
      </c>
      <c r="N192" s="112">
        <f t="shared" si="57"/>
        <v>1193</v>
      </c>
      <c r="O192" s="37">
        <v>840</v>
      </c>
      <c r="P192" s="113">
        <f t="shared" si="61"/>
        <v>70.4107292539816</v>
      </c>
      <c r="Q192" s="37">
        <v>909</v>
      </c>
      <c r="R192" s="37">
        <f t="shared" si="62"/>
        <v>76.1944677284158</v>
      </c>
      <c r="S192" s="115">
        <f t="shared" si="58"/>
        <v>292</v>
      </c>
      <c r="T192" s="37">
        <f t="shared" si="63"/>
        <v>32.1232123212321</v>
      </c>
      <c r="U192" s="37">
        <v>617</v>
      </c>
      <c r="V192" s="117">
        <f t="shared" si="64"/>
        <v>67.8767876787679</v>
      </c>
      <c r="W192" s="37">
        <f>109+175</f>
        <v>284</v>
      </c>
      <c r="X192" s="37">
        <f t="shared" si="65"/>
        <v>23.8055322715842</v>
      </c>
      <c r="Y192" s="37">
        <f t="shared" si="73"/>
        <v>97</v>
      </c>
      <c r="Z192" s="3">
        <f t="shared" si="66"/>
        <v>34.1549295774648</v>
      </c>
      <c r="AA192" s="3">
        <f>80+107</f>
        <v>187</v>
      </c>
      <c r="AB192" s="118">
        <f t="shared" si="67"/>
        <v>65.8450704225352</v>
      </c>
      <c r="AC192" s="3">
        <f t="shared" si="75"/>
        <v>804</v>
      </c>
      <c r="AD192" s="3" t="str">
        <f t="shared" si="68"/>
        <v>STRONG</v>
      </c>
      <c r="AE192" s="30" t="str">
        <f t="shared" si="69"/>
        <v>STRONG</v>
      </c>
      <c r="AF192" s="3" t="str">
        <f t="shared" si="70"/>
        <v>VLOW</v>
      </c>
      <c r="AG192" s="3" t="str">
        <f t="shared" si="59"/>
        <v>FEMALE DOM</v>
      </c>
      <c r="AH192" s="3" t="str">
        <f t="shared" si="71"/>
        <v>O</v>
      </c>
      <c r="AI192" s="36">
        <f t="shared" ref="AI192:AI199" si="77">E192-G192</f>
        <v>30.9523809523809</v>
      </c>
      <c r="AJ192" s="35" t="str">
        <f t="shared" si="60"/>
        <v>BJP GAIN</v>
      </c>
      <c r="AK192" s="38" t="str">
        <f t="shared" si="72"/>
        <v>MEDIUMMARGIN</v>
      </c>
    </row>
    <row r="193" spans="1:37">
      <c r="A193" s="37">
        <v>190</v>
      </c>
      <c r="B193" s="109" t="s">
        <v>225</v>
      </c>
      <c r="C193" s="37">
        <v>332</v>
      </c>
      <c r="D193" s="37">
        <v>168</v>
      </c>
      <c r="E193" s="37">
        <f t="shared" si="53"/>
        <v>50.6024096385542</v>
      </c>
      <c r="F193" s="37">
        <v>148</v>
      </c>
      <c r="G193" s="37">
        <f t="shared" si="54"/>
        <v>44.578313253012</v>
      </c>
      <c r="H193" s="37">
        <v>0</v>
      </c>
      <c r="I193" s="37">
        <f t="shared" si="55"/>
        <v>0</v>
      </c>
      <c r="J193" s="37">
        <v>14</v>
      </c>
      <c r="K193" s="37">
        <f t="shared" si="56"/>
        <v>4.21686746987952</v>
      </c>
      <c r="L193" s="112">
        <v>234</v>
      </c>
      <c r="M193" s="112">
        <v>239</v>
      </c>
      <c r="N193" s="112">
        <f t="shared" si="57"/>
        <v>473</v>
      </c>
      <c r="O193" s="37">
        <v>332</v>
      </c>
      <c r="P193" s="113">
        <f t="shared" si="61"/>
        <v>70.1902748414376</v>
      </c>
      <c r="Q193" s="37">
        <v>301</v>
      </c>
      <c r="R193" s="37">
        <f t="shared" si="62"/>
        <v>63.6363636363636</v>
      </c>
      <c r="S193" s="37">
        <f t="shared" si="58"/>
        <v>117</v>
      </c>
      <c r="T193" s="37">
        <f t="shared" si="63"/>
        <v>38.8704318936877</v>
      </c>
      <c r="U193" s="37">
        <v>184</v>
      </c>
      <c r="V193" s="117">
        <f t="shared" si="64"/>
        <v>61.1295681063123</v>
      </c>
      <c r="W193" s="37">
        <v>172</v>
      </c>
      <c r="X193" s="37">
        <f t="shared" si="65"/>
        <v>36.3636363636364</v>
      </c>
      <c r="Y193" s="119">
        <f t="shared" si="73"/>
        <v>35</v>
      </c>
      <c r="Z193" s="3">
        <f t="shared" si="66"/>
        <v>20.3488372093023</v>
      </c>
      <c r="AA193" s="3">
        <v>137</v>
      </c>
      <c r="AB193" s="118">
        <f t="shared" si="67"/>
        <v>79.6511627906977</v>
      </c>
      <c r="AC193" s="3">
        <f t="shared" si="75"/>
        <v>321</v>
      </c>
      <c r="AD193" s="3" t="str">
        <f t="shared" si="68"/>
        <v>STRONG</v>
      </c>
      <c r="AE193" s="30" t="str">
        <f t="shared" si="69"/>
        <v>AVG</v>
      </c>
      <c r="AF193" s="3" t="str">
        <f t="shared" si="70"/>
        <v>VLOW</v>
      </c>
      <c r="AG193" s="3" t="str">
        <f t="shared" si="59"/>
        <v>FEMALE DOM</v>
      </c>
      <c r="AH193" s="3" t="str">
        <f t="shared" si="71"/>
        <v>H</v>
      </c>
      <c r="AI193" s="36">
        <f t="shared" si="77"/>
        <v>6.02409638554217</v>
      </c>
      <c r="AJ193" s="35" t="str">
        <f t="shared" si="60"/>
        <v>BJP GAIN</v>
      </c>
      <c r="AK193" s="32" t="str">
        <f t="shared" si="72"/>
        <v>NARROWMARGIN</v>
      </c>
    </row>
    <row r="194" spans="1:37">
      <c r="A194" s="37">
        <v>191</v>
      </c>
      <c r="B194" s="109" t="s">
        <v>226</v>
      </c>
      <c r="C194" s="37">
        <v>610</v>
      </c>
      <c r="D194" s="37">
        <v>335</v>
      </c>
      <c r="E194" s="37">
        <f t="shared" si="53"/>
        <v>54.9180327868852</v>
      </c>
      <c r="F194" s="37">
        <v>196</v>
      </c>
      <c r="G194" s="37">
        <f t="shared" si="54"/>
        <v>32.1311475409836</v>
      </c>
      <c r="H194" s="37">
        <v>7</v>
      </c>
      <c r="I194" s="37">
        <f t="shared" si="55"/>
        <v>1.14754098360656</v>
      </c>
      <c r="J194" s="37">
        <v>55</v>
      </c>
      <c r="K194" s="37">
        <f t="shared" si="56"/>
        <v>9.01639344262295</v>
      </c>
      <c r="L194" s="112">
        <v>376</v>
      </c>
      <c r="M194" s="112">
        <v>419</v>
      </c>
      <c r="N194" s="112">
        <f t="shared" si="57"/>
        <v>795</v>
      </c>
      <c r="O194" s="37">
        <v>610</v>
      </c>
      <c r="P194" s="113">
        <f t="shared" si="61"/>
        <v>76.7295597484277</v>
      </c>
      <c r="Q194" s="37">
        <v>634</v>
      </c>
      <c r="R194" s="37">
        <f t="shared" si="62"/>
        <v>79.748427672956</v>
      </c>
      <c r="S194" s="37">
        <f t="shared" si="58"/>
        <v>444</v>
      </c>
      <c r="T194" s="37">
        <f t="shared" si="63"/>
        <v>70.0315457413249</v>
      </c>
      <c r="U194" s="37">
        <v>190</v>
      </c>
      <c r="V194" s="117">
        <f t="shared" si="64"/>
        <v>29.9684542586751</v>
      </c>
      <c r="W194" s="37"/>
      <c r="X194" s="37">
        <f t="shared" si="65"/>
        <v>20.251572327044</v>
      </c>
      <c r="Y194" s="37">
        <f t="shared" si="73"/>
        <v>0</v>
      </c>
      <c r="Z194" s="3" t="e">
        <f t="shared" si="66"/>
        <v>#DIV/0!</v>
      </c>
      <c r="AA194" s="3"/>
      <c r="AB194" s="118">
        <f t="shared" si="67"/>
        <v>0</v>
      </c>
      <c r="AC194" s="3">
        <f t="shared" si="75"/>
        <v>190</v>
      </c>
      <c r="AD194" s="3" t="str">
        <f t="shared" si="68"/>
        <v>STRONG</v>
      </c>
      <c r="AE194" s="30" t="str">
        <f t="shared" si="69"/>
        <v>STRONG</v>
      </c>
      <c r="AF194" s="3" t="str">
        <f t="shared" si="70"/>
        <v>VLOW</v>
      </c>
      <c r="AG194" s="3" t="str">
        <f t="shared" si="59"/>
        <v>FEMALE DOM</v>
      </c>
      <c r="AH194" s="3" t="e">
        <f t="shared" si="71"/>
        <v>#DIV/0!</v>
      </c>
      <c r="AI194" s="36">
        <f t="shared" si="77"/>
        <v>22.7868852459016</v>
      </c>
      <c r="AJ194" s="35" t="str">
        <f t="shared" si="60"/>
        <v>BJP GAIN</v>
      </c>
      <c r="AK194" s="36" t="str">
        <f t="shared" si="72"/>
        <v>LOWMARGIN</v>
      </c>
    </row>
    <row r="195" spans="1:37">
      <c r="A195" s="37">
        <v>192</v>
      </c>
      <c r="B195" s="109" t="s">
        <v>227</v>
      </c>
      <c r="C195" s="37">
        <v>484</v>
      </c>
      <c r="D195" s="37">
        <v>281</v>
      </c>
      <c r="E195" s="37">
        <f t="shared" si="53"/>
        <v>58.0578512396694</v>
      </c>
      <c r="F195" s="37">
        <v>154</v>
      </c>
      <c r="G195" s="37">
        <f t="shared" si="54"/>
        <v>31.8181818181818</v>
      </c>
      <c r="H195" s="37">
        <v>1</v>
      </c>
      <c r="I195" s="37">
        <f t="shared" si="55"/>
        <v>0.206611570247934</v>
      </c>
      <c r="J195" s="37">
        <v>46</v>
      </c>
      <c r="K195" s="37">
        <f t="shared" si="56"/>
        <v>9.50413223140496</v>
      </c>
      <c r="L195" s="112">
        <v>312</v>
      </c>
      <c r="M195" s="112">
        <v>352</v>
      </c>
      <c r="N195" s="112">
        <f t="shared" si="57"/>
        <v>664</v>
      </c>
      <c r="O195" s="37">
        <v>484</v>
      </c>
      <c r="P195" s="113">
        <f t="shared" si="61"/>
        <v>72.8915662650602</v>
      </c>
      <c r="Q195" s="37">
        <v>459</v>
      </c>
      <c r="R195" s="37">
        <f t="shared" si="62"/>
        <v>69.1265060240964</v>
      </c>
      <c r="S195" s="37">
        <f t="shared" si="58"/>
        <v>94</v>
      </c>
      <c r="T195" s="37">
        <f t="shared" si="63"/>
        <v>20.479302832244</v>
      </c>
      <c r="U195" s="37">
        <v>365</v>
      </c>
      <c r="V195" s="117">
        <f t="shared" si="64"/>
        <v>79.520697167756</v>
      </c>
      <c r="W195" s="37">
        <f>54+151</f>
        <v>205</v>
      </c>
      <c r="X195" s="37">
        <f t="shared" si="65"/>
        <v>30.8734939759036</v>
      </c>
      <c r="Y195" s="37">
        <f t="shared" si="73"/>
        <v>92</v>
      </c>
      <c r="Z195" s="3">
        <f t="shared" si="66"/>
        <v>44.8780487804878</v>
      </c>
      <c r="AA195" s="3">
        <f>28+85</f>
        <v>113</v>
      </c>
      <c r="AB195" s="118">
        <f t="shared" si="67"/>
        <v>55.1219512195122</v>
      </c>
      <c r="AC195" s="3">
        <f t="shared" si="75"/>
        <v>478</v>
      </c>
      <c r="AD195" s="3" t="str">
        <f t="shared" si="68"/>
        <v>STRONG</v>
      </c>
      <c r="AE195" s="30" t="str">
        <f t="shared" si="69"/>
        <v>AVG</v>
      </c>
      <c r="AF195" s="3" t="str">
        <f t="shared" si="70"/>
        <v>VLOW</v>
      </c>
      <c r="AG195" s="3" t="str">
        <f t="shared" si="59"/>
        <v>FEMALE DOM</v>
      </c>
      <c r="AH195" s="3" t="str">
        <f t="shared" si="71"/>
        <v>O</v>
      </c>
      <c r="AI195" s="36">
        <f t="shared" si="77"/>
        <v>26.2396694214876</v>
      </c>
      <c r="AJ195" s="35" t="str">
        <f t="shared" si="60"/>
        <v>BJP GAIN</v>
      </c>
      <c r="AK195" s="36" t="str">
        <f t="shared" si="72"/>
        <v>LOWMARGIN</v>
      </c>
    </row>
    <row r="196" spans="1:37">
      <c r="A196" s="37">
        <v>193</v>
      </c>
      <c r="B196" s="109" t="s">
        <v>228</v>
      </c>
      <c r="C196" s="37">
        <v>1116</v>
      </c>
      <c r="D196" s="37">
        <v>602</v>
      </c>
      <c r="E196" s="37">
        <f t="shared" ref="E196:E223" si="78">(D196/C196)*100</f>
        <v>53.9426523297491</v>
      </c>
      <c r="F196" s="37">
        <v>409</v>
      </c>
      <c r="G196" s="37">
        <f t="shared" ref="G196:G223" si="79">(F196/C196)*100</f>
        <v>36.6487455197133</v>
      </c>
      <c r="H196" s="37">
        <v>2</v>
      </c>
      <c r="I196" s="37">
        <f t="shared" ref="I196:I223" si="80">(H196/C196)*100</f>
        <v>0.17921146953405</v>
      </c>
      <c r="J196" s="37">
        <v>83</v>
      </c>
      <c r="K196" s="37">
        <f t="shared" ref="K196:K223" si="81">(J196/C196)*100</f>
        <v>7.43727598566308</v>
      </c>
      <c r="L196" s="112">
        <v>759</v>
      </c>
      <c r="M196" s="112">
        <v>783</v>
      </c>
      <c r="N196" s="112">
        <f t="shared" ref="N196:N223" si="82">L196+M196</f>
        <v>1542</v>
      </c>
      <c r="O196" s="37">
        <v>1116</v>
      </c>
      <c r="P196" s="113">
        <f t="shared" si="61"/>
        <v>72.3735408560311</v>
      </c>
      <c r="Q196" s="37"/>
      <c r="R196" s="37">
        <f t="shared" si="62"/>
        <v>0</v>
      </c>
      <c r="S196" s="115">
        <f t="shared" ref="S196:S223" si="83">Q196-U196</f>
        <v>0</v>
      </c>
      <c r="T196" s="37" t="e">
        <f t="shared" si="63"/>
        <v>#DIV/0!</v>
      </c>
      <c r="U196" s="37"/>
      <c r="V196" s="117">
        <f t="shared" si="64"/>
        <v>0</v>
      </c>
      <c r="W196" s="37"/>
      <c r="X196" s="37">
        <f t="shared" si="65"/>
        <v>100</v>
      </c>
      <c r="Y196" s="119">
        <f t="shared" si="73"/>
        <v>0</v>
      </c>
      <c r="Z196" s="3" t="e">
        <f t="shared" si="66"/>
        <v>#DIV/0!</v>
      </c>
      <c r="AA196" s="3"/>
      <c r="AB196" s="118">
        <f t="shared" si="67"/>
        <v>0</v>
      </c>
      <c r="AC196" s="3">
        <f t="shared" si="75"/>
        <v>0</v>
      </c>
      <c r="AD196" s="3" t="str">
        <f t="shared" si="68"/>
        <v>STRONG</v>
      </c>
      <c r="AE196" s="30" t="str">
        <f t="shared" si="69"/>
        <v>VLOW</v>
      </c>
      <c r="AF196" s="3" t="str">
        <f t="shared" si="70"/>
        <v>EXCELLENT</v>
      </c>
      <c r="AG196" s="3" t="str">
        <f t="shared" ref="AG196:AG223" si="84">IF(M196&gt;L196,"FEMALE DOM","MEN")</f>
        <v>FEMALE DOM</v>
      </c>
      <c r="AH196" s="3" t="e">
        <f t="shared" si="71"/>
        <v>#DIV/0!</v>
      </c>
      <c r="AI196" s="36">
        <f t="shared" si="77"/>
        <v>17.2939068100358</v>
      </c>
      <c r="AJ196" s="35" t="str">
        <f t="shared" ref="AJ196:AJ223" si="85">IF(E196&gt;G196,"BJP GAIN","CONGRESSGAIN")</f>
        <v>BJP GAIN</v>
      </c>
      <c r="AK196" s="36" t="str">
        <f t="shared" si="72"/>
        <v>LOWMARGIN</v>
      </c>
    </row>
    <row r="197" spans="1:37">
      <c r="A197" s="37">
        <v>194</v>
      </c>
      <c r="B197" s="109" t="s">
        <v>229</v>
      </c>
      <c r="C197" s="37">
        <v>1045</v>
      </c>
      <c r="D197" s="37">
        <v>666</v>
      </c>
      <c r="E197" s="37">
        <f t="shared" si="78"/>
        <v>63.7320574162679</v>
      </c>
      <c r="F197" s="37">
        <v>295</v>
      </c>
      <c r="G197" s="37">
        <f t="shared" si="79"/>
        <v>28.2296650717703</v>
      </c>
      <c r="H197" s="37">
        <v>1</v>
      </c>
      <c r="I197" s="37">
        <f t="shared" si="80"/>
        <v>0.0956937799043062</v>
      </c>
      <c r="J197" s="37">
        <v>56</v>
      </c>
      <c r="K197" s="37">
        <f t="shared" si="81"/>
        <v>5.35885167464115</v>
      </c>
      <c r="L197" s="112">
        <v>723</v>
      </c>
      <c r="M197" s="112">
        <v>766</v>
      </c>
      <c r="N197" s="112">
        <f t="shared" si="82"/>
        <v>1489</v>
      </c>
      <c r="O197" s="37">
        <v>1045</v>
      </c>
      <c r="P197" s="113">
        <f t="shared" ref="P197:P224" si="86">O197/N197*100</f>
        <v>70.1813297515111</v>
      </c>
      <c r="Q197" s="37">
        <v>1173</v>
      </c>
      <c r="R197" s="37">
        <f t="shared" ref="R197:R223" si="87">(Q197/N197)*100</f>
        <v>78.7777031564809</v>
      </c>
      <c r="S197" s="37">
        <f t="shared" si="83"/>
        <v>374</v>
      </c>
      <c r="T197" s="37">
        <f t="shared" ref="T197:T223" si="88">(S197/Q197)*100</f>
        <v>31.8840579710145</v>
      </c>
      <c r="U197" s="37">
        <v>799</v>
      </c>
      <c r="V197" s="117">
        <f t="shared" ref="V197:V224" si="89">IFERROR(U197/Q197*100,0)</f>
        <v>68.1159420289855</v>
      </c>
      <c r="W197" s="37">
        <v>316</v>
      </c>
      <c r="X197" s="37">
        <f t="shared" ref="X197:X223" si="90">100-R197</f>
        <v>21.2222968435191</v>
      </c>
      <c r="Y197" s="37">
        <f t="shared" si="73"/>
        <v>155</v>
      </c>
      <c r="Z197" s="3">
        <f t="shared" ref="Z197:Z223" si="91">(Y197/W197)*100</f>
        <v>49.0506329113924</v>
      </c>
      <c r="AA197" s="3">
        <v>161</v>
      </c>
      <c r="AB197" s="118">
        <f t="shared" ref="AB197:AB224" si="92">IFERROR(AA197/W197*100,0)</f>
        <v>50.9493670886076</v>
      </c>
      <c r="AC197" s="3">
        <f t="shared" si="75"/>
        <v>960</v>
      </c>
      <c r="AD197" s="3" t="str">
        <f t="shared" ref="AD197:AD223" si="93">IF(P197&gt;80,"EXCELLENT",IF(P197&gt;70,"STRONG",IF(P197&gt;60,"AVG",IF(P197&gt;50,"WEAK",IF(P197&lt;50,"VLOW")))))</f>
        <v>STRONG</v>
      </c>
      <c r="AE197" s="30" t="str">
        <f t="shared" ref="AE197:AE223" si="94">IF(R197&gt;80,"EXCELLENT",IF(R197&gt;70,"STRONG",IF(R197&gt;60,"AVG",IF(R197&gt;50,"WEAK",IF(R197&lt;50,"VLOW")))))</f>
        <v>STRONG</v>
      </c>
      <c r="AF197" s="3" t="str">
        <f t="shared" ref="AF197:AF223" si="95">IF(X197&gt;80,"EXCELLENT",IF(X197&gt;70,"STRONG",IF(X197&gt;60,"AVG",IF(X197&gt;50,"WEAK",IF(X197&lt;50,"VLOW")))))</f>
        <v>VLOW</v>
      </c>
      <c r="AG197" s="3" t="str">
        <f t="shared" si="84"/>
        <v>FEMALE DOM</v>
      </c>
      <c r="AH197" s="3" t="str">
        <f t="shared" ref="AH197:AH223" si="96">IF(T197&gt;Z197,"H","O")</f>
        <v>O</v>
      </c>
      <c r="AI197" s="36">
        <f t="shared" si="77"/>
        <v>35.5023923444976</v>
      </c>
      <c r="AJ197" s="35" t="str">
        <f t="shared" si="85"/>
        <v>BJP GAIN</v>
      </c>
      <c r="AK197" s="38" t="str">
        <f t="shared" ref="AK197:AK223" si="97">IF(AI197&gt;=50,"VERYHIGHMARGIN",IF(AI197&gt;=40,"HIGHMARGIN",IF(AI197&gt;=30,"MEDIUMMARGIN",IF(AI197&gt;10,"LOWMARGIN",IF(AI197&gt;=1,"NARROWMARGIN")))))</f>
        <v>MEDIUMMARGIN</v>
      </c>
    </row>
    <row r="198" spans="1:37">
      <c r="A198" s="37">
        <v>195</v>
      </c>
      <c r="B198" s="109" t="s">
        <v>230</v>
      </c>
      <c r="C198" s="37">
        <v>1189</v>
      </c>
      <c r="D198" s="37">
        <v>802</v>
      </c>
      <c r="E198" s="37">
        <f t="shared" si="78"/>
        <v>67.4516400336417</v>
      </c>
      <c r="F198" s="37">
        <v>261</v>
      </c>
      <c r="G198" s="37">
        <f t="shared" si="79"/>
        <v>21.9512195121951</v>
      </c>
      <c r="H198" s="37">
        <v>4</v>
      </c>
      <c r="I198" s="37">
        <f t="shared" si="80"/>
        <v>0.336417157275021</v>
      </c>
      <c r="J198" s="37">
        <v>92</v>
      </c>
      <c r="K198" s="37">
        <f t="shared" si="81"/>
        <v>7.73759461732548</v>
      </c>
      <c r="L198" s="112">
        <v>722</v>
      </c>
      <c r="M198" s="112">
        <v>789</v>
      </c>
      <c r="N198" s="112">
        <f t="shared" si="82"/>
        <v>1511</v>
      </c>
      <c r="O198" s="37">
        <v>1189</v>
      </c>
      <c r="P198" s="113">
        <f t="shared" si="86"/>
        <v>78.6896095301125</v>
      </c>
      <c r="Q198" s="37">
        <v>1340</v>
      </c>
      <c r="R198" s="37">
        <f t="shared" si="87"/>
        <v>88.6829913964262</v>
      </c>
      <c r="S198" s="37">
        <f t="shared" si="83"/>
        <v>340</v>
      </c>
      <c r="T198" s="37">
        <f t="shared" si="88"/>
        <v>25.3731343283582</v>
      </c>
      <c r="U198" s="37">
        <v>1000</v>
      </c>
      <c r="V198" s="117">
        <f t="shared" si="89"/>
        <v>74.6268656716418</v>
      </c>
      <c r="W198" s="37">
        <v>171</v>
      </c>
      <c r="X198" s="37">
        <f t="shared" si="90"/>
        <v>11.3170086035738</v>
      </c>
      <c r="Y198" s="37">
        <f t="shared" ref="Y198:Y223" si="98">W198-AA198</f>
        <v>58</v>
      </c>
      <c r="Z198" s="3">
        <f t="shared" si="91"/>
        <v>33.9181286549708</v>
      </c>
      <c r="AA198" s="3">
        <v>113</v>
      </c>
      <c r="AB198" s="118">
        <f t="shared" si="92"/>
        <v>66.0818713450292</v>
      </c>
      <c r="AC198" s="3">
        <f t="shared" si="75"/>
        <v>1113</v>
      </c>
      <c r="AD198" s="3" t="str">
        <f t="shared" si="93"/>
        <v>STRONG</v>
      </c>
      <c r="AE198" s="30" t="str">
        <f t="shared" si="94"/>
        <v>EXCELLENT</v>
      </c>
      <c r="AF198" s="3" t="str">
        <f t="shared" si="95"/>
        <v>VLOW</v>
      </c>
      <c r="AG198" s="3" t="str">
        <f t="shared" si="84"/>
        <v>FEMALE DOM</v>
      </c>
      <c r="AH198" s="3" t="str">
        <f t="shared" si="96"/>
        <v>O</v>
      </c>
      <c r="AI198" s="36">
        <f t="shared" si="77"/>
        <v>45.5004205214466</v>
      </c>
      <c r="AJ198" s="35" t="str">
        <f t="shared" si="85"/>
        <v>BJP GAIN</v>
      </c>
      <c r="AK198" s="34" t="str">
        <f t="shared" si="97"/>
        <v>HIGHMARGIN</v>
      </c>
    </row>
    <row r="199" spans="1:37">
      <c r="A199" s="37">
        <v>196</v>
      </c>
      <c r="B199" s="109" t="s">
        <v>231</v>
      </c>
      <c r="C199" s="37">
        <v>1147</v>
      </c>
      <c r="D199" s="37">
        <v>658</v>
      </c>
      <c r="E199" s="37">
        <f t="shared" si="78"/>
        <v>57.3670444638187</v>
      </c>
      <c r="F199" s="37">
        <v>431</v>
      </c>
      <c r="G199" s="37">
        <f t="shared" si="79"/>
        <v>37.5762859633827</v>
      </c>
      <c r="H199" s="37">
        <v>4</v>
      </c>
      <c r="I199" s="37">
        <f t="shared" si="80"/>
        <v>0.3487358326068</v>
      </c>
      <c r="J199" s="37">
        <v>27</v>
      </c>
      <c r="K199" s="37">
        <f t="shared" si="81"/>
        <v>2.3539668700959</v>
      </c>
      <c r="L199" s="112">
        <v>737</v>
      </c>
      <c r="M199" s="112">
        <v>805</v>
      </c>
      <c r="N199" s="112">
        <f t="shared" si="82"/>
        <v>1542</v>
      </c>
      <c r="O199" s="37">
        <v>1147</v>
      </c>
      <c r="P199" s="113">
        <f t="shared" si="86"/>
        <v>74.3839169909209</v>
      </c>
      <c r="Q199" s="37"/>
      <c r="R199" s="37">
        <f t="shared" si="87"/>
        <v>0</v>
      </c>
      <c r="S199" s="37">
        <f t="shared" si="83"/>
        <v>0</v>
      </c>
      <c r="T199" s="37" t="e">
        <f t="shared" si="88"/>
        <v>#DIV/0!</v>
      </c>
      <c r="U199" s="37"/>
      <c r="V199" s="117">
        <f t="shared" si="89"/>
        <v>0</v>
      </c>
      <c r="W199" s="37"/>
      <c r="X199" s="37">
        <f t="shared" si="90"/>
        <v>100</v>
      </c>
      <c r="Y199" s="119">
        <f t="shared" si="98"/>
        <v>0</v>
      </c>
      <c r="Z199" s="3" t="e">
        <f t="shared" si="91"/>
        <v>#DIV/0!</v>
      </c>
      <c r="AA199" s="3"/>
      <c r="AB199" s="118">
        <f t="shared" si="92"/>
        <v>0</v>
      </c>
      <c r="AC199" s="3">
        <f t="shared" si="75"/>
        <v>0</v>
      </c>
      <c r="AD199" s="3" t="str">
        <f t="shared" si="93"/>
        <v>STRONG</v>
      </c>
      <c r="AE199" s="30" t="str">
        <f t="shared" si="94"/>
        <v>VLOW</v>
      </c>
      <c r="AF199" s="3" t="str">
        <f t="shared" si="95"/>
        <v>EXCELLENT</v>
      </c>
      <c r="AG199" s="3" t="str">
        <f t="shared" si="84"/>
        <v>FEMALE DOM</v>
      </c>
      <c r="AH199" s="3" t="e">
        <f t="shared" si="96"/>
        <v>#DIV/0!</v>
      </c>
      <c r="AI199" s="36">
        <f t="shared" si="77"/>
        <v>19.7907585004359</v>
      </c>
      <c r="AJ199" s="35" t="str">
        <f t="shared" si="85"/>
        <v>BJP GAIN</v>
      </c>
      <c r="AK199" s="36" t="str">
        <f t="shared" si="97"/>
        <v>LOWMARGIN</v>
      </c>
    </row>
    <row r="200" spans="1:37">
      <c r="A200" s="37">
        <v>197</v>
      </c>
      <c r="B200" s="109" t="s">
        <v>232</v>
      </c>
      <c r="C200" s="37">
        <v>986</v>
      </c>
      <c r="D200" s="37">
        <v>428</v>
      </c>
      <c r="E200" s="37">
        <f t="shared" si="78"/>
        <v>43.4077079107505</v>
      </c>
      <c r="F200" s="37">
        <v>524</v>
      </c>
      <c r="G200" s="37">
        <f t="shared" si="79"/>
        <v>53.1440162271805</v>
      </c>
      <c r="H200" s="37">
        <v>6</v>
      </c>
      <c r="I200" s="37">
        <f t="shared" si="80"/>
        <v>0.608519269776876</v>
      </c>
      <c r="J200" s="37">
        <v>11</v>
      </c>
      <c r="K200" s="37">
        <f t="shared" si="81"/>
        <v>1.11561866125761</v>
      </c>
      <c r="L200" s="112">
        <v>734</v>
      </c>
      <c r="M200" s="112">
        <v>781</v>
      </c>
      <c r="N200" s="112">
        <f t="shared" si="82"/>
        <v>1515</v>
      </c>
      <c r="O200" s="37">
        <v>986</v>
      </c>
      <c r="P200" s="113">
        <f t="shared" si="86"/>
        <v>65.0825082508251</v>
      </c>
      <c r="Q200" s="37"/>
      <c r="R200" s="37">
        <f t="shared" si="87"/>
        <v>0</v>
      </c>
      <c r="S200" s="115">
        <f t="shared" si="83"/>
        <v>0</v>
      </c>
      <c r="T200" s="37" t="e">
        <f t="shared" si="88"/>
        <v>#DIV/0!</v>
      </c>
      <c r="U200" s="37"/>
      <c r="V200" s="117">
        <f t="shared" si="89"/>
        <v>0</v>
      </c>
      <c r="W200" s="37"/>
      <c r="X200" s="37">
        <f t="shared" si="90"/>
        <v>100</v>
      </c>
      <c r="Y200" s="37">
        <f t="shared" si="98"/>
        <v>0</v>
      </c>
      <c r="Z200" s="3" t="e">
        <f t="shared" si="91"/>
        <v>#DIV/0!</v>
      </c>
      <c r="AA200" s="3"/>
      <c r="AB200" s="118">
        <f t="shared" si="92"/>
        <v>0</v>
      </c>
      <c r="AC200" s="3">
        <f t="shared" si="75"/>
        <v>0</v>
      </c>
      <c r="AD200" s="3" t="str">
        <f t="shared" si="93"/>
        <v>AVG</v>
      </c>
      <c r="AE200" s="30" t="str">
        <f t="shared" si="94"/>
        <v>VLOW</v>
      </c>
      <c r="AF200" s="3" t="str">
        <f t="shared" si="95"/>
        <v>EXCELLENT</v>
      </c>
      <c r="AG200" s="3" t="str">
        <f t="shared" si="84"/>
        <v>FEMALE DOM</v>
      </c>
      <c r="AH200" s="3" t="e">
        <f t="shared" si="96"/>
        <v>#DIV/0!</v>
      </c>
      <c r="AI200" s="36">
        <f>G200-E200</f>
        <v>9.73630831643001</v>
      </c>
      <c r="AJ200" s="31" t="str">
        <f t="shared" si="85"/>
        <v>CONGRESSGAIN</v>
      </c>
      <c r="AK200" s="32" t="str">
        <f t="shared" si="97"/>
        <v>NARROWMARGIN</v>
      </c>
    </row>
    <row r="201" spans="1:37">
      <c r="A201" s="37">
        <v>198</v>
      </c>
      <c r="B201" s="109" t="s">
        <v>233</v>
      </c>
      <c r="C201" s="37">
        <v>588</v>
      </c>
      <c r="D201" s="37">
        <v>223</v>
      </c>
      <c r="E201" s="37">
        <f t="shared" si="78"/>
        <v>37.9251700680272</v>
      </c>
      <c r="F201" s="37">
        <v>337</v>
      </c>
      <c r="G201" s="37">
        <f t="shared" si="79"/>
        <v>57.312925170068</v>
      </c>
      <c r="H201" s="37">
        <v>4</v>
      </c>
      <c r="I201" s="37">
        <f t="shared" si="80"/>
        <v>0.680272108843537</v>
      </c>
      <c r="J201" s="37">
        <v>3</v>
      </c>
      <c r="K201" s="37">
        <f t="shared" si="81"/>
        <v>0.510204081632653</v>
      </c>
      <c r="L201" s="112">
        <v>461</v>
      </c>
      <c r="M201" s="112">
        <v>474</v>
      </c>
      <c r="N201" s="112">
        <f t="shared" si="82"/>
        <v>935</v>
      </c>
      <c r="O201" s="37">
        <v>588</v>
      </c>
      <c r="P201" s="113">
        <f t="shared" si="86"/>
        <v>62.8877005347594</v>
      </c>
      <c r="Q201" s="37"/>
      <c r="R201" s="37">
        <f t="shared" si="87"/>
        <v>0</v>
      </c>
      <c r="S201" s="37">
        <f t="shared" si="83"/>
        <v>0</v>
      </c>
      <c r="T201" s="37" t="e">
        <f t="shared" si="88"/>
        <v>#DIV/0!</v>
      </c>
      <c r="U201" s="37"/>
      <c r="V201" s="117">
        <f t="shared" si="89"/>
        <v>0</v>
      </c>
      <c r="W201" s="37"/>
      <c r="X201" s="37">
        <f t="shared" si="90"/>
        <v>100</v>
      </c>
      <c r="Y201" s="37">
        <f t="shared" si="98"/>
        <v>0</v>
      </c>
      <c r="Z201" s="3" t="e">
        <f t="shared" si="91"/>
        <v>#DIV/0!</v>
      </c>
      <c r="AA201" s="3"/>
      <c r="AB201" s="118">
        <f t="shared" si="92"/>
        <v>0</v>
      </c>
      <c r="AC201" s="3">
        <f t="shared" si="75"/>
        <v>0</v>
      </c>
      <c r="AD201" s="3" t="str">
        <f t="shared" si="93"/>
        <v>AVG</v>
      </c>
      <c r="AE201" s="30" t="str">
        <f t="shared" si="94"/>
        <v>VLOW</v>
      </c>
      <c r="AF201" s="3" t="str">
        <f t="shared" si="95"/>
        <v>EXCELLENT</v>
      </c>
      <c r="AG201" s="3" t="str">
        <f t="shared" si="84"/>
        <v>FEMALE DOM</v>
      </c>
      <c r="AH201" s="3" t="e">
        <f t="shared" si="96"/>
        <v>#DIV/0!</v>
      </c>
      <c r="AI201" s="36">
        <f>G201-E201</f>
        <v>19.3877551020408</v>
      </c>
      <c r="AJ201" s="31" t="str">
        <f t="shared" si="85"/>
        <v>CONGRESSGAIN</v>
      </c>
      <c r="AK201" s="36" t="str">
        <f t="shared" si="97"/>
        <v>LOWMARGIN</v>
      </c>
    </row>
    <row r="202" spans="1:37">
      <c r="A202" s="37">
        <v>199</v>
      </c>
      <c r="B202" s="109" t="s">
        <v>234</v>
      </c>
      <c r="C202" s="37">
        <v>716</v>
      </c>
      <c r="D202" s="37">
        <v>303</v>
      </c>
      <c r="E202" s="37">
        <f t="shared" si="78"/>
        <v>42.3184357541899</v>
      </c>
      <c r="F202" s="37">
        <v>392</v>
      </c>
      <c r="G202" s="37">
        <f t="shared" si="79"/>
        <v>54.7486033519553</v>
      </c>
      <c r="H202" s="37">
        <v>1</v>
      </c>
      <c r="I202" s="37">
        <f t="shared" si="80"/>
        <v>0.139664804469274</v>
      </c>
      <c r="J202" s="37">
        <v>8</v>
      </c>
      <c r="K202" s="37">
        <f t="shared" si="81"/>
        <v>1.11731843575419</v>
      </c>
      <c r="L202" s="112">
        <v>491</v>
      </c>
      <c r="M202" s="112">
        <v>574</v>
      </c>
      <c r="N202" s="112">
        <f t="shared" si="82"/>
        <v>1065</v>
      </c>
      <c r="O202" s="37">
        <v>716</v>
      </c>
      <c r="P202" s="113">
        <f t="shared" si="86"/>
        <v>67.2300469483568</v>
      </c>
      <c r="Q202" s="37"/>
      <c r="R202" s="37">
        <f t="shared" si="87"/>
        <v>0</v>
      </c>
      <c r="S202" s="37">
        <f t="shared" si="83"/>
        <v>0</v>
      </c>
      <c r="T202" s="37" t="e">
        <f t="shared" si="88"/>
        <v>#DIV/0!</v>
      </c>
      <c r="U202" s="37"/>
      <c r="V202" s="117">
        <f t="shared" si="89"/>
        <v>0</v>
      </c>
      <c r="W202" s="37"/>
      <c r="X202" s="37">
        <f t="shared" si="90"/>
        <v>100</v>
      </c>
      <c r="Y202" s="119">
        <f t="shared" si="98"/>
        <v>0</v>
      </c>
      <c r="Z202" s="3" t="e">
        <f t="shared" si="91"/>
        <v>#DIV/0!</v>
      </c>
      <c r="AA202" s="3"/>
      <c r="AB202" s="118">
        <f t="shared" si="92"/>
        <v>0</v>
      </c>
      <c r="AC202" s="3">
        <f t="shared" si="75"/>
        <v>0</v>
      </c>
      <c r="AD202" s="3" t="str">
        <f t="shared" si="93"/>
        <v>AVG</v>
      </c>
      <c r="AE202" s="30" t="str">
        <f t="shared" si="94"/>
        <v>VLOW</v>
      </c>
      <c r="AF202" s="3" t="str">
        <f t="shared" si="95"/>
        <v>EXCELLENT</v>
      </c>
      <c r="AG202" s="3" t="str">
        <f t="shared" si="84"/>
        <v>FEMALE DOM</v>
      </c>
      <c r="AH202" s="3" t="e">
        <f t="shared" si="96"/>
        <v>#DIV/0!</v>
      </c>
      <c r="AI202" s="36">
        <f>G202-E202</f>
        <v>12.4301675977654</v>
      </c>
      <c r="AJ202" s="31" t="str">
        <f t="shared" si="85"/>
        <v>CONGRESSGAIN</v>
      </c>
      <c r="AK202" s="36" t="str">
        <f t="shared" si="97"/>
        <v>LOWMARGIN</v>
      </c>
    </row>
    <row r="203" spans="1:37">
      <c r="A203" s="37">
        <v>200</v>
      </c>
      <c r="B203" s="109" t="s">
        <v>235</v>
      </c>
      <c r="C203" s="37">
        <v>561</v>
      </c>
      <c r="D203" s="37">
        <v>248</v>
      </c>
      <c r="E203" s="37">
        <f t="shared" si="78"/>
        <v>44.2067736185383</v>
      </c>
      <c r="F203" s="37">
        <v>298</v>
      </c>
      <c r="G203" s="37">
        <f t="shared" si="79"/>
        <v>53.1194295900178</v>
      </c>
      <c r="H203" s="37">
        <v>8</v>
      </c>
      <c r="I203" s="37">
        <f t="shared" si="80"/>
        <v>1.42602495543672</v>
      </c>
      <c r="J203" s="37">
        <v>2</v>
      </c>
      <c r="K203" s="37">
        <f t="shared" si="81"/>
        <v>0.35650623885918</v>
      </c>
      <c r="L203" s="112">
        <v>421</v>
      </c>
      <c r="M203" s="112">
        <v>473</v>
      </c>
      <c r="N203" s="112">
        <f t="shared" si="82"/>
        <v>894</v>
      </c>
      <c r="O203" s="37">
        <v>561</v>
      </c>
      <c r="P203" s="113">
        <f t="shared" si="86"/>
        <v>62.751677852349</v>
      </c>
      <c r="Q203" s="37"/>
      <c r="R203" s="37">
        <f t="shared" si="87"/>
        <v>0</v>
      </c>
      <c r="S203" s="37">
        <f t="shared" si="83"/>
        <v>0</v>
      </c>
      <c r="T203" s="37" t="e">
        <f t="shared" si="88"/>
        <v>#DIV/0!</v>
      </c>
      <c r="U203" s="37"/>
      <c r="V203" s="117">
        <f t="shared" si="89"/>
        <v>0</v>
      </c>
      <c r="W203" s="37"/>
      <c r="X203" s="37">
        <f t="shared" si="90"/>
        <v>100</v>
      </c>
      <c r="Y203" s="37">
        <f t="shared" si="98"/>
        <v>0</v>
      </c>
      <c r="Z203" s="3" t="e">
        <f t="shared" si="91"/>
        <v>#DIV/0!</v>
      </c>
      <c r="AA203" s="3"/>
      <c r="AB203" s="118">
        <f t="shared" si="92"/>
        <v>0</v>
      </c>
      <c r="AC203" s="3">
        <f t="shared" si="75"/>
        <v>0</v>
      </c>
      <c r="AD203" s="3" t="str">
        <f t="shared" si="93"/>
        <v>AVG</v>
      </c>
      <c r="AE203" s="30" t="str">
        <f t="shared" si="94"/>
        <v>VLOW</v>
      </c>
      <c r="AF203" s="3" t="str">
        <f t="shared" si="95"/>
        <v>EXCELLENT</v>
      </c>
      <c r="AG203" s="3" t="str">
        <f t="shared" si="84"/>
        <v>FEMALE DOM</v>
      </c>
      <c r="AH203" s="3" t="e">
        <f t="shared" si="96"/>
        <v>#DIV/0!</v>
      </c>
      <c r="AI203" s="36">
        <f>G203-E203</f>
        <v>8.9126559714795</v>
      </c>
      <c r="AJ203" s="31" t="str">
        <f t="shared" si="85"/>
        <v>CONGRESSGAIN</v>
      </c>
      <c r="AK203" s="32" t="str">
        <f t="shared" si="97"/>
        <v>NARROWMARGIN</v>
      </c>
    </row>
    <row r="204" spans="1:37">
      <c r="A204" s="37">
        <v>201</v>
      </c>
      <c r="B204" s="109" t="s">
        <v>236</v>
      </c>
      <c r="C204" s="37">
        <v>644</v>
      </c>
      <c r="D204" s="37">
        <v>341</v>
      </c>
      <c r="E204" s="37">
        <f t="shared" si="78"/>
        <v>52.9503105590062</v>
      </c>
      <c r="F204" s="37">
        <v>294</v>
      </c>
      <c r="G204" s="37">
        <f t="shared" si="79"/>
        <v>45.6521739130435</v>
      </c>
      <c r="H204" s="37">
        <v>3</v>
      </c>
      <c r="I204" s="37">
        <f t="shared" si="80"/>
        <v>0.46583850931677</v>
      </c>
      <c r="J204" s="37">
        <v>2</v>
      </c>
      <c r="K204" s="37">
        <f t="shared" si="81"/>
        <v>0.31055900621118</v>
      </c>
      <c r="L204" s="112">
        <v>463</v>
      </c>
      <c r="M204" s="112">
        <v>555</v>
      </c>
      <c r="N204" s="112">
        <f t="shared" si="82"/>
        <v>1018</v>
      </c>
      <c r="O204" s="37">
        <v>644</v>
      </c>
      <c r="P204" s="113">
        <f t="shared" si="86"/>
        <v>63.2612966601179</v>
      </c>
      <c r="Q204" s="37"/>
      <c r="R204" s="37">
        <f t="shared" si="87"/>
        <v>0</v>
      </c>
      <c r="S204" s="115">
        <f t="shared" si="83"/>
        <v>0</v>
      </c>
      <c r="T204" s="37" t="e">
        <f t="shared" si="88"/>
        <v>#DIV/0!</v>
      </c>
      <c r="U204" s="37"/>
      <c r="V204" s="117">
        <f t="shared" si="89"/>
        <v>0</v>
      </c>
      <c r="W204" s="37"/>
      <c r="X204" s="37">
        <f t="shared" si="90"/>
        <v>100</v>
      </c>
      <c r="Y204" s="37">
        <f t="shared" si="98"/>
        <v>0</v>
      </c>
      <c r="Z204" s="3" t="e">
        <f t="shared" si="91"/>
        <v>#DIV/0!</v>
      </c>
      <c r="AA204" s="3"/>
      <c r="AB204" s="118">
        <f t="shared" si="92"/>
        <v>0</v>
      </c>
      <c r="AC204" s="3">
        <f t="shared" si="75"/>
        <v>0</v>
      </c>
      <c r="AD204" s="3" t="str">
        <f t="shared" si="93"/>
        <v>AVG</v>
      </c>
      <c r="AE204" s="30" t="str">
        <f t="shared" si="94"/>
        <v>VLOW</v>
      </c>
      <c r="AF204" s="3" t="str">
        <f t="shared" si="95"/>
        <v>EXCELLENT</v>
      </c>
      <c r="AG204" s="3" t="str">
        <f t="shared" si="84"/>
        <v>FEMALE DOM</v>
      </c>
      <c r="AH204" s="3" t="e">
        <f t="shared" si="96"/>
        <v>#DIV/0!</v>
      </c>
      <c r="AI204" s="36">
        <f>E204-G204</f>
        <v>7.29813664596274</v>
      </c>
      <c r="AJ204" s="35" t="str">
        <f t="shared" si="85"/>
        <v>BJP GAIN</v>
      </c>
      <c r="AK204" s="32" t="str">
        <f t="shared" si="97"/>
        <v>NARROWMARGIN</v>
      </c>
    </row>
    <row r="205" spans="1:37">
      <c r="A205" s="37">
        <v>202</v>
      </c>
      <c r="B205" s="109" t="s">
        <v>237</v>
      </c>
      <c r="C205" s="37">
        <v>852</v>
      </c>
      <c r="D205" s="37">
        <v>396</v>
      </c>
      <c r="E205" s="37">
        <f t="shared" si="78"/>
        <v>46.4788732394366</v>
      </c>
      <c r="F205" s="37">
        <v>435</v>
      </c>
      <c r="G205" s="37">
        <f t="shared" si="79"/>
        <v>51.056338028169</v>
      </c>
      <c r="H205" s="37">
        <v>6</v>
      </c>
      <c r="I205" s="37">
        <f t="shared" si="80"/>
        <v>0.704225352112676</v>
      </c>
      <c r="J205" s="37">
        <v>3</v>
      </c>
      <c r="K205" s="37">
        <f t="shared" si="81"/>
        <v>0.352112676056338</v>
      </c>
      <c r="L205" s="112">
        <v>577</v>
      </c>
      <c r="M205" s="112">
        <v>610</v>
      </c>
      <c r="N205" s="112">
        <f t="shared" si="82"/>
        <v>1187</v>
      </c>
      <c r="O205" s="37">
        <v>852</v>
      </c>
      <c r="P205" s="113">
        <f t="shared" si="86"/>
        <v>71.7775905644482</v>
      </c>
      <c r="Q205" s="37">
        <v>678</v>
      </c>
      <c r="R205" s="37">
        <f t="shared" si="87"/>
        <v>57.1187868576243</v>
      </c>
      <c r="S205" s="37">
        <f t="shared" si="83"/>
        <v>185</v>
      </c>
      <c r="T205" s="37">
        <f t="shared" si="88"/>
        <v>27.2861356932153</v>
      </c>
      <c r="U205" s="37">
        <v>493</v>
      </c>
      <c r="V205" s="117">
        <f t="shared" si="89"/>
        <v>72.7138643067847</v>
      </c>
      <c r="W205" s="37">
        <f>235+238</f>
        <v>473</v>
      </c>
      <c r="X205" s="37">
        <f t="shared" si="90"/>
        <v>42.8812131423757</v>
      </c>
      <c r="Y205" s="119">
        <f t="shared" si="98"/>
        <v>114</v>
      </c>
      <c r="Z205" s="3">
        <f t="shared" si="91"/>
        <v>24.1014799154334</v>
      </c>
      <c r="AA205" s="3">
        <f>150+167+42</f>
        <v>359</v>
      </c>
      <c r="AB205" s="118">
        <f t="shared" si="92"/>
        <v>75.8985200845666</v>
      </c>
      <c r="AC205" s="3">
        <f t="shared" si="75"/>
        <v>852</v>
      </c>
      <c r="AD205" s="3" t="str">
        <f t="shared" si="93"/>
        <v>STRONG</v>
      </c>
      <c r="AE205" s="30" t="str">
        <f t="shared" si="94"/>
        <v>WEAK</v>
      </c>
      <c r="AF205" s="3" t="str">
        <f t="shared" si="95"/>
        <v>VLOW</v>
      </c>
      <c r="AG205" s="3" t="str">
        <f t="shared" si="84"/>
        <v>FEMALE DOM</v>
      </c>
      <c r="AH205" s="3" t="str">
        <f t="shared" si="96"/>
        <v>H</v>
      </c>
      <c r="AI205" s="36">
        <f>G205-E205</f>
        <v>4.5774647887324</v>
      </c>
      <c r="AJ205" s="31" t="str">
        <f t="shared" si="85"/>
        <v>CONGRESSGAIN</v>
      </c>
      <c r="AK205" s="32" t="str">
        <f t="shared" si="97"/>
        <v>NARROWMARGIN</v>
      </c>
    </row>
    <row r="206" spans="1:37">
      <c r="A206" s="37">
        <v>203</v>
      </c>
      <c r="B206" s="109" t="s">
        <v>238</v>
      </c>
      <c r="C206" s="37">
        <v>824</v>
      </c>
      <c r="D206" s="37">
        <v>546</v>
      </c>
      <c r="E206" s="37">
        <f t="shared" si="78"/>
        <v>66.2621359223301</v>
      </c>
      <c r="F206" s="37">
        <v>255</v>
      </c>
      <c r="G206" s="37">
        <f t="shared" si="79"/>
        <v>30.9466019417476</v>
      </c>
      <c r="H206" s="37">
        <v>4</v>
      </c>
      <c r="I206" s="37">
        <f t="shared" si="80"/>
        <v>0.485436893203883</v>
      </c>
      <c r="J206" s="37">
        <v>4</v>
      </c>
      <c r="K206" s="37">
        <f t="shared" si="81"/>
        <v>0.485436893203883</v>
      </c>
      <c r="L206" s="112">
        <v>617</v>
      </c>
      <c r="M206" s="112">
        <v>688</v>
      </c>
      <c r="N206" s="112">
        <f t="shared" si="82"/>
        <v>1305</v>
      </c>
      <c r="O206" s="37">
        <v>824</v>
      </c>
      <c r="P206" s="113">
        <f t="shared" si="86"/>
        <v>63.1417624521073</v>
      </c>
      <c r="Q206" s="37"/>
      <c r="R206" s="37">
        <f t="shared" si="87"/>
        <v>0</v>
      </c>
      <c r="S206" s="37">
        <f t="shared" si="83"/>
        <v>0</v>
      </c>
      <c r="T206" s="37" t="e">
        <f t="shared" si="88"/>
        <v>#DIV/0!</v>
      </c>
      <c r="U206" s="37"/>
      <c r="V206" s="117">
        <f t="shared" si="89"/>
        <v>0</v>
      </c>
      <c r="W206" s="37"/>
      <c r="X206" s="37">
        <f t="shared" si="90"/>
        <v>100</v>
      </c>
      <c r="Y206" s="37">
        <f t="shared" si="98"/>
        <v>0</v>
      </c>
      <c r="Z206" s="3" t="e">
        <f t="shared" si="91"/>
        <v>#DIV/0!</v>
      </c>
      <c r="AA206" s="3"/>
      <c r="AB206" s="118">
        <f t="shared" si="92"/>
        <v>0</v>
      </c>
      <c r="AC206" s="3">
        <f t="shared" si="75"/>
        <v>0</v>
      </c>
      <c r="AD206" s="3" t="str">
        <f t="shared" si="93"/>
        <v>AVG</v>
      </c>
      <c r="AE206" s="30" t="str">
        <f t="shared" si="94"/>
        <v>VLOW</v>
      </c>
      <c r="AF206" s="3" t="str">
        <f t="shared" si="95"/>
        <v>EXCELLENT</v>
      </c>
      <c r="AG206" s="3" t="str">
        <f t="shared" si="84"/>
        <v>FEMALE DOM</v>
      </c>
      <c r="AH206" s="3" t="e">
        <f t="shared" si="96"/>
        <v>#DIV/0!</v>
      </c>
      <c r="AI206" s="36">
        <f>E206-G206</f>
        <v>35.3155339805825</v>
      </c>
      <c r="AJ206" s="35" t="str">
        <f t="shared" si="85"/>
        <v>BJP GAIN</v>
      </c>
      <c r="AK206" s="38" t="str">
        <f t="shared" si="97"/>
        <v>MEDIUMMARGIN</v>
      </c>
    </row>
    <row r="207" spans="1:37">
      <c r="A207" s="37">
        <v>204</v>
      </c>
      <c r="B207" s="109" t="s">
        <v>239</v>
      </c>
      <c r="C207" s="37">
        <v>636</v>
      </c>
      <c r="D207" s="37">
        <v>324</v>
      </c>
      <c r="E207" s="37">
        <f t="shared" si="78"/>
        <v>50.9433962264151</v>
      </c>
      <c r="F207" s="37">
        <v>292</v>
      </c>
      <c r="G207" s="37">
        <f t="shared" si="79"/>
        <v>45.9119496855346</v>
      </c>
      <c r="H207" s="37">
        <v>2</v>
      </c>
      <c r="I207" s="37">
        <f t="shared" si="80"/>
        <v>0.314465408805031</v>
      </c>
      <c r="J207" s="37">
        <v>8</v>
      </c>
      <c r="K207" s="37">
        <f t="shared" si="81"/>
        <v>1.25786163522013</v>
      </c>
      <c r="L207" s="112">
        <v>483</v>
      </c>
      <c r="M207" s="112">
        <v>503</v>
      </c>
      <c r="N207" s="112">
        <f t="shared" si="82"/>
        <v>986</v>
      </c>
      <c r="O207" s="37">
        <v>636</v>
      </c>
      <c r="P207" s="113">
        <f t="shared" si="86"/>
        <v>64.5030425963489</v>
      </c>
      <c r="Q207" s="37"/>
      <c r="R207" s="37">
        <f t="shared" si="87"/>
        <v>0</v>
      </c>
      <c r="S207" s="37">
        <f t="shared" si="83"/>
        <v>0</v>
      </c>
      <c r="T207" s="37" t="e">
        <f t="shared" si="88"/>
        <v>#DIV/0!</v>
      </c>
      <c r="U207" s="37"/>
      <c r="V207" s="117">
        <f t="shared" si="89"/>
        <v>0</v>
      </c>
      <c r="W207" s="37"/>
      <c r="X207" s="37">
        <f t="shared" si="90"/>
        <v>100</v>
      </c>
      <c r="Y207" s="37">
        <f t="shared" si="98"/>
        <v>0</v>
      </c>
      <c r="Z207" s="3" t="e">
        <f t="shared" si="91"/>
        <v>#DIV/0!</v>
      </c>
      <c r="AA207" s="3"/>
      <c r="AB207" s="118">
        <f t="shared" si="92"/>
        <v>0</v>
      </c>
      <c r="AC207" s="3">
        <f t="shared" si="75"/>
        <v>0</v>
      </c>
      <c r="AD207" s="3" t="str">
        <f t="shared" si="93"/>
        <v>AVG</v>
      </c>
      <c r="AE207" s="30" t="str">
        <f t="shared" si="94"/>
        <v>VLOW</v>
      </c>
      <c r="AF207" s="3" t="str">
        <f t="shared" si="95"/>
        <v>EXCELLENT</v>
      </c>
      <c r="AG207" s="3" t="str">
        <f t="shared" si="84"/>
        <v>FEMALE DOM</v>
      </c>
      <c r="AH207" s="3" t="e">
        <f t="shared" si="96"/>
        <v>#DIV/0!</v>
      </c>
      <c r="AI207" s="36">
        <f>E207-G207</f>
        <v>5.0314465408805</v>
      </c>
      <c r="AJ207" s="35" t="str">
        <f t="shared" si="85"/>
        <v>BJP GAIN</v>
      </c>
      <c r="AK207" s="32" t="str">
        <f t="shared" si="97"/>
        <v>NARROWMARGIN</v>
      </c>
    </row>
    <row r="208" spans="1:37">
      <c r="A208" s="37">
        <v>205</v>
      </c>
      <c r="B208" s="109" t="s">
        <v>240</v>
      </c>
      <c r="C208" s="37">
        <v>809</v>
      </c>
      <c r="D208" s="37">
        <v>470</v>
      </c>
      <c r="E208" s="37">
        <f t="shared" si="78"/>
        <v>58.0964153275649</v>
      </c>
      <c r="F208" s="37">
        <v>312</v>
      </c>
      <c r="G208" s="37">
        <f t="shared" si="79"/>
        <v>38.566131025958</v>
      </c>
      <c r="H208" s="37">
        <v>6</v>
      </c>
      <c r="I208" s="37">
        <f t="shared" si="80"/>
        <v>0.741656365883807</v>
      </c>
      <c r="J208" s="37">
        <v>8</v>
      </c>
      <c r="K208" s="37">
        <f t="shared" si="81"/>
        <v>0.988875154511743</v>
      </c>
      <c r="L208" s="112">
        <v>545</v>
      </c>
      <c r="M208" s="112">
        <v>598</v>
      </c>
      <c r="N208" s="112">
        <f t="shared" si="82"/>
        <v>1143</v>
      </c>
      <c r="O208" s="37">
        <v>809</v>
      </c>
      <c r="P208" s="113">
        <f t="shared" si="86"/>
        <v>70.7786526684165</v>
      </c>
      <c r="Q208" s="37"/>
      <c r="R208" s="37">
        <f t="shared" si="87"/>
        <v>0</v>
      </c>
      <c r="S208" s="115">
        <f t="shared" si="83"/>
        <v>0</v>
      </c>
      <c r="T208" s="37" t="e">
        <f t="shared" si="88"/>
        <v>#DIV/0!</v>
      </c>
      <c r="U208" s="37"/>
      <c r="V208" s="117">
        <f t="shared" si="89"/>
        <v>0</v>
      </c>
      <c r="W208" s="37"/>
      <c r="X208" s="37">
        <f t="shared" si="90"/>
        <v>100</v>
      </c>
      <c r="Y208" s="119">
        <f t="shared" si="98"/>
        <v>0</v>
      </c>
      <c r="Z208" s="3" t="e">
        <f t="shared" si="91"/>
        <v>#DIV/0!</v>
      </c>
      <c r="AA208" s="3"/>
      <c r="AB208" s="118">
        <f t="shared" si="92"/>
        <v>0</v>
      </c>
      <c r="AC208" s="3">
        <f t="shared" si="75"/>
        <v>0</v>
      </c>
      <c r="AD208" s="3" t="str">
        <f t="shared" si="93"/>
        <v>STRONG</v>
      </c>
      <c r="AE208" s="30" t="str">
        <f t="shared" si="94"/>
        <v>VLOW</v>
      </c>
      <c r="AF208" s="3" t="str">
        <f t="shared" si="95"/>
        <v>EXCELLENT</v>
      </c>
      <c r="AG208" s="3" t="str">
        <f t="shared" si="84"/>
        <v>FEMALE DOM</v>
      </c>
      <c r="AH208" s="3" t="e">
        <f t="shared" si="96"/>
        <v>#DIV/0!</v>
      </c>
      <c r="AI208" s="36">
        <f>E208-G208</f>
        <v>19.5302843016069</v>
      </c>
      <c r="AJ208" s="35" t="str">
        <f t="shared" si="85"/>
        <v>BJP GAIN</v>
      </c>
      <c r="AK208" s="36" t="str">
        <f t="shared" si="97"/>
        <v>LOWMARGIN</v>
      </c>
    </row>
    <row r="209" spans="1:37">
      <c r="A209" s="37">
        <v>206</v>
      </c>
      <c r="B209" s="109" t="s">
        <v>241</v>
      </c>
      <c r="C209" s="37">
        <v>807</v>
      </c>
      <c r="D209" s="37">
        <v>322</v>
      </c>
      <c r="E209" s="37">
        <f t="shared" si="78"/>
        <v>39.9008674101611</v>
      </c>
      <c r="F209" s="37">
        <v>470</v>
      </c>
      <c r="G209" s="37">
        <f t="shared" si="79"/>
        <v>58.2403965303593</v>
      </c>
      <c r="H209" s="37">
        <v>3</v>
      </c>
      <c r="I209" s="37">
        <f t="shared" si="80"/>
        <v>0.371747211895911</v>
      </c>
      <c r="J209" s="37">
        <v>2</v>
      </c>
      <c r="K209" s="37">
        <f t="shared" si="81"/>
        <v>0.247831474597274</v>
      </c>
      <c r="L209" s="112">
        <v>602</v>
      </c>
      <c r="M209" s="112">
        <v>666</v>
      </c>
      <c r="N209" s="112">
        <f t="shared" si="82"/>
        <v>1268</v>
      </c>
      <c r="O209" s="37">
        <v>807</v>
      </c>
      <c r="P209" s="113">
        <f t="shared" si="86"/>
        <v>63.6435331230284</v>
      </c>
      <c r="Q209" s="37">
        <v>633</v>
      </c>
      <c r="R209" s="37">
        <f t="shared" si="87"/>
        <v>49.9211356466877</v>
      </c>
      <c r="S209" s="37">
        <f t="shared" si="83"/>
        <v>202</v>
      </c>
      <c r="T209" s="37">
        <f t="shared" si="88"/>
        <v>31.911532385466</v>
      </c>
      <c r="U209" s="37">
        <v>431</v>
      </c>
      <c r="V209" s="117">
        <f t="shared" si="89"/>
        <v>68.088467614534</v>
      </c>
      <c r="W209" s="37">
        <f>576+59</f>
        <v>635</v>
      </c>
      <c r="X209" s="37">
        <f t="shared" si="90"/>
        <v>50.0788643533123</v>
      </c>
      <c r="Y209" s="37">
        <f t="shared" si="98"/>
        <v>259</v>
      </c>
      <c r="Z209" s="3">
        <f t="shared" si="91"/>
        <v>40.7874015748031</v>
      </c>
      <c r="AA209" s="3">
        <v>376</v>
      </c>
      <c r="AB209" s="118">
        <f t="shared" si="92"/>
        <v>59.2125984251969</v>
      </c>
      <c r="AC209" s="3">
        <f t="shared" si="75"/>
        <v>807</v>
      </c>
      <c r="AD209" s="3" t="str">
        <f t="shared" si="93"/>
        <v>AVG</v>
      </c>
      <c r="AE209" s="30" t="str">
        <f t="shared" si="94"/>
        <v>VLOW</v>
      </c>
      <c r="AF209" s="3" t="str">
        <f t="shared" si="95"/>
        <v>WEAK</v>
      </c>
      <c r="AG209" s="3" t="str">
        <f t="shared" si="84"/>
        <v>FEMALE DOM</v>
      </c>
      <c r="AH209" s="3" t="str">
        <f t="shared" si="96"/>
        <v>O</v>
      </c>
      <c r="AI209" s="36">
        <f>G209-E209</f>
        <v>18.3395291201983</v>
      </c>
      <c r="AJ209" s="31" t="str">
        <f t="shared" si="85"/>
        <v>CONGRESSGAIN</v>
      </c>
      <c r="AK209" s="36" t="str">
        <f t="shared" si="97"/>
        <v>LOWMARGIN</v>
      </c>
    </row>
    <row r="210" spans="1:37">
      <c r="A210" s="37">
        <v>207</v>
      </c>
      <c r="B210" s="109" t="s">
        <v>242</v>
      </c>
      <c r="C210" s="37">
        <v>999</v>
      </c>
      <c r="D210" s="37">
        <v>601</v>
      </c>
      <c r="E210" s="37">
        <f t="shared" si="78"/>
        <v>60.1601601601602</v>
      </c>
      <c r="F210" s="37">
        <v>366</v>
      </c>
      <c r="G210" s="37">
        <f t="shared" si="79"/>
        <v>36.6366366366366</v>
      </c>
      <c r="H210" s="37">
        <v>6</v>
      </c>
      <c r="I210" s="37">
        <f t="shared" si="80"/>
        <v>0.600600600600601</v>
      </c>
      <c r="J210" s="37">
        <v>20</v>
      </c>
      <c r="K210" s="37">
        <f t="shared" si="81"/>
        <v>2.002002002002</v>
      </c>
      <c r="L210" s="112">
        <v>685</v>
      </c>
      <c r="M210" s="112">
        <v>772</v>
      </c>
      <c r="N210" s="112">
        <f t="shared" si="82"/>
        <v>1457</v>
      </c>
      <c r="O210" s="37">
        <v>999</v>
      </c>
      <c r="P210" s="113">
        <f t="shared" si="86"/>
        <v>68.5655456417296</v>
      </c>
      <c r="Q210" s="37"/>
      <c r="R210" s="37">
        <f t="shared" si="87"/>
        <v>0</v>
      </c>
      <c r="S210" s="37">
        <f t="shared" si="83"/>
        <v>0</v>
      </c>
      <c r="T210" s="37" t="e">
        <f t="shared" si="88"/>
        <v>#DIV/0!</v>
      </c>
      <c r="U210" s="37"/>
      <c r="V210" s="117">
        <f t="shared" si="89"/>
        <v>0</v>
      </c>
      <c r="W210" s="37"/>
      <c r="X210" s="37">
        <f t="shared" si="90"/>
        <v>100</v>
      </c>
      <c r="Y210" s="37">
        <f t="shared" si="98"/>
        <v>0</v>
      </c>
      <c r="Z210" s="3" t="e">
        <f t="shared" si="91"/>
        <v>#DIV/0!</v>
      </c>
      <c r="AA210" s="3"/>
      <c r="AB210" s="118">
        <f t="shared" si="92"/>
        <v>0</v>
      </c>
      <c r="AC210" s="3">
        <f t="shared" si="75"/>
        <v>0</v>
      </c>
      <c r="AD210" s="3" t="str">
        <f t="shared" si="93"/>
        <v>AVG</v>
      </c>
      <c r="AE210" s="30" t="str">
        <f t="shared" si="94"/>
        <v>VLOW</v>
      </c>
      <c r="AF210" s="3" t="str">
        <f t="shared" si="95"/>
        <v>EXCELLENT</v>
      </c>
      <c r="AG210" s="3" t="str">
        <f t="shared" si="84"/>
        <v>FEMALE DOM</v>
      </c>
      <c r="AH210" s="3" t="e">
        <f t="shared" si="96"/>
        <v>#DIV/0!</v>
      </c>
      <c r="AI210" s="36">
        <f t="shared" ref="AI210:AI219" si="99">E210-G210</f>
        <v>23.5235235235235</v>
      </c>
      <c r="AJ210" s="35" t="str">
        <f t="shared" si="85"/>
        <v>BJP GAIN</v>
      </c>
      <c r="AK210" s="36" t="str">
        <f t="shared" si="97"/>
        <v>LOWMARGIN</v>
      </c>
    </row>
    <row r="211" spans="1:37">
      <c r="A211" s="37">
        <v>208</v>
      </c>
      <c r="B211" s="109" t="s">
        <v>243</v>
      </c>
      <c r="C211" s="37">
        <v>860</v>
      </c>
      <c r="D211" s="37">
        <v>496</v>
      </c>
      <c r="E211" s="37">
        <f t="shared" si="78"/>
        <v>57.6744186046512</v>
      </c>
      <c r="F211" s="37">
        <v>348</v>
      </c>
      <c r="G211" s="37">
        <f t="shared" si="79"/>
        <v>40.4651162790698</v>
      </c>
      <c r="H211" s="37">
        <v>2</v>
      </c>
      <c r="I211" s="37">
        <f t="shared" si="80"/>
        <v>0.232558139534884</v>
      </c>
      <c r="J211" s="37">
        <v>3</v>
      </c>
      <c r="K211" s="37">
        <f t="shared" si="81"/>
        <v>0.348837209302326</v>
      </c>
      <c r="L211" s="112">
        <v>560</v>
      </c>
      <c r="M211" s="112">
        <v>639</v>
      </c>
      <c r="N211" s="112">
        <f t="shared" si="82"/>
        <v>1199</v>
      </c>
      <c r="O211" s="37">
        <v>860</v>
      </c>
      <c r="P211" s="113">
        <f t="shared" si="86"/>
        <v>71.7264386989158</v>
      </c>
      <c r="Q211" s="37"/>
      <c r="R211" s="37">
        <f t="shared" si="87"/>
        <v>0</v>
      </c>
      <c r="S211" s="37">
        <f t="shared" si="83"/>
        <v>0</v>
      </c>
      <c r="T211" s="37" t="e">
        <f t="shared" si="88"/>
        <v>#DIV/0!</v>
      </c>
      <c r="U211" s="37"/>
      <c r="V211" s="117">
        <f t="shared" si="89"/>
        <v>0</v>
      </c>
      <c r="W211" s="37"/>
      <c r="X211" s="37">
        <f t="shared" si="90"/>
        <v>100</v>
      </c>
      <c r="Y211" s="119">
        <f t="shared" si="98"/>
        <v>0</v>
      </c>
      <c r="Z211" s="3" t="e">
        <f t="shared" si="91"/>
        <v>#DIV/0!</v>
      </c>
      <c r="AA211" s="3"/>
      <c r="AB211" s="118">
        <f t="shared" si="92"/>
        <v>0</v>
      </c>
      <c r="AC211" s="3">
        <f t="shared" si="75"/>
        <v>0</v>
      </c>
      <c r="AD211" s="3" t="str">
        <f t="shared" si="93"/>
        <v>STRONG</v>
      </c>
      <c r="AE211" s="30" t="str">
        <f t="shared" si="94"/>
        <v>VLOW</v>
      </c>
      <c r="AF211" s="3" t="str">
        <f t="shared" si="95"/>
        <v>EXCELLENT</v>
      </c>
      <c r="AG211" s="3" t="str">
        <f t="shared" si="84"/>
        <v>FEMALE DOM</v>
      </c>
      <c r="AH211" s="3" t="e">
        <f t="shared" si="96"/>
        <v>#DIV/0!</v>
      </c>
      <c r="AI211" s="36">
        <f t="shared" si="99"/>
        <v>17.2093023255814</v>
      </c>
      <c r="AJ211" s="35" t="str">
        <f t="shared" si="85"/>
        <v>BJP GAIN</v>
      </c>
      <c r="AK211" s="36" t="str">
        <f t="shared" si="97"/>
        <v>LOWMARGIN</v>
      </c>
    </row>
    <row r="212" spans="1:37">
      <c r="A212" s="37">
        <v>209</v>
      </c>
      <c r="B212" s="109" t="s">
        <v>244</v>
      </c>
      <c r="C212" s="37">
        <v>887</v>
      </c>
      <c r="D212" s="37">
        <v>497</v>
      </c>
      <c r="E212" s="37">
        <f t="shared" si="78"/>
        <v>56.0315670800451</v>
      </c>
      <c r="F212" s="37">
        <v>367</v>
      </c>
      <c r="G212" s="37">
        <f t="shared" si="79"/>
        <v>41.3754227733935</v>
      </c>
      <c r="H212" s="37">
        <v>5</v>
      </c>
      <c r="I212" s="37">
        <f t="shared" si="80"/>
        <v>0.56369785794814</v>
      </c>
      <c r="J212" s="37">
        <v>4</v>
      </c>
      <c r="K212" s="37">
        <f t="shared" si="81"/>
        <v>0.450958286358512</v>
      </c>
      <c r="L212" s="112">
        <v>649</v>
      </c>
      <c r="M212" s="112">
        <v>669</v>
      </c>
      <c r="N212" s="112">
        <f t="shared" si="82"/>
        <v>1318</v>
      </c>
      <c r="O212" s="37">
        <v>887</v>
      </c>
      <c r="P212" s="113">
        <f t="shared" si="86"/>
        <v>67.298937784522</v>
      </c>
      <c r="Q212" s="37">
        <v>895</v>
      </c>
      <c r="R212" s="37">
        <f t="shared" si="87"/>
        <v>67.9059180576631</v>
      </c>
      <c r="S212" s="115">
        <f t="shared" si="83"/>
        <v>325</v>
      </c>
      <c r="T212" s="37">
        <f t="shared" si="88"/>
        <v>36.3128491620112</v>
      </c>
      <c r="U212" s="37">
        <v>570</v>
      </c>
      <c r="V212" s="117">
        <f t="shared" si="89"/>
        <v>63.6871508379888</v>
      </c>
      <c r="W212" s="37">
        <v>423</v>
      </c>
      <c r="X212" s="37">
        <f t="shared" si="90"/>
        <v>32.0940819423369</v>
      </c>
      <c r="Y212" s="37">
        <f t="shared" si="98"/>
        <v>108</v>
      </c>
      <c r="Z212" s="3">
        <f t="shared" si="91"/>
        <v>25.531914893617</v>
      </c>
      <c r="AA212" s="3">
        <v>315</v>
      </c>
      <c r="AB212" s="118">
        <f t="shared" si="92"/>
        <v>74.468085106383</v>
      </c>
      <c r="AC212" s="3">
        <f t="shared" si="75"/>
        <v>885</v>
      </c>
      <c r="AD212" s="3" t="str">
        <f t="shared" si="93"/>
        <v>AVG</v>
      </c>
      <c r="AE212" s="30" t="str">
        <f t="shared" si="94"/>
        <v>AVG</v>
      </c>
      <c r="AF212" s="3" t="str">
        <f t="shared" si="95"/>
        <v>VLOW</v>
      </c>
      <c r="AG212" s="3" t="str">
        <f t="shared" si="84"/>
        <v>FEMALE DOM</v>
      </c>
      <c r="AH212" s="3" t="str">
        <f t="shared" si="96"/>
        <v>H</v>
      </c>
      <c r="AI212" s="36">
        <f t="shared" si="99"/>
        <v>14.6561443066516</v>
      </c>
      <c r="AJ212" s="35" t="str">
        <f t="shared" si="85"/>
        <v>BJP GAIN</v>
      </c>
      <c r="AK212" s="36" t="str">
        <f t="shared" si="97"/>
        <v>LOWMARGIN</v>
      </c>
    </row>
    <row r="213" spans="1:37">
      <c r="A213" s="37">
        <v>210</v>
      </c>
      <c r="B213" s="109" t="s">
        <v>245</v>
      </c>
      <c r="C213" s="37">
        <v>642</v>
      </c>
      <c r="D213" s="37">
        <v>323</v>
      </c>
      <c r="E213" s="37">
        <f t="shared" si="78"/>
        <v>50.3115264797508</v>
      </c>
      <c r="F213" s="37">
        <v>306</v>
      </c>
      <c r="G213" s="37">
        <f t="shared" si="79"/>
        <v>47.6635514018692</v>
      </c>
      <c r="H213" s="37">
        <v>1</v>
      </c>
      <c r="I213" s="37">
        <f t="shared" si="80"/>
        <v>0.155763239875389</v>
      </c>
      <c r="J213" s="37">
        <v>7</v>
      </c>
      <c r="K213" s="37">
        <f t="shared" si="81"/>
        <v>1.09034267912773</v>
      </c>
      <c r="L213" s="112">
        <v>467</v>
      </c>
      <c r="M213" s="112">
        <v>496</v>
      </c>
      <c r="N213" s="112">
        <f t="shared" si="82"/>
        <v>963</v>
      </c>
      <c r="O213" s="37">
        <v>642</v>
      </c>
      <c r="P213" s="113">
        <f t="shared" si="86"/>
        <v>66.6666666666667</v>
      </c>
      <c r="Q213" s="37"/>
      <c r="R213" s="37">
        <f t="shared" si="87"/>
        <v>0</v>
      </c>
      <c r="S213" s="37">
        <f t="shared" si="83"/>
        <v>0</v>
      </c>
      <c r="T213" s="37" t="e">
        <f t="shared" si="88"/>
        <v>#DIV/0!</v>
      </c>
      <c r="U213" s="37"/>
      <c r="V213" s="117">
        <f t="shared" si="89"/>
        <v>0</v>
      </c>
      <c r="W213" s="37"/>
      <c r="X213" s="37">
        <f t="shared" si="90"/>
        <v>100</v>
      </c>
      <c r="Y213" s="37">
        <f t="shared" si="98"/>
        <v>0</v>
      </c>
      <c r="Z213" s="3" t="e">
        <f t="shared" si="91"/>
        <v>#DIV/0!</v>
      </c>
      <c r="AA213" s="3"/>
      <c r="AB213" s="118">
        <f t="shared" si="92"/>
        <v>0</v>
      </c>
      <c r="AC213" s="3">
        <f t="shared" si="75"/>
        <v>0</v>
      </c>
      <c r="AD213" s="3" t="str">
        <f t="shared" si="93"/>
        <v>AVG</v>
      </c>
      <c r="AE213" s="30" t="str">
        <f t="shared" si="94"/>
        <v>VLOW</v>
      </c>
      <c r="AF213" s="3" t="str">
        <f t="shared" si="95"/>
        <v>EXCELLENT</v>
      </c>
      <c r="AG213" s="3" t="str">
        <f t="shared" si="84"/>
        <v>FEMALE DOM</v>
      </c>
      <c r="AH213" s="3" t="e">
        <f t="shared" si="96"/>
        <v>#DIV/0!</v>
      </c>
      <c r="AI213" s="36">
        <f t="shared" si="99"/>
        <v>2.64797507788163</v>
      </c>
      <c r="AJ213" s="35" t="str">
        <f t="shared" si="85"/>
        <v>BJP GAIN</v>
      </c>
      <c r="AK213" s="32" t="str">
        <f t="shared" si="97"/>
        <v>NARROWMARGIN</v>
      </c>
    </row>
    <row r="214" spans="1:37">
      <c r="A214" s="37">
        <v>211</v>
      </c>
      <c r="B214" s="109" t="s">
        <v>246</v>
      </c>
      <c r="C214" s="37">
        <v>744</v>
      </c>
      <c r="D214" s="37">
        <v>507</v>
      </c>
      <c r="E214" s="37">
        <f t="shared" si="78"/>
        <v>68.1451612903226</v>
      </c>
      <c r="F214" s="37">
        <v>198</v>
      </c>
      <c r="G214" s="37">
        <f t="shared" si="79"/>
        <v>26.6129032258064</v>
      </c>
      <c r="H214" s="37">
        <v>3</v>
      </c>
      <c r="I214" s="37">
        <f t="shared" si="80"/>
        <v>0.403225806451613</v>
      </c>
      <c r="J214" s="37">
        <v>17</v>
      </c>
      <c r="K214" s="37">
        <f t="shared" si="81"/>
        <v>2.28494623655914</v>
      </c>
      <c r="L214" s="112">
        <v>481</v>
      </c>
      <c r="M214" s="112">
        <v>525</v>
      </c>
      <c r="N214" s="112">
        <f t="shared" si="82"/>
        <v>1006</v>
      </c>
      <c r="O214" s="37">
        <v>744</v>
      </c>
      <c r="P214" s="113">
        <f t="shared" si="86"/>
        <v>73.9562624254473</v>
      </c>
      <c r="Q214" s="37"/>
      <c r="R214" s="37">
        <f t="shared" si="87"/>
        <v>0</v>
      </c>
      <c r="S214" s="37">
        <f t="shared" si="83"/>
        <v>0</v>
      </c>
      <c r="T214" s="37" t="e">
        <f t="shared" si="88"/>
        <v>#DIV/0!</v>
      </c>
      <c r="U214" s="37"/>
      <c r="V214" s="117">
        <f t="shared" si="89"/>
        <v>0</v>
      </c>
      <c r="W214" s="37"/>
      <c r="X214" s="37">
        <f t="shared" si="90"/>
        <v>100</v>
      </c>
      <c r="Y214" s="119">
        <f t="shared" si="98"/>
        <v>0</v>
      </c>
      <c r="Z214" s="3" t="e">
        <f t="shared" si="91"/>
        <v>#DIV/0!</v>
      </c>
      <c r="AA214" s="3"/>
      <c r="AB214" s="118">
        <f t="shared" si="92"/>
        <v>0</v>
      </c>
      <c r="AC214" s="3">
        <f t="shared" si="75"/>
        <v>0</v>
      </c>
      <c r="AD214" s="3" t="str">
        <f t="shared" si="93"/>
        <v>STRONG</v>
      </c>
      <c r="AE214" s="30" t="str">
        <f t="shared" si="94"/>
        <v>VLOW</v>
      </c>
      <c r="AF214" s="3" t="str">
        <f t="shared" si="95"/>
        <v>EXCELLENT</v>
      </c>
      <c r="AG214" s="3" t="str">
        <f t="shared" si="84"/>
        <v>FEMALE DOM</v>
      </c>
      <c r="AH214" s="3" t="e">
        <f t="shared" si="96"/>
        <v>#DIV/0!</v>
      </c>
      <c r="AI214" s="36">
        <f t="shared" si="99"/>
        <v>41.5322580645161</v>
      </c>
      <c r="AJ214" s="35" t="str">
        <f t="shared" si="85"/>
        <v>BJP GAIN</v>
      </c>
      <c r="AK214" s="34" t="str">
        <f t="shared" si="97"/>
        <v>HIGHMARGIN</v>
      </c>
    </row>
    <row r="215" spans="1:37">
      <c r="A215" s="37">
        <v>212</v>
      </c>
      <c r="B215" s="109" t="s">
        <v>247</v>
      </c>
      <c r="C215" s="37">
        <v>689</v>
      </c>
      <c r="D215" s="37">
        <v>452</v>
      </c>
      <c r="E215" s="37">
        <f t="shared" si="78"/>
        <v>65.6023222060958</v>
      </c>
      <c r="F215" s="37">
        <v>210</v>
      </c>
      <c r="G215" s="37">
        <f t="shared" si="79"/>
        <v>30.4789550072569</v>
      </c>
      <c r="H215" s="37">
        <v>0</v>
      </c>
      <c r="I215" s="37">
        <f t="shared" si="80"/>
        <v>0</v>
      </c>
      <c r="J215" s="37">
        <v>11</v>
      </c>
      <c r="K215" s="37">
        <f t="shared" si="81"/>
        <v>1.59651669085631</v>
      </c>
      <c r="L215" s="112">
        <v>477</v>
      </c>
      <c r="M215" s="112">
        <v>515</v>
      </c>
      <c r="N215" s="112">
        <f t="shared" si="82"/>
        <v>992</v>
      </c>
      <c r="O215" s="37">
        <v>689</v>
      </c>
      <c r="P215" s="113">
        <f t="shared" si="86"/>
        <v>69.4556451612903</v>
      </c>
      <c r="Q215" s="37">
        <v>770</v>
      </c>
      <c r="R215" s="37">
        <f t="shared" si="87"/>
        <v>77.6209677419355</v>
      </c>
      <c r="S215" s="37">
        <f t="shared" si="83"/>
        <v>202</v>
      </c>
      <c r="T215" s="37">
        <f t="shared" si="88"/>
        <v>26.2337662337662</v>
      </c>
      <c r="U215" s="37">
        <v>568</v>
      </c>
      <c r="V215" s="117">
        <f t="shared" si="89"/>
        <v>73.7662337662338</v>
      </c>
      <c r="W215" s="37">
        <v>222</v>
      </c>
      <c r="X215" s="37">
        <f t="shared" si="90"/>
        <v>22.3790322580645</v>
      </c>
      <c r="Y215" s="37">
        <f t="shared" si="98"/>
        <v>109</v>
      </c>
      <c r="Z215" s="3">
        <f t="shared" si="91"/>
        <v>49.0990990990991</v>
      </c>
      <c r="AA215" s="3">
        <v>113</v>
      </c>
      <c r="AB215" s="118">
        <f t="shared" si="92"/>
        <v>50.9009009009009</v>
      </c>
      <c r="AC215" s="3">
        <f t="shared" si="75"/>
        <v>681</v>
      </c>
      <c r="AD215" s="3" t="str">
        <f t="shared" si="93"/>
        <v>AVG</v>
      </c>
      <c r="AE215" s="30" t="str">
        <f t="shared" si="94"/>
        <v>STRONG</v>
      </c>
      <c r="AF215" s="3" t="str">
        <f t="shared" si="95"/>
        <v>VLOW</v>
      </c>
      <c r="AG215" s="3" t="str">
        <f t="shared" si="84"/>
        <v>FEMALE DOM</v>
      </c>
      <c r="AH215" s="3" t="str">
        <f t="shared" si="96"/>
        <v>O</v>
      </c>
      <c r="AI215" s="36">
        <f t="shared" si="99"/>
        <v>35.1233671988389</v>
      </c>
      <c r="AJ215" s="35" t="str">
        <f t="shared" si="85"/>
        <v>BJP GAIN</v>
      </c>
      <c r="AK215" s="38" t="str">
        <f t="shared" si="97"/>
        <v>MEDIUMMARGIN</v>
      </c>
    </row>
    <row r="216" spans="1:37">
      <c r="A216" s="37">
        <v>213</v>
      </c>
      <c r="B216" s="109" t="s">
        <v>248</v>
      </c>
      <c r="C216" s="37">
        <v>880</v>
      </c>
      <c r="D216" s="37">
        <v>587</v>
      </c>
      <c r="E216" s="37">
        <f t="shared" si="78"/>
        <v>66.7045454545455</v>
      </c>
      <c r="F216" s="37">
        <v>264</v>
      </c>
      <c r="G216" s="37">
        <f t="shared" si="79"/>
        <v>30</v>
      </c>
      <c r="H216" s="37">
        <v>5</v>
      </c>
      <c r="I216" s="37">
        <f t="shared" si="80"/>
        <v>0.568181818181818</v>
      </c>
      <c r="J216" s="37">
        <v>10</v>
      </c>
      <c r="K216" s="37">
        <f t="shared" si="81"/>
        <v>1.13636363636364</v>
      </c>
      <c r="L216" s="112">
        <v>622</v>
      </c>
      <c r="M216" s="112">
        <v>685</v>
      </c>
      <c r="N216" s="112">
        <f t="shared" si="82"/>
        <v>1307</v>
      </c>
      <c r="O216" s="37">
        <v>880</v>
      </c>
      <c r="P216" s="113">
        <f t="shared" si="86"/>
        <v>67.3297628156083</v>
      </c>
      <c r="Q216" s="37">
        <v>1112</v>
      </c>
      <c r="R216" s="37">
        <f t="shared" si="87"/>
        <v>85.0803366488141</v>
      </c>
      <c r="S216" s="115">
        <f t="shared" si="83"/>
        <v>368</v>
      </c>
      <c r="T216" s="37">
        <f t="shared" si="88"/>
        <v>33.0935251798561</v>
      </c>
      <c r="U216" s="37">
        <v>744</v>
      </c>
      <c r="V216" s="117">
        <f t="shared" si="89"/>
        <v>66.9064748201439</v>
      </c>
      <c r="W216" s="37">
        <f>83+112</f>
        <v>195</v>
      </c>
      <c r="X216" s="37">
        <f t="shared" si="90"/>
        <v>14.9196633511859</v>
      </c>
      <c r="Y216" s="37">
        <f t="shared" si="98"/>
        <v>59</v>
      </c>
      <c r="Z216" s="3">
        <f t="shared" si="91"/>
        <v>30.2564102564103</v>
      </c>
      <c r="AA216" s="3">
        <f>43+74+19</f>
        <v>136</v>
      </c>
      <c r="AB216" s="118">
        <f t="shared" si="92"/>
        <v>69.7435897435897</v>
      </c>
      <c r="AC216" s="3">
        <f t="shared" si="75"/>
        <v>880</v>
      </c>
      <c r="AD216" s="3" t="str">
        <f t="shared" si="93"/>
        <v>AVG</v>
      </c>
      <c r="AE216" s="30" t="str">
        <f t="shared" si="94"/>
        <v>EXCELLENT</v>
      </c>
      <c r="AF216" s="3" t="str">
        <f t="shared" si="95"/>
        <v>VLOW</v>
      </c>
      <c r="AG216" s="3" t="str">
        <f t="shared" si="84"/>
        <v>FEMALE DOM</v>
      </c>
      <c r="AH216" s="3" t="str">
        <f t="shared" si="96"/>
        <v>H</v>
      </c>
      <c r="AI216" s="36">
        <f t="shared" si="99"/>
        <v>36.7045454545455</v>
      </c>
      <c r="AJ216" s="35" t="str">
        <f t="shared" si="85"/>
        <v>BJP GAIN</v>
      </c>
      <c r="AK216" s="38" t="str">
        <f t="shared" si="97"/>
        <v>MEDIUMMARGIN</v>
      </c>
    </row>
    <row r="217" spans="1:37">
      <c r="A217" s="37">
        <v>214</v>
      </c>
      <c r="B217" s="109" t="s">
        <v>249</v>
      </c>
      <c r="C217" s="37">
        <v>879</v>
      </c>
      <c r="D217" s="37">
        <v>506</v>
      </c>
      <c r="E217" s="37">
        <f t="shared" si="78"/>
        <v>57.5654152445961</v>
      </c>
      <c r="F217" s="37">
        <v>330</v>
      </c>
      <c r="G217" s="37">
        <f t="shared" si="79"/>
        <v>37.542662116041</v>
      </c>
      <c r="H217" s="37">
        <v>2</v>
      </c>
      <c r="I217" s="37">
        <f t="shared" si="80"/>
        <v>0.227531285551763</v>
      </c>
      <c r="J217" s="37">
        <v>28</v>
      </c>
      <c r="K217" s="37">
        <f t="shared" si="81"/>
        <v>3.18543799772469</v>
      </c>
      <c r="L217" s="112">
        <v>638</v>
      </c>
      <c r="M217" s="112">
        <v>669</v>
      </c>
      <c r="N217" s="112">
        <f t="shared" si="82"/>
        <v>1307</v>
      </c>
      <c r="O217" s="37">
        <v>879</v>
      </c>
      <c r="P217" s="113">
        <f t="shared" si="86"/>
        <v>67.2532517214996</v>
      </c>
      <c r="Q217" s="37"/>
      <c r="R217" s="37">
        <f t="shared" si="87"/>
        <v>0</v>
      </c>
      <c r="S217" s="37">
        <f t="shared" si="83"/>
        <v>0</v>
      </c>
      <c r="T217" s="37" t="e">
        <f t="shared" si="88"/>
        <v>#DIV/0!</v>
      </c>
      <c r="U217" s="37"/>
      <c r="V217" s="117">
        <f t="shared" si="89"/>
        <v>0</v>
      </c>
      <c r="W217" s="37"/>
      <c r="X217" s="37">
        <f t="shared" si="90"/>
        <v>100</v>
      </c>
      <c r="Y217" s="119">
        <f t="shared" si="98"/>
        <v>0</v>
      </c>
      <c r="Z217" s="3" t="e">
        <f t="shared" si="91"/>
        <v>#DIV/0!</v>
      </c>
      <c r="AA217" s="3"/>
      <c r="AB217" s="118">
        <f t="shared" si="92"/>
        <v>0</v>
      </c>
      <c r="AC217" s="3">
        <f t="shared" si="75"/>
        <v>0</v>
      </c>
      <c r="AD217" s="3" t="str">
        <f t="shared" si="93"/>
        <v>AVG</v>
      </c>
      <c r="AE217" s="30" t="str">
        <f t="shared" si="94"/>
        <v>VLOW</v>
      </c>
      <c r="AF217" s="3" t="str">
        <f t="shared" si="95"/>
        <v>EXCELLENT</v>
      </c>
      <c r="AG217" s="3" t="str">
        <f t="shared" si="84"/>
        <v>FEMALE DOM</v>
      </c>
      <c r="AH217" s="3" t="e">
        <f t="shared" si="96"/>
        <v>#DIV/0!</v>
      </c>
      <c r="AI217" s="36">
        <f t="shared" si="99"/>
        <v>20.0227531285552</v>
      </c>
      <c r="AJ217" s="35" t="str">
        <f t="shared" si="85"/>
        <v>BJP GAIN</v>
      </c>
      <c r="AK217" s="36" t="str">
        <f t="shared" si="97"/>
        <v>LOWMARGIN</v>
      </c>
    </row>
    <row r="218" spans="1:37">
      <c r="A218" s="37">
        <v>215</v>
      </c>
      <c r="B218" s="109" t="s">
        <v>250</v>
      </c>
      <c r="C218" s="37">
        <v>771</v>
      </c>
      <c r="D218" s="37">
        <v>445</v>
      </c>
      <c r="E218" s="37">
        <f t="shared" si="78"/>
        <v>57.7172503242542</v>
      </c>
      <c r="F218" s="37">
        <v>290</v>
      </c>
      <c r="G218" s="37">
        <f t="shared" si="79"/>
        <v>37.6134889753567</v>
      </c>
      <c r="H218" s="37">
        <v>2</v>
      </c>
      <c r="I218" s="37">
        <f t="shared" si="80"/>
        <v>0.259403372243839</v>
      </c>
      <c r="J218" s="37">
        <v>23</v>
      </c>
      <c r="K218" s="37">
        <f t="shared" si="81"/>
        <v>2.98313878080415</v>
      </c>
      <c r="L218" s="112">
        <v>598</v>
      </c>
      <c r="M218" s="112">
        <v>623</v>
      </c>
      <c r="N218" s="112">
        <f t="shared" si="82"/>
        <v>1221</v>
      </c>
      <c r="O218" s="37">
        <v>771</v>
      </c>
      <c r="P218" s="113">
        <f t="shared" si="86"/>
        <v>63.1449631449631</v>
      </c>
      <c r="Q218" s="37"/>
      <c r="R218" s="37">
        <f t="shared" si="87"/>
        <v>0</v>
      </c>
      <c r="S218" s="37">
        <f t="shared" si="83"/>
        <v>0</v>
      </c>
      <c r="T218" s="37" t="e">
        <f t="shared" si="88"/>
        <v>#DIV/0!</v>
      </c>
      <c r="U218" s="37"/>
      <c r="V218" s="117">
        <f t="shared" si="89"/>
        <v>0</v>
      </c>
      <c r="W218" s="37"/>
      <c r="X218" s="37">
        <f t="shared" si="90"/>
        <v>100</v>
      </c>
      <c r="Y218" s="37">
        <f t="shared" si="98"/>
        <v>0</v>
      </c>
      <c r="Z218" s="3" t="e">
        <f t="shared" si="91"/>
        <v>#DIV/0!</v>
      </c>
      <c r="AA218" s="3"/>
      <c r="AB218" s="118">
        <f t="shared" si="92"/>
        <v>0</v>
      </c>
      <c r="AC218" s="3">
        <f t="shared" si="75"/>
        <v>0</v>
      </c>
      <c r="AD218" s="3" t="str">
        <f t="shared" si="93"/>
        <v>AVG</v>
      </c>
      <c r="AE218" s="30" t="str">
        <f t="shared" si="94"/>
        <v>VLOW</v>
      </c>
      <c r="AF218" s="3" t="str">
        <f t="shared" si="95"/>
        <v>EXCELLENT</v>
      </c>
      <c r="AG218" s="3" t="str">
        <f t="shared" si="84"/>
        <v>FEMALE DOM</v>
      </c>
      <c r="AH218" s="3" t="e">
        <f t="shared" si="96"/>
        <v>#DIV/0!</v>
      </c>
      <c r="AI218" s="36">
        <f t="shared" si="99"/>
        <v>20.1037613488975</v>
      </c>
      <c r="AJ218" s="35" t="str">
        <f t="shared" si="85"/>
        <v>BJP GAIN</v>
      </c>
      <c r="AK218" s="36" t="str">
        <f t="shared" si="97"/>
        <v>LOWMARGIN</v>
      </c>
    </row>
    <row r="219" spans="1:37">
      <c r="A219" s="37">
        <v>216</v>
      </c>
      <c r="B219" s="109" t="s">
        <v>251</v>
      </c>
      <c r="C219" s="37">
        <v>871</v>
      </c>
      <c r="D219" s="37">
        <v>434</v>
      </c>
      <c r="E219" s="37">
        <f t="shared" si="78"/>
        <v>49.8277841561424</v>
      </c>
      <c r="F219" s="37">
        <v>402</v>
      </c>
      <c r="G219" s="37">
        <f t="shared" si="79"/>
        <v>46.1538461538462</v>
      </c>
      <c r="H219" s="37">
        <v>5</v>
      </c>
      <c r="I219" s="37">
        <f t="shared" si="80"/>
        <v>0.574052812858783</v>
      </c>
      <c r="J219" s="37">
        <v>10</v>
      </c>
      <c r="K219" s="37">
        <f t="shared" si="81"/>
        <v>1.14810562571757</v>
      </c>
      <c r="L219" s="112">
        <v>608</v>
      </c>
      <c r="M219" s="112">
        <v>647</v>
      </c>
      <c r="N219" s="112">
        <f t="shared" si="82"/>
        <v>1255</v>
      </c>
      <c r="O219" s="37">
        <v>871</v>
      </c>
      <c r="P219" s="113">
        <f t="shared" si="86"/>
        <v>69.402390438247</v>
      </c>
      <c r="Q219" s="37"/>
      <c r="R219" s="37">
        <f t="shared" si="87"/>
        <v>0</v>
      </c>
      <c r="S219" s="37">
        <f t="shared" si="83"/>
        <v>0</v>
      </c>
      <c r="T219" s="37" t="e">
        <f t="shared" si="88"/>
        <v>#DIV/0!</v>
      </c>
      <c r="U219" s="37"/>
      <c r="V219" s="117">
        <f t="shared" si="89"/>
        <v>0</v>
      </c>
      <c r="W219" s="37"/>
      <c r="X219" s="37">
        <f t="shared" si="90"/>
        <v>100</v>
      </c>
      <c r="Y219" s="37">
        <f t="shared" si="98"/>
        <v>0</v>
      </c>
      <c r="Z219" s="3" t="e">
        <f t="shared" si="91"/>
        <v>#DIV/0!</v>
      </c>
      <c r="AA219" s="3"/>
      <c r="AB219" s="118">
        <f t="shared" si="92"/>
        <v>0</v>
      </c>
      <c r="AC219" s="3">
        <f t="shared" si="75"/>
        <v>0</v>
      </c>
      <c r="AD219" s="3" t="str">
        <f t="shared" si="93"/>
        <v>AVG</v>
      </c>
      <c r="AE219" s="30" t="str">
        <f t="shared" si="94"/>
        <v>VLOW</v>
      </c>
      <c r="AF219" s="3" t="str">
        <f t="shared" si="95"/>
        <v>EXCELLENT</v>
      </c>
      <c r="AG219" s="3" t="str">
        <f t="shared" si="84"/>
        <v>FEMALE DOM</v>
      </c>
      <c r="AH219" s="3" t="e">
        <f t="shared" si="96"/>
        <v>#DIV/0!</v>
      </c>
      <c r="AI219" s="36">
        <f t="shared" si="99"/>
        <v>3.67393800229621</v>
      </c>
      <c r="AJ219" s="35" t="str">
        <f t="shared" si="85"/>
        <v>BJP GAIN</v>
      </c>
      <c r="AK219" s="32" t="str">
        <f t="shared" si="97"/>
        <v>NARROWMARGIN</v>
      </c>
    </row>
    <row r="220" spans="1:37">
      <c r="A220" s="37">
        <v>217</v>
      </c>
      <c r="B220" s="109" t="s">
        <v>252</v>
      </c>
      <c r="C220" s="37">
        <v>650</v>
      </c>
      <c r="D220" s="37">
        <v>202</v>
      </c>
      <c r="E220" s="37">
        <f t="shared" si="78"/>
        <v>31.0769230769231</v>
      </c>
      <c r="F220" s="37">
        <v>433</v>
      </c>
      <c r="G220" s="37">
        <f t="shared" si="79"/>
        <v>66.6153846153846</v>
      </c>
      <c r="H220" s="37">
        <v>3</v>
      </c>
      <c r="I220" s="37">
        <f t="shared" si="80"/>
        <v>0.461538461538462</v>
      </c>
      <c r="J220" s="37">
        <v>1</v>
      </c>
      <c r="K220" s="37">
        <f t="shared" si="81"/>
        <v>0.153846153846154</v>
      </c>
      <c r="L220" s="112">
        <v>500</v>
      </c>
      <c r="M220" s="112">
        <v>522</v>
      </c>
      <c r="N220" s="112">
        <f t="shared" si="82"/>
        <v>1022</v>
      </c>
      <c r="O220" s="37">
        <v>650</v>
      </c>
      <c r="P220" s="113">
        <f t="shared" si="86"/>
        <v>63.600782778865</v>
      </c>
      <c r="Q220" s="37"/>
      <c r="R220" s="37">
        <f t="shared" si="87"/>
        <v>0</v>
      </c>
      <c r="S220" s="115">
        <f t="shared" si="83"/>
        <v>0</v>
      </c>
      <c r="T220" s="37" t="e">
        <f t="shared" si="88"/>
        <v>#DIV/0!</v>
      </c>
      <c r="U220" s="37"/>
      <c r="V220" s="117">
        <f t="shared" si="89"/>
        <v>0</v>
      </c>
      <c r="W220" s="37"/>
      <c r="X220" s="37">
        <f t="shared" si="90"/>
        <v>100</v>
      </c>
      <c r="Y220" s="119">
        <f t="shared" si="98"/>
        <v>0</v>
      </c>
      <c r="Z220" s="3" t="e">
        <f t="shared" si="91"/>
        <v>#DIV/0!</v>
      </c>
      <c r="AA220" s="3"/>
      <c r="AB220" s="118">
        <f t="shared" si="92"/>
        <v>0</v>
      </c>
      <c r="AC220" s="3">
        <f t="shared" si="75"/>
        <v>0</v>
      </c>
      <c r="AD220" s="3" t="str">
        <f t="shared" si="93"/>
        <v>AVG</v>
      </c>
      <c r="AE220" s="30" t="str">
        <f t="shared" si="94"/>
        <v>VLOW</v>
      </c>
      <c r="AF220" s="3" t="str">
        <f t="shared" si="95"/>
        <v>EXCELLENT</v>
      </c>
      <c r="AG220" s="3" t="str">
        <f t="shared" si="84"/>
        <v>FEMALE DOM</v>
      </c>
      <c r="AH220" s="3" t="e">
        <f t="shared" si="96"/>
        <v>#DIV/0!</v>
      </c>
      <c r="AI220" s="36">
        <f>G220-E220</f>
        <v>35.5384615384616</v>
      </c>
      <c r="AJ220" s="31" t="str">
        <f t="shared" si="85"/>
        <v>CONGRESSGAIN</v>
      </c>
      <c r="AK220" s="38" t="str">
        <f t="shared" si="97"/>
        <v>MEDIUMMARGIN</v>
      </c>
    </row>
    <row r="221" spans="1:37">
      <c r="A221" s="37">
        <v>218</v>
      </c>
      <c r="B221" s="109" t="s">
        <v>253</v>
      </c>
      <c r="C221" s="37">
        <v>693</v>
      </c>
      <c r="D221" s="37">
        <v>166</v>
      </c>
      <c r="E221" s="37">
        <f t="shared" si="78"/>
        <v>23.953823953824</v>
      </c>
      <c r="F221" s="37">
        <v>520</v>
      </c>
      <c r="G221" s="37">
        <f t="shared" si="79"/>
        <v>75.036075036075</v>
      </c>
      <c r="H221" s="37">
        <v>2</v>
      </c>
      <c r="I221" s="37">
        <f t="shared" si="80"/>
        <v>0.288600288600289</v>
      </c>
      <c r="J221" s="37">
        <v>0</v>
      </c>
      <c r="K221" s="37">
        <f t="shared" si="81"/>
        <v>0</v>
      </c>
      <c r="L221" s="112">
        <v>488</v>
      </c>
      <c r="M221" s="112">
        <v>499</v>
      </c>
      <c r="N221" s="112">
        <f t="shared" si="82"/>
        <v>987</v>
      </c>
      <c r="O221" s="37">
        <v>693</v>
      </c>
      <c r="P221" s="113">
        <f t="shared" si="86"/>
        <v>70.2127659574468</v>
      </c>
      <c r="Q221" s="37"/>
      <c r="R221" s="37">
        <f t="shared" si="87"/>
        <v>0</v>
      </c>
      <c r="S221" s="37">
        <f t="shared" si="83"/>
        <v>0</v>
      </c>
      <c r="T221" s="37" t="e">
        <f t="shared" si="88"/>
        <v>#DIV/0!</v>
      </c>
      <c r="U221" s="37"/>
      <c r="V221" s="117">
        <f t="shared" si="89"/>
        <v>0</v>
      </c>
      <c r="W221" s="37"/>
      <c r="X221" s="37">
        <f t="shared" si="90"/>
        <v>100</v>
      </c>
      <c r="Y221" s="37">
        <f t="shared" si="98"/>
        <v>0</v>
      </c>
      <c r="Z221" s="3" t="e">
        <f t="shared" si="91"/>
        <v>#DIV/0!</v>
      </c>
      <c r="AA221" s="3"/>
      <c r="AB221" s="118">
        <f t="shared" si="92"/>
        <v>0</v>
      </c>
      <c r="AC221" s="3">
        <f t="shared" si="75"/>
        <v>0</v>
      </c>
      <c r="AD221" s="3" t="str">
        <f t="shared" si="93"/>
        <v>STRONG</v>
      </c>
      <c r="AE221" s="30" t="str">
        <f t="shared" si="94"/>
        <v>VLOW</v>
      </c>
      <c r="AF221" s="3" t="str">
        <f t="shared" si="95"/>
        <v>EXCELLENT</v>
      </c>
      <c r="AG221" s="3" t="str">
        <f t="shared" si="84"/>
        <v>FEMALE DOM</v>
      </c>
      <c r="AH221" s="3" t="e">
        <f t="shared" si="96"/>
        <v>#DIV/0!</v>
      </c>
      <c r="AI221" s="36">
        <f>G221-E221</f>
        <v>51.0822510822511</v>
      </c>
      <c r="AJ221" s="31" t="str">
        <f t="shared" si="85"/>
        <v>CONGRESSGAIN</v>
      </c>
      <c r="AK221" s="30" t="str">
        <f t="shared" si="97"/>
        <v>VERYHIGHMARGIN</v>
      </c>
    </row>
    <row r="222" spans="1:37">
      <c r="A222" s="37">
        <v>219</v>
      </c>
      <c r="B222" s="109" t="s">
        <v>254</v>
      </c>
      <c r="C222" s="37">
        <v>699</v>
      </c>
      <c r="D222" s="37">
        <v>395</v>
      </c>
      <c r="E222" s="37">
        <f t="shared" si="78"/>
        <v>56.5092989985694</v>
      </c>
      <c r="F222" s="37">
        <v>272</v>
      </c>
      <c r="G222" s="37">
        <f t="shared" si="79"/>
        <v>38.9127324749642</v>
      </c>
      <c r="H222" s="37">
        <v>13</v>
      </c>
      <c r="I222" s="37">
        <f t="shared" si="80"/>
        <v>1.85979971387697</v>
      </c>
      <c r="J222" s="37">
        <v>5</v>
      </c>
      <c r="K222" s="37">
        <f t="shared" si="81"/>
        <v>0.715307582260372</v>
      </c>
      <c r="L222" s="112">
        <v>470</v>
      </c>
      <c r="M222" s="112">
        <v>510</v>
      </c>
      <c r="N222" s="112">
        <f t="shared" si="82"/>
        <v>980</v>
      </c>
      <c r="O222" s="37">
        <v>699</v>
      </c>
      <c r="P222" s="113">
        <f t="shared" si="86"/>
        <v>71.3265306122449</v>
      </c>
      <c r="Q222" s="37"/>
      <c r="R222" s="37">
        <f t="shared" si="87"/>
        <v>0</v>
      </c>
      <c r="S222" s="37">
        <f t="shared" si="83"/>
        <v>0</v>
      </c>
      <c r="T222" s="37" t="e">
        <f t="shared" si="88"/>
        <v>#DIV/0!</v>
      </c>
      <c r="U222" s="37"/>
      <c r="V222" s="117">
        <f t="shared" si="89"/>
        <v>0</v>
      </c>
      <c r="W222" s="37"/>
      <c r="X222" s="37">
        <f t="shared" si="90"/>
        <v>100</v>
      </c>
      <c r="Y222" s="37">
        <f t="shared" si="98"/>
        <v>0</v>
      </c>
      <c r="Z222" s="3" t="e">
        <f t="shared" si="91"/>
        <v>#DIV/0!</v>
      </c>
      <c r="AA222" s="3"/>
      <c r="AB222" s="118">
        <f t="shared" si="92"/>
        <v>0</v>
      </c>
      <c r="AC222" s="3">
        <f t="shared" si="75"/>
        <v>0</v>
      </c>
      <c r="AD222" s="3" t="str">
        <f t="shared" si="93"/>
        <v>STRONG</v>
      </c>
      <c r="AE222" s="30" t="str">
        <f t="shared" si="94"/>
        <v>VLOW</v>
      </c>
      <c r="AF222" s="3" t="str">
        <f t="shared" si="95"/>
        <v>EXCELLENT</v>
      </c>
      <c r="AG222" s="3" t="str">
        <f t="shared" si="84"/>
        <v>FEMALE DOM</v>
      </c>
      <c r="AH222" s="3" t="e">
        <f t="shared" si="96"/>
        <v>#DIV/0!</v>
      </c>
      <c r="AI222" s="36">
        <f>E222-G222</f>
        <v>17.5965665236051</v>
      </c>
      <c r="AJ222" s="35" t="str">
        <f t="shared" si="85"/>
        <v>BJP GAIN</v>
      </c>
      <c r="AK222" s="36" t="str">
        <f t="shared" si="97"/>
        <v>LOWMARGIN</v>
      </c>
    </row>
    <row r="223" spans="1:37">
      <c r="A223" s="37">
        <v>220</v>
      </c>
      <c r="B223" s="109" t="s">
        <v>254</v>
      </c>
      <c r="C223" s="37">
        <v>599</v>
      </c>
      <c r="D223" s="37">
        <v>27</v>
      </c>
      <c r="E223" s="37">
        <f t="shared" si="78"/>
        <v>4.50751252086811</v>
      </c>
      <c r="F223" s="37">
        <v>0</v>
      </c>
      <c r="G223" s="37">
        <f t="shared" si="79"/>
        <v>0</v>
      </c>
      <c r="H223" s="37">
        <v>567</v>
      </c>
      <c r="I223" s="37">
        <f t="shared" si="80"/>
        <v>94.6577629382304</v>
      </c>
      <c r="J223" s="37">
        <v>3</v>
      </c>
      <c r="K223" s="37">
        <f t="shared" si="81"/>
        <v>0.500834724540901</v>
      </c>
      <c r="L223" s="112">
        <v>403</v>
      </c>
      <c r="M223" s="112">
        <v>426</v>
      </c>
      <c r="N223" s="112">
        <f t="shared" si="82"/>
        <v>829</v>
      </c>
      <c r="O223" s="37">
        <v>599</v>
      </c>
      <c r="P223" s="113">
        <f t="shared" si="86"/>
        <v>72.2557297949337</v>
      </c>
      <c r="Q223" s="37">
        <v>40</v>
      </c>
      <c r="R223" s="37">
        <f t="shared" si="87"/>
        <v>4.82509047044632</v>
      </c>
      <c r="S223" s="37">
        <f t="shared" si="83"/>
        <v>21</v>
      </c>
      <c r="T223" s="37">
        <f t="shared" si="88"/>
        <v>52.5</v>
      </c>
      <c r="U223" s="37">
        <v>19</v>
      </c>
      <c r="V223" s="117">
        <f t="shared" si="89"/>
        <v>47.5</v>
      </c>
      <c r="W223" s="37">
        <v>789</v>
      </c>
      <c r="X223" s="37">
        <f t="shared" si="90"/>
        <v>95.1749095295537</v>
      </c>
      <c r="Y223" s="119">
        <f t="shared" si="98"/>
        <v>219</v>
      </c>
      <c r="Z223" s="3">
        <f t="shared" si="91"/>
        <v>27.7566539923954</v>
      </c>
      <c r="AA223" s="3">
        <v>570</v>
      </c>
      <c r="AB223" s="118">
        <f t="shared" si="92"/>
        <v>72.2433460076046</v>
      </c>
      <c r="AC223" s="3">
        <f t="shared" si="75"/>
        <v>589</v>
      </c>
      <c r="AD223" s="3" t="str">
        <f t="shared" si="93"/>
        <v>STRONG</v>
      </c>
      <c r="AE223" s="30" t="str">
        <f t="shared" si="94"/>
        <v>VLOW</v>
      </c>
      <c r="AF223" s="3" t="str">
        <f t="shared" si="95"/>
        <v>EXCELLENT</v>
      </c>
      <c r="AG223" s="3" t="str">
        <f t="shared" si="84"/>
        <v>FEMALE DOM</v>
      </c>
      <c r="AH223" s="3" t="str">
        <f t="shared" si="96"/>
        <v>H</v>
      </c>
      <c r="AI223" s="36">
        <f>E223-G223</f>
        <v>4.50751252086811</v>
      </c>
      <c r="AJ223" s="35" t="str">
        <f t="shared" si="85"/>
        <v>BJP GAIN</v>
      </c>
      <c r="AK223" s="32" t="str">
        <f t="shared" si="97"/>
        <v>NARROWMARGIN</v>
      </c>
    </row>
    <row r="224" s="104" customFormat="1" ht="15.75" spans="1:36">
      <c r="A224" s="18" t="s">
        <v>255</v>
      </c>
      <c r="B224" s="18"/>
      <c r="C224" s="18">
        <f t="shared" ref="C224:O224" si="100">SUM(C4:C223)</f>
        <v>161970</v>
      </c>
      <c r="D224" s="18">
        <f t="shared" si="100"/>
        <v>85740</v>
      </c>
      <c r="E224" s="18">
        <f t="shared" si="100"/>
        <v>11479.7437655458</v>
      </c>
      <c r="F224" s="18">
        <f t="shared" si="100"/>
        <v>69332</v>
      </c>
      <c r="G224" s="18">
        <f t="shared" si="100"/>
        <v>9582.81828791815</v>
      </c>
      <c r="H224" s="18">
        <f t="shared" si="100"/>
        <v>1331</v>
      </c>
      <c r="I224" s="18">
        <f t="shared" si="100"/>
        <v>200.258001019794</v>
      </c>
      <c r="J224" s="18">
        <f t="shared" si="100"/>
        <v>2316</v>
      </c>
      <c r="K224" s="18">
        <f t="shared" si="100"/>
        <v>305.98206551326</v>
      </c>
      <c r="L224" s="130">
        <f t="shared" si="100"/>
        <v>115017</v>
      </c>
      <c r="M224" s="130">
        <f t="shared" si="100"/>
        <v>125040</v>
      </c>
      <c r="N224" s="130">
        <f t="shared" si="100"/>
        <v>240057</v>
      </c>
      <c r="O224" s="18">
        <f t="shared" si="100"/>
        <v>162562</v>
      </c>
      <c r="P224" s="131">
        <f t="shared" si="86"/>
        <v>67.7180836218065</v>
      </c>
      <c r="Q224" s="132">
        <f>SUM(Q4:Q223)</f>
        <v>113268</v>
      </c>
      <c r="R224" s="132"/>
      <c r="S224" s="132">
        <f>SUM(S4:S223)</f>
        <v>38794</v>
      </c>
      <c r="T224" s="132"/>
      <c r="U224" s="132">
        <f>SUM(U4:U223)</f>
        <v>74840</v>
      </c>
      <c r="V224" s="133">
        <f t="shared" si="89"/>
        <v>66.0733834798884</v>
      </c>
      <c r="W224" s="132">
        <f>SUM(W4:W223)</f>
        <v>61080</v>
      </c>
      <c r="X224" s="132"/>
      <c r="Y224" s="132">
        <f>SUM(Y4:Y223)</f>
        <v>23872</v>
      </c>
      <c r="Z224" s="132"/>
      <c r="AA224" s="132">
        <f>SUM(AA4:AA223)</f>
        <v>37208</v>
      </c>
      <c r="AB224" s="133">
        <f t="shared" si="92"/>
        <v>60.9168303863785</v>
      </c>
      <c r="AC224" s="131">
        <v>0</v>
      </c>
      <c r="AD224" s="37"/>
      <c r="AE224" s="37"/>
      <c r="AF224" s="37"/>
      <c r="AG224" s="37"/>
      <c r="AH224" s="37"/>
      <c r="AI224" s="37"/>
      <c r="AJ224" s="37"/>
    </row>
    <row r="225" spans="35:38">
      <c r="AI225" s="35" t="s">
        <v>4</v>
      </c>
      <c r="AJ225" s="35">
        <f>COUNTIF(AJ4:AJ223,"BJP GAIN")</f>
        <v>150</v>
      </c>
      <c r="AK225" s="134" t="s">
        <v>256</v>
      </c>
      <c r="AL225" s="51">
        <f>COUNTIF(AK4:AK223,"NARROWMARGIN")</f>
        <v>37</v>
      </c>
    </row>
    <row r="226" spans="35:38">
      <c r="AI226" s="31" t="s">
        <v>257</v>
      </c>
      <c r="AJ226" s="31">
        <f>COUNTIF(AJ4:AJ223,"CONGRESSGAIN")</f>
        <v>70</v>
      </c>
      <c r="AK226" s="135" t="s">
        <v>258</v>
      </c>
      <c r="AL226" s="52">
        <f>COUNTIF(AK4:AK223,"LOWMARGIN")</f>
        <v>73</v>
      </c>
    </row>
    <row r="227" spans="37:38">
      <c r="AK227" s="136" t="s">
        <v>259</v>
      </c>
      <c r="AL227" s="53">
        <f>COUNTIF(AK4:AK223,"MEDIUMMARGIN")</f>
        <v>31</v>
      </c>
    </row>
    <row r="228" spans="37:38">
      <c r="AK228" s="137" t="s">
        <v>260</v>
      </c>
      <c r="AL228" s="54">
        <f>COUNTIF(AK4:AK223,"HIGHMARGIN")</f>
        <v>25</v>
      </c>
    </row>
    <row r="229" spans="37:38">
      <c r="AK229" s="56" t="s">
        <v>261</v>
      </c>
      <c r="AL229" s="55">
        <f>COUNTIF(AK4:AK223,"VERYHIGHMARGIN")</f>
        <v>54</v>
      </c>
    </row>
  </sheetData>
  <sheetProtection password="CFB8" sheet="1" objects="1" scenarios="1"/>
  <mergeCells count="2">
    <mergeCell ref="A224:B224"/>
    <mergeCell ref="A1:AK2"/>
  </mergeCells>
  <conditionalFormatting sqref="AF40">
    <cfRule type="containsText" dxfId="0" priority="2" operator="between" text="WEAK">
      <formula>NOT(ISERROR(SEARCH("WEAK",AF40)))</formula>
    </cfRule>
  </conditionalFormatting>
  <conditionalFormatting sqref="AD4:AD224">
    <cfRule type="containsText" dxfId="1" priority="16" operator="between" text="AVG">
      <formula>NOT(ISERROR(SEARCH("AVG",AD4)))</formula>
    </cfRule>
    <cfRule type="containsText" dxfId="2" priority="6" operator="between" text="AVG">
      <formula>NOT(ISERROR(SEARCH("AVG",AD4)))</formula>
    </cfRule>
  </conditionalFormatting>
  <conditionalFormatting sqref="AD6:AD224">
    <cfRule type="cellIs" dxfId="3" priority="15" operator="equal">
      <formula>"STRONG"</formula>
    </cfRule>
  </conditionalFormatting>
  <conditionalFormatting sqref="AD8:AD224">
    <cfRule type="containsText" dxfId="0" priority="14" operator="between" text="VSTRONG">
      <formula>NOT(ISERROR(SEARCH("VSTRONG",AD8)))</formula>
    </cfRule>
  </conditionalFormatting>
  <conditionalFormatting sqref="AE4:AE223">
    <cfRule type="containsText" dxfId="0" priority="10" operator="between" text="STRONG">
      <formula>NOT(ISERROR(SEARCH("STRONG",AE4)))</formula>
    </cfRule>
  </conditionalFormatting>
  <conditionalFormatting sqref="AE9:AE223">
    <cfRule type="containsText" dxfId="4" priority="8" operator="between" text="VSTRONG">
      <formula>NOT(ISERROR(SEARCH("VSTRONG",AE9)))</formula>
    </cfRule>
  </conditionalFormatting>
  <conditionalFormatting sqref="AF4:AF223">
    <cfRule type="cellIs" dxfId="5" priority="4" operator="equal">
      <formula>"VWEAK"</formula>
    </cfRule>
  </conditionalFormatting>
  <conditionalFormatting sqref="AF11:AF223">
    <cfRule type="containsText" dxfId="6" priority="3" operator="between" text="VSTRONG">
      <formula>NOT(ISERROR(SEARCH("VSTRONG",AF11)))</formula>
    </cfRule>
  </conditionalFormatting>
  <conditionalFormatting sqref="AG4:AG223">
    <cfRule type="containsText" dxfId="7" priority="7" operator="between" text="FEMALE DOM">
      <formula>NOT(ISERROR(SEARCH("FEMALE DOM",AG4)))</formula>
    </cfRule>
  </conditionalFormatting>
  <conditionalFormatting sqref="AG21:AG223">
    <cfRule type="containsText" dxfId="2" priority="1" operator="between" text="MEN">
      <formula>NOT(ISERROR(SEARCH("MEN",AG21)))</formula>
    </cfRule>
  </conditionalFormatting>
  <conditionalFormatting sqref="AH4:AH223">
    <cfRule type="containsText" dxfId="6" priority="13" operator="between" text="O">
      <formula>NOT(ISERROR(SEARCH("O",AH4)))</formula>
    </cfRule>
    <cfRule type="containsText" dxfId="4" priority="5" operator="between" text="H">
      <formula>NOT(ISERROR(SEARCH("H",AH4)))</formula>
    </cfRule>
  </conditionalFormatting>
  <conditionalFormatting sqref="AH17:AH222">
    <cfRule type="containsText" dxfId="0" priority="11" operator="between" text="H">
      <formula>NOT(ISERROR(SEARCH("H",AH17)))</formula>
    </cfRule>
    <cfRule type="containsText" dxfId="8" priority="12" operator="between" text="H">
      <formula>NOT(ISERROR(SEARCH("H",AH17)))</formula>
    </cfRule>
  </conditionalFormatting>
  <conditionalFormatting sqref="AE19:AE223 AF5:AF223">
    <cfRule type="containsText" dxfId="9" priority="9" operator="between" text="AVG">
      <formula>NOT(ISERROR(SEARCH("AVG",AE5)))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8"/>
  <sheetViews>
    <sheetView topLeftCell="A28" workbookViewId="0">
      <selection activeCell="C2" sqref="C2:E41"/>
    </sheetView>
  </sheetViews>
  <sheetFormatPr defaultColWidth="9" defaultRowHeight="15"/>
  <cols>
    <col min="1" max="1" width="9.71428571428571" style="7" customWidth="1"/>
    <col min="2" max="2" width="14.1428571428571" style="7" customWidth="1"/>
    <col min="3" max="3" width="25.4285714285714" style="59" customWidth="1"/>
    <col min="4" max="4" width="27" style="7" customWidth="1"/>
    <col min="5" max="5" width="35.2857142857143" style="7" customWidth="1"/>
    <col min="6" max="6" width="19.8571428571429" style="7" customWidth="1"/>
    <col min="7" max="7" width="21" style="7" customWidth="1"/>
    <col min="8" max="8" width="20.2857142857143" style="7" customWidth="1"/>
    <col min="9" max="9" width="20.4285714285714" style="7" customWidth="1"/>
    <col min="10" max="10" width="22.1428571428571" style="7" customWidth="1"/>
    <col min="11" max="11" width="18" style="7" customWidth="1"/>
    <col min="12" max="12" width="20.1428571428571" style="7" customWidth="1"/>
    <col min="13" max="13" width="19.4285714285714" style="7" customWidth="1"/>
    <col min="14" max="14" width="18.1428571428571" style="7" customWidth="1"/>
    <col min="15" max="15" width="28.7142857142857" style="7" customWidth="1"/>
    <col min="16" max="16" width="25.5714285714286" style="7" customWidth="1"/>
    <col min="17" max="17" width="20" style="7" customWidth="1"/>
    <col min="18" max="18" width="20.5714285714286" style="7" customWidth="1"/>
    <col min="19" max="20" width="15.2857142857143" style="7" customWidth="1"/>
    <col min="21" max="21" width="16" style="7" customWidth="1"/>
    <col min="22" max="22" width="19.2857142857143" style="7" customWidth="1"/>
    <col min="23" max="23" width="19.1428571428571" style="7" customWidth="1"/>
    <col min="24" max="24" width="14.8571428571429" style="7" customWidth="1"/>
    <col min="25" max="25" width="26" style="7" customWidth="1"/>
    <col min="26" max="27" width="17" style="7" customWidth="1"/>
    <col min="28" max="28" width="19" style="7" customWidth="1"/>
    <col min="29" max="29" width="24.1428571428571" style="7" customWidth="1"/>
    <col min="30" max="30" width="27.8571428571429" style="7" customWidth="1"/>
    <col min="31" max="31" width="28.4285714285714" style="7" customWidth="1"/>
    <col min="32" max="32" width="31.8571428571429" style="7" customWidth="1"/>
    <col min="33" max="16384" width="9.14285714285714" style="7"/>
  </cols>
  <sheetData>
    <row r="1" ht="46.5" spans="1:32">
      <c r="A1" s="60" t="s">
        <v>262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</row>
    <row r="2" ht="31.5" customHeight="1" spans="1:32">
      <c r="A2" s="1" t="s">
        <v>263</v>
      </c>
      <c r="B2" s="10" t="s">
        <v>264</v>
      </c>
      <c r="C2" s="1" t="s">
        <v>265</v>
      </c>
      <c r="D2" s="62" t="s">
        <v>266</v>
      </c>
      <c r="E2" s="1" t="s">
        <v>267</v>
      </c>
      <c r="F2" s="9" t="s">
        <v>268</v>
      </c>
      <c r="G2" s="1" t="s">
        <v>268</v>
      </c>
      <c r="H2" s="1"/>
      <c r="I2" s="1"/>
      <c r="J2" s="1"/>
      <c r="K2" s="1" t="s">
        <v>3</v>
      </c>
      <c r="L2" s="1"/>
      <c r="M2" s="1"/>
      <c r="N2" s="1"/>
      <c r="O2" s="21" t="s">
        <v>4</v>
      </c>
      <c r="P2" s="22"/>
      <c r="Q2" s="22"/>
      <c r="R2" s="22"/>
      <c r="S2" s="23"/>
      <c r="T2" s="24" t="s">
        <v>257</v>
      </c>
      <c r="U2" s="25"/>
      <c r="V2" s="25"/>
      <c r="W2" s="25"/>
      <c r="X2" s="26"/>
      <c r="Y2" s="1">
        <v>2018</v>
      </c>
      <c r="Z2" s="1"/>
      <c r="AA2" s="1"/>
      <c r="AB2" s="1"/>
      <c r="AC2" s="1"/>
      <c r="AD2" s="13" t="s">
        <v>269</v>
      </c>
      <c r="AE2" s="13" t="s">
        <v>35</v>
      </c>
      <c r="AF2" s="13" t="s">
        <v>270</v>
      </c>
    </row>
    <row r="3" ht="45" spans="1:32">
      <c r="A3" s="1"/>
      <c r="B3" s="10"/>
      <c r="C3" s="1"/>
      <c r="D3" s="63"/>
      <c r="E3" s="1"/>
      <c r="F3" s="12"/>
      <c r="G3" s="64" t="s">
        <v>271</v>
      </c>
      <c r="H3" s="14" t="s">
        <v>272</v>
      </c>
      <c r="I3" s="64" t="s">
        <v>273</v>
      </c>
      <c r="J3" s="14" t="s">
        <v>3</v>
      </c>
      <c r="K3" s="13" t="s">
        <v>271</v>
      </c>
      <c r="L3" s="13" t="s">
        <v>27</v>
      </c>
      <c r="M3" s="13" t="s">
        <v>274</v>
      </c>
      <c r="N3" s="13" t="s">
        <v>273</v>
      </c>
      <c r="O3" s="13" t="s">
        <v>275</v>
      </c>
      <c r="P3" s="13" t="s">
        <v>271</v>
      </c>
      <c r="Q3" s="13" t="s">
        <v>27</v>
      </c>
      <c r="R3" s="13" t="s">
        <v>274</v>
      </c>
      <c r="S3" s="13" t="s">
        <v>273</v>
      </c>
      <c r="T3" s="13" t="s">
        <v>276</v>
      </c>
      <c r="U3" s="13" t="s">
        <v>271</v>
      </c>
      <c r="V3" s="13" t="s">
        <v>27</v>
      </c>
      <c r="W3" s="13" t="s">
        <v>274</v>
      </c>
      <c r="X3" s="13" t="s">
        <v>273</v>
      </c>
      <c r="Y3" s="13" t="s">
        <v>28</v>
      </c>
      <c r="Z3" s="13" t="s">
        <v>29</v>
      </c>
      <c r="AA3" s="13" t="s">
        <v>30</v>
      </c>
      <c r="AB3" s="13" t="s">
        <v>31</v>
      </c>
      <c r="AC3" s="13" t="s">
        <v>277</v>
      </c>
      <c r="AD3" s="13"/>
      <c r="AE3" s="13"/>
      <c r="AF3" s="13"/>
    </row>
    <row r="4" spans="1:32">
      <c r="A4" s="3">
        <v>1</v>
      </c>
      <c r="B4" s="15">
        <v>21</v>
      </c>
      <c r="C4" s="2" t="s">
        <v>278</v>
      </c>
      <c r="D4" s="16">
        <v>6</v>
      </c>
      <c r="E4" s="3" t="s">
        <v>279</v>
      </c>
      <c r="F4" s="4">
        <v>7224</v>
      </c>
      <c r="G4" s="17">
        <v>1204</v>
      </c>
      <c r="H4" s="17">
        <v>190.254215897222</v>
      </c>
      <c r="I4" s="17">
        <v>36196.6666666667</v>
      </c>
      <c r="J4" s="3">
        <v>5334</v>
      </c>
      <c r="K4" s="17">
        <v>889</v>
      </c>
      <c r="L4" s="17">
        <f>(K4/G4)*100</f>
        <v>73.8372093023256</v>
      </c>
      <c r="M4" s="17">
        <v>178.876121007435</v>
      </c>
      <c r="N4" s="17">
        <v>31996.6666666667</v>
      </c>
      <c r="O4" s="45">
        <v>3504</v>
      </c>
      <c r="P4" s="17">
        <v>584</v>
      </c>
      <c r="Q4" s="17">
        <f>(P4/K4)*100</f>
        <v>65.6917885264342</v>
      </c>
      <c r="R4" s="17">
        <v>141.076811229439</v>
      </c>
      <c r="S4" s="17">
        <v>19902.6666666667</v>
      </c>
      <c r="T4" s="27">
        <v>1579</v>
      </c>
      <c r="U4" s="17">
        <v>263.166666666667</v>
      </c>
      <c r="V4" s="17">
        <f>(U4/K4)*100</f>
        <v>29.6025496812898</v>
      </c>
      <c r="W4" s="17">
        <v>40.4903966666446</v>
      </c>
      <c r="X4" s="17">
        <v>1639.47222222222</v>
      </c>
      <c r="Y4" s="3" t="s">
        <v>280</v>
      </c>
      <c r="Z4" s="30" t="s">
        <v>281</v>
      </c>
      <c r="AA4" s="3" t="s">
        <v>282</v>
      </c>
      <c r="AB4" s="3" t="s">
        <v>283</v>
      </c>
      <c r="AC4" s="3" t="s">
        <v>284</v>
      </c>
      <c r="AD4" s="35" t="str">
        <f>IF(P4&gt;U4,"BJP GAIN","CONGRESS GAIN")</f>
        <v>BJP GAIN</v>
      </c>
      <c r="AE4" s="17">
        <f>((P4-U4)/K4)*100</f>
        <v>36.0892388451444</v>
      </c>
      <c r="AF4" s="38" t="str">
        <f>IF(AE4&gt;=50,"VERYHIGHMARGIN",IF(AE4&gt;=40,"HIGHMARGIN",IF(AE4&gt;=30,"MEDIUMMARGIN",IF(AE4&gt;10,"LOWMARGIN",IF(AE4&lt;=1,"NARROWMARGIN")))))</f>
        <v>MEDIUMMARGIN</v>
      </c>
    </row>
    <row r="5" spans="1:32">
      <c r="A5" s="3">
        <v>2</v>
      </c>
      <c r="B5" s="15">
        <v>24</v>
      </c>
      <c r="C5" s="2" t="s">
        <v>285</v>
      </c>
      <c r="D5" s="16">
        <v>6</v>
      </c>
      <c r="E5" s="3" t="s">
        <v>286</v>
      </c>
      <c r="F5" s="3">
        <v>6301</v>
      </c>
      <c r="G5" s="17">
        <v>1050.16666666667</v>
      </c>
      <c r="H5" s="17">
        <v>169.490822432629</v>
      </c>
      <c r="I5" s="17">
        <v>28727.1388888889</v>
      </c>
      <c r="J5" s="3">
        <v>4035</v>
      </c>
      <c r="K5" s="17">
        <v>672.5</v>
      </c>
      <c r="L5" s="17">
        <f t="shared" ref="L5:L41" si="0">(K5/G5)*100</f>
        <v>64.0374543723218</v>
      </c>
      <c r="M5" s="17">
        <v>186.737560942266</v>
      </c>
      <c r="N5" s="17">
        <v>34870.9166666667</v>
      </c>
      <c r="O5" s="3">
        <v>2412</v>
      </c>
      <c r="P5" s="17">
        <v>402</v>
      </c>
      <c r="Q5" s="17">
        <f t="shared" ref="Q5:Q41" si="1">(P5/K5)*100</f>
        <v>59.7769516728625</v>
      </c>
      <c r="R5" s="17">
        <v>100.47221838233</v>
      </c>
      <c r="S5" s="17">
        <v>10094.6666666667</v>
      </c>
      <c r="T5" s="27">
        <v>1482</v>
      </c>
      <c r="U5" s="17">
        <v>247</v>
      </c>
      <c r="V5" s="17">
        <f t="shared" ref="V5:V41" si="2">(U5/K5)*100</f>
        <v>36.728624535316</v>
      </c>
      <c r="W5" s="17">
        <v>80.1893592276016</v>
      </c>
      <c r="X5" s="17">
        <v>6430.33333333333</v>
      </c>
      <c r="Y5" s="3" t="s">
        <v>287</v>
      </c>
      <c r="Z5" s="30" t="s">
        <v>282</v>
      </c>
      <c r="AA5" s="3" t="s">
        <v>281</v>
      </c>
      <c r="AB5" s="3" t="s">
        <v>283</v>
      </c>
      <c r="AC5" s="3" t="e">
        <v>#DIV/0!</v>
      </c>
      <c r="AD5" s="35" t="str">
        <f t="shared" ref="AD5:AD41" si="3">IF(P5&gt;U5,"BJP GAIN","CONGRESS GAIN")</f>
        <v>BJP GAIN</v>
      </c>
      <c r="AE5" s="17">
        <f t="shared" ref="AE5:AE41" si="4">((P5-U5)/K5)*100</f>
        <v>23.0483271375465</v>
      </c>
      <c r="AF5" s="36" t="str">
        <f t="shared" ref="AF5:AF41" si="5">IF(AE5&gt;=50,"VERYHIGHMARGIN",IF(AE5&gt;=40,"HIGHMARGIN",IF(AE5&gt;=30,"MEDIUMMARGIN",IF(AE5&gt;10,"LOWMARGIN",IF(AE5&lt;=1,"NARROWMARGIN")))))</f>
        <v>LOWMARGIN</v>
      </c>
    </row>
    <row r="6" spans="1:32">
      <c r="A6" s="3">
        <v>3</v>
      </c>
      <c r="B6" s="15">
        <v>25</v>
      </c>
      <c r="C6" s="2" t="s">
        <v>288</v>
      </c>
      <c r="D6" s="16">
        <v>6</v>
      </c>
      <c r="E6" s="3" t="s">
        <v>289</v>
      </c>
      <c r="F6" s="3">
        <v>6544</v>
      </c>
      <c r="G6" s="17">
        <v>1090.66666666667</v>
      </c>
      <c r="H6" s="17">
        <v>271.186077977629</v>
      </c>
      <c r="I6" s="17">
        <v>73541.8888888889</v>
      </c>
      <c r="J6" s="3">
        <v>4632</v>
      </c>
      <c r="K6" s="17">
        <v>772</v>
      </c>
      <c r="L6" s="17">
        <f t="shared" si="0"/>
        <v>70.7823960880196</v>
      </c>
      <c r="M6" s="17">
        <v>198.204439909907</v>
      </c>
      <c r="N6" s="17">
        <v>39285</v>
      </c>
      <c r="O6" s="3">
        <v>2774</v>
      </c>
      <c r="P6" s="17">
        <v>462.333333333333</v>
      </c>
      <c r="Q6" s="17">
        <f t="shared" si="1"/>
        <v>59.8877374784111</v>
      </c>
      <c r="R6" s="17">
        <v>89.8696587039005</v>
      </c>
      <c r="S6" s="17">
        <v>8076.55555555556</v>
      </c>
      <c r="T6" s="27">
        <v>1588</v>
      </c>
      <c r="U6" s="17">
        <v>264.666666666667</v>
      </c>
      <c r="V6" s="17">
        <f t="shared" si="2"/>
        <v>34.2832469775475</v>
      </c>
      <c r="W6" s="17">
        <v>106.751528742632</v>
      </c>
      <c r="X6" s="17">
        <v>11395.8888888889</v>
      </c>
      <c r="Y6" s="3" t="s">
        <v>287</v>
      </c>
      <c r="Z6" s="30" t="s">
        <v>280</v>
      </c>
      <c r="AA6" s="3" t="s">
        <v>282</v>
      </c>
      <c r="AB6" s="34" t="s">
        <v>283</v>
      </c>
      <c r="AC6" s="3" t="e">
        <v>#DIV/0!</v>
      </c>
      <c r="AD6" s="35" t="str">
        <f t="shared" si="3"/>
        <v>BJP GAIN</v>
      </c>
      <c r="AE6" s="17">
        <f t="shared" si="4"/>
        <v>25.6044905008636</v>
      </c>
      <c r="AF6" s="36" t="str">
        <f t="shared" si="5"/>
        <v>LOWMARGIN</v>
      </c>
    </row>
    <row r="7" spans="1:32">
      <c r="A7" s="3">
        <v>4</v>
      </c>
      <c r="B7" s="15">
        <v>26</v>
      </c>
      <c r="C7" s="2" t="s">
        <v>290</v>
      </c>
      <c r="D7" s="16">
        <v>7</v>
      </c>
      <c r="E7" s="4" t="s">
        <v>291</v>
      </c>
      <c r="F7" s="3">
        <v>8521</v>
      </c>
      <c r="G7" s="17">
        <v>1032.14285714286</v>
      </c>
      <c r="H7" s="17">
        <v>284.089235765016</v>
      </c>
      <c r="I7" s="17">
        <v>80706.693877551</v>
      </c>
      <c r="J7" s="3">
        <v>5997</v>
      </c>
      <c r="K7" s="17">
        <v>749.625</v>
      </c>
      <c r="L7" s="17">
        <f t="shared" si="0"/>
        <v>72.6280276816609</v>
      </c>
      <c r="M7" s="17">
        <v>207.768463379311</v>
      </c>
      <c r="N7" s="17">
        <v>43167.734375</v>
      </c>
      <c r="O7" s="3">
        <v>4015</v>
      </c>
      <c r="P7" s="17">
        <v>501.875</v>
      </c>
      <c r="Q7" s="17">
        <f t="shared" si="1"/>
        <v>66.9501417375354</v>
      </c>
      <c r="R7" s="17">
        <v>148.975197180605</v>
      </c>
      <c r="S7" s="17">
        <v>22193.609375</v>
      </c>
      <c r="T7" s="27">
        <v>1759</v>
      </c>
      <c r="U7" s="17">
        <v>219.875</v>
      </c>
      <c r="V7" s="17">
        <f t="shared" si="2"/>
        <v>29.3313323328331</v>
      </c>
      <c r="W7" s="17">
        <v>61.6693552341842</v>
      </c>
      <c r="X7" s="17">
        <v>3803.109375</v>
      </c>
      <c r="Y7" s="3" t="s">
        <v>287</v>
      </c>
      <c r="Z7" s="30" t="s">
        <v>281</v>
      </c>
      <c r="AA7" s="3" t="s">
        <v>282</v>
      </c>
      <c r="AB7" s="3" t="s">
        <v>283</v>
      </c>
      <c r="AC7" s="3" t="s">
        <v>284</v>
      </c>
      <c r="AD7" s="35" t="str">
        <f t="shared" si="3"/>
        <v>BJP GAIN</v>
      </c>
      <c r="AE7" s="17">
        <f t="shared" si="4"/>
        <v>37.6188094047024</v>
      </c>
      <c r="AF7" s="38" t="str">
        <f t="shared" si="5"/>
        <v>MEDIUMMARGIN</v>
      </c>
    </row>
    <row r="8" spans="1:32">
      <c r="A8" s="3">
        <v>5</v>
      </c>
      <c r="B8" s="15">
        <v>27</v>
      </c>
      <c r="C8" s="2" t="s">
        <v>292</v>
      </c>
      <c r="D8" s="16">
        <v>6</v>
      </c>
      <c r="E8" s="4" t="s">
        <v>293</v>
      </c>
      <c r="F8" s="3">
        <v>6435</v>
      </c>
      <c r="G8" s="17">
        <v>1072.5</v>
      </c>
      <c r="H8" s="17">
        <v>307.031350190823</v>
      </c>
      <c r="I8" s="17">
        <v>94268.25</v>
      </c>
      <c r="J8" s="3">
        <v>4633</v>
      </c>
      <c r="K8" s="17">
        <v>772.166666666667</v>
      </c>
      <c r="L8" s="17">
        <f t="shared" si="0"/>
        <v>71.996891996892</v>
      </c>
      <c r="M8" s="17">
        <v>183.090521024134</v>
      </c>
      <c r="N8" s="17">
        <v>33522.1388888889</v>
      </c>
      <c r="O8" s="3">
        <v>3204</v>
      </c>
      <c r="P8" s="17">
        <v>534</v>
      </c>
      <c r="Q8" s="17">
        <f t="shared" si="1"/>
        <v>69.1560543924023</v>
      </c>
      <c r="R8" s="17">
        <v>126.684647846533</v>
      </c>
      <c r="S8" s="17">
        <v>16049</v>
      </c>
      <c r="T8" s="27">
        <v>1237</v>
      </c>
      <c r="U8" s="17">
        <v>206.166666666667</v>
      </c>
      <c r="V8" s="17">
        <f t="shared" si="2"/>
        <v>26.699762572847</v>
      </c>
      <c r="W8" s="17">
        <v>81.7749282414169</v>
      </c>
      <c r="X8" s="17">
        <v>6687.13888888889</v>
      </c>
      <c r="Y8" s="3" t="s">
        <v>280</v>
      </c>
      <c r="Z8" s="30" t="s">
        <v>281</v>
      </c>
      <c r="AA8" s="3" t="s">
        <v>282</v>
      </c>
      <c r="AB8" s="3" t="s">
        <v>283</v>
      </c>
      <c r="AC8" s="3" t="s">
        <v>294</v>
      </c>
      <c r="AD8" s="35" t="str">
        <f t="shared" si="3"/>
        <v>BJP GAIN</v>
      </c>
      <c r="AE8" s="17">
        <f t="shared" si="4"/>
        <v>42.4562918195554</v>
      </c>
      <c r="AF8" s="39" t="str">
        <f t="shared" si="5"/>
        <v>HIGHMARGIN</v>
      </c>
    </row>
    <row r="9" spans="1:32">
      <c r="A9" s="3">
        <v>6</v>
      </c>
      <c r="B9" s="15">
        <v>28</v>
      </c>
      <c r="C9" s="2" t="s">
        <v>295</v>
      </c>
      <c r="D9" s="16">
        <v>4</v>
      </c>
      <c r="E9" s="4" t="s">
        <v>296</v>
      </c>
      <c r="F9" s="3">
        <v>5152</v>
      </c>
      <c r="G9" s="17">
        <v>1288</v>
      </c>
      <c r="H9" s="17">
        <v>234.775424608284</v>
      </c>
      <c r="I9" s="17">
        <v>55119.5</v>
      </c>
      <c r="J9" s="3">
        <v>3533</v>
      </c>
      <c r="K9" s="17">
        <v>883.25</v>
      </c>
      <c r="L9" s="17">
        <f t="shared" si="0"/>
        <v>68.5753105590062</v>
      </c>
      <c r="M9" s="17">
        <v>169.95937014475</v>
      </c>
      <c r="N9" s="17">
        <v>28886.1875</v>
      </c>
      <c r="O9" s="3">
        <v>2712</v>
      </c>
      <c r="P9" s="17">
        <v>678</v>
      </c>
      <c r="Q9" s="17">
        <f t="shared" si="1"/>
        <v>76.7619586753467</v>
      </c>
      <c r="R9" s="17">
        <v>123.209171736523</v>
      </c>
      <c r="S9" s="17">
        <v>15180.5</v>
      </c>
      <c r="T9" s="27">
        <v>685</v>
      </c>
      <c r="U9" s="17">
        <v>171.25</v>
      </c>
      <c r="V9" s="17">
        <f t="shared" si="2"/>
        <v>19.3886215680725</v>
      </c>
      <c r="W9" s="17">
        <v>57.1286924408392</v>
      </c>
      <c r="X9" s="17">
        <v>3263.6875</v>
      </c>
      <c r="Y9" s="3" t="s">
        <v>287</v>
      </c>
      <c r="Z9" s="30" t="s">
        <v>281</v>
      </c>
      <c r="AA9" s="3" t="s">
        <v>282</v>
      </c>
      <c r="AB9" s="33" t="s">
        <v>297</v>
      </c>
      <c r="AC9" s="3" t="s">
        <v>294</v>
      </c>
      <c r="AD9" s="35" t="str">
        <f t="shared" si="3"/>
        <v>BJP GAIN</v>
      </c>
      <c r="AE9" s="17">
        <f t="shared" si="4"/>
        <v>57.3733371072743</v>
      </c>
      <c r="AF9" s="30" t="str">
        <f t="shared" si="5"/>
        <v>VERYHIGHMARGIN</v>
      </c>
    </row>
    <row r="10" spans="1:32">
      <c r="A10" s="3">
        <v>7</v>
      </c>
      <c r="B10" s="15">
        <v>29</v>
      </c>
      <c r="C10" s="2" t="s">
        <v>298</v>
      </c>
      <c r="D10" s="16">
        <v>4</v>
      </c>
      <c r="E10" s="4" t="s">
        <v>299</v>
      </c>
      <c r="F10" s="3">
        <v>5121</v>
      </c>
      <c r="G10" s="17">
        <v>1279.2</v>
      </c>
      <c r="H10" s="17">
        <v>230.095979973575</v>
      </c>
      <c r="I10" s="17">
        <v>52944.16</v>
      </c>
      <c r="J10" s="3">
        <v>3336</v>
      </c>
      <c r="K10" s="17">
        <v>834</v>
      </c>
      <c r="L10" s="17">
        <f t="shared" si="0"/>
        <v>65.1969981238274</v>
      </c>
      <c r="M10" s="17">
        <v>149.801535372639</v>
      </c>
      <c r="N10" s="17">
        <v>22440.5</v>
      </c>
      <c r="O10" s="3">
        <v>2568</v>
      </c>
      <c r="P10" s="17">
        <v>642</v>
      </c>
      <c r="Q10" s="17">
        <f t="shared" si="1"/>
        <v>76.9784172661871</v>
      </c>
      <c r="R10" s="17">
        <v>150.776324401413</v>
      </c>
      <c r="S10" s="17">
        <v>22733.5</v>
      </c>
      <c r="T10" s="27">
        <v>641</v>
      </c>
      <c r="U10" s="17">
        <v>160.25</v>
      </c>
      <c r="V10" s="17">
        <f t="shared" si="2"/>
        <v>19.2146282973621</v>
      </c>
      <c r="W10" s="17">
        <v>39.4295257389688</v>
      </c>
      <c r="X10" s="17">
        <v>1554.6875</v>
      </c>
      <c r="Y10" s="3" t="s">
        <v>287</v>
      </c>
      <c r="Z10" s="30" t="s">
        <v>281</v>
      </c>
      <c r="AA10" s="3" t="s">
        <v>282</v>
      </c>
      <c r="AB10" s="34" t="s">
        <v>283</v>
      </c>
      <c r="AC10" s="35" t="s">
        <v>294</v>
      </c>
      <c r="AD10" s="35" t="str">
        <f t="shared" si="3"/>
        <v>BJP GAIN</v>
      </c>
      <c r="AE10" s="17">
        <f t="shared" si="4"/>
        <v>57.7637889688249</v>
      </c>
      <c r="AF10" s="30" t="str">
        <f t="shared" si="5"/>
        <v>VERYHIGHMARGIN</v>
      </c>
    </row>
    <row r="11" spans="1:32">
      <c r="A11" s="3">
        <v>8</v>
      </c>
      <c r="B11" s="15">
        <v>30</v>
      </c>
      <c r="C11" s="2" t="s">
        <v>300</v>
      </c>
      <c r="D11" s="16">
        <v>5</v>
      </c>
      <c r="E11" s="4" t="s">
        <v>301</v>
      </c>
      <c r="F11" s="3">
        <v>5597</v>
      </c>
      <c r="G11" s="17">
        <v>1119.4</v>
      </c>
      <c r="H11" s="17">
        <v>225.842068711744</v>
      </c>
      <c r="I11" s="17">
        <v>51004.64</v>
      </c>
      <c r="J11" s="3">
        <v>3628</v>
      </c>
      <c r="K11" s="17">
        <v>725.6</v>
      </c>
      <c r="L11" s="17">
        <f t="shared" si="0"/>
        <v>64.8204395211721</v>
      </c>
      <c r="M11" s="17">
        <v>123.760413703252</v>
      </c>
      <c r="N11" s="17">
        <v>15316.64</v>
      </c>
      <c r="O11" s="3">
        <v>2269</v>
      </c>
      <c r="P11" s="17">
        <v>453.8</v>
      </c>
      <c r="Q11" s="17">
        <f t="shared" si="1"/>
        <v>62.5413450937155</v>
      </c>
      <c r="R11" s="17">
        <v>116.619723889229</v>
      </c>
      <c r="S11" s="17">
        <v>13600.16</v>
      </c>
      <c r="T11" s="27">
        <v>1230</v>
      </c>
      <c r="U11" s="17">
        <v>246</v>
      </c>
      <c r="V11" s="17">
        <f t="shared" si="2"/>
        <v>33.9029768467475</v>
      </c>
      <c r="W11" s="17">
        <v>22.8910462845192</v>
      </c>
      <c r="X11" s="17">
        <v>524</v>
      </c>
      <c r="Y11" s="3" t="s">
        <v>287</v>
      </c>
      <c r="Z11" s="30" t="s">
        <v>282</v>
      </c>
      <c r="AA11" s="3" t="s">
        <v>281</v>
      </c>
      <c r="AB11" s="34" t="s">
        <v>283</v>
      </c>
      <c r="AC11" s="3" t="e">
        <v>#DIV/0!</v>
      </c>
      <c r="AD11" s="35" t="str">
        <f t="shared" si="3"/>
        <v>BJP GAIN</v>
      </c>
      <c r="AE11" s="17">
        <f t="shared" si="4"/>
        <v>28.638368246968</v>
      </c>
      <c r="AF11" s="36" t="str">
        <f t="shared" si="5"/>
        <v>LOWMARGIN</v>
      </c>
    </row>
    <row r="12" spans="1:32">
      <c r="A12" s="3">
        <v>9</v>
      </c>
      <c r="B12" s="15">
        <v>31</v>
      </c>
      <c r="C12" s="2" t="s">
        <v>302</v>
      </c>
      <c r="D12" s="16">
        <v>6</v>
      </c>
      <c r="E12" s="4" t="s">
        <v>303</v>
      </c>
      <c r="F12" s="3">
        <v>6854</v>
      </c>
      <c r="G12" s="17">
        <v>1142.33333333333</v>
      </c>
      <c r="H12" s="17">
        <v>199.735380496852</v>
      </c>
      <c r="I12" s="17">
        <v>39894.2222222222</v>
      </c>
      <c r="J12" s="3">
        <v>4460</v>
      </c>
      <c r="K12" s="17">
        <v>743.333333333333</v>
      </c>
      <c r="L12" s="17">
        <f t="shared" si="0"/>
        <v>65.0714911000876</v>
      </c>
      <c r="M12" s="17">
        <v>124.732602884018</v>
      </c>
      <c r="N12" s="17">
        <v>15558.2222222222</v>
      </c>
      <c r="O12" s="3">
        <v>2422</v>
      </c>
      <c r="P12" s="17">
        <v>403.666666666667</v>
      </c>
      <c r="Q12" s="17">
        <f t="shared" si="1"/>
        <v>54.304932735426</v>
      </c>
      <c r="R12" s="17">
        <v>81.6979531907352</v>
      </c>
      <c r="S12" s="17">
        <v>6674.55555555556</v>
      </c>
      <c r="T12" s="27">
        <v>1840</v>
      </c>
      <c r="U12" s="17">
        <v>306.666666666667</v>
      </c>
      <c r="V12" s="17">
        <f t="shared" si="2"/>
        <v>41.2556053811659</v>
      </c>
      <c r="W12" s="17">
        <v>41.2620352813038</v>
      </c>
      <c r="X12" s="17">
        <v>1702.55555555556</v>
      </c>
      <c r="Y12" s="3" t="s">
        <v>287</v>
      </c>
      <c r="Z12" s="30" t="s">
        <v>287</v>
      </c>
      <c r="AA12" s="3" t="s">
        <v>282</v>
      </c>
      <c r="AB12" s="34" t="s">
        <v>283</v>
      </c>
      <c r="AC12" s="30" t="s">
        <v>284</v>
      </c>
      <c r="AD12" s="35" t="str">
        <f t="shared" si="3"/>
        <v>BJP GAIN</v>
      </c>
      <c r="AE12" s="17">
        <f t="shared" si="4"/>
        <v>13.0493273542601</v>
      </c>
      <c r="AF12" s="36" t="str">
        <f t="shared" si="5"/>
        <v>LOWMARGIN</v>
      </c>
    </row>
    <row r="13" spans="1:32">
      <c r="A13" s="3">
        <v>10</v>
      </c>
      <c r="B13" s="15">
        <v>32</v>
      </c>
      <c r="C13" s="2" t="s">
        <v>304</v>
      </c>
      <c r="D13" s="16">
        <v>5</v>
      </c>
      <c r="E13" s="4" t="s">
        <v>305</v>
      </c>
      <c r="F13" s="3">
        <v>5221</v>
      </c>
      <c r="G13" s="17">
        <v>1044.2</v>
      </c>
      <c r="H13" s="17">
        <v>284.75280507837</v>
      </c>
      <c r="I13" s="17">
        <v>81084.16</v>
      </c>
      <c r="J13" s="3">
        <v>3656</v>
      </c>
      <c r="K13" s="17">
        <v>731.2</v>
      </c>
      <c r="L13" s="17">
        <f t="shared" si="0"/>
        <v>70.0248994445509</v>
      </c>
      <c r="M13" s="17">
        <v>209.200764816958</v>
      </c>
      <c r="N13" s="17">
        <v>43764.96</v>
      </c>
      <c r="O13" s="3">
        <v>2453</v>
      </c>
      <c r="P13" s="17">
        <v>490.6</v>
      </c>
      <c r="Q13" s="17">
        <f t="shared" si="1"/>
        <v>67.0951859956236</v>
      </c>
      <c r="R13" s="17">
        <v>140.279150268313</v>
      </c>
      <c r="S13" s="17">
        <v>19678.24</v>
      </c>
      <c r="T13" s="27">
        <v>1036</v>
      </c>
      <c r="U13" s="17">
        <v>207.2</v>
      </c>
      <c r="V13" s="17">
        <f t="shared" si="2"/>
        <v>28.3369803063457</v>
      </c>
      <c r="W13" s="17">
        <v>67.7949850652686</v>
      </c>
      <c r="X13" s="17">
        <v>4596.16</v>
      </c>
      <c r="Y13" s="17" t="s">
        <v>280</v>
      </c>
      <c r="Z13" s="30" t="s">
        <v>281</v>
      </c>
      <c r="AA13" s="3" t="s">
        <v>282</v>
      </c>
      <c r="AB13" s="34" t="s">
        <v>283</v>
      </c>
      <c r="AC13" s="30" t="s">
        <v>284</v>
      </c>
      <c r="AD13" s="35" t="str">
        <f t="shared" si="3"/>
        <v>BJP GAIN</v>
      </c>
      <c r="AE13" s="17">
        <f t="shared" si="4"/>
        <v>38.7582056892779</v>
      </c>
      <c r="AF13" s="38" t="str">
        <f t="shared" si="5"/>
        <v>MEDIUMMARGIN</v>
      </c>
    </row>
    <row r="14" spans="1:32">
      <c r="A14" s="3">
        <v>11</v>
      </c>
      <c r="B14" s="15">
        <v>33</v>
      </c>
      <c r="C14" s="2" t="s">
        <v>306</v>
      </c>
      <c r="D14" s="16">
        <v>4</v>
      </c>
      <c r="E14" s="4" t="s">
        <v>307</v>
      </c>
      <c r="F14" s="3">
        <v>4750</v>
      </c>
      <c r="G14" s="17">
        <v>1187.5</v>
      </c>
      <c r="H14" s="17">
        <v>166.593067082637</v>
      </c>
      <c r="I14" s="17">
        <v>27753.25</v>
      </c>
      <c r="J14" s="3">
        <v>3193</v>
      </c>
      <c r="K14" s="17">
        <v>798.25</v>
      </c>
      <c r="L14" s="17">
        <f t="shared" si="0"/>
        <v>67.2210526315789</v>
      </c>
      <c r="M14" s="17">
        <v>77.299336995863</v>
      </c>
      <c r="N14" s="17">
        <v>5975.1875</v>
      </c>
      <c r="O14" s="3">
        <v>1978</v>
      </c>
      <c r="P14" s="17">
        <v>494.5</v>
      </c>
      <c r="Q14" s="17">
        <f t="shared" si="1"/>
        <v>61.9480112746633</v>
      </c>
      <c r="R14" s="17">
        <v>69.8194099087066</v>
      </c>
      <c r="S14" s="17">
        <v>4874.75</v>
      </c>
      <c r="T14" s="27">
        <v>1118</v>
      </c>
      <c r="U14" s="17">
        <v>279.5</v>
      </c>
      <c r="V14" s="17">
        <f t="shared" si="2"/>
        <v>35.0140933291575</v>
      </c>
      <c r="W14" s="17">
        <v>111.719514857522</v>
      </c>
      <c r="X14" s="17">
        <v>12481.25</v>
      </c>
      <c r="Y14" s="33" t="s">
        <v>287</v>
      </c>
      <c r="Z14" s="30" t="s">
        <v>281</v>
      </c>
      <c r="AA14" s="3" t="s">
        <v>282</v>
      </c>
      <c r="AB14" s="34" t="s">
        <v>283</v>
      </c>
      <c r="AC14" s="30" t="s">
        <v>284</v>
      </c>
      <c r="AD14" s="35" t="str">
        <f t="shared" si="3"/>
        <v>BJP GAIN</v>
      </c>
      <c r="AE14" s="17">
        <f t="shared" si="4"/>
        <v>26.9339179455058</v>
      </c>
      <c r="AF14" s="36" t="str">
        <f t="shared" si="5"/>
        <v>LOWMARGIN</v>
      </c>
    </row>
    <row r="15" spans="1:32">
      <c r="A15" s="3">
        <v>12</v>
      </c>
      <c r="B15" s="15">
        <v>34</v>
      </c>
      <c r="C15" s="2" t="s">
        <v>308</v>
      </c>
      <c r="D15" s="16">
        <v>5</v>
      </c>
      <c r="E15" s="4" t="s">
        <v>309</v>
      </c>
      <c r="F15" s="3">
        <v>6191</v>
      </c>
      <c r="G15" s="17">
        <v>1238.2</v>
      </c>
      <c r="H15" s="17">
        <v>229.400435919377</v>
      </c>
      <c r="I15" s="17">
        <v>52624.56</v>
      </c>
      <c r="J15" s="3">
        <v>3772</v>
      </c>
      <c r="K15" s="17">
        <v>754.4</v>
      </c>
      <c r="L15" s="17">
        <f t="shared" si="0"/>
        <v>60.9271523178808</v>
      </c>
      <c r="M15" s="17">
        <v>120.804966785311</v>
      </c>
      <c r="N15" s="17">
        <v>14593.84</v>
      </c>
      <c r="O15" s="3">
        <v>1607</v>
      </c>
      <c r="P15" s="17">
        <v>321.4</v>
      </c>
      <c r="Q15" s="17">
        <f t="shared" si="1"/>
        <v>42.6033934252386</v>
      </c>
      <c r="R15" s="17">
        <v>54.5072472245664</v>
      </c>
      <c r="S15" s="17">
        <v>2971.04</v>
      </c>
      <c r="T15" s="27">
        <v>2057</v>
      </c>
      <c r="U15" s="17">
        <v>411.4</v>
      </c>
      <c r="V15" s="17">
        <f t="shared" si="2"/>
        <v>54.5334040296925</v>
      </c>
      <c r="W15" s="17">
        <v>131.677788559802</v>
      </c>
      <c r="X15" s="17">
        <v>17339.04</v>
      </c>
      <c r="Y15" s="33" t="s">
        <v>287</v>
      </c>
      <c r="Z15" s="30" t="s">
        <v>282</v>
      </c>
      <c r="AA15" s="3" t="s">
        <v>310</v>
      </c>
      <c r="AB15" s="34" t="s">
        <v>283</v>
      </c>
      <c r="AC15" s="35" t="s">
        <v>294</v>
      </c>
      <c r="AD15" s="31" t="str">
        <f t="shared" si="3"/>
        <v>CONGRESS GAIN</v>
      </c>
      <c r="AE15" s="17">
        <f>((U15-P15)/K15)*100</f>
        <v>11.9300106044539</v>
      </c>
      <c r="AF15" s="36" t="str">
        <f t="shared" si="5"/>
        <v>LOWMARGIN</v>
      </c>
    </row>
    <row r="16" spans="1:32">
      <c r="A16" s="3">
        <v>13</v>
      </c>
      <c r="B16" s="15">
        <v>35</v>
      </c>
      <c r="C16" s="2" t="s">
        <v>311</v>
      </c>
      <c r="D16" s="16">
        <v>7</v>
      </c>
      <c r="E16" s="4" t="s">
        <v>312</v>
      </c>
      <c r="F16" s="3">
        <v>8749</v>
      </c>
      <c r="G16" s="17">
        <v>1249.85714285714</v>
      </c>
      <c r="H16" s="17">
        <v>101.892700665845</v>
      </c>
      <c r="I16" s="17">
        <v>10382.1224489796</v>
      </c>
      <c r="J16" s="3">
        <v>6078</v>
      </c>
      <c r="K16" s="17">
        <v>868.285714285714</v>
      </c>
      <c r="L16" s="17">
        <f t="shared" si="0"/>
        <v>69.4707966624757</v>
      </c>
      <c r="M16" s="17">
        <v>110.817371363511</v>
      </c>
      <c r="N16" s="17">
        <v>12280.4897959184</v>
      </c>
      <c r="O16" s="3">
        <v>3326</v>
      </c>
      <c r="P16" s="17">
        <v>475.142857142857</v>
      </c>
      <c r="Q16" s="17">
        <f t="shared" si="1"/>
        <v>54.7219480092136</v>
      </c>
      <c r="R16" s="17">
        <v>124.146720308131</v>
      </c>
      <c r="S16" s="17">
        <v>15412.4081632653</v>
      </c>
      <c r="T16" s="27">
        <v>2550</v>
      </c>
      <c r="U16" s="17">
        <v>364.285714285714</v>
      </c>
      <c r="V16" s="17">
        <f t="shared" si="2"/>
        <v>41.9545903257651</v>
      </c>
      <c r="W16" s="17">
        <v>114.530986806085</v>
      </c>
      <c r="X16" s="17">
        <v>13117.3469387755</v>
      </c>
      <c r="Y16" s="33" t="s">
        <v>287</v>
      </c>
      <c r="Z16" s="30" t="s">
        <v>282</v>
      </c>
      <c r="AA16" s="3" t="s">
        <v>281</v>
      </c>
      <c r="AB16" s="34" t="s">
        <v>283</v>
      </c>
      <c r="AC16" s="3" t="e">
        <v>#DIV/0!</v>
      </c>
      <c r="AD16" s="35" t="str">
        <f t="shared" si="3"/>
        <v>BJP GAIN</v>
      </c>
      <c r="AE16" s="17">
        <f t="shared" si="4"/>
        <v>12.7673576834485</v>
      </c>
      <c r="AF16" s="36" t="str">
        <f t="shared" si="5"/>
        <v>LOWMARGIN</v>
      </c>
    </row>
    <row r="17" spans="1:32">
      <c r="A17" s="3">
        <v>14</v>
      </c>
      <c r="B17" s="15">
        <v>36</v>
      </c>
      <c r="C17" s="2" t="s">
        <v>313</v>
      </c>
      <c r="D17" s="16">
        <v>3</v>
      </c>
      <c r="E17" s="4" t="s">
        <v>314</v>
      </c>
      <c r="F17" s="3">
        <v>3823</v>
      </c>
      <c r="G17" s="17">
        <v>1274.33333333333</v>
      </c>
      <c r="H17" s="17">
        <v>169.95358843585</v>
      </c>
      <c r="I17" s="17">
        <v>28884.2222222222</v>
      </c>
      <c r="J17" s="3">
        <v>2680</v>
      </c>
      <c r="K17" s="17">
        <v>893.333333333333</v>
      </c>
      <c r="L17" s="17">
        <f t="shared" si="0"/>
        <v>70.1020141250327</v>
      </c>
      <c r="M17" s="17">
        <v>117.689799425816</v>
      </c>
      <c r="N17" s="17">
        <v>13850.8888888889</v>
      </c>
      <c r="O17" s="3">
        <v>1298</v>
      </c>
      <c r="P17" s="17">
        <v>432.666666666667</v>
      </c>
      <c r="Q17" s="17">
        <f t="shared" si="1"/>
        <v>48.4328358208955</v>
      </c>
      <c r="R17" s="17">
        <v>27.7168220079832</v>
      </c>
      <c r="S17" s="17">
        <v>768.222222222222</v>
      </c>
      <c r="T17" s="27">
        <v>1291</v>
      </c>
      <c r="U17" s="17">
        <v>430.333333333333</v>
      </c>
      <c r="V17" s="17">
        <f t="shared" si="2"/>
        <v>48.1716417910448</v>
      </c>
      <c r="W17" s="17">
        <v>130.026493026955</v>
      </c>
      <c r="X17" s="17">
        <v>16906.8888888889</v>
      </c>
      <c r="Y17" s="3" t="s">
        <v>280</v>
      </c>
      <c r="Z17" s="30" t="s">
        <v>282</v>
      </c>
      <c r="AA17" s="3" t="s">
        <v>281</v>
      </c>
      <c r="AB17" s="3" t="s">
        <v>283</v>
      </c>
      <c r="AC17" s="3" t="e">
        <v>#DIV/0!</v>
      </c>
      <c r="AD17" s="35" t="str">
        <f t="shared" si="3"/>
        <v>BJP GAIN</v>
      </c>
      <c r="AE17" s="17">
        <f t="shared" si="4"/>
        <v>0.26119402985075</v>
      </c>
      <c r="AF17" s="32" t="str">
        <f t="shared" si="5"/>
        <v>NARROWMARGIN</v>
      </c>
    </row>
    <row r="18" spans="1:32">
      <c r="A18" s="3">
        <v>15</v>
      </c>
      <c r="B18" s="15">
        <v>37</v>
      </c>
      <c r="C18" s="2" t="s">
        <v>315</v>
      </c>
      <c r="D18" s="16">
        <v>6</v>
      </c>
      <c r="E18" s="4" t="s">
        <v>316</v>
      </c>
      <c r="F18" s="4">
        <v>6600</v>
      </c>
      <c r="G18" s="17">
        <v>1100</v>
      </c>
      <c r="H18" s="17">
        <v>203.920736235104</v>
      </c>
      <c r="I18" s="17">
        <v>41583.6666666667</v>
      </c>
      <c r="J18" s="4">
        <v>4615</v>
      </c>
      <c r="K18" s="17">
        <v>769.166666666667</v>
      </c>
      <c r="L18" s="17">
        <f t="shared" si="0"/>
        <v>69.9242424242424</v>
      </c>
      <c r="M18" s="17">
        <v>167.974617791565</v>
      </c>
      <c r="N18" s="17">
        <v>28215.4722222222</v>
      </c>
      <c r="O18" s="3">
        <v>2581</v>
      </c>
      <c r="P18" s="17">
        <v>430.166666666667</v>
      </c>
      <c r="Q18" s="17">
        <f t="shared" si="1"/>
        <v>55.9263271939328</v>
      </c>
      <c r="R18" s="17">
        <v>156.347280827721</v>
      </c>
      <c r="S18" s="17">
        <v>24444.4722222222</v>
      </c>
      <c r="T18" s="27">
        <v>1888</v>
      </c>
      <c r="U18" s="17">
        <v>314.666666666667</v>
      </c>
      <c r="V18" s="17">
        <f t="shared" si="2"/>
        <v>40.9100758396533</v>
      </c>
      <c r="W18" s="17">
        <v>30.7715597409181</v>
      </c>
      <c r="X18" s="17">
        <v>946.888888888889</v>
      </c>
      <c r="Y18" s="3" t="s">
        <v>280</v>
      </c>
      <c r="Z18" s="30" t="s">
        <v>280</v>
      </c>
      <c r="AA18" s="3" t="s">
        <v>282</v>
      </c>
      <c r="AB18" s="3" t="s">
        <v>283</v>
      </c>
      <c r="AC18" s="3" t="s">
        <v>294</v>
      </c>
      <c r="AD18" s="35" t="str">
        <f t="shared" si="3"/>
        <v>BJP GAIN</v>
      </c>
      <c r="AE18" s="17">
        <f t="shared" si="4"/>
        <v>15.0162513542795</v>
      </c>
      <c r="AF18" s="36" t="str">
        <f t="shared" si="5"/>
        <v>LOWMARGIN</v>
      </c>
    </row>
    <row r="19" spans="1:32">
      <c r="A19" s="3">
        <v>16</v>
      </c>
      <c r="B19" s="15">
        <v>38</v>
      </c>
      <c r="C19" s="2" t="s">
        <v>317</v>
      </c>
      <c r="D19" s="16">
        <v>7</v>
      </c>
      <c r="E19" s="4" t="s">
        <v>318</v>
      </c>
      <c r="F19" s="3">
        <v>6947</v>
      </c>
      <c r="G19" s="17">
        <v>992.428571428571</v>
      </c>
      <c r="H19" s="17">
        <v>122.296895349984</v>
      </c>
      <c r="I19" s="17">
        <v>14956.5306122449</v>
      </c>
      <c r="J19" s="3">
        <v>4119</v>
      </c>
      <c r="K19" s="17">
        <v>588.428571428571</v>
      </c>
      <c r="L19" s="17">
        <f t="shared" si="0"/>
        <v>59.2917806247301</v>
      </c>
      <c r="M19" s="17">
        <v>89.6753782784759</v>
      </c>
      <c r="N19" s="17">
        <v>8041.67346938776</v>
      </c>
      <c r="O19" s="3">
        <v>1221</v>
      </c>
      <c r="P19" s="17">
        <v>174.428571428571</v>
      </c>
      <c r="Q19" s="17">
        <f t="shared" si="1"/>
        <v>29.6431172614712</v>
      </c>
      <c r="R19" s="17">
        <v>73.2800053471168</v>
      </c>
      <c r="S19" s="17">
        <v>5369.95918367347</v>
      </c>
      <c r="T19" s="27">
        <v>2828</v>
      </c>
      <c r="U19" s="17">
        <v>404</v>
      </c>
      <c r="V19" s="17">
        <f t="shared" si="2"/>
        <v>68.657441126487</v>
      </c>
      <c r="W19" s="17">
        <v>69.3953477238517</v>
      </c>
      <c r="X19" s="17">
        <v>4815.71428571429</v>
      </c>
      <c r="Y19" s="3" t="s">
        <v>310</v>
      </c>
      <c r="Z19" s="30" t="s">
        <v>282</v>
      </c>
      <c r="AA19" s="3" t="s">
        <v>281</v>
      </c>
      <c r="AB19" s="3" t="s">
        <v>283</v>
      </c>
      <c r="AC19" s="3" t="e">
        <v>#DIV/0!</v>
      </c>
      <c r="AD19" s="31" t="str">
        <f t="shared" si="3"/>
        <v>CONGRESS GAIN</v>
      </c>
      <c r="AE19" s="17">
        <f>((U19-P19)/K19)*100</f>
        <v>39.0143238650158</v>
      </c>
      <c r="AF19" s="38" t="str">
        <f t="shared" si="5"/>
        <v>MEDIUMMARGIN</v>
      </c>
    </row>
    <row r="20" spans="1:32">
      <c r="A20" s="3">
        <v>17</v>
      </c>
      <c r="B20" s="15">
        <v>39</v>
      </c>
      <c r="C20" s="2" t="s">
        <v>319</v>
      </c>
      <c r="D20" s="16">
        <v>6</v>
      </c>
      <c r="E20" s="4" t="s">
        <v>320</v>
      </c>
      <c r="F20" s="3">
        <v>6430</v>
      </c>
      <c r="G20" s="17">
        <v>1071.66666666667</v>
      </c>
      <c r="H20" s="17">
        <v>345.820602175303</v>
      </c>
      <c r="I20" s="17">
        <v>119591.888888889</v>
      </c>
      <c r="J20" s="3">
        <v>4010</v>
      </c>
      <c r="K20" s="17">
        <v>668.333333333333</v>
      </c>
      <c r="L20" s="17">
        <f t="shared" si="0"/>
        <v>62.3639191290824</v>
      </c>
      <c r="M20" s="17">
        <v>199.203971401732</v>
      </c>
      <c r="N20" s="17">
        <v>39682.2222222222</v>
      </c>
      <c r="O20" s="3">
        <v>1017</v>
      </c>
      <c r="P20" s="17">
        <v>169.5</v>
      </c>
      <c r="Q20" s="17">
        <f t="shared" si="1"/>
        <v>25.3615960099751</v>
      </c>
      <c r="R20" s="17">
        <v>190.454500253123</v>
      </c>
      <c r="S20" s="17">
        <v>36272.9166666667</v>
      </c>
      <c r="T20" s="27">
        <v>2897</v>
      </c>
      <c r="U20" s="17">
        <v>482.833333333333</v>
      </c>
      <c r="V20" s="17">
        <f t="shared" si="2"/>
        <v>72.2443890274314</v>
      </c>
      <c r="W20" s="17">
        <v>91.572224075984</v>
      </c>
      <c r="X20" s="17">
        <v>8385.47222222222</v>
      </c>
      <c r="Y20" s="3" t="s">
        <v>310</v>
      </c>
      <c r="Z20" s="30" t="s">
        <v>282</v>
      </c>
      <c r="AA20" s="3" t="s">
        <v>281</v>
      </c>
      <c r="AB20" s="3" t="s">
        <v>283</v>
      </c>
      <c r="AC20" s="3" t="s">
        <v>284</v>
      </c>
      <c r="AD20" s="31" t="str">
        <f t="shared" si="3"/>
        <v>CONGRESS GAIN</v>
      </c>
      <c r="AE20" s="17">
        <f>((U20-P20)/K20)*100</f>
        <v>46.8827930174564</v>
      </c>
      <c r="AF20" s="39" t="str">
        <f t="shared" si="5"/>
        <v>HIGHMARGIN</v>
      </c>
    </row>
    <row r="21" spans="1:32">
      <c r="A21" s="3">
        <v>18</v>
      </c>
      <c r="B21" s="15">
        <v>40</v>
      </c>
      <c r="C21" s="2" t="s">
        <v>321</v>
      </c>
      <c r="D21" s="16">
        <v>5</v>
      </c>
      <c r="E21" s="4" t="s">
        <v>322</v>
      </c>
      <c r="F21" s="3">
        <v>4880</v>
      </c>
      <c r="G21" s="17">
        <v>976</v>
      </c>
      <c r="H21" s="17">
        <v>205.02585202847</v>
      </c>
      <c r="I21" s="17">
        <v>42035.6</v>
      </c>
      <c r="J21" s="3">
        <v>2577</v>
      </c>
      <c r="K21" s="17">
        <v>515.4</v>
      </c>
      <c r="L21" s="17">
        <f t="shared" si="0"/>
        <v>52.8073770491803</v>
      </c>
      <c r="M21" s="17">
        <v>128.493735255848</v>
      </c>
      <c r="N21" s="17">
        <v>16510.64</v>
      </c>
      <c r="O21" s="3">
        <v>1093</v>
      </c>
      <c r="P21" s="17">
        <v>218.6</v>
      </c>
      <c r="Q21" s="17">
        <f t="shared" si="1"/>
        <v>42.4136592937524</v>
      </c>
      <c r="R21" s="17">
        <v>64.8771146090823</v>
      </c>
      <c r="S21" s="17">
        <v>4209.04</v>
      </c>
      <c r="T21" s="27">
        <v>1420</v>
      </c>
      <c r="U21" s="17">
        <v>284</v>
      </c>
      <c r="V21" s="17">
        <f t="shared" si="2"/>
        <v>55.1028327512612</v>
      </c>
      <c r="W21" s="17">
        <v>114.078920050989</v>
      </c>
      <c r="X21" s="17">
        <v>13014</v>
      </c>
      <c r="Y21" s="3" t="s">
        <v>310</v>
      </c>
      <c r="Z21" s="30" t="s">
        <v>282</v>
      </c>
      <c r="AA21" s="3" t="s">
        <v>281</v>
      </c>
      <c r="AB21" s="3" t="s">
        <v>283</v>
      </c>
      <c r="AC21" s="3" t="e">
        <v>#DIV/0!</v>
      </c>
      <c r="AD21" s="31" t="str">
        <f t="shared" si="3"/>
        <v>CONGRESS GAIN</v>
      </c>
      <c r="AE21" s="17">
        <f>((U21-P21)/K21)*100</f>
        <v>12.6891734575087</v>
      </c>
      <c r="AF21" s="36" t="str">
        <f t="shared" si="5"/>
        <v>LOWMARGIN</v>
      </c>
    </row>
    <row r="22" spans="1:32">
      <c r="A22" s="3">
        <v>19</v>
      </c>
      <c r="B22" s="15">
        <v>41</v>
      </c>
      <c r="C22" s="2" t="s">
        <v>323</v>
      </c>
      <c r="D22" s="16">
        <v>5</v>
      </c>
      <c r="E22" s="4" t="s">
        <v>324</v>
      </c>
      <c r="F22" s="3">
        <v>4860</v>
      </c>
      <c r="G22" s="17">
        <v>972</v>
      </c>
      <c r="H22" s="17">
        <v>211.426583002233</v>
      </c>
      <c r="I22" s="17">
        <v>44701.2</v>
      </c>
      <c r="J22" s="3">
        <v>3320</v>
      </c>
      <c r="K22" s="17">
        <v>664</v>
      </c>
      <c r="L22" s="17">
        <f t="shared" si="0"/>
        <v>68.3127572016461</v>
      </c>
      <c r="M22" s="17">
        <v>152.933972681023</v>
      </c>
      <c r="N22" s="17">
        <v>23388.8</v>
      </c>
      <c r="O22" s="3">
        <v>2557</v>
      </c>
      <c r="P22" s="17">
        <v>511.4</v>
      </c>
      <c r="Q22" s="17">
        <f t="shared" si="1"/>
        <v>77.0180722891566</v>
      </c>
      <c r="R22" s="17">
        <v>154.251223658031</v>
      </c>
      <c r="S22" s="17">
        <v>23793.44</v>
      </c>
      <c r="T22" s="27">
        <v>629</v>
      </c>
      <c r="U22" s="17">
        <v>125.8</v>
      </c>
      <c r="V22" s="17">
        <f t="shared" si="2"/>
        <v>18.9457831325301</v>
      </c>
      <c r="W22" s="17">
        <v>34.92506263416</v>
      </c>
      <c r="X22" s="17">
        <v>1219.76</v>
      </c>
      <c r="Y22" s="3" t="s">
        <v>280</v>
      </c>
      <c r="Z22" s="30" t="s">
        <v>281</v>
      </c>
      <c r="AA22" s="3" t="s">
        <v>282</v>
      </c>
      <c r="AB22" s="3" t="s">
        <v>297</v>
      </c>
      <c r="AC22" s="3" t="s">
        <v>284</v>
      </c>
      <c r="AD22" s="35" t="str">
        <f t="shared" si="3"/>
        <v>BJP GAIN</v>
      </c>
      <c r="AE22" s="17">
        <f t="shared" si="4"/>
        <v>58.0722891566265</v>
      </c>
      <c r="AF22" s="30" t="str">
        <f t="shared" si="5"/>
        <v>VERYHIGHMARGIN</v>
      </c>
    </row>
    <row r="23" spans="1:32">
      <c r="A23" s="3">
        <v>20</v>
      </c>
      <c r="B23" s="15">
        <v>42</v>
      </c>
      <c r="C23" s="2" t="s">
        <v>325</v>
      </c>
      <c r="D23" s="16">
        <v>7</v>
      </c>
      <c r="E23" s="3" t="s">
        <v>326</v>
      </c>
      <c r="F23" s="3">
        <v>8068</v>
      </c>
      <c r="G23" s="17">
        <v>1152.57142857143</v>
      </c>
      <c r="H23" s="17">
        <v>255.985410936336</v>
      </c>
      <c r="I23" s="17">
        <v>65528.5306122449</v>
      </c>
      <c r="J23" s="3">
        <v>5250</v>
      </c>
      <c r="K23" s="17">
        <v>750</v>
      </c>
      <c r="L23" s="17">
        <f t="shared" si="0"/>
        <v>65.0718889439762</v>
      </c>
      <c r="M23" s="17">
        <v>150.812087427652</v>
      </c>
      <c r="N23" s="17">
        <v>22744.2857142857</v>
      </c>
      <c r="O23" s="3">
        <v>3725</v>
      </c>
      <c r="P23" s="17">
        <v>532.142857142857</v>
      </c>
      <c r="Q23" s="17">
        <f t="shared" si="1"/>
        <v>70.9523809523809</v>
      </c>
      <c r="R23" s="17">
        <v>226.824934741329</v>
      </c>
      <c r="S23" s="17">
        <v>51449.5510204082</v>
      </c>
      <c r="T23" s="27">
        <v>1323</v>
      </c>
      <c r="U23" s="17">
        <v>189</v>
      </c>
      <c r="V23" s="17">
        <f t="shared" si="2"/>
        <v>25.2</v>
      </c>
      <c r="W23" s="17">
        <v>107.313958618093</v>
      </c>
      <c r="X23" s="17">
        <v>11516.2857142857</v>
      </c>
      <c r="Y23" s="3" t="s">
        <v>287</v>
      </c>
      <c r="Z23" s="30" t="s">
        <v>281</v>
      </c>
      <c r="AA23" s="3" t="s">
        <v>282</v>
      </c>
      <c r="AB23" s="3" t="s">
        <v>283</v>
      </c>
      <c r="AC23" s="3" t="s">
        <v>284</v>
      </c>
      <c r="AD23" s="35" t="str">
        <f t="shared" si="3"/>
        <v>BJP GAIN</v>
      </c>
      <c r="AE23" s="17">
        <f t="shared" si="4"/>
        <v>45.752380952381</v>
      </c>
      <c r="AF23" s="39" t="str">
        <f t="shared" si="5"/>
        <v>HIGHMARGIN</v>
      </c>
    </row>
    <row r="24" spans="1:32">
      <c r="A24" s="3">
        <v>21</v>
      </c>
      <c r="B24" s="15">
        <v>43</v>
      </c>
      <c r="C24" s="2" t="s">
        <v>327</v>
      </c>
      <c r="D24" s="16">
        <v>5</v>
      </c>
      <c r="E24" s="3" t="s">
        <v>328</v>
      </c>
      <c r="F24" s="3">
        <v>5432</v>
      </c>
      <c r="G24" s="17">
        <v>1086.4</v>
      </c>
      <c r="H24" s="17">
        <v>209.958662598141</v>
      </c>
      <c r="I24" s="17">
        <v>44082.64</v>
      </c>
      <c r="J24" s="3">
        <v>3745</v>
      </c>
      <c r="K24" s="17">
        <v>749</v>
      </c>
      <c r="L24" s="17">
        <f t="shared" si="0"/>
        <v>68.9432989690722</v>
      </c>
      <c r="M24" s="17">
        <v>139.949991068238</v>
      </c>
      <c r="N24" s="17">
        <v>19586</v>
      </c>
      <c r="O24" s="3">
        <v>1022</v>
      </c>
      <c r="P24" s="17">
        <v>204.4</v>
      </c>
      <c r="Q24" s="17">
        <f t="shared" si="1"/>
        <v>27.2897196261682</v>
      </c>
      <c r="R24" s="17">
        <v>76.203936906173</v>
      </c>
      <c r="S24" s="17">
        <v>5807.04</v>
      </c>
      <c r="T24" s="27">
        <v>2646</v>
      </c>
      <c r="U24" s="17">
        <v>529.2</v>
      </c>
      <c r="V24" s="17">
        <f t="shared" si="2"/>
        <v>70.6542056074766</v>
      </c>
      <c r="W24" s="17">
        <v>144.91431951329</v>
      </c>
      <c r="X24" s="17">
        <v>21000.16</v>
      </c>
      <c r="Y24" s="3" t="s">
        <v>287</v>
      </c>
      <c r="Z24" s="30" t="s">
        <v>282</v>
      </c>
      <c r="AA24" s="3" t="s">
        <v>281</v>
      </c>
      <c r="AB24" s="3" t="s">
        <v>297</v>
      </c>
      <c r="AC24" s="3" t="s">
        <v>284</v>
      </c>
      <c r="AD24" s="31" t="str">
        <f t="shared" si="3"/>
        <v>CONGRESS GAIN</v>
      </c>
      <c r="AE24" s="17">
        <f>((U24-P24)/K24)*100</f>
        <v>43.3644859813084</v>
      </c>
      <c r="AF24" s="39" t="str">
        <f t="shared" si="5"/>
        <v>HIGHMARGIN</v>
      </c>
    </row>
    <row r="25" spans="1:32">
      <c r="A25" s="3">
        <v>22</v>
      </c>
      <c r="B25" s="15">
        <v>44</v>
      </c>
      <c r="C25" s="2" t="s">
        <v>329</v>
      </c>
      <c r="D25" s="16">
        <v>6</v>
      </c>
      <c r="E25" s="3" t="s">
        <v>330</v>
      </c>
      <c r="F25" s="3">
        <v>5338</v>
      </c>
      <c r="G25" s="17">
        <v>889.666666666667</v>
      </c>
      <c r="H25" s="17">
        <v>274.036899380763</v>
      </c>
      <c r="I25" s="17">
        <v>75096.2222222222</v>
      </c>
      <c r="J25" s="3">
        <v>3530</v>
      </c>
      <c r="K25" s="17">
        <v>588.333333333333</v>
      </c>
      <c r="L25" s="17">
        <f t="shared" si="0"/>
        <v>66.129636568003</v>
      </c>
      <c r="M25" s="17">
        <v>173.012202524048</v>
      </c>
      <c r="N25" s="17">
        <v>29933.2222222222</v>
      </c>
      <c r="O25" s="3">
        <v>1399</v>
      </c>
      <c r="P25" s="17">
        <v>233.166666666667</v>
      </c>
      <c r="Q25" s="17">
        <f t="shared" si="1"/>
        <v>39.6317280453258</v>
      </c>
      <c r="R25" s="17">
        <v>127.205105592853</v>
      </c>
      <c r="S25" s="17">
        <v>16181.1388888889</v>
      </c>
      <c r="T25" s="27">
        <v>1987</v>
      </c>
      <c r="U25" s="17">
        <v>331.166666666667</v>
      </c>
      <c r="V25" s="17">
        <f t="shared" si="2"/>
        <v>56.2889518413598</v>
      </c>
      <c r="W25" s="17">
        <v>202.717715610211</v>
      </c>
      <c r="X25" s="17">
        <v>41094.4722222222</v>
      </c>
      <c r="Y25" s="3" t="s">
        <v>287</v>
      </c>
      <c r="Z25" s="30" t="s">
        <v>310</v>
      </c>
      <c r="AA25" s="3" t="s">
        <v>282</v>
      </c>
      <c r="AB25" s="3" t="s">
        <v>297</v>
      </c>
      <c r="AC25" s="3" t="s">
        <v>294</v>
      </c>
      <c r="AD25" s="31" t="str">
        <f t="shared" si="3"/>
        <v>CONGRESS GAIN</v>
      </c>
      <c r="AE25" s="17">
        <f>((U25-P25)/K25)*100</f>
        <v>16.657223796034</v>
      </c>
      <c r="AF25" s="36" t="str">
        <f>IF(AE25&gt;=50,"VERYHIGHMARGIN",IF(AE25&gt;=40,"HIGHMARGIN",IF(AE25&gt;=30,"MEDIUMMARGIN",IF(AE25&gt;10,"LOWMARGIN",IF(AE25&gt;=1,"NARROWMARGIN")))))</f>
        <v>LOWMARGIN</v>
      </c>
    </row>
    <row r="26" spans="1:32">
      <c r="A26" s="3">
        <v>23</v>
      </c>
      <c r="B26" s="15">
        <v>45</v>
      </c>
      <c r="C26" s="2" t="s">
        <v>331</v>
      </c>
      <c r="D26" s="16">
        <v>6</v>
      </c>
      <c r="E26" s="3" t="s">
        <v>332</v>
      </c>
      <c r="F26" s="3">
        <v>7200</v>
      </c>
      <c r="G26" s="17">
        <v>1200</v>
      </c>
      <c r="H26" s="17">
        <v>129.009043610645</v>
      </c>
      <c r="I26" s="17">
        <v>16643.3333333333</v>
      </c>
      <c r="J26" s="3">
        <v>4870</v>
      </c>
      <c r="K26" s="17">
        <v>811.666666666667</v>
      </c>
      <c r="L26" s="17">
        <f t="shared" si="0"/>
        <v>67.6388888888889</v>
      </c>
      <c r="M26" s="17">
        <v>90.0715764760942</v>
      </c>
      <c r="N26" s="17">
        <v>8112.88888888889</v>
      </c>
      <c r="O26" s="3">
        <v>2311</v>
      </c>
      <c r="P26" s="17">
        <v>385.166666666667</v>
      </c>
      <c r="Q26" s="17">
        <f t="shared" si="1"/>
        <v>47.4537987679672</v>
      </c>
      <c r="R26" s="17">
        <v>116.036512452858</v>
      </c>
      <c r="S26" s="17">
        <v>13464.4722222222</v>
      </c>
      <c r="T26" s="27">
        <v>2430</v>
      </c>
      <c r="U26" s="17">
        <v>405</v>
      </c>
      <c r="V26" s="17">
        <f t="shared" si="2"/>
        <v>49.8973305954826</v>
      </c>
      <c r="W26" s="17">
        <v>124.378454725889</v>
      </c>
      <c r="X26" s="17">
        <v>15470</v>
      </c>
      <c r="Y26" s="3" t="s">
        <v>287</v>
      </c>
      <c r="Z26" s="30" t="s">
        <v>282</v>
      </c>
      <c r="AA26" s="3" t="s">
        <v>281</v>
      </c>
      <c r="AB26" s="3" t="s">
        <v>283</v>
      </c>
      <c r="AC26" s="3" t="e">
        <v>#DIV/0!</v>
      </c>
      <c r="AD26" s="31" t="str">
        <f t="shared" si="3"/>
        <v>CONGRESS GAIN</v>
      </c>
      <c r="AE26" s="17">
        <f>((U26-P26)/K26)*100</f>
        <v>2.4435318275154</v>
      </c>
      <c r="AF26" s="32" t="str">
        <f t="shared" ref="AF26:AF32" si="6">IF(AE26&gt;=50,"VERYHIGHMARGIN",IF(AE26&gt;=40,"HIGHMARGIN",IF(AE26&gt;=30,"MEDIUMMARGIN",IF(AE26&gt;10,"LOWMARGIN",IF(AE26&gt;=1,"NARROWMARGIN")))))</f>
        <v>NARROWMARGIN</v>
      </c>
    </row>
    <row r="27" spans="1:32">
      <c r="A27" s="3">
        <v>24</v>
      </c>
      <c r="B27" s="15">
        <v>46</v>
      </c>
      <c r="C27" s="2" t="s">
        <v>333</v>
      </c>
      <c r="D27" s="16">
        <v>5</v>
      </c>
      <c r="E27" s="3" t="s">
        <v>334</v>
      </c>
      <c r="F27" s="3">
        <v>5129</v>
      </c>
      <c r="G27" s="17">
        <v>1025.8</v>
      </c>
      <c r="H27" s="17">
        <v>160.510934206988</v>
      </c>
      <c r="I27" s="17">
        <v>25763.76</v>
      </c>
      <c r="J27" s="3">
        <v>3179</v>
      </c>
      <c r="K27" s="17">
        <v>635.8</v>
      </c>
      <c r="L27" s="17">
        <f t="shared" si="0"/>
        <v>61.980892961591</v>
      </c>
      <c r="M27" s="17">
        <v>152.201708268994</v>
      </c>
      <c r="N27" s="17">
        <v>23165.36</v>
      </c>
      <c r="O27" s="3">
        <v>1885</v>
      </c>
      <c r="P27" s="17">
        <v>377</v>
      </c>
      <c r="Q27" s="17">
        <f t="shared" si="1"/>
        <v>59.2953759043724</v>
      </c>
      <c r="R27" s="17">
        <v>100.057983189749</v>
      </c>
      <c r="S27" s="17">
        <v>10011.6</v>
      </c>
      <c r="T27" s="27">
        <v>1217</v>
      </c>
      <c r="U27" s="17">
        <v>243.4</v>
      </c>
      <c r="V27" s="17">
        <f t="shared" si="2"/>
        <v>38.2824787669078</v>
      </c>
      <c r="W27" s="17">
        <v>106.24236443152</v>
      </c>
      <c r="X27" s="17">
        <v>11287.44</v>
      </c>
      <c r="Y27" s="3" t="s">
        <v>287</v>
      </c>
      <c r="Z27" s="30" t="s">
        <v>282</v>
      </c>
      <c r="AA27" s="3" t="s">
        <v>281</v>
      </c>
      <c r="AB27" s="3" t="s">
        <v>283</v>
      </c>
      <c r="AC27" s="3" t="e">
        <v>#DIV/0!</v>
      </c>
      <c r="AD27" s="35" t="str">
        <f t="shared" si="3"/>
        <v>BJP GAIN</v>
      </c>
      <c r="AE27" s="17">
        <f t="shared" si="4"/>
        <v>21.0128971374646</v>
      </c>
      <c r="AF27" s="36" t="str">
        <f t="shared" si="6"/>
        <v>LOWMARGIN</v>
      </c>
    </row>
    <row r="28" spans="1:32">
      <c r="A28" s="3">
        <v>25</v>
      </c>
      <c r="B28" s="15">
        <v>47</v>
      </c>
      <c r="C28" s="2" t="s">
        <v>335</v>
      </c>
      <c r="D28" s="16">
        <v>5</v>
      </c>
      <c r="E28" s="3" t="s">
        <v>336</v>
      </c>
      <c r="F28" s="3">
        <v>6415</v>
      </c>
      <c r="G28" s="17">
        <v>1283</v>
      </c>
      <c r="H28" s="17">
        <v>188.732615093417</v>
      </c>
      <c r="I28" s="17">
        <v>35620</v>
      </c>
      <c r="J28" s="3">
        <v>3780</v>
      </c>
      <c r="K28" s="17">
        <v>756</v>
      </c>
      <c r="L28" s="17">
        <f t="shared" si="0"/>
        <v>58.9243959469992</v>
      </c>
      <c r="M28" s="17">
        <v>110.305031616876</v>
      </c>
      <c r="N28" s="17">
        <v>12167.2</v>
      </c>
      <c r="O28" s="3">
        <v>1514</v>
      </c>
      <c r="P28" s="17">
        <v>302.8</v>
      </c>
      <c r="Q28" s="17">
        <f t="shared" si="1"/>
        <v>40.0529100529101</v>
      </c>
      <c r="R28" s="17">
        <v>106.501455389117</v>
      </c>
      <c r="S28" s="17">
        <v>11342.56</v>
      </c>
      <c r="T28" s="27">
        <v>2200</v>
      </c>
      <c r="U28" s="17">
        <v>440</v>
      </c>
      <c r="V28" s="17">
        <f t="shared" si="2"/>
        <v>58.2010582010582</v>
      </c>
      <c r="W28" s="17">
        <v>69.6304531078177</v>
      </c>
      <c r="X28" s="17">
        <v>4848.4</v>
      </c>
      <c r="Y28" s="3" t="s">
        <v>310</v>
      </c>
      <c r="Z28" s="30" t="s">
        <v>282</v>
      </c>
      <c r="AA28" s="37" t="s">
        <v>287</v>
      </c>
      <c r="AB28" s="3" t="s">
        <v>283</v>
      </c>
      <c r="AC28" s="3" t="s">
        <v>294</v>
      </c>
      <c r="AD28" s="31" t="str">
        <f t="shared" si="3"/>
        <v>CONGRESS GAIN</v>
      </c>
      <c r="AE28" s="17">
        <f>((U28-P28)/K28)*100</f>
        <v>18.1481481481481</v>
      </c>
      <c r="AF28" s="36" t="str">
        <f t="shared" si="6"/>
        <v>LOWMARGIN</v>
      </c>
    </row>
    <row r="29" spans="1:32">
      <c r="A29" s="3">
        <v>26</v>
      </c>
      <c r="B29" s="15">
        <v>48</v>
      </c>
      <c r="C29" s="2" t="s">
        <v>337</v>
      </c>
      <c r="D29" s="16">
        <v>6</v>
      </c>
      <c r="E29" s="3" t="s">
        <v>338</v>
      </c>
      <c r="F29" s="3">
        <v>6402</v>
      </c>
      <c r="G29" s="17">
        <v>1067</v>
      </c>
      <c r="H29" s="17">
        <v>266.74207267196</v>
      </c>
      <c r="I29" s="17">
        <v>71151.3333333333</v>
      </c>
      <c r="J29" s="3">
        <v>4156</v>
      </c>
      <c r="K29" s="17">
        <v>692.666666666667</v>
      </c>
      <c r="L29" s="17">
        <f t="shared" si="0"/>
        <v>64.9172133708216</v>
      </c>
      <c r="M29" s="17">
        <v>218.884038299329</v>
      </c>
      <c r="N29" s="17">
        <v>47910.2222222222</v>
      </c>
      <c r="O29" s="3">
        <v>1919</v>
      </c>
      <c r="P29" s="17">
        <v>319.833333333333</v>
      </c>
      <c r="Q29" s="17">
        <f t="shared" si="1"/>
        <v>46.1742059672762</v>
      </c>
      <c r="R29" s="17">
        <v>220.536782016566</v>
      </c>
      <c r="S29" s="17">
        <v>48636.4722222222</v>
      </c>
      <c r="T29" s="27">
        <v>2126</v>
      </c>
      <c r="U29" s="17">
        <v>354.333333333333</v>
      </c>
      <c r="V29" s="17">
        <f t="shared" si="2"/>
        <v>51.1549566891242</v>
      </c>
      <c r="W29" s="17">
        <v>60.0351748745868</v>
      </c>
      <c r="X29" s="17">
        <v>3604.22222222222</v>
      </c>
      <c r="Y29" s="3" t="s">
        <v>287</v>
      </c>
      <c r="Z29" s="30" t="s">
        <v>281</v>
      </c>
      <c r="AA29" s="3" t="s">
        <v>282</v>
      </c>
      <c r="AB29" s="3" t="s">
        <v>283</v>
      </c>
      <c r="AC29" s="3" t="s">
        <v>294</v>
      </c>
      <c r="AD29" s="31" t="str">
        <f t="shared" si="3"/>
        <v>CONGRESS GAIN</v>
      </c>
      <c r="AE29" s="17">
        <f>((U29-P29)/K29)*100</f>
        <v>4.98075072184793</v>
      </c>
      <c r="AF29" s="32" t="str">
        <f t="shared" si="6"/>
        <v>NARROWMARGIN</v>
      </c>
    </row>
    <row r="30" spans="1:32">
      <c r="A30" s="3">
        <v>27</v>
      </c>
      <c r="B30" s="15">
        <v>49</v>
      </c>
      <c r="C30" s="2" t="s">
        <v>339</v>
      </c>
      <c r="D30" s="16">
        <v>6</v>
      </c>
      <c r="E30" s="3" t="s">
        <v>340</v>
      </c>
      <c r="F30" s="3">
        <v>5515</v>
      </c>
      <c r="G30" s="17">
        <v>919.166666666667</v>
      </c>
      <c r="H30" s="17">
        <v>222.478775517027</v>
      </c>
      <c r="I30" s="17">
        <v>49496.8055555556</v>
      </c>
      <c r="J30" s="3">
        <v>3890</v>
      </c>
      <c r="K30" s="17">
        <v>648.333333333333</v>
      </c>
      <c r="L30" s="17">
        <f t="shared" si="0"/>
        <v>70.5349048050771</v>
      </c>
      <c r="M30" s="17">
        <v>179.756007471857</v>
      </c>
      <c r="N30" s="17">
        <v>32312.2222222222</v>
      </c>
      <c r="O30" s="3">
        <v>1966</v>
      </c>
      <c r="P30" s="17">
        <v>327.666666666667</v>
      </c>
      <c r="Q30" s="17">
        <f t="shared" si="1"/>
        <v>50.5398457583548</v>
      </c>
      <c r="R30" s="17">
        <v>151.577996057769</v>
      </c>
      <c r="S30" s="17">
        <v>22975.8888888889</v>
      </c>
      <c r="T30" s="28">
        <v>1733</v>
      </c>
      <c r="U30" s="17">
        <v>288.833333333333</v>
      </c>
      <c r="V30" s="17">
        <f t="shared" si="2"/>
        <v>44.5501285347044</v>
      </c>
      <c r="W30" s="17">
        <v>95.9225671512647</v>
      </c>
      <c r="X30" s="17">
        <v>9201.13888888889</v>
      </c>
      <c r="Y30" s="3" t="s">
        <v>280</v>
      </c>
      <c r="Z30" s="30" t="s">
        <v>281</v>
      </c>
      <c r="AA30" s="3" t="s">
        <v>282</v>
      </c>
      <c r="AB30" s="3" t="s">
        <v>283</v>
      </c>
      <c r="AC30" s="3" t="s">
        <v>294</v>
      </c>
      <c r="AD30" s="35" t="str">
        <f t="shared" si="3"/>
        <v>BJP GAIN</v>
      </c>
      <c r="AE30" s="17">
        <f t="shared" si="4"/>
        <v>5.98971722365039</v>
      </c>
      <c r="AF30" s="32" t="str">
        <f t="shared" si="6"/>
        <v>NARROWMARGIN</v>
      </c>
    </row>
    <row r="31" spans="1:32">
      <c r="A31" s="3">
        <v>28</v>
      </c>
      <c r="B31" s="15">
        <v>50</v>
      </c>
      <c r="C31" s="2" t="s">
        <v>341</v>
      </c>
      <c r="D31" s="16">
        <v>8</v>
      </c>
      <c r="E31" s="3" t="s">
        <v>342</v>
      </c>
      <c r="F31" s="3">
        <v>7183</v>
      </c>
      <c r="G31" s="17">
        <v>897.875</v>
      </c>
      <c r="H31" s="17">
        <v>269.786229031432</v>
      </c>
      <c r="I31" s="17">
        <v>72784.609375</v>
      </c>
      <c r="J31" s="3">
        <v>5029</v>
      </c>
      <c r="K31" s="17">
        <v>628.625</v>
      </c>
      <c r="L31" s="17">
        <f t="shared" si="0"/>
        <v>70.0125295837394</v>
      </c>
      <c r="M31" s="17">
        <v>174.475598222216</v>
      </c>
      <c r="N31" s="17">
        <v>30441.734375</v>
      </c>
      <c r="O31" s="3">
        <v>3192</v>
      </c>
      <c r="P31" s="17">
        <v>399</v>
      </c>
      <c r="Q31" s="17">
        <f t="shared" si="1"/>
        <v>63.4718631934778</v>
      </c>
      <c r="R31" s="17">
        <v>144.395290781937</v>
      </c>
      <c r="S31" s="17">
        <v>20850</v>
      </c>
      <c r="T31" s="28">
        <v>1553</v>
      </c>
      <c r="U31" s="17">
        <v>194.125</v>
      </c>
      <c r="V31" s="17">
        <f t="shared" si="2"/>
        <v>30.8808908331676</v>
      </c>
      <c r="W31" s="17">
        <v>49.9110145659252</v>
      </c>
      <c r="X31" s="17">
        <v>2491.109375</v>
      </c>
      <c r="Y31" s="3" t="s">
        <v>280</v>
      </c>
      <c r="Z31" s="30" t="s">
        <v>280</v>
      </c>
      <c r="AA31" s="3" t="s">
        <v>282</v>
      </c>
      <c r="AB31" s="3" t="s">
        <v>283</v>
      </c>
      <c r="AC31" s="3" t="s">
        <v>284</v>
      </c>
      <c r="AD31" s="35" t="str">
        <f t="shared" si="3"/>
        <v>BJP GAIN</v>
      </c>
      <c r="AE31" s="17">
        <f t="shared" si="4"/>
        <v>32.5909723603102</v>
      </c>
      <c r="AF31" s="38" t="str">
        <f t="shared" si="6"/>
        <v>MEDIUMMARGIN</v>
      </c>
    </row>
    <row r="32" spans="1:32">
      <c r="A32" s="3">
        <v>29</v>
      </c>
      <c r="B32" s="15">
        <v>51</v>
      </c>
      <c r="C32" s="2" t="s">
        <v>343</v>
      </c>
      <c r="D32" s="16">
        <v>8</v>
      </c>
      <c r="E32" s="3" t="s">
        <v>344</v>
      </c>
      <c r="F32" s="3">
        <v>6956</v>
      </c>
      <c r="G32" s="17">
        <v>993.714285714286</v>
      </c>
      <c r="H32" s="17">
        <v>212.586597001057</v>
      </c>
      <c r="I32" s="17">
        <v>45193.0612244898</v>
      </c>
      <c r="J32" s="3">
        <v>4851</v>
      </c>
      <c r="K32" s="17">
        <v>693</v>
      </c>
      <c r="L32" s="17">
        <f t="shared" si="0"/>
        <v>69.7383553766532</v>
      </c>
      <c r="M32" s="17">
        <v>146.314729265375</v>
      </c>
      <c r="N32" s="17">
        <v>21408</v>
      </c>
      <c r="O32" s="3">
        <v>2370</v>
      </c>
      <c r="P32" s="17">
        <v>338.571428571429</v>
      </c>
      <c r="Q32" s="17">
        <f t="shared" si="1"/>
        <v>48.8559059987631</v>
      </c>
      <c r="R32" s="17">
        <v>158.295254998696</v>
      </c>
      <c r="S32" s="17">
        <v>25057.387755102</v>
      </c>
      <c r="T32" s="28">
        <v>2300</v>
      </c>
      <c r="U32" s="17">
        <v>328.571428571429</v>
      </c>
      <c r="V32" s="17">
        <f t="shared" si="2"/>
        <v>47.4129045557617</v>
      </c>
      <c r="W32" s="17">
        <v>217.471086513559</v>
      </c>
      <c r="X32" s="17">
        <v>47293.6734693878</v>
      </c>
      <c r="Y32" s="3" t="s">
        <v>280</v>
      </c>
      <c r="Z32" s="30" t="s">
        <v>310</v>
      </c>
      <c r="AA32" s="3" t="s">
        <v>282</v>
      </c>
      <c r="AB32" s="3" t="s">
        <v>283</v>
      </c>
      <c r="AC32" s="3" t="s">
        <v>284</v>
      </c>
      <c r="AD32" s="35" t="str">
        <f t="shared" si="3"/>
        <v>BJP GAIN</v>
      </c>
      <c r="AE32" s="17">
        <f t="shared" si="4"/>
        <v>1.44300144300144</v>
      </c>
      <c r="AF32" s="32" t="str">
        <f t="shared" si="6"/>
        <v>NARROWMARGIN</v>
      </c>
    </row>
    <row r="33" spans="1:32">
      <c r="A33" s="3">
        <v>30</v>
      </c>
      <c r="B33" s="15">
        <v>52</v>
      </c>
      <c r="C33" s="2" t="s">
        <v>345</v>
      </c>
      <c r="D33" s="16">
        <v>6</v>
      </c>
      <c r="E33" s="3" t="s">
        <v>346</v>
      </c>
      <c r="F33" s="3">
        <v>6352</v>
      </c>
      <c r="G33" s="17">
        <v>1058.66666666667</v>
      </c>
      <c r="H33" s="17">
        <v>264.813561250594</v>
      </c>
      <c r="I33" s="17">
        <v>70126.2222222222</v>
      </c>
      <c r="J33" s="3">
        <v>4571</v>
      </c>
      <c r="K33" s="17">
        <v>761.833333333333</v>
      </c>
      <c r="L33" s="17">
        <f t="shared" si="0"/>
        <v>71.9615869017632</v>
      </c>
      <c r="M33" s="17">
        <v>165.497650201513</v>
      </c>
      <c r="N33" s="17">
        <v>27389.4722222222</v>
      </c>
      <c r="O33" s="3">
        <v>2209</v>
      </c>
      <c r="P33" s="17">
        <v>368.166666666667</v>
      </c>
      <c r="Q33" s="17">
        <f t="shared" si="1"/>
        <v>48.326405600525</v>
      </c>
      <c r="R33" s="17">
        <v>167.620023333199</v>
      </c>
      <c r="S33" s="17">
        <v>28096.4722222222</v>
      </c>
      <c r="T33" s="28">
        <v>2193</v>
      </c>
      <c r="U33" s="17">
        <v>365.5</v>
      </c>
      <c r="V33" s="17">
        <f t="shared" si="2"/>
        <v>47.9763727849486</v>
      </c>
      <c r="W33" s="17">
        <v>273.00839425434</v>
      </c>
      <c r="X33" s="17">
        <v>74533.5833333333</v>
      </c>
      <c r="Y33" s="3" t="s">
        <v>280</v>
      </c>
      <c r="Z33" s="30" t="s">
        <v>281</v>
      </c>
      <c r="AA33" s="3" t="s">
        <v>282</v>
      </c>
      <c r="AB33" s="3" t="s">
        <v>283</v>
      </c>
      <c r="AC33" s="3" t="s">
        <v>284</v>
      </c>
      <c r="AD33" s="35" t="str">
        <f t="shared" si="3"/>
        <v>BJP GAIN</v>
      </c>
      <c r="AE33" s="17">
        <f t="shared" si="4"/>
        <v>0.350032815576463</v>
      </c>
      <c r="AF33" s="32" t="str">
        <f t="shared" si="5"/>
        <v>NARROWMARGIN</v>
      </c>
    </row>
    <row r="34" spans="1:32">
      <c r="A34" s="3">
        <v>31</v>
      </c>
      <c r="B34" s="15">
        <v>53</v>
      </c>
      <c r="C34" s="2" t="s">
        <v>347</v>
      </c>
      <c r="D34" s="16">
        <v>7</v>
      </c>
      <c r="E34" s="3" t="s">
        <v>348</v>
      </c>
      <c r="F34" s="3">
        <v>7037</v>
      </c>
      <c r="G34" s="17">
        <v>1036.57043650794</v>
      </c>
      <c r="H34" s="17">
        <v>127.147191885594</v>
      </c>
      <c r="I34" s="17">
        <v>16166.4084043921</v>
      </c>
      <c r="J34" s="3">
        <v>5027</v>
      </c>
      <c r="K34" s="17">
        <v>718.142857142857</v>
      </c>
      <c r="L34" s="17">
        <f t="shared" si="0"/>
        <v>69.2806616752627</v>
      </c>
      <c r="M34" s="17">
        <v>138.182517574639</v>
      </c>
      <c r="N34" s="17">
        <v>19094.4081632653</v>
      </c>
      <c r="O34" s="3">
        <v>1857</v>
      </c>
      <c r="P34" s="17">
        <v>265.285714285714</v>
      </c>
      <c r="Q34" s="17">
        <f t="shared" si="1"/>
        <v>36.9405211855978</v>
      </c>
      <c r="R34" s="17">
        <v>124.4940782134</v>
      </c>
      <c r="S34" s="17">
        <v>15498.7755102041</v>
      </c>
      <c r="T34" s="28">
        <v>2853</v>
      </c>
      <c r="U34" s="17">
        <v>407.571428571429</v>
      </c>
      <c r="V34" s="17">
        <f t="shared" si="2"/>
        <v>56.753530932962</v>
      </c>
      <c r="W34" s="17">
        <v>214.096678524217</v>
      </c>
      <c r="X34" s="17">
        <v>45837.387755102</v>
      </c>
      <c r="Y34" s="3" t="s">
        <v>280</v>
      </c>
      <c r="Z34" s="30" t="s">
        <v>282</v>
      </c>
      <c r="AA34" s="3" t="s">
        <v>282</v>
      </c>
      <c r="AB34" s="3" t="s">
        <v>283</v>
      </c>
      <c r="AC34" s="3" t="s">
        <v>284</v>
      </c>
      <c r="AD34" s="31" t="str">
        <f t="shared" si="3"/>
        <v>CONGRESS GAIN</v>
      </c>
      <c r="AE34" s="17">
        <f>((U34-P34)/K34)*100</f>
        <v>19.8130097473642</v>
      </c>
      <c r="AF34" s="36" t="str">
        <f t="shared" si="5"/>
        <v>LOWMARGIN</v>
      </c>
    </row>
    <row r="35" spans="1:32">
      <c r="A35" s="3">
        <v>32</v>
      </c>
      <c r="B35" s="15">
        <v>54</v>
      </c>
      <c r="C35" s="2" t="s">
        <v>349</v>
      </c>
      <c r="D35" s="16">
        <v>5</v>
      </c>
      <c r="E35" s="3" t="s">
        <v>350</v>
      </c>
      <c r="F35" s="3">
        <v>6186</v>
      </c>
      <c r="G35" s="17">
        <v>1237.2</v>
      </c>
      <c r="H35" s="17">
        <v>353.831259218289</v>
      </c>
      <c r="I35" s="17">
        <v>125196.56</v>
      </c>
      <c r="J35" s="3">
        <v>4533</v>
      </c>
      <c r="K35" s="17">
        <v>906.6</v>
      </c>
      <c r="L35" s="17">
        <f t="shared" si="0"/>
        <v>73.278370514064</v>
      </c>
      <c r="M35" s="17">
        <v>269.978221343871</v>
      </c>
      <c r="N35" s="17">
        <v>72888.24</v>
      </c>
      <c r="O35" s="3">
        <v>2746</v>
      </c>
      <c r="P35" s="17">
        <v>549.2</v>
      </c>
      <c r="Q35" s="17">
        <f t="shared" si="1"/>
        <v>60.5779836752702</v>
      </c>
      <c r="R35" s="17">
        <v>187.64157321873</v>
      </c>
      <c r="S35" s="17">
        <v>35209.36</v>
      </c>
      <c r="T35" s="28">
        <v>1391</v>
      </c>
      <c r="U35" s="17">
        <v>278.2</v>
      </c>
      <c r="V35" s="17">
        <f t="shared" si="2"/>
        <v>30.6860798588131</v>
      </c>
      <c r="W35" s="17">
        <v>81.4257944388632</v>
      </c>
      <c r="X35" s="17">
        <v>6630.16</v>
      </c>
      <c r="Y35" s="3" t="s">
        <v>280</v>
      </c>
      <c r="Z35" s="30" t="s">
        <v>282</v>
      </c>
      <c r="AA35" s="3" t="s">
        <v>282</v>
      </c>
      <c r="AB35" s="3" t="s">
        <v>283</v>
      </c>
      <c r="AC35" s="3" t="s">
        <v>284</v>
      </c>
      <c r="AD35" s="35" t="str">
        <f t="shared" si="3"/>
        <v>BJP GAIN</v>
      </c>
      <c r="AE35" s="17">
        <f t="shared" si="4"/>
        <v>29.8919038164571</v>
      </c>
      <c r="AF35" s="36" t="str">
        <f t="shared" si="5"/>
        <v>LOWMARGIN</v>
      </c>
    </row>
    <row r="36" spans="1:32">
      <c r="A36" s="3">
        <v>33</v>
      </c>
      <c r="B36" s="15">
        <v>55</v>
      </c>
      <c r="C36" s="2" t="s">
        <v>351</v>
      </c>
      <c r="D36" s="16">
        <v>8</v>
      </c>
      <c r="E36" s="3" t="s">
        <v>352</v>
      </c>
      <c r="F36" s="3">
        <v>7992</v>
      </c>
      <c r="G36" s="17">
        <v>999</v>
      </c>
      <c r="H36" s="17">
        <v>216.378718916625</v>
      </c>
      <c r="I36" s="17">
        <v>46819.75</v>
      </c>
      <c r="J36" s="3">
        <v>5252</v>
      </c>
      <c r="K36" s="17">
        <v>656.5</v>
      </c>
      <c r="L36" s="17">
        <f t="shared" si="0"/>
        <v>65.7157157157157</v>
      </c>
      <c r="M36" s="17">
        <v>136.496336947187</v>
      </c>
      <c r="N36" s="17">
        <v>18631.25</v>
      </c>
      <c r="O36" s="3">
        <v>2523</v>
      </c>
      <c r="P36" s="17">
        <v>315.375</v>
      </c>
      <c r="Q36" s="17">
        <f t="shared" si="1"/>
        <v>48.038842345773</v>
      </c>
      <c r="R36" s="17">
        <v>87.8036694848228</v>
      </c>
      <c r="S36" s="17">
        <v>7709.484375</v>
      </c>
      <c r="T36" s="28">
        <v>2567</v>
      </c>
      <c r="U36" s="17">
        <v>320.875</v>
      </c>
      <c r="V36" s="17">
        <f t="shared" si="2"/>
        <v>48.8766184310739</v>
      </c>
      <c r="W36" s="17">
        <v>116.604499805968</v>
      </c>
      <c r="X36" s="17">
        <v>13596.609375</v>
      </c>
      <c r="Y36" s="3" t="s">
        <v>287</v>
      </c>
      <c r="Z36" s="30" t="s">
        <v>282</v>
      </c>
      <c r="AA36" s="3" t="s">
        <v>281</v>
      </c>
      <c r="AB36" s="3" t="s">
        <v>283</v>
      </c>
      <c r="AC36" s="3" t="e">
        <v>#DIV/0!</v>
      </c>
      <c r="AD36" s="31" t="str">
        <f t="shared" si="3"/>
        <v>CONGRESS GAIN</v>
      </c>
      <c r="AE36" s="17">
        <f>((U36-P36)/K36)*100</f>
        <v>0.837776085300838</v>
      </c>
      <c r="AF36" s="32" t="str">
        <f t="shared" si="5"/>
        <v>NARROWMARGIN</v>
      </c>
    </row>
    <row r="37" spans="1:32">
      <c r="A37" s="3">
        <v>34</v>
      </c>
      <c r="B37" s="15">
        <v>56</v>
      </c>
      <c r="C37" s="2" t="s">
        <v>353</v>
      </c>
      <c r="D37" s="16">
        <v>5</v>
      </c>
      <c r="E37" s="3" t="s">
        <v>354</v>
      </c>
      <c r="F37" s="3">
        <v>5437</v>
      </c>
      <c r="G37" s="17">
        <v>1087.4</v>
      </c>
      <c r="H37" s="17">
        <v>145.22892273924</v>
      </c>
      <c r="I37" s="17">
        <v>21091.44</v>
      </c>
      <c r="J37" s="3">
        <v>3589</v>
      </c>
      <c r="K37" s="17">
        <v>717.8</v>
      </c>
      <c r="L37" s="17">
        <f t="shared" si="0"/>
        <v>66.0106676475998</v>
      </c>
      <c r="M37" s="17">
        <v>110.062527683131</v>
      </c>
      <c r="N37" s="17">
        <v>12113.76</v>
      </c>
      <c r="O37" s="3">
        <v>1817</v>
      </c>
      <c r="P37" s="17">
        <v>363.4</v>
      </c>
      <c r="Q37" s="17">
        <f t="shared" si="1"/>
        <v>50.6269155753692</v>
      </c>
      <c r="R37" s="17">
        <v>102.881679613039</v>
      </c>
      <c r="S37" s="17">
        <v>10584.64</v>
      </c>
      <c r="T37" s="28">
        <v>1672</v>
      </c>
      <c r="U37" s="17">
        <v>334.4</v>
      </c>
      <c r="V37" s="17">
        <f t="shared" si="2"/>
        <v>46.5867929785456</v>
      </c>
      <c r="W37" s="17">
        <v>67.6242560033011</v>
      </c>
      <c r="X37" s="17">
        <v>4573.04</v>
      </c>
      <c r="Y37" s="3" t="s">
        <v>287</v>
      </c>
      <c r="Z37" s="30" t="s">
        <v>282</v>
      </c>
      <c r="AA37" s="3" t="s">
        <v>281</v>
      </c>
      <c r="AB37" s="3" t="s">
        <v>283</v>
      </c>
      <c r="AC37" s="3" t="e">
        <v>#DIV/0!</v>
      </c>
      <c r="AD37" s="35" t="str">
        <f t="shared" si="3"/>
        <v>BJP GAIN</v>
      </c>
      <c r="AE37" s="17">
        <f t="shared" si="4"/>
        <v>4.04012259682363</v>
      </c>
      <c r="AF37" s="32" t="str">
        <f>IF(AE37&gt;=50,"VERYHIGHMARGIN",IF(AE37&gt;=40,"HIGHMARGIN",IF(AE37&gt;=30,"MEDIUMMARGIN",IF(AE37&gt;10,"LOWMARGIN",IF(AE37&gt;=1,"NARROWMARGIN")))))</f>
        <v>NARROWMARGIN</v>
      </c>
    </row>
    <row r="38" spans="1:32">
      <c r="A38" s="3">
        <v>35</v>
      </c>
      <c r="B38" s="15">
        <v>57</v>
      </c>
      <c r="C38" s="2" t="s">
        <v>355</v>
      </c>
      <c r="D38" s="16">
        <v>5</v>
      </c>
      <c r="E38" s="3" t="s">
        <v>356</v>
      </c>
      <c r="F38" s="3">
        <v>6302</v>
      </c>
      <c r="G38" s="17">
        <v>1260.4</v>
      </c>
      <c r="H38" s="17">
        <v>162.172254100385</v>
      </c>
      <c r="I38" s="17">
        <v>26299.84</v>
      </c>
      <c r="J38" s="3">
        <v>4207</v>
      </c>
      <c r="K38" s="17">
        <v>841.4</v>
      </c>
      <c r="L38" s="17">
        <f t="shared" si="0"/>
        <v>66.7565852110441</v>
      </c>
      <c r="M38" s="17">
        <v>117.205119342117</v>
      </c>
      <c r="N38" s="17">
        <v>13737.04</v>
      </c>
      <c r="O38" s="3">
        <v>4339</v>
      </c>
      <c r="P38" s="17">
        <v>467.8</v>
      </c>
      <c r="Q38" s="17">
        <f t="shared" si="1"/>
        <v>55.5978131685286</v>
      </c>
      <c r="R38" s="17">
        <v>122.991707037507</v>
      </c>
      <c r="S38" s="17">
        <v>15126.96</v>
      </c>
      <c r="T38" s="28">
        <v>1736</v>
      </c>
      <c r="U38" s="17">
        <v>347.2</v>
      </c>
      <c r="V38" s="17">
        <f t="shared" si="2"/>
        <v>41.2645590682196</v>
      </c>
      <c r="W38" s="17">
        <v>69.7836657105372</v>
      </c>
      <c r="X38" s="17">
        <v>4869.76</v>
      </c>
      <c r="Y38" s="3" t="s">
        <v>287</v>
      </c>
      <c r="Z38" s="30" t="s">
        <v>282</v>
      </c>
      <c r="AA38" s="3" t="s">
        <v>281</v>
      </c>
      <c r="AB38" s="3" t="s">
        <v>283</v>
      </c>
      <c r="AC38" s="3" t="e">
        <v>#DIV/0!</v>
      </c>
      <c r="AD38" s="35" t="str">
        <f t="shared" si="3"/>
        <v>BJP GAIN</v>
      </c>
      <c r="AE38" s="17">
        <f t="shared" si="4"/>
        <v>14.333254100309</v>
      </c>
      <c r="AF38" s="36" t="str">
        <f t="shared" si="5"/>
        <v>LOWMARGIN</v>
      </c>
    </row>
    <row r="39" spans="1:32">
      <c r="A39" s="3">
        <v>36</v>
      </c>
      <c r="B39" s="15">
        <v>58</v>
      </c>
      <c r="C39" s="2" t="s">
        <v>292</v>
      </c>
      <c r="D39" s="16">
        <v>4</v>
      </c>
      <c r="E39" s="3" t="s">
        <v>357</v>
      </c>
      <c r="F39" s="3">
        <v>4159</v>
      </c>
      <c r="G39" s="17">
        <v>1039.75</v>
      </c>
      <c r="H39" s="17">
        <v>60.3173896981625</v>
      </c>
      <c r="I39" s="17">
        <v>3638.1875</v>
      </c>
      <c r="J39" s="3">
        <v>2886</v>
      </c>
      <c r="K39" s="17">
        <v>721.5</v>
      </c>
      <c r="L39" s="17">
        <f t="shared" si="0"/>
        <v>69.3916806924742</v>
      </c>
      <c r="M39" s="17">
        <v>61.6948133962653</v>
      </c>
      <c r="N39" s="17">
        <v>3806.25</v>
      </c>
      <c r="O39" s="3">
        <v>1770</v>
      </c>
      <c r="P39" s="17">
        <v>442.5</v>
      </c>
      <c r="Q39" s="17">
        <f t="shared" si="1"/>
        <v>61.3305613305613</v>
      </c>
      <c r="R39" s="17">
        <v>61.8647718819038</v>
      </c>
      <c r="S39" s="17">
        <v>3827.25</v>
      </c>
      <c r="T39" s="28">
        <v>1014</v>
      </c>
      <c r="U39" s="17">
        <v>253.5</v>
      </c>
      <c r="V39" s="17">
        <f t="shared" si="2"/>
        <v>35.1351351351351</v>
      </c>
      <c r="W39" s="17">
        <v>50.087423571192</v>
      </c>
      <c r="X39" s="17">
        <v>2508.75</v>
      </c>
      <c r="Y39" s="3" t="s">
        <v>287</v>
      </c>
      <c r="Z39" s="30" t="s">
        <v>282</v>
      </c>
      <c r="AA39" s="3" t="s">
        <v>281</v>
      </c>
      <c r="AB39" s="3" t="s">
        <v>283</v>
      </c>
      <c r="AC39" s="3" t="e">
        <v>#DIV/0!</v>
      </c>
      <c r="AD39" s="35" t="str">
        <f t="shared" si="3"/>
        <v>BJP GAIN</v>
      </c>
      <c r="AE39" s="17">
        <f t="shared" si="4"/>
        <v>26.1954261954262</v>
      </c>
      <c r="AF39" s="36" t="str">
        <f t="shared" si="5"/>
        <v>LOWMARGIN</v>
      </c>
    </row>
    <row r="40" spans="1:32">
      <c r="A40" s="3">
        <v>37</v>
      </c>
      <c r="B40" s="15">
        <v>59</v>
      </c>
      <c r="C40" s="2" t="s">
        <v>358</v>
      </c>
      <c r="D40" s="16">
        <v>6</v>
      </c>
      <c r="E40" s="3" t="s">
        <v>359</v>
      </c>
      <c r="F40" s="3">
        <v>7580</v>
      </c>
      <c r="G40" s="17">
        <v>1263.33333333333</v>
      </c>
      <c r="H40" s="17">
        <v>250.270964267842</v>
      </c>
      <c r="I40" s="17">
        <v>62635.5555555556</v>
      </c>
      <c r="J40" s="3">
        <v>5073</v>
      </c>
      <c r="K40" s="17">
        <v>845.5</v>
      </c>
      <c r="L40" s="17">
        <f t="shared" si="0"/>
        <v>66.9261213720317</v>
      </c>
      <c r="M40" s="17">
        <v>182.014422505471</v>
      </c>
      <c r="N40" s="17">
        <v>33129.25</v>
      </c>
      <c r="O40" s="3">
        <v>2556</v>
      </c>
      <c r="P40" s="17">
        <v>426</v>
      </c>
      <c r="Q40" s="17">
        <f t="shared" si="1"/>
        <v>50.3843879361325</v>
      </c>
      <c r="R40" s="17">
        <v>139.545691441907</v>
      </c>
      <c r="S40" s="17">
        <v>19473</v>
      </c>
      <c r="T40" s="28">
        <v>2264</v>
      </c>
      <c r="U40" s="17">
        <v>377.333333333333</v>
      </c>
      <c r="V40" s="17">
        <f t="shared" si="2"/>
        <v>44.6284249950719</v>
      </c>
      <c r="W40" s="17">
        <v>92.2635115067466</v>
      </c>
      <c r="X40" s="17">
        <v>8512.55555555555</v>
      </c>
      <c r="Y40" s="3" t="s">
        <v>287</v>
      </c>
      <c r="Z40" s="30" t="s">
        <v>282</v>
      </c>
      <c r="AA40" s="3" t="s">
        <v>281</v>
      </c>
      <c r="AB40" s="3" t="s">
        <v>283</v>
      </c>
      <c r="AC40" s="3" t="e">
        <v>#DIV/0!</v>
      </c>
      <c r="AD40" s="35" t="str">
        <f t="shared" si="3"/>
        <v>BJP GAIN</v>
      </c>
      <c r="AE40" s="17">
        <f t="shared" si="4"/>
        <v>5.75596294106052</v>
      </c>
      <c r="AF40" s="32" t="str">
        <f>IF(AE40&gt;=50,"VERYHIGHMARGIN",IF(AE40&gt;=40,"HIGHMARGIN",IF(AE40&gt;=30,"MEDIUMMARGIN",IF(AE40&gt;10,"LOWMARGIN",IF(AE40&gt;=1,"NARROWMARGIN")))))</f>
        <v>NARROWMARGIN</v>
      </c>
    </row>
    <row r="41" spans="1:32">
      <c r="A41" s="3">
        <v>38</v>
      </c>
      <c r="B41" s="15">
        <v>60</v>
      </c>
      <c r="C41" s="2" t="s">
        <v>360</v>
      </c>
      <c r="D41" s="16">
        <v>8</v>
      </c>
      <c r="E41" s="3" t="s">
        <v>361</v>
      </c>
      <c r="F41" s="3">
        <v>7516</v>
      </c>
      <c r="G41" s="17">
        <v>1073.71428571429</v>
      </c>
      <c r="H41" s="17">
        <v>199.289964112392</v>
      </c>
      <c r="I41" s="17">
        <v>39716.4897959184</v>
      </c>
      <c r="J41" s="3">
        <v>5650</v>
      </c>
      <c r="K41" s="17">
        <v>807.142857142857</v>
      </c>
      <c r="L41" s="17">
        <f t="shared" si="0"/>
        <v>75.1729643427355</v>
      </c>
      <c r="M41" s="17">
        <v>124.611887269953</v>
      </c>
      <c r="N41" s="17">
        <v>15528.1224489796</v>
      </c>
      <c r="O41" s="3">
        <v>3061</v>
      </c>
      <c r="P41" s="17">
        <v>437.285714285714</v>
      </c>
      <c r="Q41" s="17">
        <f t="shared" si="1"/>
        <v>54.1769911504425</v>
      </c>
      <c r="R41" s="17">
        <v>273.280449504959</v>
      </c>
      <c r="S41" s="17">
        <v>74682.2040816326</v>
      </c>
      <c r="T41" s="28">
        <v>2338</v>
      </c>
      <c r="U41" s="17">
        <v>334</v>
      </c>
      <c r="V41" s="17">
        <f t="shared" si="2"/>
        <v>41.3805309734513</v>
      </c>
      <c r="W41" s="17">
        <v>260.166430249122</v>
      </c>
      <c r="X41" s="17">
        <v>67686.5714285714</v>
      </c>
      <c r="Y41" s="3" t="s">
        <v>280</v>
      </c>
      <c r="Z41" s="30" t="s">
        <v>282</v>
      </c>
      <c r="AA41" s="3" t="s">
        <v>282</v>
      </c>
      <c r="AB41" s="3" t="s">
        <v>283</v>
      </c>
      <c r="AC41" s="3" t="s">
        <v>294</v>
      </c>
      <c r="AD41" s="35" t="str">
        <f t="shared" si="3"/>
        <v>BJP GAIN</v>
      </c>
      <c r="AE41" s="17">
        <f t="shared" si="4"/>
        <v>12.7964601769912</v>
      </c>
      <c r="AF41" s="36" t="str">
        <f t="shared" si="5"/>
        <v>LOWMARGIN</v>
      </c>
    </row>
    <row r="42" ht="18.75" spans="1:20">
      <c r="A42" s="65" t="s">
        <v>255</v>
      </c>
      <c r="B42" s="65"/>
      <c r="C42" s="65"/>
      <c r="F42" s="66">
        <f>SUM(F4:F41)</f>
        <v>238399</v>
      </c>
      <c r="G42" s="19"/>
      <c r="J42" s="66">
        <f>SUM(J4:J41)</f>
        <v>160676</v>
      </c>
      <c r="K42" s="61"/>
      <c r="L42" s="61"/>
      <c r="M42" s="90"/>
      <c r="O42" s="91">
        <f>SUM(O4:O41)</f>
        <v>89192</v>
      </c>
      <c r="T42" s="103">
        <f>SUM(T4:T41)</f>
        <v>67298</v>
      </c>
    </row>
    <row r="43" ht="18.75" spans="1:22">
      <c r="A43" s="65" t="s">
        <v>362</v>
      </c>
      <c r="B43" s="65"/>
      <c r="C43" s="65"/>
      <c r="G43" s="66">
        <f>AVERAGE(G4:G41)</f>
        <v>1104.1006317878</v>
      </c>
      <c r="K43" s="66">
        <f>AVERAGE(K4:K41)</f>
        <v>742.687280701754</v>
      </c>
      <c r="L43" s="66">
        <f>(K43/G43)*100</f>
        <v>67.2662671607357</v>
      </c>
      <c r="P43" s="91">
        <f>AVERAGE(P4:P41)</f>
        <v>406.180012531328</v>
      </c>
      <c r="Q43" s="93">
        <f>(P43/K43)*100</f>
        <v>54.6905841914425</v>
      </c>
      <c r="U43" s="55">
        <f>AVERAGE(U4:U41)</f>
        <v>308.191322055138</v>
      </c>
      <c r="V43" s="55">
        <f>(U43/K43)*100</f>
        <v>41.4967820323962</v>
      </c>
    </row>
    <row r="44" spans="5:29">
      <c r="E44" s="67" t="s">
        <v>363</v>
      </c>
      <c r="F44" s="67"/>
      <c r="G44" s="67"/>
      <c r="AC44" s="59"/>
    </row>
    <row r="45" spans="1:29">
      <c r="A45" s="64" t="s">
        <v>364</v>
      </c>
      <c r="B45" s="64"/>
      <c r="C45" s="64"/>
      <c r="D45" s="68">
        <f>F42-J42</f>
        <v>77723</v>
      </c>
      <c r="AB45" s="47"/>
      <c r="AC45" s="47"/>
    </row>
    <row r="46" spans="1:29">
      <c r="A46" s="64"/>
      <c r="B46" s="64"/>
      <c r="C46" s="64"/>
      <c r="D46" s="68"/>
      <c r="AB46" s="47"/>
      <c r="AC46" s="47"/>
    </row>
    <row r="47" spans="28:29">
      <c r="AB47" s="47"/>
      <c r="AC47" s="47"/>
    </row>
    <row r="49" ht="35.25" customHeight="1"/>
    <row r="50" ht="45" customHeight="1" spans="1:16">
      <c r="A50" s="69" t="s">
        <v>365</v>
      </c>
      <c r="B50" s="70"/>
      <c r="C50" s="71"/>
      <c r="D50" s="69" t="s">
        <v>366</v>
      </c>
      <c r="E50" s="71"/>
      <c r="F50" s="69" t="s">
        <v>367</v>
      </c>
      <c r="G50" s="70"/>
      <c r="H50" s="71"/>
      <c r="I50" s="69" t="s">
        <v>31</v>
      </c>
      <c r="J50" s="71"/>
      <c r="K50" s="13" t="s">
        <v>277</v>
      </c>
      <c r="L50" s="13"/>
      <c r="M50" s="69" t="s">
        <v>269</v>
      </c>
      <c r="N50" s="71"/>
      <c r="O50" s="13" t="s">
        <v>270</v>
      </c>
      <c r="P50" s="13"/>
    </row>
    <row r="51" spans="1:16">
      <c r="A51" s="72"/>
      <c r="B51" s="73"/>
      <c r="C51" s="74"/>
      <c r="D51" s="72"/>
      <c r="E51" s="74"/>
      <c r="F51" s="72"/>
      <c r="G51" s="73"/>
      <c r="H51" s="74"/>
      <c r="I51" s="72"/>
      <c r="J51" s="74"/>
      <c r="K51" s="13"/>
      <c r="L51" s="13"/>
      <c r="M51" s="72"/>
      <c r="N51" s="74"/>
      <c r="O51" s="13"/>
      <c r="P51" s="13"/>
    </row>
    <row r="52" ht="15.75" spans="1:16">
      <c r="A52" s="65" t="s">
        <v>280</v>
      </c>
      <c r="B52" s="65"/>
      <c r="C52" s="61">
        <f>COUNTIF(Y4:Y41,"STRONG")</f>
        <v>13</v>
      </c>
      <c r="D52" s="26" t="s">
        <v>281</v>
      </c>
      <c r="E52" s="61">
        <f>COUNTIF(Z4:Z41,"EXCELLENT")</f>
        <v>12</v>
      </c>
      <c r="F52" s="75" t="s">
        <v>281</v>
      </c>
      <c r="G52" s="76"/>
      <c r="H52" s="19">
        <f>COUNTIF(AA4:AA41,"EXCELLENT")</f>
        <v>15</v>
      </c>
      <c r="I52" s="61" t="s">
        <v>283</v>
      </c>
      <c r="J52" s="92">
        <f>COUNTIF(AB4:AB41,"FEMALE DOM")</f>
        <v>34</v>
      </c>
      <c r="K52" s="61" t="e">
        <v>#DIV/0!</v>
      </c>
      <c r="L52" s="61">
        <f>COUNTIF(AC4:AC41,"#DIV/0!")</f>
        <v>14</v>
      </c>
      <c r="M52" s="23" t="s">
        <v>4</v>
      </c>
      <c r="N52" s="93">
        <f>COUNTIF(AD4:AD41,"BJP GAIN")</f>
        <v>27</v>
      </c>
      <c r="O52" s="51" t="s">
        <v>368</v>
      </c>
      <c r="P52" s="61">
        <f>COUNTIF(AF4:AF41,"NARROWMARGIN")</f>
        <v>9</v>
      </c>
    </row>
    <row r="53" ht="15.75" spans="1:16">
      <c r="A53" s="1" t="s">
        <v>362</v>
      </c>
      <c r="B53" s="1"/>
      <c r="C53" s="61">
        <f>COUNTIF(Y4:Y41,"AVG")</f>
        <v>21</v>
      </c>
      <c r="D53" s="77" t="s">
        <v>280</v>
      </c>
      <c r="E53" s="61">
        <f>COUNTIF(Z4:Z41,"STRONG")</f>
        <v>3</v>
      </c>
      <c r="F53" s="75" t="s">
        <v>280</v>
      </c>
      <c r="G53" s="76"/>
      <c r="H53" s="19">
        <f>COUNTIF(AA4:AA41,"STRONG")</f>
        <v>0</v>
      </c>
      <c r="I53" s="1" t="s">
        <v>297</v>
      </c>
      <c r="J53" s="92">
        <f>COUNTIF(AB4:AB41,"MEN")</f>
        <v>4</v>
      </c>
      <c r="K53" s="93" t="s">
        <v>294</v>
      </c>
      <c r="L53" s="61">
        <f>COUNTIF(AC4:AC41,"H")</f>
        <v>10</v>
      </c>
      <c r="M53" s="94" t="s">
        <v>257</v>
      </c>
      <c r="N53" s="95">
        <f>COUNTIF(AD4:AD41,"CONGRESS GAIN")</f>
        <v>11</v>
      </c>
      <c r="O53" s="52" t="s">
        <v>258</v>
      </c>
      <c r="P53" s="61">
        <f>COUNTIF(AF4:AF41,"LOWMARGIN")</f>
        <v>17</v>
      </c>
    </row>
    <row r="54" ht="15.75" spans="1:16">
      <c r="A54" s="61" t="s">
        <v>310</v>
      </c>
      <c r="B54" s="61"/>
      <c r="C54" s="61">
        <f>COUNTIF(Y4:Y41,"WEAK")</f>
        <v>4</v>
      </c>
      <c r="D54" s="26" t="s">
        <v>362</v>
      </c>
      <c r="E54" s="61">
        <f>COUNTIF(Z4:Z41,"AVG")</f>
        <v>1</v>
      </c>
      <c r="F54" s="78" t="s">
        <v>362</v>
      </c>
      <c r="G54" s="79"/>
      <c r="H54" s="19">
        <f>COUNTIF(AA4:AA41,"AVG")</f>
        <v>1</v>
      </c>
      <c r="I54" s="96"/>
      <c r="J54" s="96"/>
      <c r="K54" s="95" t="s">
        <v>284</v>
      </c>
      <c r="L54" s="61">
        <f>COUNTIF(AC4:AC41,"O")</f>
        <v>14</v>
      </c>
      <c r="M54" s="96"/>
      <c r="N54" s="96"/>
      <c r="O54" s="53" t="s">
        <v>259</v>
      </c>
      <c r="P54" s="61">
        <f>COUNTIF(AF4:AF41,"MEDIUMMARGIN")</f>
        <v>5</v>
      </c>
    </row>
    <row r="55" ht="15.75" spans="1:16">
      <c r="A55" s="61" t="s">
        <v>369</v>
      </c>
      <c r="B55" s="61"/>
      <c r="C55" s="61">
        <f>COUNTIF(Y4:Y41,"VLOW")</f>
        <v>0</v>
      </c>
      <c r="D55" s="26" t="s">
        <v>310</v>
      </c>
      <c r="E55" s="61">
        <f>COUNTIF(Z4:Z41,"WEAK")</f>
        <v>2</v>
      </c>
      <c r="F55" s="75" t="s">
        <v>310</v>
      </c>
      <c r="G55" s="76"/>
      <c r="H55" s="19">
        <f>COUNTIF(AA4:AA41,"WEAK")</f>
        <v>1</v>
      </c>
      <c r="O55" s="54" t="s">
        <v>370</v>
      </c>
      <c r="P55" s="61">
        <f>COUNTIF(AF4:AF41,"HIGHMARGIN")</f>
        <v>4</v>
      </c>
    </row>
    <row r="56" ht="15.75" spans="1:16">
      <c r="A56" s="50" t="s">
        <v>371</v>
      </c>
      <c r="B56" s="50"/>
      <c r="C56" s="80" t="s">
        <v>362</v>
      </c>
      <c r="D56" s="81" t="s">
        <v>282</v>
      </c>
      <c r="E56" s="82">
        <f>COUNTIF(Z4:Z41,"VLOW")</f>
        <v>20</v>
      </c>
      <c r="F56" s="75" t="s">
        <v>282</v>
      </c>
      <c r="G56" s="76"/>
      <c r="H56" s="83">
        <f>COUNTIF(AA4:AA41,"VLOW")</f>
        <v>21</v>
      </c>
      <c r="O56" s="55" t="s">
        <v>372</v>
      </c>
      <c r="P56" s="61">
        <f>COUNTIF(AF4:AF41,"VERYHIGHMARGIN")</f>
        <v>3</v>
      </c>
    </row>
    <row r="57" s="58" customFormat="1" customHeight="1" spans="1:16">
      <c r="A57" s="50"/>
      <c r="B57" s="50"/>
      <c r="C57" s="80"/>
      <c r="D57" s="77" t="s">
        <v>366</v>
      </c>
      <c r="E57" s="65" t="s">
        <v>282</v>
      </c>
      <c r="F57" s="84" t="s">
        <v>367</v>
      </c>
      <c r="G57" s="85"/>
      <c r="H57" s="65" t="s">
        <v>282</v>
      </c>
      <c r="I57" s="97" t="s">
        <v>31</v>
      </c>
      <c r="J57" s="98" t="s">
        <v>373</v>
      </c>
      <c r="K57" s="99" t="s">
        <v>277</v>
      </c>
      <c r="L57" s="100" t="s">
        <v>374</v>
      </c>
      <c r="M57" s="52" t="s">
        <v>269</v>
      </c>
      <c r="N57" s="65" t="s">
        <v>4</v>
      </c>
      <c r="O57" s="52" t="s">
        <v>270</v>
      </c>
      <c r="P57" s="65" t="s">
        <v>258</v>
      </c>
    </row>
    <row r="58" s="58" customFormat="1" spans="1:16">
      <c r="A58" s="86"/>
      <c r="B58" s="86"/>
      <c r="C58" s="86"/>
      <c r="D58" s="77"/>
      <c r="E58" s="65"/>
      <c r="F58" s="87"/>
      <c r="G58" s="88"/>
      <c r="H58" s="89"/>
      <c r="I58" s="101"/>
      <c r="J58" s="102"/>
      <c r="K58" s="99"/>
      <c r="L58" s="100"/>
      <c r="M58" s="52"/>
      <c r="N58" s="65"/>
      <c r="O58" s="52"/>
      <c r="P58" s="65"/>
    </row>
  </sheetData>
  <sheetProtection password="CFB8" sheet="1" objects="1" scenarios="1"/>
  <autoFilter ref="A3:AF46">
    <extLst/>
  </autoFilter>
  <mergeCells count="49">
    <mergeCell ref="A1:AF1"/>
    <mergeCell ref="G2:I2"/>
    <mergeCell ref="K2:N2"/>
    <mergeCell ref="O2:S2"/>
    <mergeCell ref="T2:X2"/>
    <mergeCell ref="Y2:AC2"/>
    <mergeCell ref="A42:C42"/>
    <mergeCell ref="A43:C43"/>
    <mergeCell ref="A52:B52"/>
    <mergeCell ref="F52:G52"/>
    <mergeCell ref="A53:B53"/>
    <mergeCell ref="F53:G53"/>
    <mergeCell ref="A54:B54"/>
    <mergeCell ref="F54:G54"/>
    <mergeCell ref="A55:B55"/>
    <mergeCell ref="F55:G55"/>
    <mergeCell ref="F56:G56"/>
    <mergeCell ref="A2:A3"/>
    <mergeCell ref="B2:B3"/>
    <mergeCell ref="C2:C3"/>
    <mergeCell ref="C56:C57"/>
    <mergeCell ref="D2:D3"/>
    <mergeCell ref="D45:D46"/>
    <mergeCell ref="D57:D58"/>
    <mergeCell ref="E2:E3"/>
    <mergeCell ref="E57:E58"/>
    <mergeCell ref="F2:F3"/>
    <mergeCell ref="H57:H58"/>
    <mergeCell ref="I57:I58"/>
    <mergeCell ref="J57:J58"/>
    <mergeCell ref="K57:K58"/>
    <mergeCell ref="L57:L58"/>
    <mergeCell ref="M57:M58"/>
    <mergeCell ref="N57:N58"/>
    <mergeCell ref="O57:O58"/>
    <mergeCell ref="P57:P58"/>
    <mergeCell ref="AD2:AD3"/>
    <mergeCell ref="AE2:AE3"/>
    <mergeCell ref="AF2:AF3"/>
    <mergeCell ref="F57:G58"/>
    <mergeCell ref="I50:J51"/>
    <mergeCell ref="K50:L51"/>
    <mergeCell ref="M50:N51"/>
    <mergeCell ref="O50:P51"/>
    <mergeCell ref="A45:C46"/>
    <mergeCell ref="A56:B57"/>
    <mergeCell ref="D50:E51"/>
    <mergeCell ref="F50:H51"/>
    <mergeCell ref="A50:C51"/>
  </mergeCells>
  <conditionalFormatting sqref="AC17:AC41">
    <cfRule type="containsText" dxfId="6" priority="319" operator="between" text="O">
      <formula>NOT(ISERROR(SEARCH("O",AC17)))</formula>
    </cfRule>
    <cfRule type="containsText" dxfId="0" priority="317" operator="between" text="H">
      <formula>NOT(ISERROR(SEARCH("H",AC17)))</formula>
    </cfRule>
    <cfRule type="containsText" dxfId="8" priority="318" operator="between" text="H">
      <formula>NOT(ISERROR(SEARCH("H",AC17)))</formula>
    </cfRule>
    <cfRule type="containsText" dxfId="4" priority="316" operator="between" text="H">
      <formula>NOT(ISERROR(SEARCH("H",AC17)))</formula>
    </cfRule>
    <cfRule type="containsText" dxfId="6" priority="4" operator="between" text="O">
      <formula>NOT(ISERROR(SEARCH("O",AC17)))</formula>
    </cfRule>
    <cfRule type="containsText" dxfId="0" priority="2" operator="between" text="H">
      <formula>NOT(ISERROR(SEARCH("H",AC17)))</formula>
    </cfRule>
    <cfRule type="containsText" dxfId="8" priority="3" operator="between" text="H">
      <formula>NOT(ISERROR(SEARCH("H",AC17)))</formula>
    </cfRule>
    <cfRule type="containsText" dxfId="4" priority="1" operator="between" text="H">
      <formula>NOT(ISERROR(SEARCH("H",AC17)))</formula>
    </cfRule>
  </conditionalFormatting>
  <conditionalFormatting sqref="I52 AB4:AB5 AB7:AB8 AB17:AB41">
    <cfRule type="containsText" dxfId="7" priority="325" operator="between" text="FEMALE DOM">
      <formula>NOT(ISERROR(SEARCH("FEMALE DOM",I4)))</formula>
    </cfRule>
  </conditionalFormatting>
  <conditionalFormatting sqref="Y4:Y12 Y17:Y41">
    <cfRule type="containsText" dxfId="1" priority="330" operator="between" text="AVG">
      <formula>NOT(ISERROR(SEARCH("AVG",Y4)))</formula>
    </cfRule>
    <cfRule type="cellIs" dxfId="3" priority="329" operator="equal">
      <formula>"STRONG"</formula>
    </cfRule>
    <cfRule type="containsText" dxfId="0" priority="328" operator="between" text="VSTRONG">
      <formula>NOT(ISERROR(SEARCH("VSTRONG",Y4)))</formula>
    </cfRule>
    <cfRule type="containsText" dxfId="2" priority="324" operator="between" text="AVG">
      <formula>NOT(ISERROR(SEARCH("AVG",Y4)))</formula>
    </cfRule>
    <cfRule type="containsText" dxfId="1" priority="15" operator="between" text="AVG">
      <formula>NOT(ISERROR(SEARCH("AVG",Y4)))</formula>
    </cfRule>
    <cfRule type="cellIs" dxfId="3" priority="14" operator="equal">
      <formula>"STRONG"</formula>
    </cfRule>
    <cfRule type="containsText" dxfId="0" priority="13" operator="between" text="VSTRONG">
      <formula>NOT(ISERROR(SEARCH("VSTRONG",Y4)))</formula>
    </cfRule>
    <cfRule type="containsText" dxfId="2" priority="9" operator="between" text="AVG">
      <formula>NOT(ISERROR(SEARCH("AVG",Y4)))</formula>
    </cfRule>
  </conditionalFormatting>
  <conditionalFormatting sqref="Z4:Z5 Z7:Z8 Z17:Z41">
    <cfRule type="containsText" dxfId="0" priority="327" operator="between" text="STRONG">
      <formula>NOT(ISERROR(SEARCH("STRONG",Z4)))</formula>
    </cfRule>
    <cfRule type="containsText" dxfId="4" priority="326" operator="between" text="VSTRONG">
      <formula>NOT(ISERROR(SEARCH("VSTRONG",Z4)))</formula>
    </cfRule>
    <cfRule type="containsText" dxfId="0" priority="12" operator="between" text="STRONG">
      <formula>NOT(ISERROR(SEARCH("STRONG",Z4)))</formula>
    </cfRule>
    <cfRule type="containsText" dxfId="4" priority="11" operator="between" text="VSTRONG">
      <formula>NOT(ISERROR(SEARCH("VSTRONG",Z4)))</formula>
    </cfRule>
  </conditionalFormatting>
  <conditionalFormatting sqref="AA4:AA5 Z7:AA7 AA8 Z17:AA41">
    <cfRule type="containsText" dxfId="9" priority="322" operator="between" text="AVG">
      <formula>NOT(ISERROR(SEARCH("AVG",Z4)))</formula>
    </cfRule>
    <cfRule type="containsText" dxfId="9" priority="7" operator="between" text="AVG">
      <formula>NOT(ISERROR(SEARCH("AVG",Z4)))</formula>
    </cfRule>
  </conditionalFormatting>
  <conditionalFormatting sqref="AA4:AA5 AA7:AA8 AA17:AA41">
    <cfRule type="cellIs" dxfId="5" priority="323" operator="equal">
      <formula>"VWEAK"</formula>
    </cfRule>
    <cfRule type="containsText" dxfId="6" priority="321" operator="between" text="VSTRONG">
      <formula>NOT(ISERROR(SEARCH("VSTRONG",AA4)))</formula>
    </cfRule>
    <cfRule type="cellIs" dxfId="5" priority="8" operator="equal">
      <formula>"VWEAK"</formula>
    </cfRule>
    <cfRule type="containsText" dxfId="6" priority="6" operator="between" text="VSTRONG">
      <formula>NOT(ISERROR(SEARCH("VSTRONG",AA4)))</formula>
    </cfRule>
  </conditionalFormatting>
  <conditionalFormatting sqref="AB4:AB5 AB7:AB8 AB17:AB41">
    <cfRule type="containsText" dxfId="7" priority="10" operator="between" text="FEMALE DOM">
      <formula>NOT(ISERROR(SEARCH("FEMALE DOM",AB4)))</formula>
    </cfRule>
  </conditionalFormatting>
  <conditionalFormatting sqref="AB7 AB17:AB41 I52">
    <cfRule type="containsText" dxfId="2" priority="320" operator="between" text="MEN">
      <formula>NOT(ISERROR(SEARCH("MEN",I7)))</formula>
    </cfRule>
  </conditionalFormatting>
  <conditionalFormatting sqref="AB7 AB17:AB41">
    <cfRule type="containsText" dxfId="2" priority="5" operator="between" text="MEN">
      <formula>NOT(ISERROR(SEARCH("MEN",AB7)))</formula>
    </cfRule>
  </conditionalFormatting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zoomScale="80" zoomScaleNormal="80" workbookViewId="0">
      <selection activeCell="E17" sqref="E17"/>
    </sheetView>
  </sheetViews>
  <sheetFormatPr defaultColWidth="9" defaultRowHeight="15"/>
  <cols>
    <col min="1" max="1" width="23.1428571428571" style="47" customWidth="1"/>
    <col min="2" max="2" width="22.1428571428571" style="47" customWidth="1"/>
    <col min="3" max="3" width="16.2857142857143" style="47" customWidth="1"/>
    <col min="4" max="4" width="23.7142857142857" style="47" customWidth="1"/>
    <col min="5" max="7" width="9.14285714285714" style="47"/>
    <col min="8" max="8" width="26.5714285714286" style="47" customWidth="1"/>
    <col min="9" max="9" width="14.4285714285714" style="47" customWidth="1"/>
    <col min="10" max="10" width="14.8571428571429" style="47" customWidth="1"/>
    <col min="11" max="11" width="23.7142857142857" style="47" customWidth="1"/>
    <col min="12" max="14" width="9.14285714285714" style="47"/>
    <col min="15" max="15" width="15.5714285714286" style="47" customWidth="1"/>
    <col min="16" max="16" width="13.5714285714286" style="47" customWidth="1"/>
    <col min="17" max="17" width="18" style="47" customWidth="1"/>
    <col min="18" max="16384" width="9.14285714285714" style="47"/>
  </cols>
  <sheetData>
    <row r="1" spans="4:8">
      <c r="D1" s="48" t="s">
        <v>4</v>
      </c>
      <c r="E1" s="48"/>
      <c r="F1" s="48"/>
      <c r="G1" s="48"/>
      <c r="H1" s="48"/>
    </row>
    <row r="2" spans="4:8">
      <c r="D2" s="48"/>
      <c r="E2" s="48"/>
      <c r="F2" s="48"/>
      <c r="G2" s="48"/>
      <c r="H2" s="48"/>
    </row>
    <row r="3" spans="1:11">
      <c r="A3" s="49" t="s">
        <v>375</v>
      </c>
      <c r="B3" s="49"/>
      <c r="C3" s="49"/>
      <c r="D3" s="49"/>
      <c r="H3" s="50" t="s">
        <v>376</v>
      </c>
      <c r="I3" s="50"/>
      <c r="J3" s="50"/>
      <c r="K3" s="50"/>
    </row>
    <row r="4" spans="1:11">
      <c r="A4" s="49"/>
      <c r="B4" s="49"/>
      <c r="C4" s="49"/>
      <c r="D4" s="49"/>
      <c r="H4" s="50"/>
      <c r="I4" s="50"/>
      <c r="J4" s="50"/>
      <c r="K4" s="50"/>
    </row>
    <row r="5" spans="1:11">
      <c r="A5" s="1" t="s">
        <v>377</v>
      </c>
      <c r="B5" s="1" t="s">
        <v>378</v>
      </c>
      <c r="C5" s="1" t="s">
        <v>35</v>
      </c>
      <c r="D5" s="1" t="s">
        <v>270</v>
      </c>
      <c r="H5" s="1" t="s">
        <v>377</v>
      </c>
      <c r="I5" s="1" t="s">
        <v>378</v>
      </c>
      <c r="J5" s="1" t="s">
        <v>35</v>
      </c>
      <c r="K5" s="1" t="s">
        <v>270</v>
      </c>
    </row>
    <row r="6" spans="1:11">
      <c r="A6" s="3">
        <v>1</v>
      </c>
      <c r="B6" s="15">
        <v>21</v>
      </c>
      <c r="C6" s="17">
        <v>36.0892388451444</v>
      </c>
      <c r="D6" s="38" t="s">
        <v>379</v>
      </c>
      <c r="H6" s="3">
        <v>1</v>
      </c>
      <c r="I6" s="15">
        <v>34</v>
      </c>
      <c r="J6" s="17">
        <v>11.9300106044539</v>
      </c>
      <c r="K6" s="36" t="s">
        <v>380</v>
      </c>
    </row>
    <row r="7" spans="1:11">
      <c r="A7" s="3">
        <v>2</v>
      </c>
      <c r="B7" s="15">
        <v>24</v>
      </c>
      <c r="C7" s="17">
        <v>23.0483271375465</v>
      </c>
      <c r="D7" s="36" t="s">
        <v>380</v>
      </c>
      <c r="H7" s="3">
        <v>2</v>
      </c>
      <c r="I7" s="15">
        <v>38</v>
      </c>
      <c r="J7" s="17">
        <v>39.0143238650158</v>
      </c>
      <c r="K7" s="38" t="s">
        <v>379</v>
      </c>
    </row>
    <row r="8" spans="1:11">
      <c r="A8" s="3">
        <v>3</v>
      </c>
      <c r="B8" s="15">
        <v>25</v>
      </c>
      <c r="C8" s="17">
        <v>25.6044905008636</v>
      </c>
      <c r="D8" s="36" t="s">
        <v>380</v>
      </c>
      <c r="H8" s="3">
        <v>3</v>
      </c>
      <c r="I8" s="15">
        <v>39</v>
      </c>
      <c r="J8" s="17">
        <v>46.8827930174564</v>
      </c>
      <c r="K8" s="39" t="s">
        <v>381</v>
      </c>
    </row>
    <row r="9" spans="1:11">
      <c r="A9" s="3">
        <v>4</v>
      </c>
      <c r="B9" s="15">
        <v>26</v>
      </c>
      <c r="C9" s="17">
        <v>37.6188094047024</v>
      </c>
      <c r="D9" s="38" t="s">
        <v>379</v>
      </c>
      <c r="H9" s="3">
        <v>4</v>
      </c>
      <c r="I9" s="15">
        <v>40</v>
      </c>
      <c r="J9" s="17">
        <v>12.6891734575087</v>
      </c>
      <c r="K9" s="36" t="s">
        <v>380</v>
      </c>
    </row>
    <row r="10" spans="1:11">
      <c r="A10" s="3">
        <v>5</v>
      </c>
      <c r="B10" s="15">
        <v>27</v>
      </c>
      <c r="C10" s="17">
        <v>42.4562918195554</v>
      </c>
      <c r="D10" s="39" t="s">
        <v>381</v>
      </c>
      <c r="H10" s="3">
        <v>5</v>
      </c>
      <c r="I10" s="15">
        <v>43</v>
      </c>
      <c r="J10" s="17">
        <v>43.3644859813084</v>
      </c>
      <c r="K10" s="39" t="s">
        <v>381</v>
      </c>
    </row>
    <row r="11" spans="1:11">
      <c r="A11" s="3">
        <v>6</v>
      </c>
      <c r="B11" s="15">
        <v>28</v>
      </c>
      <c r="C11" s="17">
        <v>57.3733371072743</v>
      </c>
      <c r="D11" s="30" t="s">
        <v>382</v>
      </c>
      <c r="H11" s="3">
        <v>6</v>
      </c>
      <c r="I11" s="15">
        <v>44</v>
      </c>
      <c r="J11" s="17">
        <v>16.657223796034</v>
      </c>
      <c r="K11" s="36" t="s">
        <v>380</v>
      </c>
    </row>
    <row r="12" spans="1:11">
      <c r="A12" s="3">
        <v>7</v>
      </c>
      <c r="B12" s="15">
        <v>29</v>
      </c>
      <c r="C12" s="17">
        <v>57.7637889688249</v>
      </c>
      <c r="D12" s="30" t="s">
        <v>382</v>
      </c>
      <c r="H12" s="3">
        <v>7</v>
      </c>
      <c r="I12" s="15">
        <v>45</v>
      </c>
      <c r="J12" s="17">
        <v>2.4435318275154</v>
      </c>
      <c r="K12" s="32" t="s">
        <v>383</v>
      </c>
    </row>
    <row r="13" spans="1:11">
      <c r="A13" s="3">
        <v>8</v>
      </c>
      <c r="B13" s="15">
        <v>30</v>
      </c>
      <c r="C13" s="17">
        <v>28.638368246968</v>
      </c>
      <c r="D13" s="36" t="s">
        <v>380</v>
      </c>
      <c r="H13" s="3">
        <v>8</v>
      </c>
      <c r="I13" s="15">
        <v>47</v>
      </c>
      <c r="J13" s="17">
        <v>18.1481481481481</v>
      </c>
      <c r="K13" s="36" t="s">
        <v>380</v>
      </c>
    </row>
    <row r="14" spans="1:11">
      <c r="A14" s="3">
        <v>9</v>
      </c>
      <c r="B14" s="15">
        <v>31</v>
      </c>
      <c r="C14" s="17">
        <v>13.0493273542601</v>
      </c>
      <c r="D14" s="36" t="s">
        <v>380</v>
      </c>
      <c r="H14" s="3">
        <v>9</v>
      </c>
      <c r="I14" s="15">
        <v>48</v>
      </c>
      <c r="J14" s="17">
        <v>4.98075072184793</v>
      </c>
      <c r="K14" s="32" t="s">
        <v>383</v>
      </c>
    </row>
    <row r="15" spans="1:11">
      <c r="A15" s="3">
        <v>10</v>
      </c>
      <c r="B15" s="15">
        <v>32</v>
      </c>
      <c r="C15" s="17">
        <v>38.7582056892779</v>
      </c>
      <c r="D15" s="38" t="s">
        <v>379</v>
      </c>
      <c r="H15" s="3">
        <v>10</v>
      </c>
      <c r="I15" s="15">
        <v>53</v>
      </c>
      <c r="J15" s="17">
        <v>19.8130097473642</v>
      </c>
      <c r="K15" s="36" t="s">
        <v>380</v>
      </c>
    </row>
    <row r="16" spans="1:11">
      <c r="A16" s="3">
        <v>11</v>
      </c>
      <c r="B16" s="15">
        <v>33</v>
      </c>
      <c r="C16" s="17">
        <v>26.9339179455058</v>
      </c>
      <c r="D16" s="36" t="s">
        <v>380</v>
      </c>
      <c r="H16" s="3">
        <v>11</v>
      </c>
      <c r="I16" s="15">
        <v>55</v>
      </c>
      <c r="J16" s="17">
        <v>0.837776085300838</v>
      </c>
      <c r="K16" s="32" t="s">
        <v>383</v>
      </c>
    </row>
    <row r="17" spans="1:4">
      <c r="A17" s="3">
        <v>12</v>
      </c>
      <c r="B17" s="15">
        <v>35</v>
      </c>
      <c r="C17" s="17">
        <v>12.7673576834485</v>
      </c>
      <c r="D17" s="36" t="s">
        <v>380</v>
      </c>
    </row>
    <row r="18" spans="1:9">
      <c r="A18" s="3">
        <v>13</v>
      </c>
      <c r="B18" s="15">
        <v>36</v>
      </c>
      <c r="C18" s="17">
        <v>0.26119402985075</v>
      </c>
      <c r="D18" s="32" t="s">
        <v>383</v>
      </c>
      <c r="H18" s="13" t="s">
        <v>270</v>
      </c>
      <c r="I18" s="13"/>
    </row>
    <row r="19" spans="1:9">
      <c r="A19" s="3">
        <v>14</v>
      </c>
      <c r="B19" s="15">
        <v>37</v>
      </c>
      <c r="C19" s="17">
        <v>15.0162513542795</v>
      </c>
      <c r="D19" s="36" t="s">
        <v>380</v>
      </c>
      <c r="H19" s="13"/>
      <c r="I19" s="13"/>
    </row>
    <row r="20" spans="1:9">
      <c r="A20" s="3">
        <v>15</v>
      </c>
      <c r="B20" s="15">
        <v>41</v>
      </c>
      <c r="C20" s="17">
        <v>58.0722891566265</v>
      </c>
      <c r="D20" s="30" t="s">
        <v>382</v>
      </c>
      <c r="H20" s="51" t="s">
        <v>368</v>
      </c>
      <c r="I20" s="32">
        <f>COUNTIF(K6:K16,"NARROWMARGIN")</f>
        <v>3</v>
      </c>
    </row>
    <row r="21" spans="1:9">
      <c r="A21" s="3">
        <v>16</v>
      </c>
      <c r="B21" s="15">
        <v>42</v>
      </c>
      <c r="C21" s="17">
        <v>45.752380952381</v>
      </c>
      <c r="D21" s="39" t="s">
        <v>381</v>
      </c>
      <c r="H21" s="52" t="s">
        <v>258</v>
      </c>
      <c r="I21" s="36">
        <f>COUNTIF(K6:K16,"LOWMARGIN")</f>
        <v>5</v>
      </c>
    </row>
    <row r="22" spans="1:9">
      <c r="A22" s="3">
        <v>17</v>
      </c>
      <c r="B22" s="15">
        <v>46</v>
      </c>
      <c r="C22" s="17">
        <v>21.0128971374646</v>
      </c>
      <c r="D22" s="36" t="s">
        <v>380</v>
      </c>
      <c r="H22" s="53" t="s">
        <v>259</v>
      </c>
      <c r="I22" s="38">
        <f>COUNTIF(K6:K16,"MEDIUMMARGIN")</f>
        <v>1</v>
      </c>
    </row>
    <row r="23" spans="1:9">
      <c r="A23" s="3">
        <v>18</v>
      </c>
      <c r="B23" s="15">
        <v>49</v>
      </c>
      <c r="C23" s="17">
        <v>5.98971722365039</v>
      </c>
      <c r="D23" s="32" t="s">
        <v>383</v>
      </c>
      <c r="H23" s="54" t="s">
        <v>370</v>
      </c>
      <c r="I23" s="39">
        <f>COUNTIF(K6:K16,"HIGHMARGIN")</f>
        <v>2</v>
      </c>
    </row>
    <row r="24" spans="1:9">
      <c r="A24" s="3">
        <v>19</v>
      </c>
      <c r="B24" s="15">
        <v>50</v>
      </c>
      <c r="C24" s="17">
        <v>32.5909723603102</v>
      </c>
      <c r="D24" s="38" t="s">
        <v>379</v>
      </c>
      <c r="H24" s="55" t="s">
        <v>372</v>
      </c>
      <c r="I24" s="57">
        <f>COUNTIF(K5:K16,"VERYHIGHMARGIN")</f>
        <v>0</v>
      </c>
    </row>
    <row r="25" spans="1:4">
      <c r="A25" s="3">
        <v>20</v>
      </c>
      <c r="B25" s="15">
        <v>51</v>
      </c>
      <c r="C25" s="17">
        <v>1.44300144300144</v>
      </c>
      <c r="D25" s="32" t="s">
        <v>383</v>
      </c>
    </row>
    <row r="26" spans="1:4">
      <c r="A26" s="3">
        <v>21</v>
      </c>
      <c r="B26" s="15">
        <v>52</v>
      </c>
      <c r="C26" s="17">
        <v>0.350032815576463</v>
      </c>
      <c r="D26" s="32" t="s">
        <v>383</v>
      </c>
    </row>
    <row r="27" spans="1:4">
      <c r="A27" s="3">
        <v>22</v>
      </c>
      <c r="B27" s="15">
        <v>54</v>
      </c>
      <c r="C27" s="17">
        <v>29.8919038164571</v>
      </c>
      <c r="D27" s="36" t="s">
        <v>380</v>
      </c>
    </row>
    <row r="28" spans="1:4">
      <c r="A28" s="3">
        <v>23</v>
      </c>
      <c r="B28" s="15">
        <v>56</v>
      </c>
      <c r="C28" s="17">
        <v>4.04012259682363</v>
      </c>
      <c r="D28" s="32" t="s">
        <v>383</v>
      </c>
    </row>
    <row r="29" spans="1:4">
      <c r="A29" s="3">
        <v>24</v>
      </c>
      <c r="B29" s="15">
        <v>57</v>
      </c>
      <c r="C29" s="17">
        <v>14.333254100309</v>
      </c>
      <c r="D29" s="36" t="s">
        <v>380</v>
      </c>
    </row>
    <row r="30" spans="1:4">
      <c r="A30" s="3">
        <v>25</v>
      </c>
      <c r="B30" s="15">
        <v>58</v>
      </c>
      <c r="C30" s="17">
        <v>26.1954261954262</v>
      </c>
      <c r="D30" s="36" t="s">
        <v>380</v>
      </c>
    </row>
    <row r="31" spans="1:4">
      <c r="A31" s="3">
        <v>26</v>
      </c>
      <c r="B31" s="15">
        <v>59</v>
      </c>
      <c r="C31" s="17">
        <v>5.75596294106052</v>
      </c>
      <c r="D31" s="32" t="s">
        <v>383</v>
      </c>
    </row>
    <row r="32" spans="1:4">
      <c r="A32" s="3">
        <v>27</v>
      </c>
      <c r="B32" s="15">
        <v>60</v>
      </c>
      <c r="C32" s="17">
        <v>12.7964601769912</v>
      </c>
      <c r="D32" s="36" t="s">
        <v>380</v>
      </c>
    </row>
    <row r="34" spans="1:2">
      <c r="A34" s="13" t="s">
        <v>384</v>
      </c>
      <c r="B34" s="13"/>
    </row>
    <row r="35" spans="1:2">
      <c r="A35" s="13"/>
      <c r="B35" s="13"/>
    </row>
    <row r="36" spans="1:2">
      <c r="A36" s="51" t="s">
        <v>368</v>
      </c>
      <c r="B36" s="32">
        <f>COUNTIF(D6:D32,"NARROWMARGIN")</f>
        <v>6</v>
      </c>
    </row>
    <row r="37" spans="1:2">
      <c r="A37" s="52" t="s">
        <v>258</v>
      </c>
      <c r="B37" s="36">
        <f>COUNTIF(D6:D32,"LOWMARGIN")</f>
        <v>12</v>
      </c>
    </row>
    <row r="38" spans="1:2">
      <c r="A38" s="53" t="s">
        <v>259</v>
      </c>
      <c r="B38" s="38">
        <f>COUNTIF(D6:D32,"MEDIUMMARGIN")</f>
        <v>4</v>
      </c>
    </row>
    <row r="39" spans="1:2">
      <c r="A39" s="54" t="s">
        <v>370</v>
      </c>
      <c r="B39" s="39">
        <f>COUNTIF(D6:D32,"HIGHMARGIN")</f>
        <v>2</v>
      </c>
    </row>
    <row r="40" spans="1:2">
      <c r="A40" s="55" t="s">
        <v>372</v>
      </c>
      <c r="B40" s="56">
        <f>COUNTIF(D6:D32,"VERYHIGHMARGIN")</f>
        <v>3</v>
      </c>
    </row>
  </sheetData>
  <sheetProtection password="CFF8" sheet="1" objects="1" scenarios="1"/>
  <mergeCells count="5">
    <mergeCell ref="A3:D4"/>
    <mergeCell ref="H3:K4"/>
    <mergeCell ref="A34:B35"/>
    <mergeCell ref="H18:I19"/>
    <mergeCell ref="D1:H2"/>
  </mergeCells>
  <pageMargins left="0.7" right="0.7" top="0.75" bottom="0.75" header="0.3" footer="0.3"/>
  <pageSetup paperSize="1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8"/>
  <sheetViews>
    <sheetView workbookViewId="0">
      <selection activeCell="E7" sqref="E7"/>
    </sheetView>
  </sheetViews>
  <sheetFormatPr defaultColWidth="9" defaultRowHeight="15"/>
  <cols>
    <col min="1" max="1" width="6.71428571428571" style="7" customWidth="1"/>
    <col min="2" max="2" width="10.5714285714286" style="7" customWidth="1"/>
    <col min="3" max="3" width="20.2857142857143" style="7" customWidth="1"/>
    <col min="4" max="4" width="12.8571428571429" style="7" customWidth="1"/>
    <col min="5" max="5" width="32.7142857142857" style="7" customWidth="1"/>
    <col min="6" max="6" width="12.8571428571429" style="7" customWidth="1"/>
    <col min="7" max="7" width="12" style="7" customWidth="1"/>
    <col min="8" max="8" width="17.2857142857143" style="7" customWidth="1"/>
    <col min="9" max="9" width="12" style="7" customWidth="1"/>
    <col min="10" max="12" width="9.14285714285714" style="7"/>
    <col min="13" max="15" width="12" style="7" customWidth="1"/>
    <col min="16" max="17" width="9.14285714285714" style="7"/>
    <col min="18" max="20" width="12" style="7" customWidth="1"/>
    <col min="21" max="22" width="9.14285714285714" style="7"/>
    <col min="23" max="24" width="12" style="7" customWidth="1"/>
    <col min="25" max="25" width="8.42857142857143" style="7" customWidth="1"/>
    <col min="26" max="27" width="10.4285714285714" style="7" customWidth="1"/>
    <col min="28" max="28" width="12.7142857142857" style="7" customWidth="1"/>
    <col min="29" max="29" width="9" style="7" customWidth="1"/>
    <col min="30" max="30" width="14" style="7" customWidth="1"/>
    <col min="31" max="31" width="13.2857142857143" style="7" customWidth="1"/>
    <col min="32" max="32" width="17.5714285714286" style="7" customWidth="1"/>
    <col min="33" max="16384" width="9.14285714285714" style="7"/>
  </cols>
  <sheetData>
    <row r="1" ht="26.25" spans="1:32">
      <c r="A1" s="8" t="s">
        <v>385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 ht="26.25" spans="1:32">
      <c r="A2" s="8" t="s">
        <v>368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>
      <c r="A3" s="1" t="s">
        <v>263</v>
      </c>
      <c r="B3" s="1" t="s">
        <v>264</v>
      </c>
      <c r="C3" s="1" t="s">
        <v>265</v>
      </c>
      <c r="D3" s="9" t="s">
        <v>266</v>
      </c>
      <c r="E3" s="1" t="s">
        <v>267</v>
      </c>
      <c r="F3" s="10" t="s">
        <v>268</v>
      </c>
      <c r="G3" s="11"/>
      <c r="H3" s="11"/>
      <c r="I3" s="20"/>
      <c r="J3" s="10" t="s">
        <v>3</v>
      </c>
      <c r="K3" s="11"/>
      <c r="L3" s="11"/>
      <c r="M3" s="11"/>
      <c r="N3" s="20"/>
      <c r="O3" s="21" t="s">
        <v>4</v>
      </c>
      <c r="P3" s="22"/>
      <c r="Q3" s="22"/>
      <c r="R3" s="22"/>
      <c r="S3" s="23"/>
      <c r="T3" s="24" t="s">
        <v>257</v>
      </c>
      <c r="U3" s="25"/>
      <c r="V3" s="25"/>
      <c r="W3" s="25"/>
      <c r="X3" s="26"/>
      <c r="Y3" s="1">
        <v>2018</v>
      </c>
      <c r="Z3" s="1"/>
      <c r="AA3" s="1"/>
      <c r="AB3" s="1"/>
      <c r="AC3" s="1"/>
      <c r="AD3" s="13" t="s">
        <v>269</v>
      </c>
      <c r="AE3" s="13" t="s">
        <v>35</v>
      </c>
      <c r="AF3" s="13" t="s">
        <v>270</v>
      </c>
    </row>
    <row r="4" s="5" customFormat="1" ht="75" spans="1:32">
      <c r="A4" s="1"/>
      <c r="B4" s="1"/>
      <c r="C4" s="1"/>
      <c r="D4" s="12"/>
      <c r="E4" s="1"/>
      <c r="F4" s="13" t="s">
        <v>268</v>
      </c>
      <c r="G4" s="14" t="s">
        <v>271</v>
      </c>
      <c r="H4" s="13" t="s">
        <v>274</v>
      </c>
      <c r="I4" s="14" t="s">
        <v>273</v>
      </c>
      <c r="J4" s="14" t="s">
        <v>3</v>
      </c>
      <c r="K4" s="13" t="s">
        <v>271</v>
      </c>
      <c r="L4" s="13" t="s">
        <v>27</v>
      </c>
      <c r="M4" s="13" t="s">
        <v>272</v>
      </c>
      <c r="N4" s="13" t="s">
        <v>273</v>
      </c>
      <c r="O4" s="13" t="s">
        <v>275</v>
      </c>
      <c r="P4" s="13" t="s">
        <v>271</v>
      </c>
      <c r="Q4" s="13" t="s">
        <v>27</v>
      </c>
      <c r="R4" s="13" t="s">
        <v>274</v>
      </c>
      <c r="S4" s="13" t="s">
        <v>273</v>
      </c>
      <c r="T4" s="13" t="s">
        <v>276</v>
      </c>
      <c r="U4" s="13" t="s">
        <v>271</v>
      </c>
      <c r="V4" s="13" t="s">
        <v>27</v>
      </c>
      <c r="W4" s="13" t="s">
        <v>274</v>
      </c>
      <c r="X4" s="13" t="s">
        <v>273</v>
      </c>
      <c r="Y4" s="13" t="s">
        <v>28</v>
      </c>
      <c r="Z4" s="13" t="s">
        <v>29</v>
      </c>
      <c r="AA4" s="13" t="s">
        <v>30</v>
      </c>
      <c r="AB4" s="13" t="s">
        <v>31</v>
      </c>
      <c r="AC4" s="13" t="s">
        <v>277</v>
      </c>
      <c r="AD4" s="13"/>
      <c r="AE4" s="13"/>
      <c r="AF4" s="13"/>
    </row>
    <row r="5" spans="1:32">
      <c r="A5" s="3">
        <v>1</v>
      </c>
      <c r="B5" s="15">
        <v>36</v>
      </c>
      <c r="C5" s="2" t="s">
        <v>313</v>
      </c>
      <c r="D5" s="16">
        <v>3</v>
      </c>
      <c r="E5" s="4" t="s">
        <v>314</v>
      </c>
      <c r="F5" s="3">
        <v>3823</v>
      </c>
      <c r="G5" s="17">
        <v>1274.33333333333</v>
      </c>
      <c r="H5" s="17">
        <v>169.95358843585</v>
      </c>
      <c r="I5" s="17">
        <v>28884.2222222222</v>
      </c>
      <c r="J5" s="3">
        <v>2680</v>
      </c>
      <c r="K5" s="17">
        <v>893.333333333333</v>
      </c>
      <c r="L5" s="17">
        <v>70.1020141250327</v>
      </c>
      <c r="M5" s="17">
        <v>117.689799425816</v>
      </c>
      <c r="N5" s="17">
        <v>13850.8888888889</v>
      </c>
      <c r="O5" s="3">
        <v>1298</v>
      </c>
      <c r="P5" s="17">
        <v>432.666666666667</v>
      </c>
      <c r="Q5" s="17">
        <v>48.4328358208955</v>
      </c>
      <c r="R5" s="17">
        <v>27.7168220079832</v>
      </c>
      <c r="S5" s="17">
        <v>768.222222222222</v>
      </c>
      <c r="T5" s="27">
        <v>1291</v>
      </c>
      <c r="U5" s="17">
        <v>430.333333333333</v>
      </c>
      <c r="V5" s="17">
        <v>48.1716417910448</v>
      </c>
      <c r="W5" s="17">
        <v>130.026493026955</v>
      </c>
      <c r="X5" s="17">
        <v>16906.8888888889</v>
      </c>
      <c r="Y5" s="3" t="s">
        <v>280</v>
      </c>
      <c r="Z5" s="30" t="s">
        <v>282</v>
      </c>
      <c r="AA5" s="3" t="s">
        <v>281</v>
      </c>
      <c r="AB5" s="3" t="s">
        <v>283</v>
      </c>
      <c r="AC5" s="3" t="e">
        <v>#DIV/0!</v>
      </c>
      <c r="AD5" s="35" t="s">
        <v>386</v>
      </c>
      <c r="AE5" s="17">
        <v>0.26119402985075</v>
      </c>
      <c r="AF5" s="32" t="s">
        <v>383</v>
      </c>
    </row>
    <row r="6" spans="1:32">
      <c r="A6" s="3">
        <v>2</v>
      </c>
      <c r="B6" s="15">
        <v>49</v>
      </c>
      <c r="C6" s="2" t="s">
        <v>339</v>
      </c>
      <c r="D6" s="16">
        <v>6</v>
      </c>
      <c r="E6" s="3" t="s">
        <v>340</v>
      </c>
      <c r="F6" s="3">
        <v>5515</v>
      </c>
      <c r="G6" s="17">
        <v>919.166666666667</v>
      </c>
      <c r="H6" s="17">
        <v>222.478775517027</v>
      </c>
      <c r="I6" s="17">
        <v>49496.8055555556</v>
      </c>
      <c r="J6" s="3">
        <v>3890</v>
      </c>
      <c r="K6" s="17">
        <v>648.333333333333</v>
      </c>
      <c r="L6" s="17">
        <v>70.5349048050771</v>
      </c>
      <c r="M6" s="17">
        <v>179.756007471857</v>
      </c>
      <c r="N6" s="17">
        <v>32312.2222222222</v>
      </c>
      <c r="O6" s="3">
        <v>1966</v>
      </c>
      <c r="P6" s="17">
        <v>327.666666666667</v>
      </c>
      <c r="Q6" s="17">
        <v>50.5398457583548</v>
      </c>
      <c r="R6" s="17">
        <v>151.577996057769</v>
      </c>
      <c r="S6" s="17">
        <v>22975.8888888889</v>
      </c>
      <c r="T6" s="28">
        <v>1733</v>
      </c>
      <c r="U6" s="17">
        <v>288.833333333333</v>
      </c>
      <c r="V6" s="17">
        <v>44.5501285347044</v>
      </c>
      <c r="W6" s="17">
        <v>95.9225671512647</v>
      </c>
      <c r="X6" s="17">
        <v>9201.13888888889</v>
      </c>
      <c r="Y6" s="3" t="s">
        <v>280</v>
      </c>
      <c r="Z6" s="30" t="s">
        <v>281</v>
      </c>
      <c r="AA6" s="3" t="s">
        <v>282</v>
      </c>
      <c r="AB6" s="3" t="s">
        <v>283</v>
      </c>
      <c r="AC6" s="3" t="s">
        <v>294</v>
      </c>
      <c r="AD6" s="35" t="s">
        <v>386</v>
      </c>
      <c r="AE6" s="17">
        <v>5.98971722365039</v>
      </c>
      <c r="AF6" s="32" t="s">
        <v>383</v>
      </c>
    </row>
    <row r="7" spans="1:32">
      <c r="A7" s="3">
        <v>3</v>
      </c>
      <c r="B7" s="15">
        <v>51</v>
      </c>
      <c r="C7" s="2" t="s">
        <v>343</v>
      </c>
      <c r="D7" s="16">
        <v>8</v>
      </c>
      <c r="E7" s="3" t="s">
        <v>344</v>
      </c>
      <c r="F7" s="3">
        <v>6956</v>
      </c>
      <c r="G7" s="17">
        <v>993.714285714286</v>
      </c>
      <c r="H7" s="17">
        <v>212.586597001057</v>
      </c>
      <c r="I7" s="17">
        <v>45193.0612244898</v>
      </c>
      <c r="J7" s="3">
        <v>4851</v>
      </c>
      <c r="K7" s="17">
        <v>693</v>
      </c>
      <c r="L7" s="17">
        <v>69.7383553766532</v>
      </c>
      <c r="M7" s="17">
        <v>146.314729265375</v>
      </c>
      <c r="N7" s="17">
        <v>21408</v>
      </c>
      <c r="O7" s="3">
        <v>2370</v>
      </c>
      <c r="P7" s="17">
        <v>338.571428571429</v>
      </c>
      <c r="Q7" s="17">
        <v>48.8559059987631</v>
      </c>
      <c r="R7" s="17">
        <v>158.295254998696</v>
      </c>
      <c r="S7" s="17">
        <v>25057.387755102</v>
      </c>
      <c r="T7" s="28">
        <v>2300</v>
      </c>
      <c r="U7" s="17">
        <v>328.571428571429</v>
      </c>
      <c r="V7" s="17">
        <v>47.4129045557617</v>
      </c>
      <c r="W7" s="17">
        <v>217.471086513559</v>
      </c>
      <c r="X7" s="17">
        <v>47293.6734693878</v>
      </c>
      <c r="Y7" s="3" t="s">
        <v>280</v>
      </c>
      <c r="Z7" s="30" t="s">
        <v>310</v>
      </c>
      <c r="AA7" s="3" t="s">
        <v>282</v>
      </c>
      <c r="AB7" s="3" t="s">
        <v>283</v>
      </c>
      <c r="AC7" s="3" t="s">
        <v>284</v>
      </c>
      <c r="AD7" s="35" t="s">
        <v>386</v>
      </c>
      <c r="AE7" s="17">
        <v>1.44300144300144</v>
      </c>
      <c r="AF7" s="32" t="s">
        <v>383</v>
      </c>
    </row>
    <row r="8" spans="1:32">
      <c r="A8" s="3">
        <v>4</v>
      </c>
      <c r="B8" s="15">
        <v>52</v>
      </c>
      <c r="C8" s="2" t="s">
        <v>345</v>
      </c>
      <c r="D8" s="16">
        <v>6</v>
      </c>
      <c r="E8" s="3" t="s">
        <v>346</v>
      </c>
      <c r="F8" s="3">
        <v>6352</v>
      </c>
      <c r="G8" s="17">
        <v>1058.66666666667</v>
      </c>
      <c r="H8" s="17">
        <v>264.813561250594</v>
      </c>
      <c r="I8" s="17">
        <v>70126.2222222222</v>
      </c>
      <c r="J8" s="3">
        <v>4571</v>
      </c>
      <c r="K8" s="17">
        <v>761.833333333333</v>
      </c>
      <c r="L8" s="17">
        <v>71.9615869017632</v>
      </c>
      <c r="M8" s="17">
        <v>165.497650201513</v>
      </c>
      <c r="N8" s="17">
        <v>27389.4722222222</v>
      </c>
      <c r="O8" s="3">
        <v>2209</v>
      </c>
      <c r="P8" s="17">
        <v>368.166666666667</v>
      </c>
      <c r="Q8" s="17">
        <v>48.326405600525</v>
      </c>
      <c r="R8" s="17">
        <v>167.620023333199</v>
      </c>
      <c r="S8" s="17">
        <v>28096.4722222222</v>
      </c>
      <c r="T8" s="28">
        <v>2193</v>
      </c>
      <c r="U8" s="17">
        <v>365.5</v>
      </c>
      <c r="V8" s="17">
        <v>47.9763727849486</v>
      </c>
      <c r="W8" s="17">
        <v>273.00839425434</v>
      </c>
      <c r="X8" s="17">
        <v>74533.5833333333</v>
      </c>
      <c r="Y8" s="3" t="s">
        <v>280</v>
      </c>
      <c r="Z8" s="30" t="s">
        <v>281</v>
      </c>
      <c r="AA8" s="3" t="s">
        <v>282</v>
      </c>
      <c r="AB8" s="3" t="s">
        <v>283</v>
      </c>
      <c r="AC8" s="3" t="s">
        <v>284</v>
      </c>
      <c r="AD8" s="35" t="s">
        <v>386</v>
      </c>
      <c r="AE8" s="17">
        <v>0.350032815576463</v>
      </c>
      <c r="AF8" s="32" t="s">
        <v>383</v>
      </c>
    </row>
    <row r="9" spans="1:32">
      <c r="A9" s="3">
        <v>5</v>
      </c>
      <c r="B9" s="15">
        <v>56</v>
      </c>
      <c r="C9" s="2" t="s">
        <v>353</v>
      </c>
      <c r="D9" s="16">
        <v>5</v>
      </c>
      <c r="E9" s="3" t="s">
        <v>354</v>
      </c>
      <c r="F9" s="3">
        <v>5437</v>
      </c>
      <c r="G9" s="17">
        <v>1087.4</v>
      </c>
      <c r="H9" s="17">
        <v>145.22892273924</v>
      </c>
      <c r="I9" s="17">
        <v>21091.44</v>
      </c>
      <c r="J9" s="3">
        <v>3589</v>
      </c>
      <c r="K9" s="17">
        <v>717.8</v>
      </c>
      <c r="L9" s="17">
        <v>66.0106676475998</v>
      </c>
      <c r="M9" s="17">
        <v>110.062527683131</v>
      </c>
      <c r="N9" s="17">
        <v>12113.76</v>
      </c>
      <c r="O9" s="3">
        <v>1817</v>
      </c>
      <c r="P9" s="17">
        <v>363.4</v>
      </c>
      <c r="Q9" s="17">
        <v>50.6269155753692</v>
      </c>
      <c r="R9" s="17">
        <v>102.881679613039</v>
      </c>
      <c r="S9" s="17">
        <v>10584.64</v>
      </c>
      <c r="T9" s="28">
        <v>1672</v>
      </c>
      <c r="U9" s="17">
        <v>334.4</v>
      </c>
      <c r="V9" s="17">
        <v>46.5867929785456</v>
      </c>
      <c r="W9" s="17">
        <v>67.6242560033011</v>
      </c>
      <c r="X9" s="17">
        <v>4573.04</v>
      </c>
      <c r="Y9" s="3" t="s">
        <v>287</v>
      </c>
      <c r="Z9" s="30" t="s">
        <v>282</v>
      </c>
      <c r="AA9" s="3" t="s">
        <v>281</v>
      </c>
      <c r="AB9" s="3" t="s">
        <v>283</v>
      </c>
      <c r="AC9" s="3" t="e">
        <v>#DIV/0!</v>
      </c>
      <c r="AD9" s="35" t="s">
        <v>386</v>
      </c>
      <c r="AE9" s="17">
        <v>4.04012259682363</v>
      </c>
      <c r="AF9" s="32" t="s">
        <v>383</v>
      </c>
    </row>
    <row r="10" spans="1:32">
      <c r="A10" s="3">
        <v>6</v>
      </c>
      <c r="B10" s="15">
        <v>59</v>
      </c>
      <c r="C10" s="2" t="s">
        <v>358</v>
      </c>
      <c r="D10" s="16">
        <v>6</v>
      </c>
      <c r="E10" s="3" t="s">
        <v>359</v>
      </c>
      <c r="F10" s="3">
        <v>7580</v>
      </c>
      <c r="G10" s="17">
        <v>1263.33333333333</v>
      </c>
      <c r="H10" s="17">
        <v>250.270964267842</v>
      </c>
      <c r="I10" s="17">
        <v>62635.5555555556</v>
      </c>
      <c r="J10" s="3">
        <v>5073</v>
      </c>
      <c r="K10" s="17">
        <v>845.5</v>
      </c>
      <c r="L10" s="17">
        <v>66.9261213720317</v>
      </c>
      <c r="M10" s="17">
        <v>182.014422505471</v>
      </c>
      <c r="N10" s="17">
        <v>33129.25</v>
      </c>
      <c r="O10" s="3">
        <v>2556</v>
      </c>
      <c r="P10" s="17">
        <v>426</v>
      </c>
      <c r="Q10" s="17">
        <v>50.3843879361325</v>
      </c>
      <c r="R10" s="17">
        <v>139.545691441907</v>
      </c>
      <c r="S10" s="17">
        <v>19473</v>
      </c>
      <c r="T10" s="28">
        <v>2264</v>
      </c>
      <c r="U10" s="17">
        <v>377.333333333333</v>
      </c>
      <c r="V10" s="17">
        <v>44.6284249950719</v>
      </c>
      <c r="W10" s="17">
        <v>92.2635115067466</v>
      </c>
      <c r="X10" s="17">
        <v>8512.55555555555</v>
      </c>
      <c r="Y10" s="3" t="s">
        <v>287</v>
      </c>
      <c r="Z10" s="30" t="s">
        <v>282</v>
      </c>
      <c r="AA10" s="3" t="s">
        <v>281</v>
      </c>
      <c r="AB10" s="3" t="s">
        <v>283</v>
      </c>
      <c r="AC10" s="3" t="e">
        <v>#DIV/0!</v>
      </c>
      <c r="AD10" s="35" t="s">
        <v>386</v>
      </c>
      <c r="AE10" s="17">
        <v>5.75596294106052</v>
      </c>
      <c r="AF10" s="32" t="s">
        <v>383</v>
      </c>
    </row>
    <row r="11" s="6" customFormat="1" ht="15.75" spans="1:32">
      <c r="A11" s="18"/>
      <c r="B11" s="18"/>
      <c r="C11" s="18"/>
      <c r="D11" s="18"/>
      <c r="E11" s="18"/>
      <c r="F11" s="18">
        <f>SUM(F5:F10)</f>
        <v>35663</v>
      </c>
      <c r="G11" s="18"/>
      <c r="H11" s="18"/>
      <c r="I11" s="18"/>
      <c r="J11" s="18">
        <f>SUM(J5:J10)</f>
        <v>24654</v>
      </c>
      <c r="K11" s="18"/>
      <c r="L11" s="18"/>
      <c r="M11" s="18"/>
      <c r="N11" s="18"/>
      <c r="O11" s="18">
        <f>SUM(O5:O10)</f>
        <v>12216</v>
      </c>
      <c r="P11" s="18"/>
      <c r="Q11" s="18"/>
      <c r="R11" s="18"/>
      <c r="S11" s="18"/>
      <c r="T11" s="29">
        <f>SUM(T5:T10)</f>
        <v>11453</v>
      </c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</row>
    <row r="12" ht="26.25" spans="1:32">
      <c r="A12" s="8" t="s">
        <v>258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>
      <c r="A13" s="1" t="s">
        <v>263</v>
      </c>
      <c r="B13" s="1" t="s">
        <v>264</v>
      </c>
      <c r="C13" s="1" t="s">
        <v>265</v>
      </c>
      <c r="D13" s="9" t="s">
        <v>266</v>
      </c>
      <c r="E13" s="1" t="s">
        <v>267</v>
      </c>
      <c r="F13" s="10" t="s">
        <v>268</v>
      </c>
      <c r="G13" s="11"/>
      <c r="H13" s="11"/>
      <c r="I13" s="20"/>
      <c r="J13" s="10" t="s">
        <v>3</v>
      </c>
      <c r="K13" s="11"/>
      <c r="L13" s="11"/>
      <c r="M13" s="11"/>
      <c r="N13" s="20"/>
      <c r="O13" s="21" t="s">
        <v>4</v>
      </c>
      <c r="P13" s="22"/>
      <c r="Q13" s="22"/>
      <c r="R13" s="22"/>
      <c r="S13" s="23"/>
      <c r="T13" s="24" t="s">
        <v>257</v>
      </c>
      <c r="U13" s="25"/>
      <c r="V13" s="25"/>
      <c r="W13" s="25"/>
      <c r="X13" s="26"/>
      <c r="Y13" s="1">
        <v>2018</v>
      </c>
      <c r="Z13" s="1"/>
      <c r="AA13" s="1"/>
      <c r="AB13" s="1"/>
      <c r="AC13" s="1"/>
      <c r="AD13" s="13" t="s">
        <v>269</v>
      </c>
      <c r="AE13" s="13" t="s">
        <v>35</v>
      </c>
      <c r="AF13" s="13" t="s">
        <v>270</v>
      </c>
    </row>
    <row r="14" s="5" customFormat="1" ht="75" spans="1:32">
      <c r="A14" s="1"/>
      <c r="B14" s="1"/>
      <c r="C14" s="40"/>
      <c r="D14" s="12"/>
      <c r="E14" s="1"/>
      <c r="F14" s="13" t="s">
        <v>268</v>
      </c>
      <c r="G14" s="14" t="s">
        <v>271</v>
      </c>
      <c r="H14" s="13" t="s">
        <v>274</v>
      </c>
      <c r="I14" s="14" t="s">
        <v>273</v>
      </c>
      <c r="J14" s="14" t="s">
        <v>3</v>
      </c>
      <c r="K14" s="13" t="s">
        <v>271</v>
      </c>
      <c r="L14" s="13" t="s">
        <v>27</v>
      </c>
      <c r="M14" s="13" t="s">
        <v>274</v>
      </c>
      <c r="N14" s="13" t="s">
        <v>273</v>
      </c>
      <c r="O14" s="13" t="s">
        <v>275</v>
      </c>
      <c r="P14" s="13" t="s">
        <v>271</v>
      </c>
      <c r="Q14" s="13" t="s">
        <v>27</v>
      </c>
      <c r="R14" s="13" t="s">
        <v>274</v>
      </c>
      <c r="S14" s="13" t="s">
        <v>273</v>
      </c>
      <c r="T14" s="13" t="s">
        <v>276</v>
      </c>
      <c r="U14" s="13" t="s">
        <v>271</v>
      </c>
      <c r="V14" s="13" t="s">
        <v>27</v>
      </c>
      <c r="W14" s="13" t="s">
        <v>274</v>
      </c>
      <c r="X14" s="13" t="s">
        <v>273</v>
      </c>
      <c r="Y14" s="13" t="s">
        <v>28</v>
      </c>
      <c r="Z14" s="13" t="s">
        <v>29</v>
      </c>
      <c r="AA14" s="13" t="s">
        <v>30</v>
      </c>
      <c r="AB14" s="13" t="s">
        <v>31</v>
      </c>
      <c r="AC14" s="13" t="s">
        <v>277</v>
      </c>
      <c r="AD14" s="13"/>
      <c r="AE14" s="13"/>
      <c r="AF14" s="13"/>
    </row>
    <row r="15" spans="1:32">
      <c r="A15" s="3">
        <v>1</v>
      </c>
      <c r="B15" s="15">
        <v>24</v>
      </c>
      <c r="C15" s="2" t="s">
        <v>285</v>
      </c>
      <c r="D15" s="16">
        <v>6</v>
      </c>
      <c r="E15" s="3" t="s">
        <v>286</v>
      </c>
      <c r="F15" s="3">
        <v>6301</v>
      </c>
      <c r="G15" s="17">
        <v>1050.16666666667</v>
      </c>
      <c r="H15" s="17">
        <v>169.490822432629</v>
      </c>
      <c r="I15" s="17">
        <v>28727.1388888889</v>
      </c>
      <c r="J15" s="3">
        <v>4035</v>
      </c>
      <c r="K15" s="17">
        <v>672.5</v>
      </c>
      <c r="L15" s="17">
        <v>64.0374543723218</v>
      </c>
      <c r="M15" s="17">
        <v>186.737560942266</v>
      </c>
      <c r="N15" s="17">
        <v>34870.9166666667</v>
      </c>
      <c r="O15" s="3">
        <v>2412</v>
      </c>
      <c r="P15" s="17">
        <v>402</v>
      </c>
      <c r="Q15" s="17">
        <v>59.7769516728625</v>
      </c>
      <c r="R15" s="17">
        <v>100.47221838233</v>
      </c>
      <c r="S15" s="17">
        <v>10094.6666666667</v>
      </c>
      <c r="T15" s="27">
        <v>1482</v>
      </c>
      <c r="U15" s="17">
        <v>247</v>
      </c>
      <c r="V15" s="17">
        <v>36.728624535316</v>
      </c>
      <c r="W15" s="17">
        <v>80.1893592276016</v>
      </c>
      <c r="X15" s="17">
        <v>6430.33333333333</v>
      </c>
      <c r="Y15" s="3" t="s">
        <v>287</v>
      </c>
      <c r="Z15" s="30" t="s">
        <v>282</v>
      </c>
      <c r="AA15" s="3" t="s">
        <v>281</v>
      </c>
      <c r="AB15" s="3" t="s">
        <v>283</v>
      </c>
      <c r="AC15" s="3" t="e">
        <v>#DIV/0!</v>
      </c>
      <c r="AD15" s="35" t="s">
        <v>386</v>
      </c>
      <c r="AE15" s="17">
        <v>23.0483271375465</v>
      </c>
      <c r="AF15" s="36" t="s">
        <v>380</v>
      </c>
    </row>
    <row r="16" spans="1:32">
      <c r="A16" s="3">
        <v>2</v>
      </c>
      <c r="B16" s="15">
        <v>25</v>
      </c>
      <c r="C16" s="2" t="s">
        <v>288</v>
      </c>
      <c r="D16" s="16">
        <v>6</v>
      </c>
      <c r="E16" s="3" t="s">
        <v>289</v>
      </c>
      <c r="F16" s="3">
        <v>6544</v>
      </c>
      <c r="G16" s="17">
        <v>1090.66666666667</v>
      </c>
      <c r="H16" s="17">
        <v>271.186077977629</v>
      </c>
      <c r="I16" s="17">
        <v>73541.8888888889</v>
      </c>
      <c r="J16" s="3">
        <v>4632</v>
      </c>
      <c r="K16" s="17">
        <v>772</v>
      </c>
      <c r="L16" s="17">
        <v>70.7823960880196</v>
      </c>
      <c r="M16" s="17">
        <v>198.204439909907</v>
      </c>
      <c r="N16" s="17">
        <v>39285</v>
      </c>
      <c r="O16" s="3">
        <v>2774</v>
      </c>
      <c r="P16" s="17">
        <v>462.333333333333</v>
      </c>
      <c r="Q16" s="17">
        <v>59.8877374784111</v>
      </c>
      <c r="R16" s="17">
        <v>89.8696587039005</v>
      </c>
      <c r="S16" s="17">
        <v>8076.55555555556</v>
      </c>
      <c r="T16" s="27">
        <v>1588</v>
      </c>
      <c r="U16" s="17">
        <v>264.666666666667</v>
      </c>
      <c r="V16" s="17">
        <v>34.2832469775475</v>
      </c>
      <c r="W16" s="17">
        <v>106.751528742632</v>
      </c>
      <c r="X16" s="17">
        <v>11395.8888888889</v>
      </c>
      <c r="Y16" s="3" t="s">
        <v>287</v>
      </c>
      <c r="Z16" s="30" t="s">
        <v>280</v>
      </c>
      <c r="AA16" s="3" t="s">
        <v>282</v>
      </c>
      <c r="AB16" s="34" t="s">
        <v>283</v>
      </c>
      <c r="AC16" s="3" t="e">
        <v>#DIV/0!</v>
      </c>
      <c r="AD16" s="35" t="s">
        <v>386</v>
      </c>
      <c r="AE16" s="17">
        <v>25.6044905008636</v>
      </c>
      <c r="AF16" s="36" t="s">
        <v>380</v>
      </c>
    </row>
    <row r="17" spans="1:32">
      <c r="A17" s="3">
        <v>3</v>
      </c>
      <c r="B17" s="15">
        <v>30</v>
      </c>
      <c r="C17" s="2" t="s">
        <v>300</v>
      </c>
      <c r="D17" s="16">
        <v>5</v>
      </c>
      <c r="E17" s="4" t="s">
        <v>301</v>
      </c>
      <c r="F17" s="3">
        <v>5597</v>
      </c>
      <c r="G17" s="17">
        <v>1119.4</v>
      </c>
      <c r="H17" s="17">
        <v>225.842068711744</v>
      </c>
      <c r="I17" s="17">
        <v>51004.64</v>
      </c>
      <c r="J17" s="3">
        <v>3628</v>
      </c>
      <c r="K17" s="17">
        <v>725.6</v>
      </c>
      <c r="L17" s="17">
        <v>64.8204395211721</v>
      </c>
      <c r="M17" s="17">
        <v>123.760413703252</v>
      </c>
      <c r="N17" s="17">
        <v>15316.64</v>
      </c>
      <c r="O17" s="3">
        <v>2269</v>
      </c>
      <c r="P17" s="17">
        <v>453.8</v>
      </c>
      <c r="Q17" s="17">
        <v>62.5413450937155</v>
      </c>
      <c r="R17" s="17">
        <v>116.619723889229</v>
      </c>
      <c r="S17" s="17">
        <v>13600.16</v>
      </c>
      <c r="T17" s="27">
        <v>1230</v>
      </c>
      <c r="U17" s="17">
        <v>246</v>
      </c>
      <c r="V17" s="17">
        <v>33.9029768467475</v>
      </c>
      <c r="W17" s="17">
        <v>22.8910462845192</v>
      </c>
      <c r="X17" s="17">
        <v>524</v>
      </c>
      <c r="Y17" s="3" t="s">
        <v>287</v>
      </c>
      <c r="Z17" s="30" t="s">
        <v>282</v>
      </c>
      <c r="AA17" s="3" t="s">
        <v>281</v>
      </c>
      <c r="AB17" s="34" t="s">
        <v>283</v>
      </c>
      <c r="AC17" s="3" t="e">
        <v>#DIV/0!</v>
      </c>
      <c r="AD17" s="35" t="s">
        <v>386</v>
      </c>
      <c r="AE17" s="17">
        <v>28.638368246968</v>
      </c>
      <c r="AF17" s="36" t="s">
        <v>380</v>
      </c>
    </row>
    <row r="18" spans="1:32">
      <c r="A18" s="3">
        <v>4</v>
      </c>
      <c r="B18" s="15">
        <v>31</v>
      </c>
      <c r="C18" s="2" t="s">
        <v>302</v>
      </c>
      <c r="D18" s="16">
        <v>6</v>
      </c>
      <c r="E18" s="4" t="s">
        <v>303</v>
      </c>
      <c r="F18" s="3">
        <v>6854</v>
      </c>
      <c r="G18" s="17">
        <v>1142.33333333333</v>
      </c>
      <c r="H18" s="17">
        <v>199.735380496852</v>
      </c>
      <c r="I18" s="17">
        <v>39894.2222222222</v>
      </c>
      <c r="J18" s="3">
        <v>4460</v>
      </c>
      <c r="K18" s="17">
        <v>743.333333333333</v>
      </c>
      <c r="L18" s="17">
        <v>65.0714911000876</v>
      </c>
      <c r="M18" s="17">
        <v>124.732602884018</v>
      </c>
      <c r="N18" s="17">
        <v>15558.2222222222</v>
      </c>
      <c r="O18" s="3">
        <v>2422</v>
      </c>
      <c r="P18" s="17">
        <v>403.666666666667</v>
      </c>
      <c r="Q18" s="17">
        <v>54.304932735426</v>
      </c>
      <c r="R18" s="17">
        <v>81.6979531907352</v>
      </c>
      <c r="S18" s="17">
        <v>6674.55555555556</v>
      </c>
      <c r="T18" s="27">
        <v>1840</v>
      </c>
      <c r="U18" s="17">
        <v>306.666666666667</v>
      </c>
      <c r="V18" s="17">
        <v>41.2556053811659</v>
      </c>
      <c r="W18" s="17">
        <v>41.2620352813038</v>
      </c>
      <c r="X18" s="17">
        <v>1702.55555555556</v>
      </c>
      <c r="Y18" s="3" t="s">
        <v>287</v>
      </c>
      <c r="Z18" s="30" t="s">
        <v>287</v>
      </c>
      <c r="AA18" s="3" t="s">
        <v>282</v>
      </c>
      <c r="AB18" s="34" t="s">
        <v>283</v>
      </c>
      <c r="AC18" s="30" t="s">
        <v>284</v>
      </c>
      <c r="AD18" s="35" t="s">
        <v>386</v>
      </c>
      <c r="AE18" s="17">
        <v>13.0493273542601</v>
      </c>
      <c r="AF18" s="36" t="s">
        <v>380</v>
      </c>
    </row>
    <row r="19" spans="1:32">
      <c r="A19" s="3">
        <v>5</v>
      </c>
      <c r="B19" s="15">
        <v>33</v>
      </c>
      <c r="C19" s="2" t="s">
        <v>306</v>
      </c>
      <c r="D19" s="16">
        <v>4</v>
      </c>
      <c r="E19" s="4" t="s">
        <v>307</v>
      </c>
      <c r="F19" s="3">
        <v>4750</v>
      </c>
      <c r="G19" s="17">
        <v>1187.5</v>
      </c>
      <c r="H19" s="17">
        <v>166.593067082637</v>
      </c>
      <c r="I19" s="17">
        <v>27753.25</v>
      </c>
      <c r="J19" s="3">
        <v>3193</v>
      </c>
      <c r="K19" s="17">
        <v>798.25</v>
      </c>
      <c r="L19" s="17">
        <v>67.2210526315789</v>
      </c>
      <c r="M19" s="17">
        <v>77.299336995863</v>
      </c>
      <c r="N19" s="17">
        <v>5975.1875</v>
      </c>
      <c r="O19" s="3">
        <v>1978</v>
      </c>
      <c r="P19" s="17">
        <v>494.5</v>
      </c>
      <c r="Q19" s="17">
        <v>61.9480112746633</v>
      </c>
      <c r="R19" s="17">
        <v>69.8194099087066</v>
      </c>
      <c r="S19" s="17">
        <v>4874.75</v>
      </c>
      <c r="T19" s="27">
        <v>1118</v>
      </c>
      <c r="U19" s="17">
        <v>279.5</v>
      </c>
      <c r="V19" s="17">
        <v>35.0140933291575</v>
      </c>
      <c r="W19" s="17">
        <v>111.719514857522</v>
      </c>
      <c r="X19" s="17">
        <v>12481.25</v>
      </c>
      <c r="Y19" s="33" t="s">
        <v>287</v>
      </c>
      <c r="Z19" s="30" t="s">
        <v>281</v>
      </c>
      <c r="AA19" s="3" t="s">
        <v>282</v>
      </c>
      <c r="AB19" s="34" t="s">
        <v>283</v>
      </c>
      <c r="AC19" s="30" t="s">
        <v>284</v>
      </c>
      <c r="AD19" s="35" t="s">
        <v>386</v>
      </c>
      <c r="AE19" s="17">
        <v>26.9339179455058</v>
      </c>
      <c r="AF19" s="36" t="s">
        <v>380</v>
      </c>
    </row>
    <row r="20" spans="1:32">
      <c r="A20" s="3">
        <v>6</v>
      </c>
      <c r="B20" s="15">
        <v>35</v>
      </c>
      <c r="C20" s="2" t="s">
        <v>311</v>
      </c>
      <c r="D20" s="16">
        <v>7</v>
      </c>
      <c r="E20" s="4" t="s">
        <v>312</v>
      </c>
      <c r="F20" s="3">
        <v>8749</v>
      </c>
      <c r="G20" s="17">
        <v>1249.85714285714</v>
      </c>
      <c r="H20" s="17">
        <v>101.892700665845</v>
      </c>
      <c r="I20" s="17">
        <v>10382.1224489796</v>
      </c>
      <c r="J20" s="3">
        <v>6078</v>
      </c>
      <c r="K20" s="17">
        <v>868.285714285714</v>
      </c>
      <c r="L20" s="17">
        <v>69.4707966624757</v>
      </c>
      <c r="M20" s="17">
        <v>110.817371363511</v>
      </c>
      <c r="N20" s="17">
        <v>12280.4897959184</v>
      </c>
      <c r="O20" s="3">
        <v>3326</v>
      </c>
      <c r="P20" s="17">
        <v>475.142857142857</v>
      </c>
      <c r="Q20" s="17">
        <v>54.7219480092136</v>
      </c>
      <c r="R20" s="17">
        <v>124.146720308131</v>
      </c>
      <c r="S20" s="17">
        <v>15412.4081632653</v>
      </c>
      <c r="T20" s="27">
        <v>2550</v>
      </c>
      <c r="U20" s="17">
        <v>364.285714285714</v>
      </c>
      <c r="V20" s="17">
        <v>41.9545903257651</v>
      </c>
      <c r="W20" s="17">
        <v>114.530986806085</v>
      </c>
      <c r="X20" s="17">
        <v>13117.3469387755</v>
      </c>
      <c r="Y20" s="33" t="s">
        <v>287</v>
      </c>
      <c r="Z20" s="30" t="s">
        <v>282</v>
      </c>
      <c r="AA20" s="3" t="s">
        <v>281</v>
      </c>
      <c r="AB20" s="34" t="s">
        <v>283</v>
      </c>
      <c r="AC20" s="3" t="e">
        <v>#DIV/0!</v>
      </c>
      <c r="AD20" s="35" t="s">
        <v>386</v>
      </c>
      <c r="AE20" s="17">
        <v>12.7673576834485</v>
      </c>
      <c r="AF20" s="36" t="s">
        <v>380</v>
      </c>
    </row>
    <row r="21" spans="1:32">
      <c r="A21" s="3">
        <v>7</v>
      </c>
      <c r="B21" s="15">
        <v>37</v>
      </c>
      <c r="C21" s="2" t="s">
        <v>315</v>
      </c>
      <c r="D21" s="16">
        <v>6</v>
      </c>
      <c r="E21" s="4" t="s">
        <v>316</v>
      </c>
      <c r="F21" s="4">
        <v>6600</v>
      </c>
      <c r="G21" s="17">
        <v>1100</v>
      </c>
      <c r="H21" s="17">
        <v>203.920736235104</v>
      </c>
      <c r="I21" s="17">
        <v>41583.6666666667</v>
      </c>
      <c r="J21" s="4">
        <v>4615</v>
      </c>
      <c r="K21" s="17">
        <v>769.166666666667</v>
      </c>
      <c r="L21" s="17">
        <v>69.9242424242424</v>
      </c>
      <c r="M21" s="17">
        <v>167.974617791565</v>
      </c>
      <c r="N21" s="17">
        <v>28215.4722222222</v>
      </c>
      <c r="O21" s="3">
        <v>2581</v>
      </c>
      <c r="P21" s="17">
        <v>430.166666666667</v>
      </c>
      <c r="Q21" s="17">
        <v>55.9263271939328</v>
      </c>
      <c r="R21" s="17">
        <v>156.347280827721</v>
      </c>
      <c r="S21" s="17">
        <v>24444.4722222222</v>
      </c>
      <c r="T21" s="27">
        <v>1888</v>
      </c>
      <c r="U21" s="17">
        <v>314.666666666667</v>
      </c>
      <c r="V21" s="17">
        <v>40.9100758396533</v>
      </c>
      <c r="W21" s="17">
        <v>30.7715597409181</v>
      </c>
      <c r="X21" s="17">
        <v>946.888888888889</v>
      </c>
      <c r="Y21" s="3" t="s">
        <v>280</v>
      </c>
      <c r="Z21" s="30" t="s">
        <v>280</v>
      </c>
      <c r="AA21" s="3" t="s">
        <v>282</v>
      </c>
      <c r="AB21" s="3" t="s">
        <v>283</v>
      </c>
      <c r="AC21" s="3" t="s">
        <v>294</v>
      </c>
      <c r="AD21" s="35" t="s">
        <v>386</v>
      </c>
      <c r="AE21" s="17">
        <v>15.0162513542795</v>
      </c>
      <c r="AF21" s="36" t="s">
        <v>380</v>
      </c>
    </row>
    <row r="22" spans="1:32">
      <c r="A22" s="3">
        <v>8</v>
      </c>
      <c r="B22" s="15">
        <v>46</v>
      </c>
      <c r="C22" s="2" t="s">
        <v>333</v>
      </c>
      <c r="D22" s="16">
        <v>5</v>
      </c>
      <c r="E22" s="3" t="s">
        <v>334</v>
      </c>
      <c r="F22" s="3">
        <v>5129</v>
      </c>
      <c r="G22" s="17">
        <v>1025.8</v>
      </c>
      <c r="H22" s="17">
        <v>160.510934206988</v>
      </c>
      <c r="I22" s="17">
        <v>25763.76</v>
      </c>
      <c r="J22" s="3">
        <v>3179</v>
      </c>
      <c r="K22" s="17">
        <v>635.8</v>
      </c>
      <c r="L22" s="17">
        <v>61.980892961591</v>
      </c>
      <c r="M22" s="17">
        <v>152.201708268994</v>
      </c>
      <c r="N22" s="17">
        <v>23165.36</v>
      </c>
      <c r="O22" s="3">
        <v>1885</v>
      </c>
      <c r="P22" s="17">
        <v>377</v>
      </c>
      <c r="Q22" s="17">
        <v>59.2953759043724</v>
      </c>
      <c r="R22" s="17">
        <v>100.057983189749</v>
      </c>
      <c r="S22" s="17">
        <v>10011.6</v>
      </c>
      <c r="T22" s="27">
        <v>1217</v>
      </c>
      <c r="U22" s="17">
        <v>243.4</v>
      </c>
      <c r="V22" s="17">
        <v>38.2824787669078</v>
      </c>
      <c r="W22" s="17">
        <v>106.24236443152</v>
      </c>
      <c r="X22" s="17">
        <v>11287.44</v>
      </c>
      <c r="Y22" s="3" t="s">
        <v>287</v>
      </c>
      <c r="Z22" s="30" t="s">
        <v>282</v>
      </c>
      <c r="AA22" s="3" t="s">
        <v>281</v>
      </c>
      <c r="AB22" s="3" t="s">
        <v>283</v>
      </c>
      <c r="AC22" s="3" t="e">
        <v>#DIV/0!</v>
      </c>
      <c r="AD22" s="35" t="s">
        <v>386</v>
      </c>
      <c r="AE22" s="17">
        <v>21.0128971374646</v>
      </c>
      <c r="AF22" s="36" t="s">
        <v>380</v>
      </c>
    </row>
    <row r="23" spans="1:32">
      <c r="A23" s="3">
        <v>9</v>
      </c>
      <c r="B23" s="15">
        <v>54</v>
      </c>
      <c r="C23" s="2" t="s">
        <v>349</v>
      </c>
      <c r="D23" s="16">
        <v>5</v>
      </c>
      <c r="E23" s="3" t="s">
        <v>350</v>
      </c>
      <c r="F23" s="3">
        <v>6186</v>
      </c>
      <c r="G23" s="17">
        <v>1237.2</v>
      </c>
      <c r="H23" s="17">
        <v>353.831259218289</v>
      </c>
      <c r="I23" s="17">
        <v>125196.56</v>
      </c>
      <c r="J23" s="3">
        <v>4533</v>
      </c>
      <c r="K23" s="17">
        <v>906.6</v>
      </c>
      <c r="L23" s="17">
        <v>73.278370514064</v>
      </c>
      <c r="M23" s="17">
        <v>269.978221343871</v>
      </c>
      <c r="N23" s="17">
        <v>72888.24</v>
      </c>
      <c r="O23" s="3">
        <v>2746</v>
      </c>
      <c r="P23" s="17">
        <v>549.2</v>
      </c>
      <c r="Q23" s="17">
        <v>60.5779836752702</v>
      </c>
      <c r="R23" s="17">
        <v>187.64157321873</v>
      </c>
      <c r="S23" s="17">
        <v>35209.36</v>
      </c>
      <c r="T23" s="28">
        <v>1391</v>
      </c>
      <c r="U23" s="17">
        <v>278.2</v>
      </c>
      <c r="V23" s="17">
        <v>30.6860798588131</v>
      </c>
      <c r="W23" s="17">
        <v>81.4257944388632</v>
      </c>
      <c r="X23" s="17">
        <v>6630.16</v>
      </c>
      <c r="Y23" s="3" t="s">
        <v>280</v>
      </c>
      <c r="Z23" s="30" t="s">
        <v>282</v>
      </c>
      <c r="AA23" s="3" t="s">
        <v>282</v>
      </c>
      <c r="AB23" s="3" t="s">
        <v>283</v>
      </c>
      <c r="AC23" s="3" t="s">
        <v>284</v>
      </c>
      <c r="AD23" s="35" t="s">
        <v>386</v>
      </c>
      <c r="AE23" s="17">
        <v>29.8919038164571</v>
      </c>
      <c r="AF23" s="36" t="s">
        <v>380</v>
      </c>
    </row>
    <row r="24" spans="1:32">
      <c r="A24" s="3">
        <v>10</v>
      </c>
      <c r="B24" s="15">
        <v>57</v>
      </c>
      <c r="C24" s="2" t="s">
        <v>355</v>
      </c>
      <c r="D24" s="16">
        <v>5</v>
      </c>
      <c r="E24" s="3" t="s">
        <v>356</v>
      </c>
      <c r="F24" s="3">
        <v>6302</v>
      </c>
      <c r="G24" s="17">
        <v>1260.4</v>
      </c>
      <c r="H24" s="17">
        <v>162.172254100385</v>
      </c>
      <c r="I24" s="17">
        <v>26299.84</v>
      </c>
      <c r="J24" s="3">
        <v>4207</v>
      </c>
      <c r="K24" s="17">
        <v>841.4</v>
      </c>
      <c r="L24" s="17">
        <v>66.7565852110441</v>
      </c>
      <c r="M24" s="17">
        <v>117.205119342117</v>
      </c>
      <c r="N24" s="17">
        <v>13737.04</v>
      </c>
      <c r="O24" s="3">
        <v>4339</v>
      </c>
      <c r="P24" s="17">
        <v>467.8</v>
      </c>
      <c r="Q24" s="17">
        <v>55.5978131685286</v>
      </c>
      <c r="R24" s="17">
        <v>122.991707037507</v>
      </c>
      <c r="S24" s="17">
        <v>15126.96</v>
      </c>
      <c r="T24" s="28">
        <v>1736</v>
      </c>
      <c r="U24" s="17">
        <v>347.2</v>
      </c>
      <c r="V24" s="17">
        <v>41.2645590682196</v>
      </c>
      <c r="W24" s="17">
        <v>69.7836657105372</v>
      </c>
      <c r="X24" s="17">
        <v>4869.76</v>
      </c>
      <c r="Y24" s="3" t="s">
        <v>287</v>
      </c>
      <c r="Z24" s="30" t="s">
        <v>282</v>
      </c>
      <c r="AA24" s="3" t="s">
        <v>281</v>
      </c>
      <c r="AB24" s="3" t="s">
        <v>283</v>
      </c>
      <c r="AC24" s="3" t="e">
        <v>#DIV/0!</v>
      </c>
      <c r="AD24" s="35" t="s">
        <v>386</v>
      </c>
      <c r="AE24" s="17">
        <v>14.333254100309</v>
      </c>
      <c r="AF24" s="36" t="s">
        <v>380</v>
      </c>
    </row>
    <row r="25" spans="1:32">
      <c r="A25" s="3">
        <v>11</v>
      </c>
      <c r="B25" s="15">
        <v>58</v>
      </c>
      <c r="C25" s="2" t="s">
        <v>292</v>
      </c>
      <c r="D25" s="16">
        <v>4</v>
      </c>
      <c r="E25" s="3" t="s">
        <v>357</v>
      </c>
      <c r="F25" s="3">
        <v>4159</v>
      </c>
      <c r="G25" s="17">
        <v>1039.75</v>
      </c>
      <c r="H25" s="17">
        <v>60.3173896981625</v>
      </c>
      <c r="I25" s="17">
        <v>3638.1875</v>
      </c>
      <c r="J25" s="3">
        <v>2886</v>
      </c>
      <c r="K25" s="17">
        <v>721.5</v>
      </c>
      <c r="L25" s="17">
        <v>69.3916806924742</v>
      </c>
      <c r="M25" s="17">
        <v>61.6948133962653</v>
      </c>
      <c r="N25" s="17">
        <v>3806.25</v>
      </c>
      <c r="O25" s="3">
        <v>1770</v>
      </c>
      <c r="P25" s="17">
        <v>442.5</v>
      </c>
      <c r="Q25" s="17">
        <v>61.3305613305613</v>
      </c>
      <c r="R25" s="17">
        <v>61.8647718819038</v>
      </c>
      <c r="S25" s="17">
        <v>3827.25</v>
      </c>
      <c r="T25" s="28">
        <v>1014</v>
      </c>
      <c r="U25" s="17">
        <v>253.5</v>
      </c>
      <c r="V25" s="17">
        <v>35.1351351351351</v>
      </c>
      <c r="W25" s="17">
        <v>50.087423571192</v>
      </c>
      <c r="X25" s="17">
        <v>2508.75</v>
      </c>
      <c r="Y25" s="3" t="s">
        <v>287</v>
      </c>
      <c r="Z25" s="30" t="s">
        <v>282</v>
      </c>
      <c r="AA25" s="3" t="s">
        <v>281</v>
      </c>
      <c r="AB25" s="3" t="s">
        <v>283</v>
      </c>
      <c r="AC25" s="3" t="e">
        <v>#DIV/0!</v>
      </c>
      <c r="AD25" s="35" t="s">
        <v>386</v>
      </c>
      <c r="AE25" s="17">
        <v>26.1954261954262</v>
      </c>
      <c r="AF25" s="36" t="s">
        <v>380</v>
      </c>
    </row>
    <row r="26" spans="1:32">
      <c r="A26" s="3">
        <v>12</v>
      </c>
      <c r="B26" s="15">
        <v>60</v>
      </c>
      <c r="C26" s="2" t="s">
        <v>360</v>
      </c>
      <c r="D26" s="16">
        <v>8</v>
      </c>
      <c r="E26" s="3" t="s">
        <v>361</v>
      </c>
      <c r="F26" s="3">
        <v>7516</v>
      </c>
      <c r="G26" s="17">
        <v>1073.71428571429</v>
      </c>
      <c r="H26" s="17">
        <v>199.289964112392</v>
      </c>
      <c r="I26" s="17">
        <v>39716.4897959184</v>
      </c>
      <c r="J26" s="3">
        <v>5650</v>
      </c>
      <c r="K26" s="17">
        <v>807.142857142857</v>
      </c>
      <c r="L26" s="17">
        <v>75.1729643427355</v>
      </c>
      <c r="M26" s="17">
        <v>124.611887269953</v>
      </c>
      <c r="N26" s="17">
        <v>15528.1224489796</v>
      </c>
      <c r="O26" s="3">
        <v>3061</v>
      </c>
      <c r="P26" s="17">
        <v>437.285714285714</v>
      </c>
      <c r="Q26" s="17">
        <v>54.1769911504425</v>
      </c>
      <c r="R26" s="17">
        <v>273.280449504959</v>
      </c>
      <c r="S26" s="17">
        <v>74682.2040816326</v>
      </c>
      <c r="T26" s="28">
        <v>2338</v>
      </c>
      <c r="U26" s="17">
        <v>334</v>
      </c>
      <c r="V26" s="17">
        <v>41.3805309734513</v>
      </c>
      <c r="W26" s="17">
        <v>260.166430249122</v>
      </c>
      <c r="X26" s="17">
        <v>67686.5714285714</v>
      </c>
      <c r="Y26" s="3" t="s">
        <v>280</v>
      </c>
      <c r="Z26" s="30" t="s">
        <v>282</v>
      </c>
      <c r="AA26" s="3" t="s">
        <v>282</v>
      </c>
      <c r="AB26" s="3" t="s">
        <v>283</v>
      </c>
      <c r="AC26" s="3" t="s">
        <v>294</v>
      </c>
      <c r="AD26" s="35" t="s">
        <v>386</v>
      </c>
      <c r="AE26" s="17">
        <v>12.7964601769912</v>
      </c>
      <c r="AF26" s="36" t="s">
        <v>380</v>
      </c>
    </row>
    <row r="27" s="6" customFormat="1" ht="15.75" spans="1:32">
      <c r="A27" s="18"/>
      <c r="B27" s="41"/>
      <c r="C27" s="42"/>
      <c r="D27" s="43"/>
      <c r="E27" s="18"/>
      <c r="F27" s="18">
        <f>SUM(F15:F26)</f>
        <v>74687</v>
      </c>
      <c r="G27" s="18"/>
      <c r="H27" s="18"/>
      <c r="I27" s="18"/>
      <c r="J27" s="18">
        <f>SUM(J15:J26)</f>
        <v>51096</v>
      </c>
      <c r="K27" s="18"/>
      <c r="L27" s="18"/>
      <c r="M27" s="18"/>
      <c r="N27" s="18"/>
      <c r="O27" s="18">
        <f>SUM(O15:O26)</f>
        <v>31563</v>
      </c>
      <c r="P27" s="18"/>
      <c r="Q27" s="18"/>
      <c r="R27" s="18"/>
      <c r="S27" s="18"/>
      <c r="T27" s="29">
        <f>SUM(T15:T26)</f>
        <v>19392</v>
      </c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</row>
    <row r="28" ht="26.25" spans="1:32">
      <c r="A28" s="8" t="s">
        <v>259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>
      <c r="A29" s="1" t="s">
        <v>263</v>
      </c>
      <c r="B29" s="1" t="s">
        <v>264</v>
      </c>
      <c r="C29" s="1" t="s">
        <v>265</v>
      </c>
      <c r="D29" s="9" t="s">
        <v>266</v>
      </c>
      <c r="E29" s="1" t="s">
        <v>267</v>
      </c>
      <c r="F29" s="10" t="s">
        <v>268</v>
      </c>
      <c r="G29" s="11"/>
      <c r="H29" s="11"/>
      <c r="I29" s="20"/>
      <c r="J29" s="10" t="s">
        <v>3</v>
      </c>
      <c r="K29" s="11"/>
      <c r="L29" s="11"/>
      <c r="M29" s="11"/>
      <c r="N29" s="20"/>
      <c r="O29" s="21" t="s">
        <v>4</v>
      </c>
      <c r="P29" s="22"/>
      <c r="Q29" s="22"/>
      <c r="R29" s="22"/>
      <c r="S29" s="23"/>
      <c r="T29" s="24" t="s">
        <v>257</v>
      </c>
      <c r="U29" s="25"/>
      <c r="V29" s="25"/>
      <c r="W29" s="25"/>
      <c r="X29" s="26"/>
      <c r="Y29" s="1">
        <v>2018</v>
      </c>
      <c r="Z29" s="1"/>
      <c r="AA29" s="1"/>
      <c r="AB29" s="1"/>
      <c r="AC29" s="1"/>
      <c r="AD29" s="13" t="s">
        <v>269</v>
      </c>
      <c r="AE29" s="13" t="s">
        <v>35</v>
      </c>
      <c r="AF29" s="13" t="s">
        <v>270</v>
      </c>
    </row>
    <row r="30" s="5" customFormat="1" ht="75" spans="1:32">
      <c r="A30" s="1"/>
      <c r="B30" s="1"/>
      <c r="C30" s="40"/>
      <c r="D30" s="12"/>
      <c r="E30" s="1"/>
      <c r="F30" s="13" t="s">
        <v>268</v>
      </c>
      <c r="G30" s="14" t="s">
        <v>271</v>
      </c>
      <c r="H30" s="13" t="s">
        <v>274</v>
      </c>
      <c r="I30" s="14" t="s">
        <v>273</v>
      </c>
      <c r="J30" s="14" t="s">
        <v>3</v>
      </c>
      <c r="K30" s="13" t="s">
        <v>271</v>
      </c>
      <c r="L30" s="13" t="s">
        <v>27</v>
      </c>
      <c r="M30" s="13" t="s">
        <v>274</v>
      </c>
      <c r="N30" s="13" t="s">
        <v>273</v>
      </c>
      <c r="O30" s="13" t="s">
        <v>275</v>
      </c>
      <c r="P30" s="13" t="s">
        <v>271</v>
      </c>
      <c r="Q30" s="13" t="s">
        <v>27</v>
      </c>
      <c r="R30" s="13" t="s">
        <v>274</v>
      </c>
      <c r="S30" s="13" t="s">
        <v>273</v>
      </c>
      <c r="T30" s="13" t="s">
        <v>276</v>
      </c>
      <c r="U30" s="13" t="s">
        <v>271</v>
      </c>
      <c r="V30" s="13" t="s">
        <v>27</v>
      </c>
      <c r="W30" s="13" t="s">
        <v>274</v>
      </c>
      <c r="X30" s="13" t="s">
        <v>273</v>
      </c>
      <c r="Y30" s="13" t="s">
        <v>28</v>
      </c>
      <c r="Z30" s="13" t="s">
        <v>29</v>
      </c>
      <c r="AA30" s="13" t="s">
        <v>30</v>
      </c>
      <c r="AB30" s="13" t="s">
        <v>31</v>
      </c>
      <c r="AC30" s="13" t="s">
        <v>277</v>
      </c>
      <c r="AD30" s="13"/>
      <c r="AE30" s="13"/>
      <c r="AF30" s="13"/>
    </row>
    <row r="31" spans="1:32">
      <c r="A31" s="3">
        <v>1</v>
      </c>
      <c r="B31" s="15">
        <v>21</v>
      </c>
      <c r="C31" s="2" t="s">
        <v>278</v>
      </c>
      <c r="D31" s="16">
        <v>6</v>
      </c>
      <c r="E31" s="3" t="s">
        <v>279</v>
      </c>
      <c r="F31" s="4">
        <v>7224</v>
      </c>
      <c r="G31" s="17">
        <v>1204</v>
      </c>
      <c r="H31" s="17">
        <v>190.254215897222</v>
      </c>
      <c r="I31" s="17">
        <v>36196.6666666667</v>
      </c>
      <c r="J31" s="3">
        <v>5334</v>
      </c>
      <c r="K31" s="17">
        <v>889</v>
      </c>
      <c r="L31" s="17">
        <v>73.8372093023256</v>
      </c>
      <c r="M31" s="17">
        <v>178.876121007435</v>
      </c>
      <c r="N31" s="17">
        <v>31996.6666666667</v>
      </c>
      <c r="O31" s="45">
        <v>3504</v>
      </c>
      <c r="P31" s="17">
        <v>584</v>
      </c>
      <c r="Q31" s="17">
        <v>65.6917885264342</v>
      </c>
      <c r="R31" s="17">
        <v>141.076811229439</v>
      </c>
      <c r="S31" s="17">
        <v>19902.6666666667</v>
      </c>
      <c r="T31" s="27">
        <v>1579</v>
      </c>
      <c r="U31" s="17">
        <v>263.166666666667</v>
      </c>
      <c r="V31" s="17">
        <v>29.6025496812898</v>
      </c>
      <c r="W31" s="17">
        <v>40.4903966666446</v>
      </c>
      <c r="X31" s="17">
        <v>1639.47222222222</v>
      </c>
      <c r="Y31" s="3" t="s">
        <v>280</v>
      </c>
      <c r="Z31" s="30" t="s">
        <v>281</v>
      </c>
      <c r="AA31" s="3" t="s">
        <v>282</v>
      </c>
      <c r="AB31" s="3" t="s">
        <v>283</v>
      </c>
      <c r="AC31" s="3" t="s">
        <v>284</v>
      </c>
      <c r="AD31" s="35" t="s">
        <v>386</v>
      </c>
      <c r="AE31" s="17">
        <v>36.0892388451444</v>
      </c>
      <c r="AF31" s="38" t="s">
        <v>379</v>
      </c>
    </row>
    <row r="32" spans="1:32">
      <c r="A32" s="3">
        <v>2</v>
      </c>
      <c r="B32" s="15">
        <v>26</v>
      </c>
      <c r="C32" s="2" t="s">
        <v>290</v>
      </c>
      <c r="D32" s="16">
        <v>7</v>
      </c>
      <c r="E32" s="4" t="s">
        <v>291</v>
      </c>
      <c r="F32" s="3">
        <v>8521</v>
      </c>
      <c r="G32" s="17">
        <v>1032.14285714286</v>
      </c>
      <c r="H32" s="17">
        <v>284.089235765016</v>
      </c>
      <c r="I32" s="17">
        <v>80706.693877551</v>
      </c>
      <c r="J32" s="3">
        <v>5997</v>
      </c>
      <c r="K32" s="17">
        <v>749.625</v>
      </c>
      <c r="L32" s="17">
        <v>72.6280276816609</v>
      </c>
      <c r="M32" s="17">
        <v>207.768463379311</v>
      </c>
      <c r="N32" s="17">
        <v>43167.734375</v>
      </c>
      <c r="O32" s="3">
        <v>4015</v>
      </c>
      <c r="P32" s="17">
        <v>501.875</v>
      </c>
      <c r="Q32" s="17">
        <v>66.9501417375354</v>
      </c>
      <c r="R32" s="17">
        <v>148.975197180605</v>
      </c>
      <c r="S32" s="17">
        <v>22193.609375</v>
      </c>
      <c r="T32" s="27">
        <v>1759</v>
      </c>
      <c r="U32" s="17">
        <v>219.875</v>
      </c>
      <c r="V32" s="17">
        <v>29.3313323328331</v>
      </c>
      <c r="W32" s="17">
        <v>61.6693552341842</v>
      </c>
      <c r="X32" s="17">
        <v>3803.109375</v>
      </c>
      <c r="Y32" s="3" t="s">
        <v>287</v>
      </c>
      <c r="Z32" s="30" t="s">
        <v>281</v>
      </c>
      <c r="AA32" s="3" t="s">
        <v>282</v>
      </c>
      <c r="AB32" s="3" t="s">
        <v>283</v>
      </c>
      <c r="AC32" s="3" t="s">
        <v>284</v>
      </c>
      <c r="AD32" s="35" t="s">
        <v>386</v>
      </c>
      <c r="AE32" s="17">
        <v>37.6188094047024</v>
      </c>
      <c r="AF32" s="38" t="s">
        <v>379</v>
      </c>
    </row>
    <row r="33" spans="1:32">
      <c r="A33" s="3">
        <v>3</v>
      </c>
      <c r="B33" s="15">
        <v>32</v>
      </c>
      <c r="C33" s="2" t="s">
        <v>304</v>
      </c>
      <c r="D33" s="16">
        <v>5</v>
      </c>
      <c r="E33" s="4" t="s">
        <v>305</v>
      </c>
      <c r="F33" s="3">
        <v>5221</v>
      </c>
      <c r="G33" s="17">
        <v>1044.2</v>
      </c>
      <c r="H33" s="17">
        <v>284.75280507837</v>
      </c>
      <c r="I33" s="17">
        <v>81084.16</v>
      </c>
      <c r="J33" s="3">
        <v>3656</v>
      </c>
      <c r="K33" s="17">
        <v>731.2</v>
      </c>
      <c r="L33" s="17">
        <v>70.0248994445509</v>
      </c>
      <c r="M33" s="17">
        <v>209.200764816958</v>
      </c>
      <c r="N33" s="17">
        <v>43764.96</v>
      </c>
      <c r="O33" s="3">
        <v>2453</v>
      </c>
      <c r="P33" s="17">
        <v>490.6</v>
      </c>
      <c r="Q33" s="17">
        <v>67.0951859956236</v>
      </c>
      <c r="R33" s="17">
        <v>140.279150268313</v>
      </c>
      <c r="S33" s="17">
        <v>19678.24</v>
      </c>
      <c r="T33" s="27">
        <v>1036</v>
      </c>
      <c r="U33" s="17">
        <v>207.2</v>
      </c>
      <c r="V33" s="17">
        <v>28.3369803063457</v>
      </c>
      <c r="W33" s="17">
        <v>67.7949850652686</v>
      </c>
      <c r="X33" s="17">
        <v>4596.16</v>
      </c>
      <c r="Y33" s="17" t="s">
        <v>280</v>
      </c>
      <c r="Z33" s="30" t="s">
        <v>281</v>
      </c>
      <c r="AA33" s="3" t="s">
        <v>282</v>
      </c>
      <c r="AB33" s="34" t="s">
        <v>283</v>
      </c>
      <c r="AC33" s="30" t="s">
        <v>284</v>
      </c>
      <c r="AD33" s="35" t="s">
        <v>386</v>
      </c>
      <c r="AE33" s="17">
        <v>38.7582056892779</v>
      </c>
      <c r="AF33" s="38" t="s">
        <v>379</v>
      </c>
    </row>
    <row r="34" spans="1:32">
      <c r="A34" s="3">
        <v>4</v>
      </c>
      <c r="B34" s="15">
        <v>50</v>
      </c>
      <c r="C34" s="2" t="s">
        <v>341</v>
      </c>
      <c r="D34" s="16">
        <v>8</v>
      </c>
      <c r="E34" s="3" t="s">
        <v>342</v>
      </c>
      <c r="F34" s="3">
        <v>7183</v>
      </c>
      <c r="G34" s="17">
        <v>897.875</v>
      </c>
      <c r="H34" s="17">
        <v>269.786229031432</v>
      </c>
      <c r="I34" s="17">
        <v>72784.609375</v>
      </c>
      <c r="J34" s="3">
        <v>5029</v>
      </c>
      <c r="K34" s="17">
        <v>628.625</v>
      </c>
      <c r="L34" s="17">
        <v>70.0125295837394</v>
      </c>
      <c r="M34" s="17">
        <v>174.475598222216</v>
      </c>
      <c r="N34" s="17">
        <v>30441.734375</v>
      </c>
      <c r="O34" s="3">
        <v>3192</v>
      </c>
      <c r="P34" s="17">
        <v>399</v>
      </c>
      <c r="Q34" s="17">
        <v>63.4718631934778</v>
      </c>
      <c r="R34" s="17">
        <v>144.395290781937</v>
      </c>
      <c r="S34" s="17">
        <v>20850</v>
      </c>
      <c r="T34" s="28">
        <v>1553</v>
      </c>
      <c r="U34" s="17">
        <v>194.125</v>
      </c>
      <c r="V34" s="17">
        <v>30.8808908331676</v>
      </c>
      <c r="W34" s="17">
        <v>49.9110145659252</v>
      </c>
      <c r="X34" s="17">
        <v>2491.109375</v>
      </c>
      <c r="Y34" s="3" t="s">
        <v>280</v>
      </c>
      <c r="Z34" s="30" t="s">
        <v>280</v>
      </c>
      <c r="AA34" s="3" t="s">
        <v>282</v>
      </c>
      <c r="AB34" s="3" t="s">
        <v>283</v>
      </c>
      <c r="AC34" s="3" t="s">
        <v>284</v>
      </c>
      <c r="AD34" s="35" t="s">
        <v>386</v>
      </c>
      <c r="AE34" s="17">
        <v>32.5909723603102</v>
      </c>
      <c r="AF34" s="38" t="s">
        <v>379</v>
      </c>
    </row>
    <row r="35" s="6" customFormat="1" ht="15.75" spans="1:32">
      <c r="A35" s="18"/>
      <c r="B35" s="41"/>
      <c r="C35" s="42"/>
      <c r="D35" s="43"/>
      <c r="E35" s="18"/>
      <c r="F35" s="18">
        <f>SUM(F31:F34)</f>
        <v>28149</v>
      </c>
      <c r="G35" s="18"/>
      <c r="H35" s="18"/>
      <c r="I35" s="18"/>
      <c r="J35" s="18">
        <f>SUM(J31:J34)</f>
        <v>20016</v>
      </c>
      <c r="K35" s="18"/>
      <c r="L35" s="18"/>
      <c r="M35" s="18"/>
      <c r="N35" s="18"/>
      <c r="O35" s="18">
        <f>SUM(O31:O34)</f>
        <v>13164</v>
      </c>
      <c r="P35" s="18"/>
      <c r="Q35" s="18"/>
      <c r="R35" s="18"/>
      <c r="S35" s="18"/>
      <c r="T35" s="29">
        <f>SUM(T31:T34)</f>
        <v>5927</v>
      </c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</row>
    <row r="36" ht="26.25" spans="1:32">
      <c r="A36" s="8" t="s">
        <v>260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spans="1:32">
      <c r="A37" s="1" t="s">
        <v>263</v>
      </c>
      <c r="B37" s="1" t="s">
        <v>264</v>
      </c>
      <c r="C37" s="1" t="s">
        <v>265</v>
      </c>
      <c r="D37" s="9" t="s">
        <v>266</v>
      </c>
      <c r="E37" s="1" t="s">
        <v>267</v>
      </c>
      <c r="F37" s="10" t="s">
        <v>268</v>
      </c>
      <c r="G37" s="11"/>
      <c r="H37" s="11"/>
      <c r="I37" s="20"/>
      <c r="J37" s="10" t="s">
        <v>3</v>
      </c>
      <c r="K37" s="11"/>
      <c r="L37" s="11"/>
      <c r="M37" s="11"/>
      <c r="N37" s="20"/>
      <c r="O37" s="21" t="s">
        <v>4</v>
      </c>
      <c r="P37" s="22"/>
      <c r="Q37" s="22"/>
      <c r="R37" s="22"/>
      <c r="S37" s="23"/>
      <c r="T37" s="24" t="s">
        <v>257</v>
      </c>
      <c r="U37" s="25"/>
      <c r="V37" s="25"/>
      <c r="W37" s="25"/>
      <c r="X37" s="26"/>
      <c r="Y37" s="1">
        <v>2018</v>
      </c>
      <c r="Z37" s="1"/>
      <c r="AA37" s="1"/>
      <c r="AB37" s="1"/>
      <c r="AC37" s="1"/>
      <c r="AD37" s="13" t="s">
        <v>269</v>
      </c>
      <c r="AE37" s="13" t="s">
        <v>35</v>
      </c>
      <c r="AF37" s="13" t="s">
        <v>270</v>
      </c>
    </row>
    <row r="38" s="5" customFormat="1" ht="75" spans="1:32">
      <c r="A38" s="1"/>
      <c r="B38" s="1"/>
      <c r="C38" s="1"/>
      <c r="D38" s="12"/>
      <c r="E38" s="1"/>
      <c r="F38" s="13" t="s">
        <v>268</v>
      </c>
      <c r="G38" s="14" t="s">
        <v>271</v>
      </c>
      <c r="H38" s="13" t="s">
        <v>274</v>
      </c>
      <c r="I38" s="14" t="s">
        <v>273</v>
      </c>
      <c r="J38" s="14" t="s">
        <v>3</v>
      </c>
      <c r="K38" s="13" t="s">
        <v>271</v>
      </c>
      <c r="L38" s="13" t="s">
        <v>27</v>
      </c>
      <c r="M38" s="13" t="s">
        <v>274</v>
      </c>
      <c r="N38" s="13" t="s">
        <v>273</v>
      </c>
      <c r="O38" s="13" t="s">
        <v>275</v>
      </c>
      <c r="P38" s="13" t="s">
        <v>271</v>
      </c>
      <c r="Q38" s="13" t="s">
        <v>27</v>
      </c>
      <c r="R38" s="13" t="s">
        <v>274</v>
      </c>
      <c r="S38" s="13" t="s">
        <v>273</v>
      </c>
      <c r="T38" s="13" t="s">
        <v>276</v>
      </c>
      <c r="U38" s="13" t="s">
        <v>271</v>
      </c>
      <c r="V38" s="13" t="s">
        <v>27</v>
      </c>
      <c r="W38" s="13" t="s">
        <v>274</v>
      </c>
      <c r="X38" s="13" t="s">
        <v>273</v>
      </c>
      <c r="Y38" s="13" t="s">
        <v>28</v>
      </c>
      <c r="Z38" s="13" t="s">
        <v>29</v>
      </c>
      <c r="AA38" s="13" t="s">
        <v>30</v>
      </c>
      <c r="AB38" s="13" t="s">
        <v>31</v>
      </c>
      <c r="AC38" s="13" t="s">
        <v>277</v>
      </c>
      <c r="AD38" s="13"/>
      <c r="AE38" s="13"/>
      <c r="AF38" s="13"/>
    </row>
    <row r="39" spans="1:32">
      <c r="A39" s="3">
        <v>1</v>
      </c>
      <c r="B39" s="15">
        <v>27</v>
      </c>
      <c r="C39" s="2" t="s">
        <v>292</v>
      </c>
      <c r="D39" s="16">
        <v>6</v>
      </c>
      <c r="E39" s="4" t="s">
        <v>293</v>
      </c>
      <c r="F39" s="3">
        <v>6435</v>
      </c>
      <c r="G39" s="17">
        <v>1072.5</v>
      </c>
      <c r="H39" s="17">
        <v>307.031350190823</v>
      </c>
      <c r="I39" s="17">
        <v>94268.25</v>
      </c>
      <c r="J39" s="3">
        <v>4633</v>
      </c>
      <c r="K39" s="17">
        <v>772.166666666667</v>
      </c>
      <c r="L39" s="17">
        <v>71.996891996892</v>
      </c>
      <c r="M39" s="17">
        <v>183.090521024134</v>
      </c>
      <c r="N39" s="17">
        <v>33522.1388888889</v>
      </c>
      <c r="O39" s="3">
        <v>3204</v>
      </c>
      <c r="P39" s="17">
        <v>534</v>
      </c>
      <c r="Q39" s="17">
        <v>69.1560543924023</v>
      </c>
      <c r="R39" s="17">
        <v>126.684647846533</v>
      </c>
      <c r="S39" s="17">
        <v>16049</v>
      </c>
      <c r="T39" s="27">
        <v>1237</v>
      </c>
      <c r="U39" s="17">
        <v>206.166666666667</v>
      </c>
      <c r="V39" s="17">
        <v>26.699762572847</v>
      </c>
      <c r="W39" s="17">
        <v>81.7749282414169</v>
      </c>
      <c r="X39" s="17">
        <v>6687.13888888889</v>
      </c>
      <c r="Y39" s="3" t="s">
        <v>280</v>
      </c>
      <c r="Z39" s="30" t="s">
        <v>281</v>
      </c>
      <c r="AA39" s="3" t="s">
        <v>282</v>
      </c>
      <c r="AB39" s="3" t="s">
        <v>283</v>
      </c>
      <c r="AC39" s="3" t="s">
        <v>294</v>
      </c>
      <c r="AD39" s="35" t="s">
        <v>386</v>
      </c>
      <c r="AE39" s="17">
        <v>42.4562918195554</v>
      </c>
      <c r="AF39" s="39" t="s">
        <v>381</v>
      </c>
    </row>
    <row r="40" spans="1:32">
      <c r="A40" s="3">
        <v>2</v>
      </c>
      <c r="B40" s="15">
        <v>42</v>
      </c>
      <c r="C40" s="2" t="s">
        <v>325</v>
      </c>
      <c r="D40" s="16">
        <v>7</v>
      </c>
      <c r="E40" s="3" t="s">
        <v>326</v>
      </c>
      <c r="F40" s="3">
        <v>8068</v>
      </c>
      <c r="G40" s="17">
        <v>1152.57142857143</v>
      </c>
      <c r="H40" s="17">
        <v>255.985410936336</v>
      </c>
      <c r="I40" s="17">
        <v>65528.5306122449</v>
      </c>
      <c r="J40" s="3">
        <v>5250</v>
      </c>
      <c r="K40" s="17">
        <v>750</v>
      </c>
      <c r="L40" s="17">
        <v>65.0718889439762</v>
      </c>
      <c r="M40" s="17">
        <v>150.812087427652</v>
      </c>
      <c r="N40" s="17">
        <v>22744.2857142857</v>
      </c>
      <c r="O40" s="3">
        <v>3725</v>
      </c>
      <c r="P40" s="17">
        <v>532.142857142857</v>
      </c>
      <c r="Q40" s="17">
        <v>70.9523809523809</v>
      </c>
      <c r="R40" s="17">
        <v>226.824934741329</v>
      </c>
      <c r="S40" s="17">
        <v>51449.5510204082</v>
      </c>
      <c r="T40" s="27">
        <v>1323</v>
      </c>
      <c r="U40" s="17">
        <v>189</v>
      </c>
      <c r="V40" s="17">
        <v>25.2</v>
      </c>
      <c r="W40" s="17">
        <v>107.313958618093</v>
      </c>
      <c r="X40" s="17">
        <v>11516.2857142857</v>
      </c>
      <c r="Y40" s="3" t="s">
        <v>287</v>
      </c>
      <c r="Z40" s="30" t="s">
        <v>281</v>
      </c>
      <c r="AA40" s="3" t="s">
        <v>282</v>
      </c>
      <c r="AB40" s="3" t="s">
        <v>283</v>
      </c>
      <c r="AC40" s="3" t="s">
        <v>284</v>
      </c>
      <c r="AD40" s="35" t="s">
        <v>386</v>
      </c>
      <c r="AE40" s="17">
        <v>45.752380952381</v>
      </c>
      <c r="AF40" s="39" t="s">
        <v>381</v>
      </c>
    </row>
    <row r="41" s="6" customFormat="1" ht="15.75" spans="1:32">
      <c r="A41" s="18"/>
      <c r="B41" s="18"/>
      <c r="C41" s="18"/>
      <c r="D41" s="18"/>
      <c r="E41" s="18"/>
      <c r="F41" s="18">
        <f>SUM(F39:F40)</f>
        <v>14503</v>
      </c>
      <c r="G41" s="18"/>
      <c r="H41" s="18"/>
      <c r="I41" s="18"/>
      <c r="J41" s="18">
        <f>SUM(J39:J40)</f>
        <v>9883</v>
      </c>
      <c r="K41" s="18"/>
      <c r="L41" s="18"/>
      <c r="M41" s="18"/>
      <c r="N41" s="18"/>
      <c r="O41" s="18">
        <f>SUM(O39:O40)</f>
        <v>6929</v>
      </c>
      <c r="P41" s="18"/>
      <c r="Q41" s="18"/>
      <c r="R41" s="18"/>
      <c r="S41" s="18"/>
      <c r="T41" s="46">
        <f>SUM(T39:T40)</f>
        <v>2560</v>
      </c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</row>
    <row r="42" ht="28.5" spans="1:32">
      <c r="A42" s="44" t="s">
        <v>261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</row>
    <row r="43" spans="1:32">
      <c r="A43" s="1" t="s">
        <v>263</v>
      </c>
      <c r="B43" s="1" t="s">
        <v>264</v>
      </c>
      <c r="C43" s="1" t="s">
        <v>265</v>
      </c>
      <c r="D43" s="9" t="s">
        <v>266</v>
      </c>
      <c r="E43" s="1" t="s">
        <v>267</v>
      </c>
      <c r="F43" s="10" t="s">
        <v>268</v>
      </c>
      <c r="G43" s="11"/>
      <c r="H43" s="11"/>
      <c r="I43" s="20"/>
      <c r="J43" s="10" t="s">
        <v>3</v>
      </c>
      <c r="K43" s="11"/>
      <c r="L43" s="11"/>
      <c r="M43" s="11"/>
      <c r="N43" s="20"/>
      <c r="O43" s="21" t="s">
        <v>4</v>
      </c>
      <c r="P43" s="22"/>
      <c r="Q43" s="22"/>
      <c r="R43" s="22"/>
      <c r="S43" s="23"/>
      <c r="T43" s="24" t="s">
        <v>257</v>
      </c>
      <c r="U43" s="25"/>
      <c r="V43" s="25"/>
      <c r="W43" s="25"/>
      <c r="X43" s="26"/>
      <c r="Y43" s="1">
        <v>2018</v>
      </c>
      <c r="Z43" s="1"/>
      <c r="AA43" s="1"/>
      <c r="AB43" s="1"/>
      <c r="AC43" s="1"/>
      <c r="AD43" s="13" t="s">
        <v>269</v>
      </c>
      <c r="AE43" s="13" t="s">
        <v>35</v>
      </c>
      <c r="AF43" s="13" t="s">
        <v>270</v>
      </c>
    </row>
    <row r="44" s="5" customFormat="1" ht="75" spans="1:32">
      <c r="A44" s="1"/>
      <c r="B44" s="1"/>
      <c r="C44" s="40"/>
      <c r="D44" s="12"/>
      <c r="E44" s="1"/>
      <c r="F44" s="13" t="s">
        <v>268</v>
      </c>
      <c r="G44" s="14" t="s">
        <v>271</v>
      </c>
      <c r="H44" s="13" t="s">
        <v>274</v>
      </c>
      <c r="I44" s="14" t="s">
        <v>273</v>
      </c>
      <c r="J44" s="14" t="s">
        <v>3</v>
      </c>
      <c r="K44" s="13" t="s">
        <v>271</v>
      </c>
      <c r="L44" s="13" t="s">
        <v>27</v>
      </c>
      <c r="M44" s="13" t="s">
        <v>274</v>
      </c>
      <c r="N44" s="13" t="s">
        <v>273</v>
      </c>
      <c r="O44" s="13" t="s">
        <v>275</v>
      </c>
      <c r="P44" s="13" t="s">
        <v>271</v>
      </c>
      <c r="Q44" s="13" t="s">
        <v>27</v>
      </c>
      <c r="R44" s="13" t="s">
        <v>274</v>
      </c>
      <c r="S44" s="13" t="s">
        <v>273</v>
      </c>
      <c r="T44" s="13" t="s">
        <v>276</v>
      </c>
      <c r="U44" s="13" t="s">
        <v>271</v>
      </c>
      <c r="V44" s="13" t="s">
        <v>27</v>
      </c>
      <c r="W44" s="13" t="s">
        <v>274</v>
      </c>
      <c r="X44" s="13" t="s">
        <v>273</v>
      </c>
      <c r="Y44" s="13" t="s">
        <v>28</v>
      </c>
      <c r="Z44" s="13" t="s">
        <v>29</v>
      </c>
      <c r="AA44" s="13" t="s">
        <v>30</v>
      </c>
      <c r="AB44" s="13" t="s">
        <v>31</v>
      </c>
      <c r="AC44" s="13" t="s">
        <v>277</v>
      </c>
      <c r="AD44" s="13"/>
      <c r="AE44" s="13"/>
      <c r="AF44" s="13"/>
    </row>
    <row r="45" spans="1:32">
      <c r="A45" s="3">
        <v>1</v>
      </c>
      <c r="B45" s="15">
        <v>28</v>
      </c>
      <c r="C45" s="2" t="s">
        <v>295</v>
      </c>
      <c r="D45" s="16">
        <v>4</v>
      </c>
      <c r="E45" s="4" t="s">
        <v>296</v>
      </c>
      <c r="F45" s="3">
        <v>5152</v>
      </c>
      <c r="G45" s="17">
        <v>1288</v>
      </c>
      <c r="H45" s="17">
        <v>234.775424608284</v>
      </c>
      <c r="I45" s="17">
        <v>55119.5</v>
      </c>
      <c r="J45" s="3">
        <v>3533</v>
      </c>
      <c r="K45" s="17">
        <v>883.25</v>
      </c>
      <c r="L45" s="17">
        <v>68.5753105590062</v>
      </c>
      <c r="M45" s="17">
        <v>169.95937014475</v>
      </c>
      <c r="N45" s="17">
        <v>28886.1875</v>
      </c>
      <c r="O45" s="3">
        <v>2712</v>
      </c>
      <c r="P45" s="17">
        <v>678</v>
      </c>
      <c r="Q45" s="17">
        <v>76.7619586753467</v>
      </c>
      <c r="R45" s="17">
        <v>123.209171736523</v>
      </c>
      <c r="S45" s="17">
        <v>15180.5</v>
      </c>
      <c r="T45" s="27">
        <v>685</v>
      </c>
      <c r="U45" s="17">
        <v>171.25</v>
      </c>
      <c r="V45" s="17">
        <v>19.3886215680725</v>
      </c>
      <c r="W45" s="17">
        <v>57.1286924408392</v>
      </c>
      <c r="X45" s="17">
        <v>3263.6875</v>
      </c>
      <c r="Y45" s="3" t="s">
        <v>287</v>
      </c>
      <c r="Z45" s="30" t="s">
        <v>281</v>
      </c>
      <c r="AA45" s="3" t="s">
        <v>282</v>
      </c>
      <c r="AB45" s="33" t="s">
        <v>297</v>
      </c>
      <c r="AC45" s="3" t="s">
        <v>294</v>
      </c>
      <c r="AD45" s="35" t="s">
        <v>386</v>
      </c>
      <c r="AE45" s="17">
        <v>57.3733371072743</v>
      </c>
      <c r="AF45" s="30" t="s">
        <v>382</v>
      </c>
    </row>
    <row r="46" spans="1:32">
      <c r="A46" s="3">
        <v>2</v>
      </c>
      <c r="B46" s="15">
        <v>29</v>
      </c>
      <c r="C46" s="2" t="s">
        <v>298</v>
      </c>
      <c r="D46" s="16">
        <v>4</v>
      </c>
      <c r="E46" s="4" t="s">
        <v>299</v>
      </c>
      <c r="F46" s="3">
        <v>5121</v>
      </c>
      <c r="G46" s="17">
        <v>1279.2</v>
      </c>
      <c r="H46" s="17">
        <v>230.095979973575</v>
      </c>
      <c r="I46" s="17">
        <v>52944.16</v>
      </c>
      <c r="J46" s="3">
        <v>3336</v>
      </c>
      <c r="K46" s="17">
        <v>834</v>
      </c>
      <c r="L46" s="17">
        <v>65.1969981238274</v>
      </c>
      <c r="M46" s="17">
        <v>149.801535372639</v>
      </c>
      <c r="N46" s="17">
        <v>22440.5</v>
      </c>
      <c r="O46" s="3">
        <v>2568</v>
      </c>
      <c r="P46" s="17">
        <v>642</v>
      </c>
      <c r="Q46" s="17">
        <v>76.9784172661871</v>
      </c>
      <c r="R46" s="17">
        <v>150.776324401413</v>
      </c>
      <c r="S46" s="17">
        <v>22733.5</v>
      </c>
      <c r="T46" s="27">
        <v>641</v>
      </c>
      <c r="U46" s="17">
        <v>160.25</v>
      </c>
      <c r="V46" s="17">
        <v>19.2146282973621</v>
      </c>
      <c r="W46" s="17">
        <v>39.4295257389688</v>
      </c>
      <c r="X46" s="17">
        <v>1554.6875</v>
      </c>
      <c r="Y46" s="3" t="s">
        <v>287</v>
      </c>
      <c r="Z46" s="30" t="s">
        <v>281</v>
      </c>
      <c r="AA46" s="3" t="s">
        <v>282</v>
      </c>
      <c r="AB46" s="34" t="s">
        <v>283</v>
      </c>
      <c r="AC46" s="35" t="s">
        <v>294</v>
      </c>
      <c r="AD46" s="35" t="s">
        <v>386</v>
      </c>
      <c r="AE46" s="17">
        <v>57.7637889688249</v>
      </c>
      <c r="AF46" s="30" t="s">
        <v>382</v>
      </c>
    </row>
    <row r="47" spans="1:32">
      <c r="A47" s="3">
        <v>3</v>
      </c>
      <c r="B47" s="15">
        <v>41</v>
      </c>
      <c r="C47" s="2" t="s">
        <v>323</v>
      </c>
      <c r="D47" s="16">
        <v>5</v>
      </c>
      <c r="E47" s="4" t="s">
        <v>324</v>
      </c>
      <c r="F47" s="3">
        <v>4860</v>
      </c>
      <c r="G47" s="17">
        <v>972</v>
      </c>
      <c r="H47" s="17">
        <v>211.426583002233</v>
      </c>
      <c r="I47" s="17">
        <v>44701.2</v>
      </c>
      <c r="J47" s="3">
        <v>3320</v>
      </c>
      <c r="K47" s="17">
        <v>664</v>
      </c>
      <c r="L47" s="17">
        <v>68.3127572016461</v>
      </c>
      <c r="M47" s="17">
        <v>152.933972681023</v>
      </c>
      <c r="N47" s="17">
        <v>23388.8</v>
      </c>
      <c r="O47" s="3">
        <v>2557</v>
      </c>
      <c r="P47" s="17">
        <v>511.4</v>
      </c>
      <c r="Q47" s="17">
        <v>77.0180722891566</v>
      </c>
      <c r="R47" s="17">
        <v>154.251223658031</v>
      </c>
      <c r="S47" s="17">
        <v>23793.44</v>
      </c>
      <c r="T47" s="27">
        <v>629</v>
      </c>
      <c r="U47" s="17">
        <v>125.8</v>
      </c>
      <c r="V47" s="17">
        <v>18.9457831325301</v>
      </c>
      <c r="W47" s="17">
        <v>34.92506263416</v>
      </c>
      <c r="X47" s="17">
        <v>1219.76</v>
      </c>
      <c r="Y47" s="3" t="s">
        <v>280</v>
      </c>
      <c r="Z47" s="30" t="s">
        <v>281</v>
      </c>
      <c r="AA47" s="3" t="s">
        <v>282</v>
      </c>
      <c r="AB47" s="3" t="s">
        <v>297</v>
      </c>
      <c r="AC47" s="3" t="s">
        <v>284</v>
      </c>
      <c r="AD47" s="35" t="s">
        <v>386</v>
      </c>
      <c r="AE47" s="17">
        <v>58.0722891566265</v>
      </c>
      <c r="AF47" s="30" t="s">
        <v>382</v>
      </c>
    </row>
    <row r="48" s="6" customFormat="1" ht="15.75" spans="1:32">
      <c r="A48" s="18"/>
      <c r="B48" s="18"/>
      <c r="C48" s="42"/>
      <c r="D48" s="18"/>
      <c r="E48" s="18"/>
      <c r="F48" s="18">
        <f>SUM(F45:F47)</f>
        <v>15133</v>
      </c>
      <c r="G48" s="18"/>
      <c r="H48" s="18"/>
      <c r="I48" s="18"/>
      <c r="J48" s="18">
        <f>SUM(J45:J47)</f>
        <v>10189</v>
      </c>
      <c r="K48" s="18"/>
      <c r="L48" s="18"/>
      <c r="M48" s="18"/>
      <c r="N48" s="18"/>
      <c r="O48" s="18">
        <f>SUM(O45:O47)</f>
        <v>7837</v>
      </c>
      <c r="P48" s="18"/>
      <c r="Q48" s="18"/>
      <c r="R48" s="18"/>
      <c r="S48" s="18"/>
      <c r="T48" s="46">
        <f>SUM(T45:T47)</f>
        <v>1955</v>
      </c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</row>
  </sheetData>
  <sheetProtection password="CFB8" sheet="1" objects="1" scenarios="1"/>
  <mergeCells count="71">
    <mergeCell ref="A1:AF1"/>
    <mergeCell ref="A2:AF2"/>
    <mergeCell ref="F3:I3"/>
    <mergeCell ref="J3:N3"/>
    <mergeCell ref="O3:S3"/>
    <mergeCell ref="T3:X3"/>
    <mergeCell ref="Y3:AC3"/>
    <mergeCell ref="A12:AF12"/>
    <mergeCell ref="F13:I13"/>
    <mergeCell ref="J13:N13"/>
    <mergeCell ref="O13:S13"/>
    <mergeCell ref="T13:X13"/>
    <mergeCell ref="Y13:AC13"/>
    <mergeCell ref="A28:AF28"/>
    <mergeCell ref="F29:I29"/>
    <mergeCell ref="J29:N29"/>
    <mergeCell ref="O29:S29"/>
    <mergeCell ref="T29:X29"/>
    <mergeCell ref="Y29:AC29"/>
    <mergeCell ref="A36:AF36"/>
    <mergeCell ref="F37:I37"/>
    <mergeCell ref="J37:N37"/>
    <mergeCell ref="O37:S37"/>
    <mergeCell ref="T37:X37"/>
    <mergeCell ref="Y37:AC37"/>
    <mergeCell ref="A42:AF42"/>
    <mergeCell ref="F43:I43"/>
    <mergeCell ref="J43:N43"/>
    <mergeCell ref="O43:S43"/>
    <mergeCell ref="T43:X43"/>
    <mergeCell ref="Y43:AC43"/>
    <mergeCell ref="A3:A4"/>
    <mergeCell ref="A13:A14"/>
    <mergeCell ref="A29:A30"/>
    <mergeCell ref="A37:A38"/>
    <mergeCell ref="A43:A44"/>
    <mergeCell ref="B3:B4"/>
    <mergeCell ref="B13:B14"/>
    <mergeCell ref="B29:B30"/>
    <mergeCell ref="B37:B38"/>
    <mergeCell ref="B43:B44"/>
    <mergeCell ref="C3:C4"/>
    <mergeCell ref="C13:C14"/>
    <mergeCell ref="C29:C30"/>
    <mergeCell ref="C37:C38"/>
    <mergeCell ref="C43:C44"/>
    <mergeCell ref="D3:D4"/>
    <mergeCell ref="D13:D14"/>
    <mergeCell ref="D29:D30"/>
    <mergeCell ref="D37:D38"/>
    <mergeCell ref="D43:D44"/>
    <mergeCell ref="E3:E4"/>
    <mergeCell ref="E13:E14"/>
    <mergeCell ref="E29:E30"/>
    <mergeCell ref="E37:E38"/>
    <mergeCell ref="E43:E44"/>
    <mergeCell ref="AD3:AD4"/>
    <mergeCell ref="AD13:AD14"/>
    <mergeCell ref="AD29:AD30"/>
    <mergeCell ref="AD37:AD38"/>
    <mergeCell ref="AD43:AD44"/>
    <mergeCell ref="AE3:AE4"/>
    <mergeCell ref="AE13:AE14"/>
    <mergeCell ref="AE29:AE30"/>
    <mergeCell ref="AE37:AE38"/>
    <mergeCell ref="AE43:AE44"/>
    <mergeCell ref="AF3:AF4"/>
    <mergeCell ref="AF13:AF14"/>
    <mergeCell ref="AF29:AF30"/>
    <mergeCell ref="AF37:AF38"/>
    <mergeCell ref="AF43:AF44"/>
  </mergeCells>
  <conditionalFormatting sqref="AC34">
    <cfRule type="containsText" dxfId="6" priority="68" operator="between" text="O">
      <formula>NOT(ISERROR(SEARCH("O",AC34)))</formula>
    </cfRule>
    <cfRule type="containsText" dxfId="0" priority="66" operator="between" text="H">
      <formula>NOT(ISERROR(SEARCH("H",AC34)))</formula>
    </cfRule>
    <cfRule type="containsText" dxfId="8" priority="67" operator="between" text="H">
      <formula>NOT(ISERROR(SEARCH("H",AC34)))</formula>
    </cfRule>
    <cfRule type="containsText" dxfId="4" priority="65" operator="between" text="H">
      <formula>NOT(ISERROR(SEARCH("H",AC34)))</formula>
    </cfRule>
    <cfRule type="containsText" dxfId="6" priority="64" operator="between" text="O">
      <formula>NOT(ISERROR(SEARCH("O",AC34)))</formula>
    </cfRule>
    <cfRule type="containsText" dxfId="0" priority="62" operator="between" text="H">
      <formula>NOT(ISERROR(SEARCH("H",AC34)))</formula>
    </cfRule>
    <cfRule type="containsText" dxfId="8" priority="63" operator="between" text="H">
      <formula>NOT(ISERROR(SEARCH("H",AC34)))</formula>
    </cfRule>
    <cfRule type="containsText" dxfId="4" priority="61" operator="between" text="H">
      <formula>NOT(ISERROR(SEARCH("H",AC34)))</formula>
    </cfRule>
  </conditionalFormatting>
  <conditionalFormatting sqref="AB40">
    <cfRule type="containsText" dxfId="2" priority="40" operator="between" text="MEN">
      <formula>NOT(ISERROR(SEARCH("MEN",AB40)))</formula>
    </cfRule>
    <cfRule type="containsText" dxfId="2" priority="35" operator="between" text="MEN">
      <formula>NOT(ISERROR(SEARCH("MEN",AB40)))</formula>
    </cfRule>
  </conditionalFormatting>
  <conditionalFormatting sqref="AC40">
    <cfRule type="containsText" dxfId="6" priority="39" operator="between" text="O">
      <formula>NOT(ISERROR(SEARCH("O",AC40)))</formula>
    </cfRule>
    <cfRule type="containsText" dxfId="0" priority="37" operator="between" text="H">
      <formula>NOT(ISERROR(SEARCH("H",AC40)))</formula>
    </cfRule>
    <cfRule type="containsText" dxfId="8" priority="38" operator="between" text="H">
      <formula>NOT(ISERROR(SEARCH("H",AC40)))</formula>
    </cfRule>
    <cfRule type="containsText" dxfId="4" priority="36" operator="between" text="H">
      <formula>NOT(ISERROR(SEARCH("H",AC40)))</formula>
    </cfRule>
    <cfRule type="containsText" dxfId="6" priority="34" operator="between" text="O">
      <formula>NOT(ISERROR(SEARCH("O",AC40)))</formula>
    </cfRule>
    <cfRule type="containsText" dxfId="0" priority="32" operator="between" text="H">
      <formula>NOT(ISERROR(SEARCH("H",AC40)))</formula>
    </cfRule>
    <cfRule type="containsText" dxfId="8" priority="33" operator="between" text="H">
      <formula>NOT(ISERROR(SEARCH("H",AC40)))</formula>
    </cfRule>
    <cfRule type="containsText" dxfId="4" priority="31" operator="between" text="H">
      <formula>NOT(ISERROR(SEARCH("H",AC40)))</formula>
    </cfRule>
  </conditionalFormatting>
  <conditionalFormatting sqref="Z47">
    <cfRule type="containsText" dxfId="0" priority="22" operator="between" text="STRONG">
      <formula>NOT(ISERROR(SEARCH("STRONG",Z47)))</formula>
    </cfRule>
    <cfRule type="containsText" dxfId="4" priority="21" operator="between" text="VSTRONG">
      <formula>NOT(ISERROR(SEARCH("VSTRONG",Z47)))</formula>
    </cfRule>
    <cfRule type="containsText" dxfId="0" priority="11" operator="between" text="STRONG">
      <formula>NOT(ISERROR(SEARCH("STRONG",Z47)))</formula>
    </cfRule>
    <cfRule type="containsText" dxfId="4" priority="10" operator="between" text="VSTRONG">
      <formula>NOT(ISERROR(SEARCH("VSTRONG",Z47)))</formula>
    </cfRule>
  </conditionalFormatting>
  <conditionalFormatting sqref="Z47:AA47">
    <cfRule type="containsText" dxfId="9" priority="18" operator="between" text="AVG">
      <formula>NOT(ISERROR(SEARCH("AVG",Z47)))</formula>
    </cfRule>
    <cfRule type="containsText" dxfId="9" priority="7" operator="between" text="AVG">
      <formula>NOT(ISERROR(SEARCH("AVG",Z47)))</formula>
    </cfRule>
  </conditionalFormatting>
  <conditionalFormatting sqref="AA47">
    <cfRule type="cellIs" dxfId="5" priority="19" operator="equal">
      <formula>"VWEAK"</formula>
    </cfRule>
    <cfRule type="containsText" dxfId="6" priority="17" operator="between" text="VSTRONG">
      <formula>NOT(ISERROR(SEARCH("VSTRONG",AA47)))</formula>
    </cfRule>
    <cfRule type="cellIs" dxfId="5" priority="8" operator="equal">
      <formula>"VWEAK"</formula>
    </cfRule>
    <cfRule type="containsText" dxfId="6" priority="6" operator="between" text="VSTRONG">
      <formula>NOT(ISERROR(SEARCH("VSTRONG",AA47)))</formula>
    </cfRule>
  </conditionalFormatting>
  <conditionalFormatting sqref="AB47">
    <cfRule type="containsText" dxfId="7" priority="20" operator="between" text="FEMALE DOM">
      <formula>NOT(ISERROR(SEARCH("FEMALE DOM",AB47)))</formula>
    </cfRule>
    <cfRule type="containsText" dxfId="2" priority="16" operator="between" text="MEN">
      <formula>NOT(ISERROR(SEARCH("MEN",AB47)))</formula>
    </cfRule>
    <cfRule type="containsText" dxfId="7" priority="9" operator="between" text="FEMALE DOM">
      <formula>NOT(ISERROR(SEARCH("FEMALE DOM",AB47)))</formula>
    </cfRule>
    <cfRule type="containsText" dxfId="2" priority="5" operator="between" text="MEN">
      <formula>NOT(ISERROR(SEARCH("MEN",AB47)))</formula>
    </cfRule>
  </conditionalFormatting>
  <conditionalFormatting sqref="AC47">
    <cfRule type="containsText" dxfId="6" priority="15" operator="between" text="O">
      <formula>NOT(ISERROR(SEARCH("O",AC47)))</formula>
    </cfRule>
    <cfRule type="containsText" dxfId="0" priority="13" operator="between" text="H">
      <formula>NOT(ISERROR(SEARCH("H",AC47)))</formula>
    </cfRule>
    <cfRule type="containsText" dxfId="8" priority="14" operator="between" text="H">
      <formula>NOT(ISERROR(SEARCH("H",AC47)))</formula>
    </cfRule>
    <cfRule type="containsText" dxfId="4" priority="12" operator="between" text="H">
      <formula>NOT(ISERROR(SEARCH("H",AC47)))</formula>
    </cfRule>
    <cfRule type="containsText" dxfId="6" priority="4" operator="between" text="O">
      <formula>NOT(ISERROR(SEARCH("O",AC47)))</formula>
    </cfRule>
    <cfRule type="containsText" dxfId="0" priority="2" operator="between" text="H">
      <formula>NOT(ISERROR(SEARCH("H",AC47)))</formula>
    </cfRule>
    <cfRule type="containsText" dxfId="8" priority="3" operator="between" text="H">
      <formula>NOT(ISERROR(SEARCH("H",AC47)))</formula>
    </cfRule>
    <cfRule type="containsText" dxfId="4" priority="1" operator="between" text="H">
      <formula>NOT(ISERROR(SEARCH("H",AC47)))</formula>
    </cfRule>
  </conditionalFormatting>
  <conditionalFormatting sqref="Y5:Y10">
    <cfRule type="containsText" dxfId="1" priority="150" operator="between" text="AVG">
      <formula>NOT(ISERROR(SEARCH("AVG",Y5)))</formula>
    </cfRule>
    <cfRule type="cellIs" dxfId="3" priority="149" operator="equal">
      <formula>"STRONG"</formula>
    </cfRule>
    <cfRule type="containsText" dxfId="0" priority="148" operator="between" text="VSTRONG">
      <formula>NOT(ISERROR(SEARCH("VSTRONG",Y5)))</formula>
    </cfRule>
    <cfRule type="containsText" dxfId="2" priority="144" operator="between" text="AVG">
      <formula>NOT(ISERROR(SEARCH("AVG",Y5)))</formula>
    </cfRule>
    <cfRule type="containsText" dxfId="1" priority="135" operator="between" text="AVG">
      <formula>NOT(ISERROR(SEARCH("AVG",Y5)))</formula>
    </cfRule>
    <cfRule type="cellIs" dxfId="3" priority="134" operator="equal">
      <formula>"STRONG"</formula>
    </cfRule>
    <cfRule type="containsText" dxfId="0" priority="133" operator="between" text="VSTRONG">
      <formula>NOT(ISERROR(SEARCH("VSTRONG",Y5)))</formula>
    </cfRule>
    <cfRule type="containsText" dxfId="2" priority="129" operator="between" text="AVG">
      <formula>NOT(ISERROR(SEARCH("AVG",Y5)))</formula>
    </cfRule>
  </conditionalFormatting>
  <conditionalFormatting sqref="Y39:Y40">
    <cfRule type="containsText" dxfId="1" priority="60" operator="between" text="AVG">
      <formula>NOT(ISERROR(SEARCH("AVG",Y39)))</formula>
    </cfRule>
    <cfRule type="cellIs" dxfId="3" priority="59" operator="equal">
      <formula>"STRONG"</formula>
    </cfRule>
    <cfRule type="containsText" dxfId="0" priority="58" operator="between" text="VSTRONG">
      <formula>NOT(ISERROR(SEARCH("VSTRONG",Y39)))</formula>
    </cfRule>
    <cfRule type="containsText" dxfId="2" priority="54" operator="between" text="AVG">
      <formula>NOT(ISERROR(SEARCH("AVG",Y39)))</formula>
    </cfRule>
    <cfRule type="containsText" dxfId="1" priority="50" operator="between" text="AVG">
      <formula>NOT(ISERROR(SEARCH("AVG",Y39)))</formula>
    </cfRule>
    <cfRule type="cellIs" dxfId="3" priority="49" operator="equal">
      <formula>"STRONG"</formula>
    </cfRule>
    <cfRule type="containsText" dxfId="0" priority="48" operator="between" text="VSTRONG">
      <formula>NOT(ISERROR(SEARCH("VSTRONG",Y39)))</formula>
    </cfRule>
    <cfRule type="containsText" dxfId="2" priority="44" operator="between" text="AVG">
      <formula>NOT(ISERROR(SEARCH("AVG",Y39)))</formula>
    </cfRule>
  </conditionalFormatting>
  <conditionalFormatting sqref="Y45:Y48">
    <cfRule type="containsText" dxfId="1" priority="165" operator="between" text="AVG">
      <formula>NOT(ISERROR(SEARCH("AVG",Y45)))</formula>
    </cfRule>
    <cfRule type="cellIs" dxfId="3" priority="164" operator="equal">
      <formula>"STRONG"</formula>
    </cfRule>
    <cfRule type="containsText" dxfId="0" priority="163" operator="between" text="VSTRONG">
      <formula>NOT(ISERROR(SEARCH("VSTRONG",Y45)))</formula>
    </cfRule>
    <cfRule type="containsText" dxfId="2" priority="162" operator="between" text="AVG">
      <formula>NOT(ISERROR(SEARCH("AVG",Y45)))</formula>
    </cfRule>
  </conditionalFormatting>
  <conditionalFormatting sqref="Y45:Y47">
    <cfRule type="containsText" dxfId="1" priority="30" operator="between" text="AVG">
      <formula>NOT(ISERROR(SEARCH("AVG",Y45)))</formula>
    </cfRule>
    <cfRule type="cellIs" dxfId="3" priority="29" operator="equal">
      <formula>"STRONG"</formula>
    </cfRule>
    <cfRule type="containsText" dxfId="0" priority="28" operator="between" text="VSTRONG">
      <formula>NOT(ISERROR(SEARCH("VSTRONG",Y45)))</formula>
    </cfRule>
    <cfRule type="containsText" dxfId="2" priority="27" operator="between" text="AVG">
      <formula>NOT(ISERROR(SEARCH("AVG",Y45)))</formula>
    </cfRule>
    <cfRule type="containsText" dxfId="1" priority="26" operator="between" text="AVG">
      <formula>NOT(ISERROR(SEARCH("AVG",Y45)))</formula>
    </cfRule>
    <cfRule type="cellIs" dxfId="3" priority="25" operator="equal">
      <formula>"STRONG"</formula>
    </cfRule>
    <cfRule type="containsText" dxfId="0" priority="24" operator="between" text="VSTRONG">
      <formula>NOT(ISERROR(SEARCH("VSTRONG",Y45)))</formula>
    </cfRule>
    <cfRule type="containsText" dxfId="2" priority="23" operator="between" text="AVG">
      <formula>NOT(ISERROR(SEARCH("AVG",Y45)))</formula>
    </cfRule>
  </conditionalFormatting>
  <conditionalFormatting sqref="Z5:Z10">
    <cfRule type="containsText" dxfId="0" priority="147" operator="between" text="STRONG">
      <formula>NOT(ISERROR(SEARCH("STRONG",Z5)))</formula>
    </cfRule>
    <cfRule type="containsText" dxfId="4" priority="146" operator="between" text="VSTRONG">
      <formula>NOT(ISERROR(SEARCH("VSTRONG",Z5)))</formula>
    </cfRule>
    <cfRule type="containsText" dxfId="0" priority="132" operator="between" text="STRONG">
      <formula>NOT(ISERROR(SEARCH("STRONG",Z5)))</formula>
    </cfRule>
    <cfRule type="containsText" dxfId="4" priority="131" operator="between" text="VSTRONG">
      <formula>NOT(ISERROR(SEARCH("VSTRONG",Z5)))</formula>
    </cfRule>
  </conditionalFormatting>
  <conditionalFormatting sqref="Z39:Z40">
    <cfRule type="containsText" dxfId="0" priority="57" operator="between" text="STRONG">
      <formula>NOT(ISERROR(SEARCH("STRONG",Z39)))</formula>
    </cfRule>
    <cfRule type="containsText" dxfId="4" priority="56" operator="between" text="VSTRONG">
      <formula>NOT(ISERROR(SEARCH("VSTRONG",Z39)))</formula>
    </cfRule>
    <cfRule type="containsText" dxfId="0" priority="47" operator="between" text="STRONG">
      <formula>NOT(ISERROR(SEARCH("STRONG",Z39)))</formula>
    </cfRule>
    <cfRule type="containsText" dxfId="4" priority="46" operator="between" text="VSTRONG">
      <formula>NOT(ISERROR(SEARCH("VSTRONG",Z39)))</formula>
    </cfRule>
  </conditionalFormatting>
  <conditionalFormatting sqref="Z47:Z48">
    <cfRule type="containsText" dxfId="0" priority="161" operator="between" text="STRONG">
      <formula>NOT(ISERROR(SEARCH("STRONG",Z47)))</formula>
    </cfRule>
    <cfRule type="containsText" dxfId="4" priority="160" operator="between" text="VSTRONG">
      <formula>NOT(ISERROR(SEARCH("VSTRONG",Z47)))</formula>
    </cfRule>
  </conditionalFormatting>
  <conditionalFormatting sqref="AA5:AA10">
    <cfRule type="cellIs" dxfId="5" priority="143" operator="equal">
      <formula>"VWEAK"</formula>
    </cfRule>
    <cfRule type="containsText" dxfId="6" priority="141" operator="between" text="VSTRONG">
      <formula>NOT(ISERROR(SEARCH("VSTRONG",AA5)))</formula>
    </cfRule>
    <cfRule type="cellIs" dxfId="5" priority="128" operator="equal">
      <formula>"VWEAK"</formula>
    </cfRule>
    <cfRule type="containsText" dxfId="6" priority="126" operator="between" text="VSTRONG">
      <formula>NOT(ISERROR(SEARCH("VSTRONG",AA5)))</formula>
    </cfRule>
  </conditionalFormatting>
  <conditionalFormatting sqref="AA39:AA40">
    <cfRule type="cellIs" dxfId="5" priority="53" operator="equal">
      <formula>"VWEAK"</formula>
    </cfRule>
    <cfRule type="containsText" dxfId="6" priority="51" operator="between" text="VSTRONG">
      <formula>NOT(ISERROR(SEARCH("VSTRONG",AA39)))</formula>
    </cfRule>
    <cfRule type="cellIs" dxfId="5" priority="43" operator="equal">
      <formula>"VWEAK"</formula>
    </cfRule>
    <cfRule type="containsText" dxfId="6" priority="41" operator="between" text="VSTRONG">
      <formula>NOT(ISERROR(SEARCH("VSTRONG",AA39)))</formula>
    </cfRule>
  </conditionalFormatting>
  <conditionalFormatting sqref="AA47:AA48">
    <cfRule type="cellIs" dxfId="5" priority="158" operator="equal">
      <formula>"VWEAK"</formula>
    </cfRule>
    <cfRule type="containsText" dxfId="6" priority="156" operator="between" text="VSTRONG">
      <formula>NOT(ISERROR(SEARCH("VSTRONG",AA47)))</formula>
    </cfRule>
  </conditionalFormatting>
  <conditionalFormatting sqref="AB5:AB10">
    <cfRule type="containsText" dxfId="7" priority="145" operator="between" text="FEMALE DOM">
      <formula>NOT(ISERROR(SEARCH("FEMALE DOM",AB5)))</formula>
    </cfRule>
    <cfRule type="containsText" dxfId="2" priority="140" operator="between" text="MEN">
      <formula>NOT(ISERROR(SEARCH("MEN",AB5)))</formula>
    </cfRule>
    <cfRule type="containsText" dxfId="7" priority="130" operator="between" text="FEMALE DOM">
      <formula>NOT(ISERROR(SEARCH("FEMALE DOM",AB5)))</formula>
    </cfRule>
    <cfRule type="containsText" dxfId="2" priority="125" operator="between" text="MEN">
      <formula>NOT(ISERROR(SEARCH("MEN",AB5)))</formula>
    </cfRule>
  </conditionalFormatting>
  <conditionalFormatting sqref="AB21:AB26">
    <cfRule type="containsText" dxfId="2" priority="100" operator="between" text="MEN">
      <formula>NOT(ISERROR(SEARCH("MEN",AB21)))</formula>
    </cfRule>
    <cfRule type="containsText" dxfId="2" priority="95" operator="between" text="MEN">
      <formula>NOT(ISERROR(SEARCH("MEN",AB21)))</formula>
    </cfRule>
  </conditionalFormatting>
  <conditionalFormatting sqref="AB39:AB40">
    <cfRule type="containsText" dxfId="7" priority="55" operator="between" text="FEMALE DOM">
      <formula>NOT(ISERROR(SEARCH("FEMALE DOM",AB39)))</formula>
    </cfRule>
    <cfRule type="containsText" dxfId="7" priority="45" operator="between" text="FEMALE DOM">
      <formula>NOT(ISERROR(SEARCH("FEMALE DOM",AB39)))</formula>
    </cfRule>
  </conditionalFormatting>
  <conditionalFormatting sqref="AB47:AB48">
    <cfRule type="containsText" dxfId="7" priority="159" operator="between" text="FEMALE DOM">
      <formula>NOT(ISERROR(SEARCH("FEMALE DOM",AB47)))</formula>
    </cfRule>
    <cfRule type="containsText" dxfId="2" priority="155" operator="between" text="MEN">
      <formula>NOT(ISERROR(SEARCH("MEN",AB47)))</formula>
    </cfRule>
  </conditionalFormatting>
  <conditionalFormatting sqref="AC5:AC10">
    <cfRule type="containsText" dxfId="6" priority="139" operator="between" text="O">
      <formula>NOT(ISERROR(SEARCH("O",AC5)))</formula>
    </cfRule>
    <cfRule type="containsText" dxfId="0" priority="137" operator="between" text="H">
      <formula>NOT(ISERROR(SEARCH("H",AC5)))</formula>
    </cfRule>
    <cfRule type="containsText" dxfId="8" priority="138" operator="between" text="H">
      <formula>NOT(ISERROR(SEARCH("H",AC5)))</formula>
    </cfRule>
    <cfRule type="containsText" dxfId="4" priority="136" operator="between" text="H">
      <formula>NOT(ISERROR(SEARCH("H",AC5)))</formula>
    </cfRule>
    <cfRule type="containsText" dxfId="6" priority="124" operator="between" text="O">
      <formula>NOT(ISERROR(SEARCH("O",AC5)))</formula>
    </cfRule>
    <cfRule type="containsText" dxfId="0" priority="122" operator="between" text="H">
      <formula>NOT(ISERROR(SEARCH("H",AC5)))</formula>
    </cfRule>
    <cfRule type="containsText" dxfId="8" priority="123" operator="between" text="H">
      <formula>NOT(ISERROR(SEARCH("H",AC5)))</formula>
    </cfRule>
    <cfRule type="containsText" dxfId="4" priority="121" operator="between" text="H">
      <formula>NOT(ISERROR(SEARCH("H",AC5)))</formula>
    </cfRule>
  </conditionalFormatting>
  <conditionalFormatting sqref="AC21:AC26">
    <cfRule type="containsText" dxfId="6" priority="99" operator="between" text="O">
      <formula>NOT(ISERROR(SEARCH("O",AC21)))</formula>
    </cfRule>
    <cfRule type="containsText" dxfId="0" priority="97" operator="between" text="H">
      <formula>NOT(ISERROR(SEARCH("H",AC21)))</formula>
    </cfRule>
    <cfRule type="containsText" dxfId="8" priority="98" operator="between" text="H">
      <formula>NOT(ISERROR(SEARCH("H",AC21)))</formula>
    </cfRule>
    <cfRule type="containsText" dxfId="4" priority="96" operator="between" text="H">
      <formula>NOT(ISERROR(SEARCH("H",AC21)))</formula>
    </cfRule>
    <cfRule type="containsText" dxfId="6" priority="94" operator="between" text="O">
      <formula>NOT(ISERROR(SEARCH("O",AC21)))</formula>
    </cfRule>
    <cfRule type="containsText" dxfId="0" priority="92" operator="between" text="H">
      <formula>NOT(ISERROR(SEARCH("H",AC21)))</formula>
    </cfRule>
    <cfRule type="containsText" dxfId="8" priority="93" operator="between" text="H">
      <formula>NOT(ISERROR(SEARCH("H",AC21)))</formula>
    </cfRule>
    <cfRule type="containsText" dxfId="4" priority="91" operator="between" text="H">
      <formula>NOT(ISERROR(SEARCH("H",AC21)))</formula>
    </cfRule>
  </conditionalFormatting>
  <conditionalFormatting sqref="AC47:AC48">
    <cfRule type="containsText" dxfId="6" priority="154" operator="between" text="O">
      <formula>NOT(ISERROR(SEARCH("O",AC47)))</formula>
    </cfRule>
    <cfRule type="containsText" dxfId="0" priority="152" operator="between" text="H">
      <formula>NOT(ISERROR(SEARCH("H",AC47)))</formula>
    </cfRule>
    <cfRule type="containsText" dxfId="8" priority="153" operator="between" text="H">
      <formula>NOT(ISERROR(SEARCH("H",AC47)))</formula>
    </cfRule>
    <cfRule type="containsText" dxfId="4" priority="151" operator="between" text="H">
      <formula>NOT(ISERROR(SEARCH("H",AC47)))</formula>
    </cfRule>
  </conditionalFormatting>
  <conditionalFormatting sqref="Y39:Y41 Y31:Y32 Y34:Y35 Y15:Y18 Y21:Y27 Y5:Y11">
    <cfRule type="containsText" dxfId="1" priority="225" operator="between" text="AVG">
      <formula>NOT(ISERROR(SEARCH("AVG",Y5)))</formula>
    </cfRule>
    <cfRule type="cellIs" dxfId="3" priority="224" operator="equal">
      <formula>"STRONG"</formula>
    </cfRule>
    <cfRule type="containsText" dxfId="0" priority="223" operator="between" text="VSTRONG">
      <formula>NOT(ISERROR(SEARCH("VSTRONG",Y5)))</formula>
    </cfRule>
    <cfRule type="containsText" dxfId="2" priority="219" operator="between" text="AVG">
      <formula>NOT(ISERROR(SEARCH("AVG",Y5)))</formula>
    </cfRule>
  </conditionalFormatting>
  <conditionalFormatting sqref="Z39:Z41 Z31:Z32 Z34:Z35 Z15 Z21:Z27 Z5:Z11">
    <cfRule type="containsText" dxfId="0" priority="222" operator="between" text="STRONG">
      <formula>NOT(ISERROR(SEARCH("STRONG",Z5)))</formula>
    </cfRule>
    <cfRule type="containsText" dxfId="4" priority="221" operator="between" text="VSTRONG">
      <formula>NOT(ISERROR(SEARCH("VSTRONG",Z5)))</formula>
    </cfRule>
  </conditionalFormatting>
  <conditionalFormatting sqref="AA39 Z40:AA41 AA31 Z32:AA32 Z34:AA35 AA15 Z21:AA27 Z5:AA11">
    <cfRule type="containsText" dxfId="9" priority="217" operator="between" text="AVG">
      <formula>NOT(ISERROR(SEARCH("AVG",Z5)))</formula>
    </cfRule>
  </conditionalFormatting>
  <conditionalFormatting sqref="Z5:AA10">
    <cfRule type="containsText" dxfId="9" priority="142" operator="between" text="AVG">
      <formula>NOT(ISERROR(SEARCH("AVG",Z5)))</formula>
    </cfRule>
    <cfRule type="containsText" dxfId="9" priority="127" operator="between" text="AVG">
      <formula>NOT(ISERROR(SEARCH("AVG",Z5)))</formula>
    </cfRule>
  </conditionalFormatting>
  <conditionalFormatting sqref="AA39:AA41 AA31:AA32 AA34:AA35 AA15 AA21:AA27 AA5:AA11">
    <cfRule type="cellIs" dxfId="5" priority="218" operator="equal">
      <formula>"VWEAK"</formula>
    </cfRule>
    <cfRule type="containsText" dxfId="6" priority="216" operator="between" text="VSTRONG">
      <formula>NOT(ISERROR(SEARCH("VSTRONG",AA5)))</formula>
    </cfRule>
  </conditionalFormatting>
  <conditionalFormatting sqref="AB39:AB41 AB31:AB32 AB34:AB35 AB15 AB21:AB27 AB5:AB11">
    <cfRule type="containsText" dxfId="7" priority="220" operator="between" text="FEMALE DOM">
      <formula>NOT(ISERROR(SEARCH("FEMALE DOM",AB5)))</formula>
    </cfRule>
  </conditionalFormatting>
  <conditionalFormatting sqref="AB40:AB41 AB32 AB34:AB35 AB21:AB27 AB5:AB11">
    <cfRule type="containsText" dxfId="2" priority="215" operator="between" text="MEN">
      <formula>NOT(ISERROR(SEARCH("MEN",AB5)))</formula>
    </cfRule>
  </conditionalFormatting>
  <conditionalFormatting sqref="AC40:AC41 AC34:AC35 AC21:AC27 AC5:AC11">
    <cfRule type="containsText" dxfId="6" priority="214" operator="between" text="O">
      <formula>NOT(ISERROR(SEARCH("O",AC5)))</formula>
    </cfRule>
    <cfRule type="containsText" dxfId="0" priority="212" operator="between" text="H">
      <formula>NOT(ISERROR(SEARCH("H",AC5)))</formula>
    </cfRule>
    <cfRule type="containsText" dxfId="8" priority="213" operator="between" text="H">
      <formula>NOT(ISERROR(SEARCH("H",AC5)))</formula>
    </cfRule>
    <cfRule type="containsText" dxfId="4" priority="211" operator="between" text="H">
      <formula>NOT(ISERROR(SEARCH("H",AC5)))</formula>
    </cfRule>
  </conditionalFormatting>
  <conditionalFormatting sqref="Y15:Y18 Y21:Y26">
    <cfRule type="containsText" dxfId="1" priority="120" operator="between" text="AVG">
      <formula>NOT(ISERROR(SEARCH("AVG",Y15)))</formula>
    </cfRule>
    <cfRule type="cellIs" dxfId="3" priority="119" operator="equal">
      <formula>"STRONG"</formula>
    </cfRule>
    <cfRule type="containsText" dxfId="0" priority="118" operator="between" text="VSTRONG">
      <formula>NOT(ISERROR(SEARCH("VSTRONG",Y15)))</formula>
    </cfRule>
    <cfRule type="containsText" dxfId="2" priority="114" operator="between" text="AVG">
      <formula>NOT(ISERROR(SEARCH("AVG",Y15)))</formula>
    </cfRule>
    <cfRule type="containsText" dxfId="1" priority="110" operator="between" text="AVG">
      <formula>NOT(ISERROR(SEARCH("AVG",Y15)))</formula>
    </cfRule>
    <cfRule type="cellIs" dxfId="3" priority="109" operator="equal">
      <formula>"STRONG"</formula>
    </cfRule>
    <cfRule type="containsText" dxfId="0" priority="108" operator="between" text="VSTRONG">
      <formula>NOT(ISERROR(SEARCH("VSTRONG",Y15)))</formula>
    </cfRule>
    <cfRule type="containsText" dxfId="2" priority="104" operator="between" text="AVG">
      <formula>NOT(ISERROR(SEARCH("AVG",Y15)))</formula>
    </cfRule>
  </conditionalFormatting>
  <conditionalFormatting sqref="Z15 Z21:Z26">
    <cfRule type="containsText" dxfId="0" priority="117" operator="between" text="STRONG">
      <formula>NOT(ISERROR(SEARCH("STRONG",Z15)))</formula>
    </cfRule>
    <cfRule type="containsText" dxfId="4" priority="116" operator="between" text="VSTRONG">
      <formula>NOT(ISERROR(SEARCH("VSTRONG",Z15)))</formula>
    </cfRule>
    <cfRule type="containsText" dxfId="0" priority="107" operator="between" text="STRONG">
      <formula>NOT(ISERROR(SEARCH("STRONG",Z15)))</formula>
    </cfRule>
    <cfRule type="containsText" dxfId="4" priority="106" operator="between" text="VSTRONG">
      <formula>NOT(ISERROR(SEARCH("VSTRONG",Z15)))</formula>
    </cfRule>
  </conditionalFormatting>
  <conditionalFormatting sqref="AA15 Z21:AA26">
    <cfRule type="containsText" dxfId="9" priority="112" operator="between" text="AVG">
      <formula>NOT(ISERROR(SEARCH("AVG",Z15)))</formula>
    </cfRule>
    <cfRule type="containsText" dxfId="9" priority="102" operator="between" text="AVG">
      <formula>NOT(ISERROR(SEARCH("AVG",Z15)))</formula>
    </cfRule>
  </conditionalFormatting>
  <conditionalFormatting sqref="AA15 AA21:AA26">
    <cfRule type="cellIs" dxfId="5" priority="113" operator="equal">
      <formula>"VWEAK"</formula>
    </cfRule>
    <cfRule type="containsText" dxfId="6" priority="111" operator="between" text="VSTRONG">
      <formula>NOT(ISERROR(SEARCH("VSTRONG",AA15)))</formula>
    </cfRule>
    <cfRule type="cellIs" dxfId="5" priority="103" operator="equal">
      <formula>"VWEAK"</formula>
    </cfRule>
    <cfRule type="containsText" dxfId="6" priority="101" operator="between" text="VSTRONG">
      <formula>NOT(ISERROR(SEARCH("VSTRONG",AA15)))</formula>
    </cfRule>
  </conditionalFormatting>
  <conditionalFormatting sqref="AB15 AB21:AB26">
    <cfRule type="containsText" dxfId="7" priority="115" operator="between" text="FEMALE DOM">
      <formula>NOT(ISERROR(SEARCH("FEMALE DOM",AB15)))</formula>
    </cfRule>
    <cfRule type="containsText" dxfId="7" priority="105" operator="between" text="FEMALE DOM">
      <formula>NOT(ISERROR(SEARCH("FEMALE DOM",AB15)))</formula>
    </cfRule>
  </conditionalFormatting>
  <conditionalFormatting sqref="Y31:Y32 Y34">
    <cfRule type="containsText" dxfId="1" priority="90" operator="between" text="AVG">
      <formula>NOT(ISERROR(SEARCH("AVG",Y31)))</formula>
    </cfRule>
    <cfRule type="cellIs" dxfId="3" priority="89" operator="equal">
      <formula>"STRONG"</formula>
    </cfRule>
    <cfRule type="containsText" dxfId="0" priority="88" operator="between" text="VSTRONG">
      <formula>NOT(ISERROR(SEARCH("VSTRONG",Y31)))</formula>
    </cfRule>
    <cfRule type="containsText" dxfId="2" priority="84" operator="between" text="AVG">
      <formula>NOT(ISERROR(SEARCH("AVG",Y31)))</formula>
    </cfRule>
    <cfRule type="containsText" dxfId="1" priority="80" operator="between" text="AVG">
      <formula>NOT(ISERROR(SEARCH("AVG",Y31)))</formula>
    </cfRule>
    <cfRule type="cellIs" dxfId="3" priority="79" operator="equal">
      <formula>"STRONG"</formula>
    </cfRule>
    <cfRule type="containsText" dxfId="0" priority="78" operator="between" text="VSTRONG">
      <formula>NOT(ISERROR(SEARCH("VSTRONG",Y31)))</formula>
    </cfRule>
    <cfRule type="containsText" dxfId="2" priority="74" operator="between" text="AVG">
      <formula>NOT(ISERROR(SEARCH("AVG",Y31)))</formula>
    </cfRule>
  </conditionalFormatting>
  <conditionalFormatting sqref="Z31:Z32 Z34">
    <cfRule type="containsText" dxfId="0" priority="87" operator="between" text="STRONG">
      <formula>NOT(ISERROR(SEARCH("STRONG",Z31)))</formula>
    </cfRule>
    <cfRule type="containsText" dxfId="4" priority="86" operator="between" text="VSTRONG">
      <formula>NOT(ISERROR(SEARCH("VSTRONG",Z31)))</formula>
    </cfRule>
    <cfRule type="containsText" dxfId="0" priority="77" operator="between" text="STRONG">
      <formula>NOT(ISERROR(SEARCH("STRONG",Z31)))</formula>
    </cfRule>
    <cfRule type="containsText" dxfId="4" priority="76" operator="between" text="VSTRONG">
      <formula>NOT(ISERROR(SEARCH("VSTRONG",Z31)))</formula>
    </cfRule>
  </conditionalFormatting>
  <conditionalFormatting sqref="AA31 Z32:AA32 Z34:AA34">
    <cfRule type="containsText" dxfId="9" priority="82" operator="between" text="AVG">
      <formula>NOT(ISERROR(SEARCH("AVG",Z31)))</formula>
    </cfRule>
    <cfRule type="containsText" dxfId="9" priority="72" operator="between" text="AVG">
      <formula>NOT(ISERROR(SEARCH("AVG",Z31)))</formula>
    </cfRule>
  </conditionalFormatting>
  <conditionalFormatting sqref="AA31:AA32 AA34">
    <cfRule type="cellIs" dxfId="5" priority="83" operator="equal">
      <formula>"VWEAK"</formula>
    </cfRule>
    <cfRule type="containsText" dxfId="6" priority="81" operator="between" text="VSTRONG">
      <formula>NOT(ISERROR(SEARCH("VSTRONG",AA31)))</formula>
    </cfRule>
    <cfRule type="cellIs" dxfId="5" priority="73" operator="equal">
      <formula>"VWEAK"</formula>
    </cfRule>
    <cfRule type="containsText" dxfId="6" priority="71" operator="between" text="VSTRONG">
      <formula>NOT(ISERROR(SEARCH("VSTRONG",AA31)))</formula>
    </cfRule>
  </conditionalFormatting>
  <conditionalFormatting sqref="AB31:AB32 AB34">
    <cfRule type="containsText" dxfId="7" priority="85" operator="between" text="FEMALE DOM">
      <formula>NOT(ISERROR(SEARCH("FEMALE DOM",AB31)))</formula>
    </cfRule>
    <cfRule type="containsText" dxfId="7" priority="75" operator="between" text="FEMALE DOM">
      <formula>NOT(ISERROR(SEARCH("FEMALE DOM",AB31)))</formula>
    </cfRule>
  </conditionalFormatting>
  <conditionalFormatting sqref="AB32 AB34">
    <cfRule type="containsText" dxfId="2" priority="70" operator="between" text="MEN">
      <formula>NOT(ISERROR(SEARCH("MEN",AB32)))</formula>
    </cfRule>
    <cfRule type="containsText" dxfId="2" priority="69" operator="between" text="MEN">
      <formula>NOT(ISERROR(SEARCH("MEN",AB32)))</formula>
    </cfRule>
  </conditionalFormatting>
  <conditionalFormatting sqref="AA39 Z40:AA40">
    <cfRule type="containsText" dxfId="9" priority="52" operator="between" text="AVG">
      <formula>NOT(ISERROR(SEARCH("AVG",Z39)))</formula>
    </cfRule>
    <cfRule type="containsText" dxfId="9" priority="42" operator="between" text="AVG">
      <formula>NOT(ISERROR(SEARCH("AVG",Z39)))</formula>
    </cfRule>
  </conditionalFormatting>
  <conditionalFormatting sqref="Z47:AA48">
    <cfRule type="containsText" dxfId="9" priority="157" operator="between" text="AVG">
      <formula>NOT(ISERROR(SEARCH("AVG",Z47)))</formula>
    </cfRule>
  </conditionalFormatting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7"/>
  <sheetViews>
    <sheetView workbookViewId="0">
      <selection activeCell="E10" sqref="E10:E11"/>
    </sheetView>
  </sheetViews>
  <sheetFormatPr defaultColWidth="9" defaultRowHeight="15"/>
  <cols>
    <col min="1" max="1" width="9.14285714285714" style="7"/>
    <col min="2" max="2" width="10.5714285714286" style="7" customWidth="1"/>
    <col min="3" max="3" width="12.7142857142857" style="7" customWidth="1"/>
    <col min="4" max="4" width="13.2857142857143" style="7" customWidth="1"/>
    <col min="5" max="5" width="32.7142857142857" style="7" customWidth="1"/>
    <col min="6" max="6" width="12.4285714285714" style="7" customWidth="1"/>
    <col min="7" max="7" width="12" style="7" customWidth="1"/>
    <col min="8" max="8" width="17.4285714285714" style="7" customWidth="1"/>
    <col min="9" max="9" width="12" style="7" customWidth="1"/>
    <col min="10" max="10" width="11.2857142857143" style="7" customWidth="1"/>
    <col min="11" max="11" width="12" style="7" customWidth="1"/>
    <col min="12" max="12" width="9.14285714285714" style="7"/>
    <col min="13" max="15" width="12" style="7" customWidth="1"/>
    <col min="16" max="17" width="9.14285714285714" style="7"/>
    <col min="18" max="20" width="12" style="7" customWidth="1"/>
    <col min="21" max="22" width="9.14285714285714" style="7"/>
    <col min="23" max="24" width="12" style="7" customWidth="1"/>
    <col min="25" max="25" width="8.42857142857143" style="7" customWidth="1"/>
    <col min="26" max="27" width="10.4285714285714" style="7" customWidth="1"/>
    <col min="28" max="28" width="12.7142857142857" style="7" customWidth="1"/>
    <col min="29" max="29" width="9" style="7" customWidth="1"/>
    <col min="30" max="30" width="15.5714285714286" style="7" customWidth="1"/>
    <col min="31" max="31" width="13.2857142857143" style="7" customWidth="1"/>
    <col min="32" max="32" width="16.8571428571429" style="7" customWidth="1"/>
    <col min="33" max="16384" width="9.14285714285714" style="7"/>
  </cols>
  <sheetData>
    <row r="1" ht="26.25" spans="1:32">
      <c r="A1" s="8" t="s">
        <v>387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 ht="26.25" spans="1:32">
      <c r="A2" s="8" t="s">
        <v>368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>
      <c r="A3" s="1" t="s">
        <v>263</v>
      </c>
      <c r="B3" s="1" t="s">
        <v>264</v>
      </c>
      <c r="C3" s="1" t="s">
        <v>265</v>
      </c>
      <c r="D3" s="9" t="s">
        <v>266</v>
      </c>
      <c r="E3" s="1" t="s">
        <v>267</v>
      </c>
      <c r="F3" s="10" t="s">
        <v>268</v>
      </c>
      <c r="G3" s="11"/>
      <c r="H3" s="11"/>
      <c r="I3" s="20"/>
      <c r="J3" s="10" t="s">
        <v>3</v>
      </c>
      <c r="K3" s="11"/>
      <c r="L3" s="11"/>
      <c r="M3" s="11"/>
      <c r="N3" s="20"/>
      <c r="O3" s="21" t="s">
        <v>4</v>
      </c>
      <c r="P3" s="22"/>
      <c r="Q3" s="22"/>
      <c r="R3" s="22"/>
      <c r="S3" s="23"/>
      <c r="T3" s="24" t="s">
        <v>257</v>
      </c>
      <c r="U3" s="25"/>
      <c r="V3" s="25"/>
      <c r="W3" s="25"/>
      <c r="X3" s="26"/>
      <c r="Y3" s="1">
        <v>2018</v>
      </c>
      <c r="Z3" s="1"/>
      <c r="AA3" s="1"/>
      <c r="AB3" s="1"/>
      <c r="AC3" s="1"/>
      <c r="AD3" s="13" t="s">
        <v>269</v>
      </c>
      <c r="AE3" s="13" t="s">
        <v>35</v>
      </c>
      <c r="AF3" s="13" t="s">
        <v>270</v>
      </c>
    </row>
    <row r="4" s="5" customFormat="1" ht="75" spans="1:32">
      <c r="A4" s="1"/>
      <c r="B4" s="1"/>
      <c r="C4" s="1"/>
      <c r="D4" s="12"/>
      <c r="E4" s="1"/>
      <c r="F4" s="13" t="s">
        <v>268</v>
      </c>
      <c r="G4" s="14" t="s">
        <v>271</v>
      </c>
      <c r="H4" s="13" t="s">
        <v>274</v>
      </c>
      <c r="I4" s="14" t="s">
        <v>273</v>
      </c>
      <c r="J4" s="14" t="s">
        <v>3</v>
      </c>
      <c r="K4" s="13" t="s">
        <v>271</v>
      </c>
      <c r="L4" s="13" t="s">
        <v>27</v>
      </c>
      <c r="M4" s="13" t="s">
        <v>274</v>
      </c>
      <c r="N4" s="13" t="s">
        <v>273</v>
      </c>
      <c r="O4" s="13" t="s">
        <v>275</v>
      </c>
      <c r="P4" s="13" t="s">
        <v>271</v>
      </c>
      <c r="Q4" s="13" t="s">
        <v>27</v>
      </c>
      <c r="R4" s="13" t="s">
        <v>274</v>
      </c>
      <c r="S4" s="13" t="s">
        <v>273</v>
      </c>
      <c r="T4" s="13" t="s">
        <v>276</v>
      </c>
      <c r="U4" s="13" t="s">
        <v>271</v>
      </c>
      <c r="V4" s="13" t="s">
        <v>27</v>
      </c>
      <c r="W4" s="13" t="s">
        <v>274</v>
      </c>
      <c r="X4" s="13" t="s">
        <v>273</v>
      </c>
      <c r="Y4" s="13" t="s">
        <v>28</v>
      </c>
      <c r="Z4" s="13" t="s">
        <v>29</v>
      </c>
      <c r="AA4" s="13" t="s">
        <v>30</v>
      </c>
      <c r="AB4" s="13" t="s">
        <v>31</v>
      </c>
      <c r="AC4" s="13" t="s">
        <v>277</v>
      </c>
      <c r="AD4" s="13"/>
      <c r="AE4" s="13"/>
      <c r="AF4" s="13"/>
    </row>
    <row r="5" spans="1:32">
      <c r="A5" s="3">
        <v>1</v>
      </c>
      <c r="B5" s="15">
        <v>45</v>
      </c>
      <c r="C5" s="2" t="s">
        <v>331</v>
      </c>
      <c r="D5" s="16">
        <v>6</v>
      </c>
      <c r="E5" s="3" t="s">
        <v>332</v>
      </c>
      <c r="F5" s="3">
        <v>7200</v>
      </c>
      <c r="G5" s="17">
        <v>1200</v>
      </c>
      <c r="H5" s="17">
        <v>129.009043610645</v>
      </c>
      <c r="I5" s="17">
        <v>16643.3333333333</v>
      </c>
      <c r="J5" s="3">
        <v>4870</v>
      </c>
      <c r="K5" s="17">
        <v>811.666666666667</v>
      </c>
      <c r="L5" s="17">
        <v>67.6388888888889</v>
      </c>
      <c r="M5" s="17">
        <v>90.0715764760942</v>
      </c>
      <c r="N5" s="17">
        <v>8112.88888888889</v>
      </c>
      <c r="O5" s="3">
        <v>2311</v>
      </c>
      <c r="P5" s="17">
        <v>385.166666666667</v>
      </c>
      <c r="Q5" s="17">
        <v>47.4537987679672</v>
      </c>
      <c r="R5" s="17">
        <v>116.036512452858</v>
      </c>
      <c r="S5" s="17">
        <v>13464.4722222222</v>
      </c>
      <c r="T5" s="27">
        <v>2430</v>
      </c>
      <c r="U5" s="17">
        <v>405</v>
      </c>
      <c r="V5" s="17">
        <v>49.8973305954826</v>
      </c>
      <c r="W5" s="17">
        <v>124.378454725889</v>
      </c>
      <c r="X5" s="17">
        <v>15470</v>
      </c>
      <c r="Y5" s="3" t="s">
        <v>287</v>
      </c>
      <c r="Z5" s="30" t="s">
        <v>282</v>
      </c>
      <c r="AA5" s="3" t="s">
        <v>281</v>
      </c>
      <c r="AB5" s="3" t="s">
        <v>283</v>
      </c>
      <c r="AC5" s="3" t="e">
        <v>#DIV/0!</v>
      </c>
      <c r="AD5" s="31" t="s">
        <v>388</v>
      </c>
      <c r="AE5" s="17">
        <v>2.4435318275154</v>
      </c>
      <c r="AF5" s="32" t="s">
        <v>383</v>
      </c>
    </row>
    <row r="6" spans="1:32">
      <c r="A6" s="3">
        <v>2</v>
      </c>
      <c r="B6" s="15">
        <v>48</v>
      </c>
      <c r="C6" s="2" t="s">
        <v>337</v>
      </c>
      <c r="D6" s="16">
        <v>6</v>
      </c>
      <c r="E6" s="3" t="s">
        <v>338</v>
      </c>
      <c r="F6" s="3">
        <v>6402</v>
      </c>
      <c r="G6" s="17">
        <v>1067</v>
      </c>
      <c r="H6" s="17">
        <v>266.74207267196</v>
      </c>
      <c r="I6" s="17">
        <v>71151.3333333333</v>
      </c>
      <c r="J6" s="3">
        <v>4156</v>
      </c>
      <c r="K6" s="17">
        <v>692.666666666667</v>
      </c>
      <c r="L6" s="17">
        <v>64.9172133708216</v>
      </c>
      <c r="M6" s="17">
        <v>218.884038299329</v>
      </c>
      <c r="N6" s="17">
        <v>47910.2222222222</v>
      </c>
      <c r="O6" s="3">
        <v>1919</v>
      </c>
      <c r="P6" s="17">
        <v>319.833333333333</v>
      </c>
      <c r="Q6" s="17">
        <v>46.1742059672762</v>
      </c>
      <c r="R6" s="17">
        <v>220.536782016566</v>
      </c>
      <c r="S6" s="17">
        <v>48636.4722222222</v>
      </c>
      <c r="T6" s="27">
        <v>2126</v>
      </c>
      <c r="U6" s="17">
        <v>354.333333333333</v>
      </c>
      <c r="V6" s="17">
        <v>51.1549566891242</v>
      </c>
      <c r="W6" s="17">
        <v>60.0351748745868</v>
      </c>
      <c r="X6" s="17">
        <v>3604.22222222222</v>
      </c>
      <c r="Y6" s="3" t="s">
        <v>287</v>
      </c>
      <c r="Z6" s="30" t="s">
        <v>281</v>
      </c>
      <c r="AA6" s="3" t="s">
        <v>282</v>
      </c>
      <c r="AB6" s="3" t="s">
        <v>283</v>
      </c>
      <c r="AC6" s="3" t="s">
        <v>294</v>
      </c>
      <c r="AD6" s="31" t="s">
        <v>388</v>
      </c>
      <c r="AE6" s="17">
        <v>4.98075072184793</v>
      </c>
      <c r="AF6" s="32" t="s">
        <v>383</v>
      </c>
    </row>
    <row r="7" spans="1:32">
      <c r="A7" s="3">
        <v>3</v>
      </c>
      <c r="B7" s="15">
        <v>55</v>
      </c>
      <c r="C7" s="2" t="s">
        <v>351</v>
      </c>
      <c r="D7" s="16">
        <v>8</v>
      </c>
      <c r="E7" s="3" t="s">
        <v>352</v>
      </c>
      <c r="F7" s="3">
        <v>7992</v>
      </c>
      <c r="G7" s="17">
        <v>999</v>
      </c>
      <c r="H7" s="17">
        <v>216.378718916625</v>
      </c>
      <c r="I7" s="17">
        <v>46819.75</v>
      </c>
      <c r="J7" s="3">
        <v>5252</v>
      </c>
      <c r="K7" s="17">
        <v>656.5</v>
      </c>
      <c r="L7" s="17">
        <v>65.7157157157157</v>
      </c>
      <c r="M7" s="17">
        <v>136.496336947187</v>
      </c>
      <c r="N7" s="17">
        <v>18631.25</v>
      </c>
      <c r="O7" s="3">
        <v>2523</v>
      </c>
      <c r="P7" s="17">
        <v>315.375</v>
      </c>
      <c r="Q7" s="17">
        <v>48.038842345773</v>
      </c>
      <c r="R7" s="17">
        <v>87.8036694848228</v>
      </c>
      <c r="S7" s="17">
        <v>7709.484375</v>
      </c>
      <c r="T7" s="28">
        <v>2567</v>
      </c>
      <c r="U7" s="17">
        <v>320.875</v>
      </c>
      <c r="V7" s="17">
        <v>48.8766184310739</v>
      </c>
      <c r="W7" s="17">
        <v>116.604499805968</v>
      </c>
      <c r="X7" s="17">
        <v>13596.609375</v>
      </c>
      <c r="Y7" s="3" t="s">
        <v>287</v>
      </c>
      <c r="Z7" s="30" t="s">
        <v>282</v>
      </c>
      <c r="AA7" s="3" t="s">
        <v>281</v>
      </c>
      <c r="AB7" s="3" t="s">
        <v>283</v>
      </c>
      <c r="AC7" s="3" t="e">
        <v>#DIV/0!</v>
      </c>
      <c r="AD7" s="31" t="s">
        <v>388</v>
      </c>
      <c r="AE7" s="17">
        <v>0.837776085300838</v>
      </c>
      <c r="AF7" s="32" t="s">
        <v>383</v>
      </c>
    </row>
    <row r="8" s="6" customFormat="1" ht="15.75" spans="1:32">
      <c r="A8" s="18"/>
      <c r="B8" s="18"/>
      <c r="C8" s="18"/>
      <c r="D8" s="18"/>
      <c r="E8" s="18"/>
      <c r="F8" s="18">
        <f>SUM(F5:F7)</f>
        <v>21594</v>
      </c>
      <c r="G8" s="18"/>
      <c r="H8" s="18"/>
      <c r="I8" s="18"/>
      <c r="J8" s="18">
        <f>SUM(J5:J7)</f>
        <v>14278</v>
      </c>
      <c r="K8" s="18"/>
      <c r="L8" s="18"/>
      <c r="M8" s="18"/>
      <c r="N8" s="18"/>
      <c r="O8" s="18">
        <f>SUM(O5:O7)</f>
        <v>6753</v>
      </c>
      <c r="P8" s="18"/>
      <c r="Q8" s="18"/>
      <c r="R8" s="18"/>
      <c r="S8" s="18"/>
      <c r="T8" s="29">
        <f>SUM(T5:T7)</f>
        <v>7123</v>
      </c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</row>
    <row r="9" ht="26.25" spans="1:32">
      <c r="A9" s="8" t="s">
        <v>258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>
      <c r="A10" s="1" t="s">
        <v>263</v>
      </c>
      <c r="B10" s="1" t="s">
        <v>264</v>
      </c>
      <c r="C10" s="1" t="s">
        <v>265</v>
      </c>
      <c r="D10" s="9" t="s">
        <v>266</v>
      </c>
      <c r="E10" s="1" t="s">
        <v>267</v>
      </c>
      <c r="F10" s="10" t="s">
        <v>268</v>
      </c>
      <c r="G10" s="11"/>
      <c r="H10" s="11"/>
      <c r="I10" s="20"/>
      <c r="J10" s="10" t="s">
        <v>3</v>
      </c>
      <c r="K10" s="11"/>
      <c r="L10" s="11"/>
      <c r="M10" s="11"/>
      <c r="N10" s="20"/>
      <c r="O10" s="21" t="s">
        <v>4</v>
      </c>
      <c r="P10" s="22"/>
      <c r="Q10" s="22"/>
      <c r="R10" s="22"/>
      <c r="S10" s="23"/>
      <c r="T10" s="24" t="s">
        <v>257</v>
      </c>
      <c r="U10" s="25"/>
      <c r="V10" s="25"/>
      <c r="W10" s="25"/>
      <c r="X10" s="26"/>
      <c r="Y10" s="1">
        <v>2018</v>
      </c>
      <c r="Z10" s="1"/>
      <c r="AA10" s="1"/>
      <c r="AB10" s="1"/>
      <c r="AC10" s="1"/>
      <c r="AD10" s="13" t="s">
        <v>269</v>
      </c>
      <c r="AE10" s="13" t="s">
        <v>35</v>
      </c>
      <c r="AF10" s="13" t="s">
        <v>270</v>
      </c>
    </row>
    <row r="11" s="5" customFormat="1" ht="75" spans="1:32">
      <c r="A11" s="1"/>
      <c r="B11" s="1"/>
      <c r="C11" s="1"/>
      <c r="D11" s="12"/>
      <c r="E11" s="1"/>
      <c r="F11" s="13" t="s">
        <v>268</v>
      </c>
      <c r="G11" s="14" t="s">
        <v>271</v>
      </c>
      <c r="H11" s="13" t="s">
        <v>274</v>
      </c>
      <c r="I11" s="14" t="s">
        <v>273</v>
      </c>
      <c r="J11" s="14" t="s">
        <v>3</v>
      </c>
      <c r="K11" s="13" t="s">
        <v>271</v>
      </c>
      <c r="L11" s="13" t="s">
        <v>27</v>
      </c>
      <c r="M11" s="13" t="s">
        <v>274</v>
      </c>
      <c r="N11" s="13" t="s">
        <v>273</v>
      </c>
      <c r="O11" s="13" t="s">
        <v>275</v>
      </c>
      <c r="P11" s="13" t="s">
        <v>271</v>
      </c>
      <c r="Q11" s="13" t="s">
        <v>27</v>
      </c>
      <c r="R11" s="13" t="s">
        <v>274</v>
      </c>
      <c r="S11" s="13" t="s">
        <v>273</v>
      </c>
      <c r="T11" s="13" t="s">
        <v>276</v>
      </c>
      <c r="U11" s="13" t="s">
        <v>271</v>
      </c>
      <c r="V11" s="13" t="s">
        <v>27</v>
      </c>
      <c r="W11" s="13" t="s">
        <v>274</v>
      </c>
      <c r="X11" s="13" t="s">
        <v>273</v>
      </c>
      <c r="Y11" s="13" t="s">
        <v>28</v>
      </c>
      <c r="Z11" s="13" t="s">
        <v>29</v>
      </c>
      <c r="AA11" s="13" t="s">
        <v>30</v>
      </c>
      <c r="AB11" s="13" t="s">
        <v>31</v>
      </c>
      <c r="AC11" s="13" t="s">
        <v>277</v>
      </c>
      <c r="AD11" s="13"/>
      <c r="AE11" s="13"/>
      <c r="AF11" s="13"/>
    </row>
    <row r="12" spans="1:32">
      <c r="A12" s="3">
        <v>1</v>
      </c>
      <c r="B12" s="15">
        <v>34</v>
      </c>
      <c r="C12" s="2" t="s">
        <v>308</v>
      </c>
      <c r="D12" s="16">
        <v>5</v>
      </c>
      <c r="E12" s="4" t="s">
        <v>309</v>
      </c>
      <c r="F12" s="3">
        <v>6191</v>
      </c>
      <c r="G12" s="17">
        <v>1238.2</v>
      </c>
      <c r="H12" s="17">
        <v>229.400435919377</v>
      </c>
      <c r="I12" s="17">
        <v>52624.56</v>
      </c>
      <c r="J12" s="3">
        <v>3772</v>
      </c>
      <c r="K12" s="17">
        <v>754.4</v>
      </c>
      <c r="L12" s="17">
        <v>60.9271523178808</v>
      </c>
      <c r="M12" s="17">
        <v>120.804966785311</v>
      </c>
      <c r="N12" s="17">
        <v>14593.84</v>
      </c>
      <c r="O12" s="3">
        <v>1607</v>
      </c>
      <c r="P12" s="17">
        <v>321.4</v>
      </c>
      <c r="Q12" s="17">
        <v>42.6033934252386</v>
      </c>
      <c r="R12" s="17">
        <v>54.5072472245664</v>
      </c>
      <c r="S12" s="17">
        <v>2971.04</v>
      </c>
      <c r="T12" s="27">
        <v>2057</v>
      </c>
      <c r="U12" s="17">
        <v>411.4</v>
      </c>
      <c r="V12" s="17">
        <v>54.5334040296925</v>
      </c>
      <c r="W12" s="17">
        <v>131.677788559802</v>
      </c>
      <c r="X12" s="17">
        <v>17339.04</v>
      </c>
      <c r="Y12" s="33" t="s">
        <v>287</v>
      </c>
      <c r="Z12" s="30" t="s">
        <v>282</v>
      </c>
      <c r="AA12" s="3" t="s">
        <v>310</v>
      </c>
      <c r="AB12" s="34" t="s">
        <v>283</v>
      </c>
      <c r="AC12" s="35" t="s">
        <v>294</v>
      </c>
      <c r="AD12" s="31" t="s">
        <v>388</v>
      </c>
      <c r="AE12" s="17">
        <v>11.9300106044539</v>
      </c>
      <c r="AF12" s="36" t="s">
        <v>380</v>
      </c>
    </row>
    <row r="13" spans="1:32">
      <c r="A13" s="3">
        <v>2</v>
      </c>
      <c r="B13" s="15">
        <v>40</v>
      </c>
      <c r="C13" s="2" t="s">
        <v>321</v>
      </c>
      <c r="D13" s="16">
        <v>5</v>
      </c>
      <c r="E13" s="4" t="s">
        <v>322</v>
      </c>
      <c r="F13" s="3">
        <v>4880</v>
      </c>
      <c r="G13" s="17">
        <v>976</v>
      </c>
      <c r="H13" s="17">
        <v>205.02585202847</v>
      </c>
      <c r="I13" s="17">
        <v>42035.6</v>
      </c>
      <c r="J13" s="3">
        <v>2577</v>
      </c>
      <c r="K13" s="17">
        <v>515.4</v>
      </c>
      <c r="L13" s="17">
        <v>52.8073770491803</v>
      </c>
      <c r="M13" s="17">
        <v>128.493735255848</v>
      </c>
      <c r="N13" s="17">
        <v>16510.64</v>
      </c>
      <c r="O13" s="3">
        <v>1093</v>
      </c>
      <c r="P13" s="17">
        <v>218.6</v>
      </c>
      <c r="Q13" s="17">
        <v>42.4136592937524</v>
      </c>
      <c r="R13" s="17">
        <v>64.8771146090823</v>
      </c>
      <c r="S13" s="17">
        <v>4209.04</v>
      </c>
      <c r="T13" s="27">
        <v>1420</v>
      </c>
      <c r="U13" s="17">
        <v>284</v>
      </c>
      <c r="V13" s="17">
        <v>55.1028327512612</v>
      </c>
      <c r="W13" s="17">
        <v>114.078920050989</v>
      </c>
      <c r="X13" s="17">
        <v>13014</v>
      </c>
      <c r="Y13" s="3" t="s">
        <v>310</v>
      </c>
      <c r="Z13" s="30" t="s">
        <v>282</v>
      </c>
      <c r="AA13" s="3" t="s">
        <v>281</v>
      </c>
      <c r="AB13" s="3" t="s">
        <v>283</v>
      </c>
      <c r="AC13" s="3" t="e">
        <v>#DIV/0!</v>
      </c>
      <c r="AD13" s="31" t="s">
        <v>388</v>
      </c>
      <c r="AE13" s="17">
        <v>12.6891734575087</v>
      </c>
      <c r="AF13" s="36" t="s">
        <v>380</v>
      </c>
    </row>
    <row r="14" spans="1:32">
      <c r="A14" s="3">
        <v>3</v>
      </c>
      <c r="B14" s="15">
        <v>44</v>
      </c>
      <c r="C14" s="2" t="s">
        <v>329</v>
      </c>
      <c r="D14" s="16">
        <v>6</v>
      </c>
      <c r="E14" s="3" t="s">
        <v>330</v>
      </c>
      <c r="F14" s="3">
        <v>5338</v>
      </c>
      <c r="G14" s="17">
        <v>889.666666666667</v>
      </c>
      <c r="H14" s="17">
        <v>274.036899380763</v>
      </c>
      <c r="I14" s="17">
        <v>75096.2222222222</v>
      </c>
      <c r="J14" s="3">
        <v>3530</v>
      </c>
      <c r="K14" s="17">
        <v>588.333333333333</v>
      </c>
      <c r="L14" s="17">
        <v>66.129636568003</v>
      </c>
      <c r="M14" s="17">
        <v>173.012202524048</v>
      </c>
      <c r="N14" s="17">
        <v>29933.2222222222</v>
      </c>
      <c r="O14" s="3">
        <v>1399</v>
      </c>
      <c r="P14" s="17">
        <v>233.166666666667</v>
      </c>
      <c r="Q14" s="17">
        <v>39.6317280453258</v>
      </c>
      <c r="R14" s="17">
        <v>127.205105592853</v>
      </c>
      <c r="S14" s="17">
        <v>16181.1388888889</v>
      </c>
      <c r="T14" s="27">
        <v>1987</v>
      </c>
      <c r="U14" s="17">
        <v>331.166666666667</v>
      </c>
      <c r="V14" s="17">
        <v>56.2889518413598</v>
      </c>
      <c r="W14" s="17">
        <v>202.717715610211</v>
      </c>
      <c r="X14" s="17">
        <v>41094.4722222222</v>
      </c>
      <c r="Y14" s="3" t="s">
        <v>287</v>
      </c>
      <c r="Z14" s="30" t="s">
        <v>310</v>
      </c>
      <c r="AA14" s="3" t="s">
        <v>282</v>
      </c>
      <c r="AB14" s="3" t="s">
        <v>297</v>
      </c>
      <c r="AC14" s="3" t="s">
        <v>294</v>
      </c>
      <c r="AD14" s="31" t="s">
        <v>388</v>
      </c>
      <c r="AE14" s="17">
        <v>16.657223796034</v>
      </c>
      <c r="AF14" s="36" t="s">
        <v>380</v>
      </c>
    </row>
    <row r="15" spans="1:32">
      <c r="A15" s="3">
        <v>4</v>
      </c>
      <c r="B15" s="15">
        <v>47</v>
      </c>
      <c r="C15" s="2" t="s">
        <v>335</v>
      </c>
      <c r="D15" s="16">
        <v>5</v>
      </c>
      <c r="E15" s="3" t="s">
        <v>336</v>
      </c>
      <c r="F15" s="3">
        <v>6415</v>
      </c>
      <c r="G15" s="17">
        <v>1283</v>
      </c>
      <c r="H15" s="17">
        <v>188.732615093417</v>
      </c>
      <c r="I15" s="17">
        <v>35620</v>
      </c>
      <c r="J15" s="3">
        <v>3780</v>
      </c>
      <c r="K15" s="17">
        <v>756</v>
      </c>
      <c r="L15" s="17">
        <v>58.9243959469992</v>
      </c>
      <c r="M15" s="17">
        <v>110.305031616876</v>
      </c>
      <c r="N15" s="17">
        <v>12167.2</v>
      </c>
      <c r="O15" s="3">
        <v>1514</v>
      </c>
      <c r="P15" s="17">
        <v>302.8</v>
      </c>
      <c r="Q15" s="17">
        <v>40.0529100529101</v>
      </c>
      <c r="R15" s="17">
        <v>106.501455389117</v>
      </c>
      <c r="S15" s="17">
        <v>11342.56</v>
      </c>
      <c r="T15" s="27">
        <v>2200</v>
      </c>
      <c r="U15" s="17">
        <v>440</v>
      </c>
      <c r="V15" s="17">
        <v>58.2010582010582</v>
      </c>
      <c r="W15" s="17">
        <v>69.6304531078177</v>
      </c>
      <c r="X15" s="17">
        <v>4848.4</v>
      </c>
      <c r="Y15" s="3" t="s">
        <v>310</v>
      </c>
      <c r="Z15" s="30" t="s">
        <v>282</v>
      </c>
      <c r="AA15" s="37" t="s">
        <v>287</v>
      </c>
      <c r="AB15" s="3" t="s">
        <v>283</v>
      </c>
      <c r="AC15" s="3" t="s">
        <v>294</v>
      </c>
      <c r="AD15" s="31" t="s">
        <v>388</v>
      </c>
      <c r="AE15" s="17">
        <v>18.1481481481481</v>
      </c>
      <c r="AF15" s="36" t="s">
        <v>380</v>
      </c>
    </row>
    <row r="16" spans="1:32">
      <c r="A16" s="3">
        <v>5</v>
      </c>
      <c r="B16" s="15">
        <v>53</v>
      </c>
      <c r="C16" s="2" t="s">
        <v>347</v>
      </c>
      <c r="D16" s="16">
        <v>7</v>
      </c>
      <c r="E16" s="3" t="s">
        <v>348</v>
      </c>
      <c r="F16" s="3">
        <v>7037</v>
      </c>
      <c r="G16" s="17">
        <v>1036.57043650794</v>
      </c>
      <c r="H16" s="17">
        <v>127.147191885594</v>
      </c>
      <c r="I16" s="17">
        <v>16166.4084043921</v>
      </c>
      <c r="J16" s="3">
        <v>5027</v>
      </c>
      <c r="K16" s="17">
        <v>718.142857142857</v>
      </c>
      <c r="L16" s="17">
        <v>69.2806616752627</v>
      </c>
      <c r="M16" s="17">
        <v>138.182517574639</v>
      </c>
      <c r="N16" s="17">
        <v>19094.4081632653</v>
      </c>
      <c r="O16" s="3">
        <v>1857</v>
      </c>
      <c r="P16" s="17">
        <v>265.285714285714</v>
      </c>
      <c r="Q16" s="17">
        <v>36.9405211855978</v>
      </c>
      <c r="R16" s="17">
        <v>124.4940782134</v>
      </c>
      <c r="S16" s="17">
        <v>15498.7755102041</v>
      </c>
      <c r="T16" s="28">
        <v>2853</v>
      </c>
      <c r="U16" s="17">
        <v>407.571428571429</v>
      </c>
      <c r="V16" s="17">
        <v>56.753530932962</v>
      </c>
      <c r="W16" s="17">
        <v>214.096678524217</v>
      </c>
      <c r="X16" s="17">
        <v>45837.387755102</v>
      </c>
      <c r="Y16" s="3" t="s">
        <v>280</v>
      </c>
      <c r="Z16" s="30" t="s">
        <v>282</v>
      </c>
      <c r="AA16" s="3" t="s">
        <v>282</v>
      </c>
      <c r="AB16" s="3" t="s">
        <v>283</v>
      </c>
      <c r="AC16" s="3" t="s">
        <v>284</v>
      </c>
      <c r="AD16" s="31" t="s">
        <v>388</v>
      </c>
      <c r="AE16" s="17">
        <v>19.8130097473642</v>
      </c>
      <c r="AF16" s="36" t="s">
        <v>380</v>
      </c>
    </row>
    <row r="17" s="6" customFormat="1" ht="15.75" spans="1:32">
      <c r="A17" s="18"/>
      <c r="B17" s="18"/>
      <c r="C17" s="18"/>
      <c r="D17" s="18"/>
      <c r="E17" s="18"/>
      <c r="F17" s="18">
        <f>SUM(F12:F16)</f>
        <v>29861</v>
      </c>
      <c r="G17" s="18"/>
      <c r="H17" s="18"/>
      <c r="I17" s="18"/>
      <c r="J17" s="18">
        <f>SUM(J12:J16)</f>
        <v>18686</v>
      </c>
      <c r="K17" s="18"/>
      <c r="L17" s="18"/>
      <c r="M17" s="18"/>
      <c r="N17" s="18"/>
      <c r="O17" s="18">
        <f>SUM(O12:O16)</f>
        <v>7470</v>
      </c>
      <c r="P17" s="18"/>
      <c r="Q17" s="18"/>
      <c r="R17" s="18"/>
      <c r="S17" s="18"/>
      <c r="T17" s="29">
        <f>SUM(T12:T16)</f>
        <v>10517</v>
      </c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</row>
    <row r="18" ht="26.25" spans="1:32">
      <c r="A18" s="8" t="s">
        <v>259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>
      <c r="A19" s="1" t="s">
        <v>263</v>
      </c>
      <c r="B19" s="1" t="s">
        <v>264</v>
      </c>
      <c r="C19" s="1" t="s">
        <v>265</v>
      </c>
      <c r="D19" s="9" t="s">
        <v>266</v>
      </c>
      <c r="E19" s="1" t="s">
        <v>267</v>
      </c>
      <c r="F19" s="10" t="s">
        <v>268</v>
      </c>
      <c r="G19" s="11"/>
      <c r="H19" s="11"/>
      <c r="I19" s="20"/>
      <c r="J19" s="10" t="s">
        <v>3</v>
      </c>
      <c r="K19" s="11"/>
      <c r="L19" s="11"/>
      <c r="M19" s="11"/>
      <c r="N19" s="20"/>
      <c r="O19" s="21" t="s">
        <v>4</v>
      </c>
      <c r="P19" s="22"/>
      <c r="Q19" s="22"/>
      <c r="R19" s="22"/>
      <c r="S19" s="23"/>
      <c r="T19" s="24" t="s">
        <v>257</v>
      </c>
      <c r="U19" s="25"/>
      <c r="V19" s="25"/>
      <c r="W19" s="25"/>
      <c r="X19" s="26"/>
      <c r="Y19" s="1">
        <v>2018</v>
      </c>
      <c r="Z19" s="1"/>
      <c r="AA19" s="1"/>
      <c r="AB19" s="1"/>
      <c r="AC19" s="1"/>
      <c r="AD19" s="13" t="s">
        <v>269</v>
      </c>
      <c r="AE19" s="13" t="s">
        <v>35</v>
      </c>
      <c r="AF19" s="13" t="s">
        <v>270</v>
      </c>
    </row>
    <row r="20" s="5" customFormat="1" ht="75" spans="1:32">
      <c r="A20" s="1"/>
      <c r="B20" s="1"/>
      <c r="C20" s="1"/>
      <c r="D20" s="12"/>
      <c r="E20" s="1"/>
      <c r="F20" s="13" t="s">
        <v>268</v>
      </c>
      <c r="G20" s="14" t="s">
        <v>271</v>
      </c>
      <c r="H20" s="13" t="s">
        <v>274</v>
      </c>
      <c r="I20" s="14" t="s">
        <v>273</v>
      </c>
      <c r="J20" s="14" t="s">
        <v>3</v>
      </c>
      <c r="K20" s="13" t="s">
        <v>271</v>
      </c>
      <c r="L20" s="13" t="s">
        <v>27</v>
      </c>
      <c r="M20" s="13" t="s">
        <v>274</v>
      </c>
      <c r="N20" s="13" t="s">
        <v>273</v>
      </c>
      <c r="O20" s="13" t="s">
        <v>275</v>
      </c>
      <c r="P20" s="13" t="s">
        <v>271</v>
      </c>
      <c r="Q20" s="13" t="s">
        <v>27</v>
      </c>
      <c r="R20" s="13" t="s">
        <v>274</v>
      </c>
      <c r="S20" s="13" t="s">
        <v>273</v>
      </c>
      <c r="T20" s="13" t="s">
        <v>276</v>
      </c>
      <c r="U20" s="13" t="s">
        <v>271</v>
      </c>
      <c r="V20" s="13" t="s">
        <v>27</v>
      </c>
      <c r="W20" s="13" t="s">
        <v>274</v>
      </c>
      <c r="X20" s="13" t="s">
        <v>273</v>
      </c>
      <c r="Y20" s="13" t="s">
        <v>28</v>
      </c>
      <c r="Z20" s="13" t="s">
        <v>29</v>
      </c>
      <c r="AA20" s="13" t="s">
        <v>30</v>
      </c>
      <c r="AB20" s="13" t="s">
        <v>31</v>
      </c>
      <c r="AC20" s="13" t="s">
        <v>277</v>
      </c>
      <c r="AD20" s="13"/>
      <c r="AE20" s="13"/>
      <c r="AF20" s="13"/>
    </row>
    <row r="21" spans="1:32">
      <c r="A21" s="3">
        <v>1</v>
      </c>
      <c r="B21" s="15">
        <v>38</v>
      </c>
      <c r="C21" s="2" t="s">
        <v>317</v>
      </c>
      <c r="D21" s="16">
        <v>7</v>
      </c>
      <c r="E21" s="4" t="s">
        <v>318</v>
      </c>
      <c r="F21" s="3">
        <v>6947</v>
      </c>
      <c r="G21" s="17">
        <v>992.428571428571</v>
      </c>
      <c r="H21" s="17">
        <v>122.296895349984</v>
      </c>
      <c r="I21" s="17">
        <v>14956.5306122449</v>
      </c>
      <c r="J21" s="3">
        <v>4119</v>
      </c>
      <c r="K21" s="17">
        <v>588.428571428571</v>
      </c>
      <c r="L21" s="17">
        <f t="shared" ref="L21" si="0">(K21/G21)*100</f>
        <v>59.2917806247301</v>
      </c>
      <c r="M21" s="17">
        <v>89.6753782784759</v>
      </c>
      <c r="N21" s="17">
        <v>8041.67346938776</v>
      </c>
      <c r="O21" s="3">
        <v>1221</v>
      </c>
      <c r="P21" s="17">
        <v>174.428571428571</v>
      </c>
      <c r="Q21" s="17">
        <f t="shared" ref="Q21" si="1">(P21/K21)*100</f>
        <v>29.6431172614712</v>
      </c>
      <c r="R21" s="17">
        <v>73.2800053471168</v>
      </c>
      <c r="S21" s="17">
        <v>5369.95918367347</v>
      </c>
      <c r="T21" s="27">
        <v>2828</v>
      </c>
      <c r="U21" s="17">
        <v>404</v>
      </c>
      <c r="V21" s="17">
        <f t="shared" ref="V21" si="2">(U21/K21)*100</f>
        <v>68.657441126487</v>
      </c>
      <c r="W21" s="17">
        <v>69.3953477238517</v>
      </c>
      <c r="X21" s="17">
        <v>4815.71428571429</v>
      </c>
      <c r="Y21" s="3" t="s">
        <v>310</v>
      </c>
      <c r="Z21" s="30" t="s">
        <v>282</v>
      </c>
      <c r="AA21" s="3" t="s">
        <v>281</v>
      </c>
      <c r="AB21" s="3" t="s">
        <v>283</v>
      </c>
      <c r="AC21" s="3" t="e">
        <v>#DIV/0!</v>
      </c>
      <c r="AD21" s="31" t="str">
        <f t="shared" ref="AD21" si="3">IF(P21&gt;U21,"BJP GAIN","CONGRESS GAIN")</f>
        <v>CONGRESS GAIN</v>
      </c>
      <c r="AE21" s="17">
        <f>((U21-P21)/K21)*100</f>
        <v>39.0143238650158</v>
      </c>
      <c r="AF21" s="38" t="str">
        <f t="shared" ref="AF21" si="4">IF(AE21&gt;=50,"VERYHIGHMARGIN",IF(AE21&gt;=40,"HIGHMARGIN",IF(AE21&gt;=30,"MEDIUMMARGIN",IF(AE21&gt;10,"LOWMARGIN",IF(AE21&lt;=1,"NARROWMARGIN")))))</f>
        <v>MEDIUMMARGIN</v>
      </c>
    </row>
    <row r="22" ht="26.25" spans="1:32">
      <c r="A22" s="8" t="s">
        <v>260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  <row r="23" spans="1:32">
      <c r="A23" s="1" t="s">
        <v>263</v>
      </c>
      <c r="B23" s="1" t="s">
        <v>264</v>
      </c>
      <c r="C23" s="1" t="s">
        <v>265</v>
      </c>
      <c r="D23" s="9" t="s">
        <v>266</v>
      </c>
      <c r="E23" s="1" t="s">
        <v>267</v>
      </c>
      <c r="F23" s="10" t="s">
        <v>268</v>
      </c>
      <c r="G23" s="11"/>
      <c r="H23" s="11"/>
      <c r="I23" s="20"/>
      <c r="J23" s="10" t="s">
        <v>3</v>
      </c>
      <c r="K23" s="11"/>
      <c r="L23" s="11"/>
      <c r="M23" s="11"/>
      <c r="N23" s="20"/>
      <c r="O23" s="21" t="s">
        <v>4</v>
      </c>
      <c r="P23" s="22"/>
      <c r="Q23" s="22"/>
      <c r="R23" s="22"/>
      <c r="S23" s="23"/>
      <c r="T23" s="24" t="s">
        <v>257</v>
      </c>
      <c r="U23" s="25"/>
      <c r="V23" s="25"/>
      <c r="W23" s="25"/>
      <c r="X23" s="26"/>
      <c r="Y23" s="1">
        <v>2018</v>
      </c>
      <c r="Z23" s="1"/>
      <c r="AA23" s="1"/>
      <c r="AB23" s="1"/>
      <c r="AC23" s="1"/>
      <c r="AD23" s="13" t="s">
        <v>269</v>
      </c>
      <c r="AE23" s="13" t="s">
        <v>35</v>
      </c>
      <c r="AF23" s="13" t="s">
        <v>270</v>
      </c>
    </row>
    <row r="24" s="5" customFormat="1" ht="75" spans="1:32">
      <c r="A24" s="1"/>
      <c r="B24" s="1"/>
      <c r="C24" s="1"/>
      <c r="D24" s="12"/>
      <c r="E24" s="1"/>
      <c r="F24" s="13" t="s">
        <v>268</v>
      </c>
      <c r="G24" s="14" t="s">
        <v>271</v>
      </c>
      <c r="H24" s="13" t="s">
        <v>274</v>
      </c>
      <c r="I24" s="14" t="s">
        <v>273</v>
      </c>
      <c r="J24" s="14" t="s">
        <v>3</v>
      </c>
      <c r="K24" s="13" t="s">
        <v>271</v>
      </c>
      <c r="L24" s="13" t="s">
        <v>27</v>
      </c>
      <c r="M24" s="13" t="s">
        <v>274</v>
      </c>
      <c r="N24" s="13" t="s">
        <v>273</v>
      </c>
      <c r="O24" s="13" t="s">
        <v>275</v>
      </c>
      <c r="P24" s="13" t="s">
        <v>271</v>
      </c>
      <c r="Q24" s="13" t="s">
        <v>27</v>
      </c>
      <c r="R24" s="13" t="s">
        <v>274</v>
      </c>
      <c r="S24" s="13" t="s">
        <v>273</v>
      </c>
      <c r="T24" s="13" t="s">
        <v>276</v>
      </c>
      <c r="U24" s="13" t="s">
        <v>271</v>
      </c>
      <c r="V24" s="13" t="s">
        <v>27</v>
      </c>
      <c r="W24" s="13" t="s">
        <v>274</v>
      </c>
      <c r="X24" s="13" t="s">
        <v>273</v>
      </c>
      <c r="Y24" s="13" t="s">
        <v>28</v>
      </c>
      <c r="Z24" s="13" t="s">
        <v>29</v>
      </c>
      <c r="AA24" s="13" t="s">
        <v>30</v>
      </c>
      <c r="AB24" s="13" t="s">
        <v>31</v>
      </c>
      <c r="AC24" s="13" t="s">
        <v>277</v>
      </c>
      <c r="AD24" s="13"/>
      <c r="AE24" s="13"/>
      <c r="AF24" s="13"/>
    </row>
    <row r="25" spans="1:32">
      <c r="A25" s="3">
        <v>1</v>
      </c>
      <c r="B25" s="15">
        <v>39</v>
      </c>
      <c r="C25" s="2" t="s">
        <v>319</v>
      </c>
      <c r="D25" s="16">
        <v>6</v>
      </c>
      <c r="E25" s="4" t="s">
        <v>320</v>
      </c>
      <c r="F25" s="3">
        <v>6430</v>
      </c>
      <c r="G25" s="17">
        <v>1071.66666666667</v>
      </c>
      <c r="H25" s="17">
        <v>345.820602175303</v>
      </c>
      <c r="I25" s="17">
        <v>119591.888888889</v>
      </c>
      <c r="J25" s="3">
        <v>4010</v>
      </c>
      <c r="K25" s="17">
        <v>668.333333333333</v>
      </c>
      <c r="L25" s="17">
        <v>62.3639191290824</v>
      </c>
      <c r="M25" s="17">
        <v>199.203971401732</v>
      </c>
      <c r="N25" s="17">
        <v>39682.2222222222</v>
      </c>
      <c r="O25" s="3">
        <v>1017</v>
      </c>
      <c r="P25" s="17">
        <v>169.5</v>
      </c>
      <c r="Q25" s="17">
        <v>25.3615960099751</v>
      </c>
      <c r="R25" s="17">
        <v>190.454500253123</v>
      </c>
      <c r="S25" s="17">
        <v>36272.9166666667</v>
      </c>
      <c r="T25" s="27">
        <v>2897</v>
      </c>
      <c r="U25" s="17">
        <v>482.833333333333</v>
      </c>
      <c r="V25" s="17">
        <v>72.2443890274314</v>
      </c>
      <c r="W25" s="17">
        <v>91.572224075984</v>
      </c>
      <c r="X25" s="17">
        <v>8385.47222222222</v>
      </c>
      <c r="Y25" s="3" t="s">
        <v>310</v>
      </c>
      <c r="Z25" s="30" t="s">
        <v>282</v>
      </c>
      <c r="AA25" s="3" t="s">
        <v>281</v>
      </c>
      <c r="AB25" s="3" t="s">
        <v>283</v>
      </c>
      <c r="AC25" s="3" t="s">
        <v>284</v>
      </c>
      <c r="AD25" s="31" t="s">
        <v>388</v>
      </c>
      <c r="AE25" s="17">
        <v>46.8827930174564</v>
      </c>
      <c r="AF25" s="39" t="s">
        <v>381</v>
      </c>
    </row>
    <row r="26" spans="1:32">
      <c r="A26" s="3">
        <v>2</v>
      </c>
      <c r="B26" s="15">
        <v>43</v>
      </c>
      <c r="C26" s="2" t="s">
        <v>327</v>
      </c>
      <c r="D26" s="16">
        <v>5</v>
      </c>
      <c r="E26" s="3" t="s">
        <v>328</v>
      </c>
      <c r="F26" s="3">
        <v>5432</v>
      </c>
      <c r="G26" s="17">
        <v>1086.4</v>
      </c>
      <c r="H26" s="17">
        <v>209.958662598141</v>
      </c>
      <c r="I26" s="17">
        <v>44082.64</v>
      </c>
      <c r="J26" s="3">
        <v>3745</v>
      </c>
      <c r="K26" s="17">
        <v>749</v>
      </c>
      <c r="L26" s="17">
        <v>68.9432989690722</v>
      </c>
      <c r="M26" s="17">
        <v>139.949991068238</v>
      </c>
      <c r="N26" s="17">
        <v>19586</v>
      </c>
      <c r="O26" s="3">
        <v>1022</v>
      </c>
      <c r="P26" s="17">
        <v>204.4</v>
      </c>
      <c r="Q26" s="17">
        <v>27.2897196261682</v>
      </c>
      <c r="R26" s="17">
        <v>76.203936906173</v>
      </c>
      <c r="S26" s="17">
        <v>5807.04</v>
      </c>
      <c r="T26" s="27">
        <v>2646</v>
      </c>
      <c r="U26" s="17">
        <v>529.2</v>
      </c>
      <c r="V26" s="17">
        <v>70.6542056074766</v>
      </c>
      <c r="W26" s="17">
        <v>144.91431951329</v>
      </c>
      <c r="X26" s="17">
        <v>21000.16</v>
      </c>
      <c r="Y26" s="3" t="s">
        <v>287</v>
      </c>
      <c r="Z26" s="30" t="s">
        <v>282</v>
      </c>
      <c r="AA26" s="3" t="s">
        <v>281</v>
      </c>
      <c r="AB26" s="3" t="s">
        <v>297</v>
      </c>
      <c r="AC26" s="3" t="s">
        <v>284</v>
      </c>
      <c r="AD26" s="31" t="s">
        <v>388</v>
      </c>
      <c r="AE26" s="17">
        <v>43.3644859813084</v>
      </c>
      <c r="AF26" s="39" t="s">
        <v>381</v>
      </c>
    </row>
    <row r="27" ht="15.75" spans="1:32">
      <c r="A27" s="19"/>
      <c r="B27" s="19"/>
      <c r="C27" s="19"/>
      <c r="D27" s="19"/>
      <c r="E27" s="19"/>
      <c r="F27" s="18">
        <f>SUM(F25:F26)</f>
        <v>11862</v>
      </c>
      <c r="G27" s="19"/>
      <c r="H27" s="19"/>
      <c r="I27" s="19"/>
      <c r="J27" s="19">
        <f>SUM(J25:J26)</f>
        <v>7755</v>
      </c>
      <c r="K27" s="19"/>
      <c r="L27" s="19"/>
      <c r="M27" s="19"/>
      <c r="N27" s="19"/>
      <c r="O27" s="19">
        <f>SUM(O25:O26)</f>
        <v>2039</v>
      </c>
      <c r="P27" s="19"/>
      <c r="Q27" s="19"/>
      <c r="R27" s="19"/>
      <c r="S27" s="19"/>
      <c r="T27" s="19">
        <f>SUM(T25:T26)</f>
        <v>5543</v>
      </c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</row>
  </sheetData>
  <sheetProtection password="CFB8" sheet="1" objects="1" scenarios="1"/>
  <mergeCells count="57">
    <mergeCell ref="A1:AF1"/>
    <mergeCell ref="A2:AF2"/>
    <mergeCell ref="F3:I3"/>
    <mergeCell ref="J3:N3"/>
    <mergeCell ref="O3:S3"/>
    <mergeCell ref="T3:X3"/>
    <mergeCell ref="Y3:AC3"/>
    <mergeCell ref="A9:AF9"/>
    <mergeCell ref="F10:I10"/>
    <mergeCell ref="J10:N10"/>
    <mergeCell ref="O10:S10"/>
    <mergeCell ref="T10:X10"/>
    <mergeCell ref="Y10:AC10"/>
    <mergeCell ref="A18:AF18"/>
    <mergeCell ref="F19:I19"/>
    <mergeCell ref="J19:N19"/>
    <mergeCell ref="O19:S19"/>
    <mergeCell ref="T19:X19"/>
    <mergeCell ref="Y19:AC19"/>
    <mergeCell ref="A22:AF22"/>
    <mergeCell ref="F23:I23"/>
    <mergeCell ref="J23:N23"/>
    <mergeCell ref="O23:S23"/>
    <mergeCell ref="T23:X23"/>
    <mergeCell ref="Y23:AC23"/>
    <mergeCell ref="A3:A4"/>
    <mergeCell ref="A10:A11"/>
    <mergeCell ref="A19:A20"/>
    <mergeCell ref="A23:A24"/>
    <mergeCell ref="B3:B4"/>
    <mergeCell ref="B10:B11"/>
    <mergeCell ref="B19:B20"/>
    <mergeCell ref="B23:B24"/>
    <mergeCell ref="C3:C4"/>
    <mergeCell ref="C10:C11"/>
    <mergeCell ref="C19:C20"/>
    <mergeCell ref="C23:C24"/>
    <mergeCell ref="D3:D4"/>
    <mergeCell ref="D10:D11"/>
    <mergeCell ref="D19:D20"/>
    <mergeCell ref="D23:D24"/>
    <mergeCell ref="E3:E4"/>
    <mergeCell ref="E10:E11"/>
    <mergeCell ref="E19:E20"/>
    <mergeCell ref="E23:E24"/>
    <mergeCell ref="AD3:AD4"/>
    <mergeCell ref="AD10:AD11"/>
    <mergeCell ref="AD19:AD20"/>
    <mergeCell ref="AD23:AD24"/>
    <mergeCell ref="AE3:AE4"/>
    <mergeCell ref="AE10:AE11"/>
    <mergeCell ref="AE19:AE20"/>
    <mergeCell ref="AE23:AE24"/>
    <mergeCell ref="AF3:AF4"/>
    <mergeCell ref="AF10:AF11"/>
    <mergeCell ref="AF19:AF20"/>
    <mergeCell ref="AF23:AF24"/>
  </mergeCells>
  <conditionalFormatting sqref="Y21">
    <cfRule type="containsText" dxfId="1" priority="60" operator="between" text="AVG">
      <formula>NOT(ISERROR(SEARCH("AVG",Y21)))</formula>
    </cfRule>
    <cfRule type="cellIs" dxfId="3" priority="59" operator="equal">
      <formula>"STRONG"</formula>
    </cfRule>
    <cfRule type="containsText" dxfId="0" priority="58" operator="between" text="VSTRONG">
      <formula>NOT(ISERROR(SEARCH("VSTRONG",Y21)))</formula>
    </cfRule>
    <cfRule type="containsText" dxfId="2" priority="54" operator="between" text="AVG">
      <formula>NOT(ISERROR(SEARCH("AVG",Y21)))</formula>
    </cfRule>
    <cfRule type="containsText" dxfId="1" priority="45" operator="between" text="AVG">
      <formula>NOT(ISERROR(SEARCH("AVG",Y21)))</formula>
    </cfRule>
    <cfRule type="cellIs" dxfId="3" priority="44" operator="equal">
      <formula>"STRONG"</formula>
    </cfRule>
    <cfRule type="containsText" dxfId="0" priority="43" operator="between" text="VSTRONG">
      <formula>NOT(ISERROR(SEARCH("VSTRONG",Y21)))</formula>
    </cfRule>
    <cfRule type="containsText" dxfId="2" priority="39" operator="between" text="AVG">
      <formula>NOT(ISERROR(SEARCH("AVG",Y21)))</formula>
    </cfRule>
  </conditionalFormatting>
  <conditionalFormatting sqref="Z21">
    <cfRule type="containsText" dxfId="0" priority="57" operator="between" text="STRONG">
      <formula>NOT(ISERROR(SEARCH("STRONG",Z21)))</formula>
    </cfRule>
    <cfRule type="containsText" dxfId="4" priority="56" operator="between" text="VSTRONG">
      <formula>NOT(ISERROR(SEARCH("VSTRONG",Z21)))</formula>
    </cfRule>
    <cfRule type="containsText" dxfId="0" priority="42" operator="between" text="STRONG">
      <formula>NOT(ISERROR(SEARCH("STRONG",Z21)))</formula>
    </cfRule>
    <cfRule type="containsText" dxfId="4" priority="41" operator="between" text="VSTRONG">
      <formula>NOT(ISERROR(SEARCH("VSTRONG",Z21)))</formula>
    </cfRule>
  </conditionalFormatting>
  <conditionalFormatting sqref="Z21:AA21">
    <cfRule type="containsText" dxfId="9" priority="52" operator="between" text="AVG">
      <formula>NOT(ISERROR(SEARCH("AVG",Z21)))</formula>
    </cfRule>
    <cfRule type="containsText" dxfId="9" priority="37" operator="between" text="AVG">
      <formula>NOT(ISERROR(SEARCH("AVG",Z21)))</formula>
    </cfRule>
  </conditionalFormatting>
  <conditionalFormatting sqref="AA21">
    <cfRule type="cellIs" dxfId="5" priority="53" operator="equal">
      <formula>"VWEAK"</formula>
    </cfRule>
    <cfRule type="containsText" dxfId="6" priority="51" operator="between" text="VSTRONG">
      <formula>NOT(ISERROR(SEARCH("VSTRONG",AA21)))</formula>
    </cfRule>
    <cfRule type="cellIs" dxfId="5" priority="38" operator="equal">
      <formula>"VWEAK"</formula>
    </cfRule>
    <cfRule type="containsText" dxfId="6" priority="36" operator="between" text="VSTRONG">
      <formula>NOT(ISERROR(SEARCH("VSTRONG",AA21)))</formula>
    </cfRule>
  </conditionalFormatting>
  <conditionalFormatting sqref="AB21">
    <cfRule type="containsText" dxfId="7" priority="55" operator="between" text="FEMALE DOM">
      <formula>NOT(ISERROR(SEARCH("FEMALE DOM",AB21)))</formula>
    </cfRule>
    <cfRule type="containsText" dxfId="2" priority="50" operator="between" text="MEN">
      <formula>NOT(ISERROR(SEARCH("MEN",AB21)))</formula>
    </cfRule>
    <cfRule type="containsText" dxfId="7" priority="40" operator="between" text="FEMALE DOM">
      <formula>NOT(ISERROR(SEARCH("FEMALE DOM",AB21)))</formula>
    </cfRule>
    <cfRule type="containsText" dxfId="2" priority="35" operator="between" text="MEN">
      <formula>NOT(ISERROR(SEARCH("MEN",AB21)))</formula>
    </cfRule>
  </conditionalFormatting>
  <conditionalFormatting sqref="AC21">
    <cfRule type="containsText" dxfId="6" priority="49" operator="between" text="O">
      <formula>NOT(ISERROR(SEARCH("O",AC21)))</formula>
    </cfRule>
    <cfRule type="containsText" dxfId="0" priority="47" operator="between" text="H">
      <formula>NOT(ISERROR(SEARCH("H",AC21)))</formula>
    </cfRule>
    <cfRule type="containsText" dxfId="8" priority="48" operator="between" text="H">
      <formula>NOT(ISERROR(SEARCH("H",AC21)))</formula>
    </cfRule>
    <cfRule type="containsText" dxfId="4" priority="46" operator="between" text="H">
      <formula>NOT(ISERROR(SEARCH("H",AC21)))</formula>
    </cfRule>
    <cfRule type="containsText" dxfId="6" priority="34" operator="between" text="O">
      <formula>NOT(ISERROR(SEARCH("O",AC21)))</formula>
    </cfRule>
    <cfRule type="containsText" dxfId="0" priority="32" operator="between" text="H">
      <formula>NOT(ISERROR(SEARCH("H",AC21)))</formula>
    </cfRule>
    <cfRule type="containsText" dxfId="8" priority="33" operator="between" text="H">
      <formula>NOT(ISERROR(SEARCH("H",AC21)))</formula>
    </cfRule>
    <cfRule type="containsText" dxfId="4" priority="31" operator="between" text="H">
      <formula>NOT(ISERROR(SEARCH("H",AC21)))</formula>
    </cfRule>
  </conditionalFormatting>
  <conditionalFormatting sqref="Y5:Y7">
    <cfRule type="containsText" dxfId="1" priority="120" operator="between" text="AVG">
      <formula>NOT(ISERROR(SEARCH("AVG",Y5)))</formula>
    </cfRule>
    <cfRule type="cellIs" dxfId="3" priority="119" operator="equal">
      <formula>"STRONG"</formula>
    </cfRule>
    <cfRule type="containsText" dxfId="0" priority="118" operator="between" text="VSTRONG">
      <formula>NOT(ISERROR(SEARCH("VSTRONG",Y5)))</formula>
    </cfRule>
    <cfRule type="containsText" dxfId="2" priority="114" operator="between" text="AVG">
      <formula>NOT(ISERROR(SEARCH("AVG",Y5)))</formula>
    </cfRule>
    <cfRule type="containsText" dxfId="1" priority="105" operator="between" text="AVG">
      <formula>NOT(ISERROR(SEARCH("AVG",Y5)))</formula>
    </cfRule>
    <cfRule type="cellIs" dxfId="3" priority="104" operator="equal">
      <formula>"STRONG"</formula>
    </cfRule>
    <cfRule type="containsText" dxfId="0" priority="103" operator="between" text="VSTRONG">
      <formula>NOT(ISERROR(SEARCH("VSTRONG",Y5)))</formula>
    </cfRule>
    <cfRule type="containsText" dxfId="2" priority="99" operator="between" text="AVG">
      <formula>NOT(ISERROR(SEARCH("AVG",Y5)))</formula>
    </cfRule>
  </conditionalFormatting>
  <conditionalFormatting sqref="Y13:Y16">
    <cfRule type="containsText" dxfId="1" priority="90" operator="between" text="AVG">
      <formula>NOT(ISERROR(SEARCH("AVG",Y13)))</formula>
    </cfRule>
    <cfRule type="cellIs" dxfId="3" priority="89" operator="equal">
      <formula>"STRONG"</formula>
    </cfRule>
    <cfRule type="containsText" dxfId="0" priority="88" operator="between" text="VSTRONG">
      <formula>NOT(ISERROR(SEARCH("VSTRONG",Y13)))</formula>
    </cfRule>
    <cfRule type="containsText" dxfId="2" priority="84" operator="between" text="AVG">
      <formula>NOT(ISERROR(SEARCH("AVG",Y13)))</formula>
    </cfRule>
    <cfRule type="containsText" dxfId="1" priority="75" operator="between" text="AVG">
      <formula>NOT(ISERROR(SEARCH("AVG",Y13)))</formula>
    </cfRule>
    <cfRule type="cellIs" dxfId="3" priority="74" operator="equal">
      <formula>"STRONG"</formula>
    </cfRule>
    <cfRule type="containsText" dxfId="0" priority="73" operator="between" text="VSTRONG">
      <formula>NOT(ISERROR(SEARCH("VSTRONG",Y13)))</formula>
    </cfRule>
    <cfRule type="containsText" dxfId="2" priority="69" operator="between" text="AVG">
      <formula>NOT(ISERROR(SEARCH("AVG",Y13)))</formula>
    </cfRule>
  </conditionalFormatting>
  <conditionalFormatting sqref="Y25:Y26">
    <cfRule type="containsText" dxfId="1" priority="135" operator="between" text="AVG">
      <formula>NOT(ISERROR(SEARCH("AVG",Y25)))</formula>
    </cfRule>
    <cfRule type="cellIs" dxfId="3" priority="134" operator="equal">
      <formula>"STRONG"</formula>
    </cfRule>
    <cfRule type="containsText" dxfId="0" priority="133" operator="between" text="VSTRONG">
      <formula>NOT(ISERROR(SEARCH("VSTRONG",Y25)))</formula>
    </cfRule>
    <cfRule type="containsText" dxfId="2" priority="129" operator="between" text="AVG">
      <formula>NOT(ISERROR(SEARCH("AVG",Y25)))</formula>
    </cfRule>
    <cfRule type="containsText" dxfId="1" priority="30" operator="between" text="AVG">
      <formula>NOT(ISERROR(SEARCH("AVG",Y25)))</formula>
    </cfRule>
    <cfRule type="cellIs" dxfId="3" priority="29" operator="equal">
      <formula>"STRONG"</formula>
    </cfRule>
    <cfRule type="containsText" dxfId="0" priority="28" operator="between" text="VSTRONG">
      <formula>NOT(ISERROR(SEARCH("VSTRONG",Y25)))</formula>
    </cfRule>
    <cfRule type="containsText" dxfId="2" priority="24" operator="between" text="AVG">
      <formula>NOT(ISERROR(SEARCH("AVG",Y25)))</formula>
    </cfRule>
    <cfRule type="containsText" dxfId="1" priority="15" operator="between" text="AVG">
      <formula>NOT(ISERROR(SEARCH("AVG",Y25)))</formula>
    </cfRule>
    <cfRule type="cellIs" dxfId="3" priority="14" operator="equal">
      <formula>"STRONG"</formula>
    </cfRule>
    <cfRule type="containsText" dxfId="0" priority="13" operator="between" text="VSTRONG">
      <formula>NOT(ISERROR(SEARCH("VSTRONG",Y25)))</formula>
    </cfRule>
    <cfRule type="containsText" dxfId="2" priority="9" operator="between" text="AVG">
      <formula>NOT(ISERROR(SEARCH("AVG",Y25)))</formula>
    </cfRule>
  </conditionalFormatting>
  <conditionalFormatting sqref="Z5:Z7">
    <cfRule type="containsText" dxfId="0" priority="117" operator="between" text="STRONG">
      <formula>NOT(ISERROR(SEARCH("STRONG",Z5)))</formula>
    </cfRule>
    <cfRule type="containsText" dxfId="4" priority="116" operator="between" text="VSTRONG">
      <formula>NOT(ISERROR(SEARCH("VSTRONG",Z5)))</formula>
    </cfRule>
    <cfRule type="containsText" dxfId="0" priority="102" operator="between" text="STRONG">
      <formula>NOT(ISERROR(SEARCH("STRONG",Z5)))</formula>
    </cfRule>
    <cfRule type="containsText" dxfId="4" priority="101" operator="between" text="VSTRONG">
      <formula>NOT(ISERROR(SEARCH("VSTRONG",Z5)))</formula>
    </cfRule>
  </conditionalFormatting>
  <conditionalFormatting sqref="Z13:Z16">
    <cfRule type="containsText" dxfId="0" priority="87" operator="between" text="STRONG">
      <formula>NOT(ISERROR(SEARCH("STRONG",Z13)))</formula>
    </cfRule>
    <cfRule type="containsText" dxfId="4" priority="86" operator="between" text="VSTRONG">
      <formula>NOT(ISERROR(SEARCH("VSTRONG",Z13)))</formula>
    </cfRule>
    <cfRule type="containsText" dxfId="0" priority="72" operator="between" text="STRONG">
      <formula>NOT(ISERROR(SEARCH("STRONG",Z13)))</formula>
    </cfRule>
    <cfRule type="containsText" dxfId="4" priority="71" operator="between" text="VSTRONG">
      <formula>NOT(ISERROR(SEARCH("VSTRONG",Z13)))</formula>
    </cfRule>
  </conditionalFormatting>
  <conditionalFormatting sqref="Z25:Z26">
    <cfRule type="containsText" dxfId="0" priority="132" operator="between" text="STRONG">
      <formula>NOT(ISERROR(SEARCH("STRONG",Z25)))</formula>
    </cfRule>
    <cfRule type="containsText" dxfId="4" priority="131" operator="between" text="VSTRONG">
      <formula>NOT(ISERROR(SEARCH("VSTRONG",Z25)))</formula>
    </cfRule>
    <cfRule type="containsText" dxfId="0" priority="27" operator="between" text="STRONG">
      <formula>NOT(ISERROR(SEARCH("STRONG",Z25)))</formula>
    </cfRule>
    <cfRule type="containsText" dxfId="4" priority="26" operator="between" text="VSTRONG">
      <formula>NOT(ISERROR(SEARCH("VSTRONG",Z25)))</formula>
    </cfRule>
    <cfRule type="containsText" dxfId="0" priority="12" operator="between" text="STRONG">
      <formula>NOT(ISERROR(SEARCH("STRONG",Z25)))</formula>
    </cfRule>
    <cfRule type="containsText" dxfId="4" priority="11" operator="between" text="VSTRONG">
      <formula>NOT(ISERROR(SEARCH("VSTRONG",Z25)))</formula>
    </cfRule>
  </conditionalFormatting>
  <conditionalFormatting sqref="AA5:AA7">
    <cfRule type="cellIs" dxfId="5" priority="113" operator="equal">
      <formula>"VWEAK"</formula>
    </cfRule>
    <cfRule type="containsText" dxfId="6" priority="111" operator="between" text="VSTRONG">
      <formula>NOT(ISERROR(SEARCH("VSTRONG",AA5)))</formula>
    </cfRule>
    <cfRule type="cellIs" dxfId="5" priority="98" operator="equal">
      <formula>"VWEAK"</formula>
    </cfRule>
    <cfRule type="containsText" dxfId="6" priority="96" operator="between" text="VSTRONG">
      <formula>NOT(ISERROR(SEARCH("VSTRONG",AA5)))</formula>
    </cfRule>
  </conditionalFormatting>
  <conditionalFormatting sqref="AA13:AA16">
    <cfRule type="cellIs" dxfId="5" priority="83" operator="equal">
      <formula>"VWEAK"</formula>
    </cfRule>
    <cfRule type="containsText" dxfId="6" priority="81" operator="between" text="VSTRONG">
      <formula>NOT(ISERROR(SEARCH("VSTRONG",AA13)))</formula>
    </cfRule>
    <cfRule type="cellIs" dxfId="5" priority="68" operator="equal">
      <formula>"VWEAK"</formula>
    </cfRule>
    <cfRule type="containsText" dxfId="6" priority="66" operator="between" text="VSTRONG">
      <formula>NOT(ISERROR(SEARCH("VSTRONG",AA13)))</formula>
    </cfRule>
  </conditionalFormatting>
  <conditionalFormatting sqref="AA25:AA26">
    <cfRule type="cellIs" dxfId="5" priority="128" operator="equal">
      <formula>"VWEAK"</formula>
    </cfRule>
    <cfRule type="containsText" dxfId="6" priority="126" operator="between" text="VSTRONG">
      <formula>NOT(ISERROR(SEARCH("VSTRONG",AA25)))</formula>
    </cfRule>
    <cfRule type="cellIs" dxfId="5" priority="23" operator="equal">
      <formula>"VWEAK"</formula>
    </cfRule>
    <cfRule type="containsText" dxfId="6" priority="21" operator="between" text="VSTRONG">
      <formula>NOT(ISERROR(SEARCH("VSTRONG",AA25)))</formula>
    </cfRule>
    <cfRule type="cellIs" dxfId="5" priority="8" operator="equal">
      <formula>"VWEAK"</formula>
    </cfRule>
    <cfRule type="containsText" dxfId="6" priority="6" operator="between" text="VSTRONG">
      <formula>NOT(ISERROR(SEARCH("VSTRONG",AA25)))</formula>
    </cfRule>
  </conditionalFormatting>
  <conditionalFormatting sqref="AB5:AB7">
    <cfRule type="containsText" dxfId="7" priority="115" operator="between" text="FEMALE DOM">
      <formula>NOT(ISERROR(SEARCH("FEMALE DOM",AB5)))</formula>
    </cfRule>
    <cfRule type="containsText" dxfId="2" priority="110" operator="between" text="MEN">
      <formula>NOT(ISERROR(SEARCH("MEN",AB5)))</formula>
    </cfRule>
    <cfRule type="containsText" dxfId="7" priority="100" operator="between" text="FEMALE DOM">
      <formula>NOT(ISERROR(SEARCH("FEMALE DOM",AB5)))</formula>
    </cfRule>
    <cfRule type="containsText" dxfId="2" priority="95" operator="between" text="MEN">
      <formula>NOT(ISERROR(SEARCH("MEN",AB5)))</formula>
    </cfRule>
  </conditionalFormatting>
  <conditionalFormatting sqref="AB13:AB16">
    <cfRule type="containsText" dxfId="7" priority="85" operator="between" text="FEMALE DOM">
      <formula>NOT(ISERROR(SEARCH("FEMALE DOM",AB13)))</formula>
    </cfRule>
    <cfRule type="containsText" dxfId="2" priority="80" operator="between" text="MEN">
      <formula>NOT(ISERROR(SEARCH("MEN",AB13)))</formula>
    </cfRule>
    <cfRule type="containsText" dxfId="7" priority="70" operator="between" text="FEMALE DOM">
      <formula>NOT(ISERROR(SEARCH("FEMALE DOM",AB13)))</formula>
    </cfRule>
    <cfRule type="containsText" dxfId="2" priority="65" operator="between" text="MEN">
      <formula>NOT(ISERROR(SEARCH("MEN",AB13)))</formula>
    </cfRule>
  </conditionalFormatting>
  <conditionalFormatting sqref="AB25:AB26">
    <cfRule type="containsText" dxfId="7" priority="130" operator="between" text="FEMALE DOM">
      <formula>NOT(ISERROR(SEARCH("FEMALE DOM",AB25)))</formula>
    </cfRule>
    <cfRule type="containsText" dxfId="2" priority="125" operator="between" text="MEN">
      <formula>NOT(ISERROR(SEARCH("MEN",AB25)))</formula>
    </cfRule>
    <cfRule type="containsText" dxfId="7" priority="25" operator="between" text="FEMALE DOM">
      <formula>NOT(ISERROR(SEARCH("FEMALE DOM",AB25)))</formula>
    </cfRule>
    <cfRule type="containsText" dxfId="2" priority="20" operator="between" text="MEN">
      <formula>NOT(ISERROR(SEARCH("MEN",AB25)))</formula>
    </cfRule>
    <cfRule type="containsText" dxfId="7" priority="10" operator="between" text="FEMALE DOM">
      <formula>NOT(ISERROR(SEARCH("FEMALE DOM",AB25)))</formula>
    </cfRule>
    <cfRule type="containsText" dxfId="2" priority="5" operator="between" text="MEN">
      <formula>NOT(ISERROR(SEARCH("MEN",AB25)))</formula>
    </cfRule>
  </conditionalFormatting>
  <conditionalFormatting sqref="AC5:AC7">
    <cfRule type="containsText" dxfId="6" priority="109" operator="between" text="O">
      <formula>NOT(ISERROR(SEARCH("O",AC5)))</formula>
    </cfRule>
    <cfRule type="containsText" dxfId="0" priority="107" operator="between" text="H">
      <formula>NOT(ISERROR(SEARCH("H",AC5)))</formula>
    </cfRule>
    <cfRule type="containsText" dxfId="8" priority="108" operator="between" text="H">
      <formula>NOT(ISERROR(SEARCH("H",AC5)))</formula>
    </cfRule>
    <cfRule type="containsText" dxfId="4" priority="106" operator="between" text="H">
      <formula>NOT(ISERROR(SEARCH("H",AC5)))</formula>
    </cfRule>
    <cfRule type="containsText" dxfId="6" priority="94" operator="between" text="O">
      <formula>NOT(ISERROR(SEARCH("O",AC5)))</formula>
    </cfRule>
    <cfRule type="containsText" dxfId="0" priority="92" operator="between" text="H">
      <formula>NOT(ISERROR(SEARCH("H",AC5)))</formula>
    </cfRule>
    <cfRule type="containsText" dxfId="8" priority="93" operator="between" text="H">
      <formula>NOT(ISERROR(SEARCH("H",AC5)))</formula>
    </cfRule>
    <cfRule type="containsText" dxfId="4" priority="91" operator="between" text="H">
      <formula>NOT(ISERROR(SEARCH("H",AC5)))</formula>
    </cfRule>
  </conditionalFormatting>
  <conditionalFormatting sqref="AC13:AC16">
    <cfRule type="containsText" dxfId="6" priority="79" operator="between" text="O">
      <formula>NOT(ISERROR(SEARCH("O",AC13)))</formula>
    </cfRule>
    <cfRule type="containsText" dxfId="0" priority="77" operator="between" text="H">
      <formula>NOT(ISERROR(SEARCH("H",AC13)))</formula>
    </cfRule>
    <cfRule type="containsText" dxfId="8" priority="78" operator="between" text="H">
      <formula>NOT(ISERROR(SEARCH("H",AC13)))</formula>
    </cfRule>
    <cfRule type="containsText" dxfId="4" priority="76" operator="between" text="H">
      <formula>NOT(ISERROR(SEARCH("H",AC13)))</formula>
    </cfRule>
    <cfRule type="containsText" dxfId="6" priority="64" operator="between" text="O">
      <formula>NOT(ISERROR(SEARCH("O",AC13)))</formula>
    </cfRule>
    <cfRule type="containsText" dxfId="0" priority="62" operator="between" text="H">
      <formula>NOT(ISERROR(SEARCH("H",AC13)))</formula>
    </cfRule>
    <cfRule type="containsText" dxfId="8" priority="63" operator="between" text="H">
      <formula>NOT(ISERROR(SEARCH("H",AC13)))</formula>
    </cfRule>
    <cfRule type="containsText" dxfId="4" priority="61" operator="between" text="H">
      <formula>NOT(ISERROR(SEARCH("H",AC13)))</formula>
    </cfRule>
  </conditionalFormatting>
  <conditionalFormatting sqref="AC25:AC26">
    <cfRule type="containsText" dxfId="6" priority="124" operator="between" text="O">
      <formula>NOT(ISERROR(SEARCH("O",AC25)))</formula>
    </cfRule>
    <cfRule type="containsText" dxfId="0" priority="122" operator="between" text="H">
      <formula>NOT(ISERROR(SEARCH("H",AC25)))</formula>
    </cfRule>
    <cfRule type="containsText" dxfId="8" priority="123" operator="between" text="H">
      <formula>NOT(ISERROR(SEARCH("H",AC25)))</formula>
    </cfRule>
    <cfRule type="containsText" dxfId="4" priority="121" operator="between" text="H">
      <formula>NOT(ISERROR(SEARCH("H",AC25)))</formula>
    </cfRule>
    <cfRule type="containsText" dxfId="6" priority="19" operator="between" text="O">
      <formula>NOT(ISERROR(SEARCH("O",AC25)))</formula>
    </cfRule>
    <cfRule type="containsText" dxfId="0" priority="17" operator="between" text="H">
      <formula>NOT(ISERROR(SEARCH("H",AC25)))</formula>
    </cfRule>
    <cfRule type="containsText" dxfId="8" priority="18" operator="between" text="H">
      <formula>NOT(ISERROR(SEARCH("H",AC25)))</formula>
    </cfRule>
    <cfRule type="containsText" dxfId="4" priority="16" operator="between" text="H">
      <formula>NOT(ISERROR(SEARCH("H",AC25)))</formula>
    </cfRule>
    <cfRule type="containsText" dxfId="6" priority="4" operator="between" text="O">
      <formula>NOT(ISERROR(SEARCH("O",AC25)))</formula>
    </cfRule>
    <cfRule type="containsText" dxfId="0" priority="2" operator="between" text="H">
      <formula>NOT(ISERROR(SEARCH("H",AC25)))</formula>
    </cfRule>
    <cfRule type="containsText" dxfId="8" priority="3" operator="between" text="H">
      <formula>NOT(ISERROR(SEARCH("H",AC25)))</formula>
    </cfRule>
    <cfRule type="containsText" dxfId="4" priority="1" operator="between" text="H">
      <formula>NOT(ISERROR(SEARCH("H",AC25)))</formula>
    </cfRule>
  </conditionalFormatting>
  <conditionalFormatting sqref="Y21 Y13:Y17 Y5:Y8">
    <cfRule type="containsText" dxfId="1" priority="180" operator="between" text="AVG">
      <formula>NOT(ISERROR(SEARCH("AVG",Y5)))</formula>
    </cfRule>
    <cfRule type="cellIs" dxfId="3" priority="179" operator="equal">
      <formula>"STRONG"</formula>
    </cfRule>
    <cfRule type="containsText" dxfId="0" priority="178" operator="between" text="VSTRONG">
      <formula>NOT(ISERROR(SEARCH("VSTRONG",Y5)))</formula>
    </cfRule>
    <cfRule type="containsText" dxfId="2" priority="174" operator="between" text="AVG">
      <formula>NOT(ISERROR(SEARCH("AVG",Y5)))</formula>
    </cfRule>
  </conditionalFormatting>
  <conditionalFormatting sqref="Z21 Z13:Z17 Z5:Z8">
    <cfRule type="containsText" dxfId="0" priority="177" operator="between" text="STRONG">
      <formula>NOT(ISERROR(SEARCH("STRONG",Z5)))</formula>
    </cfRule>
    <cfRule type="containsText" dxfId="4" priority="176" operator="between" text="VSTRONG">
      <formula>NOT(ISERROR(SEARCH("VSTRONG",Z5)))</formula>
    </cfRule>
  </conditionalFormatting>
  <conditionalFormatting sqref="Z21:AA21 Z13:AA17 Z5:AA8">
    <cfRule type="containsText" dxfId="9" priority="172" operator="between" text="AVG">
      <formula>NOT(ISERROR(SEARCH("AVG",Z5)))</formula>
    </cfRule>
  </conditionalFormatting>
  <conditionalFormatting sqref="Z5:AA7">
    <cfRule type="containsText" dxfId="9" priority="112" operator="between" text="AVG">
      <formula>NOT(ISERROR(SEARCH("AVG",Z5)))</formula>
    </cfRule>
    <cfRule type="containsText" dxfId="9" priority="97" operator="between" text="AVG">
      <formula>NOT(ISERROR(SEARCH("AVG",Z5)))</formula>
    </cfRule>
  </conditionalFormatting>
  <conditionalFormatting sqref="AA21 AA13:AA17 AA5:AA8">
    <cfRule type="cellIs" dxfId="5" priority="173" operator="equal">
      <formula>"VWEAK"</formula>
    </cfRule>
    <cfRule type="containsText" dxfId="6" priority="171" operator="between" text="VSTRONG">
      <formula>NOT(ISERROR(SEARCH("VSTRONG",AA5)))</formula>
    </cfRule>
  </conditionalFormatting>
  <conditionalFormatting sqref="AB21 AB13:AB17 AB5:AB8">
    <cfRule type="containsText" dxfId="7" priority="175" operator="between" text="FEMALE DOM">
      <formula>NOT(ISERROR(SEARCH("FEMALE DOM",AB5)))</formula>
    </cfRule>
    <cfRule type="containsText" dxfId="2" priority="170" operator="between" text="MEN">
      <formula>NOT(ISERROR(SEARCH("MEN",AB5)))</formula>
    </cfRule>
  </conditionalFormatting>
  <conditionalFormatting sqref="AC21 AC13:AC17 AC5:AC8">
    <cfRule type="containsText" dxfId="6" priority="169" operator="between" text="O">
      <formula>NOT(ISERROR(SEARCH("O",AC5)))</formula>
    </cfRule>
    <cfRule type="containsText" dxfId="0" priority="167" operator="between" text="H">
      <formula>NOT(ISERROR(SEARCH("H",AC5)))</formula>
    </cfRule>
    <cfRule type="containsText" dxfId="8" priority="168" operator="between" text="H">
      <formula>NOT(ISERROR(SEARCH("H",AC5)))</formula>
    </cfRule>
    <cfRule type="containsText" dxfId="4" priority="166" operator="between" text="H">
      <formula>NOT(ISERROR(SEARCH("H",AC5)))</formula>
    </cfRule>
  </conditionalFormatting>
  <conditionalFormatting sqref="Z13:AA16">
    <cfRule type="containsText" dxfId="9" priority="82" operator="between" text="AVG">
      <formula>NOT(ISERROR(SEARCH("AVG",Z13)))</formula>
    </cfRule>
    <cfRule type="containsText" dxfId="9" priority="67" operator="between" text="AVG">
      <formula>NOT(ISERROR(SEARCH("AVG",Z13)))</formula>
    </cfRule>
  </conditionalFormatting>
  <conditionalFormatting sqref="Z25:AA26">
    <cfRule type="containsText" dxfId="9" priority="127" operator="between" text="AVG">
      <formula>NOT(ISERROR(SEARCH("AVG",Z25)))</formula>
    </cfRule>
    <cfRule type="containsText" dxfId="9" priority="22" operator="between" text="AVG">
      <formula>NOT(ISERROR(SEARCH("AVG",Z25)))</formula>
    </cfRule>
    <cfRule type="containsText" dxfId="9" priority="7" operator="between" text="AVG">
      <formula>NOT(ISERROR(SEARCH("AVG",Z25)))</formula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"/>
  <sheetViews>
    <sheetView tabSelected="1" workbookViewId="0">
      <selection activeCell="C11" sqref="C11"/>
    </sheetView>
  </sheetViews>
  <sheetFormatPr defaultColWidth="9.14285714285714" defaultRowHeight="15" outlineLevelCol="1"/>
  <cols>
    <col min="1" max="1" width="21.8571428571429" customWidth="1"/>
    <col min="2" max="2" width="35.4285714285714" customWidth="1"/>
  </cols>
  <sheetData>
    <row r="1" spans="1:2">
      <c r="A1" s="1" t="s">
        <v>265</v>
      </c>
      <c r="B1" s="1" t="s">
        <v>267</v>
      </c>
    </row>
    <row r="2" spans="1:2">
      <c r="A2" s="1"/>
      <c r="B2" s="1"/>
    </row>
    <row r="3" spans="1:2">
      <c r="A3" s="2" t="s">
        <v>278</v>
      </c>
      <c r="B3" s="3" t="s">
        <v>279</v>
      </c>
    </row>
    <row r="4" spans="1:2">
      <c r="A4" s="2" t="s">
        <v>285</v>
      </c>
      <c r="B4" s="3" t="s">
        <v>286</v>
      </c>
    </row>
    <row r="5" spans="1:2">
      <c r="A5" s="2" t="s">
        <v>288</v>
      </c>
      <c r="B5" s="3" t="s">
        <v>289</v>
      </c>
    </row>
    <row r="6" spans="1:2">
      <c r="A6" s="2" t="s">
        <v>290</v>
      </c>
      <c r="B6" s="4" t="s">
        <v>291</v>
      </c>
    </row>
    <row r="7" spans="1:2">
      <c r="A7" s="2" t="s">
        <v>292</v>
      </c>
      <c r="B7" s="4" t="s">
        <v>293</v>
      </c>
    </row>
    <row r="8" spans="1:2">
      <c r="A8" s="2" t="s">
        <v>295</v>
      </c>
      <c r="B8" s="4" t="s">
        <v>296</v>
      </c>
    </row>
    <row r="9" spans="1:2">
      <c r="A9" s="2" t="s">
        <v>298</v>
      </c>
      <c r="B9" s="4" t="s">
        <v>299</v>
      </c>
    </row>
    <row r="10" spans="1:2">
      <c r="A10" s="2" t="s">
        <v>300</v>
      </c>
      <c r="B10" s="4" t="s">
        <v>301</v>
      </c>
    </row>
    <row r="11" spans="1:2">
      <c r="A11" s="2" t="s">
        <v>302</v>
      </c>
      <c r="B11" s="4" t="s">
        <v>303</v>
      </c>
    </row>
    <row r="12" spans="1:2">
      <c r="A12" s="2" t="s">
        <v>304</v>
      </c>
      <c r="B12" s="4" t="s">
        <v>305</v>
      </c>
    </row>
    <row r="13" spans="1:2">
      <c r="A13" s="2" t="s">
        <v>306</v>
      </c>
      <c r="B13" s="4" t="s">
        <v>307</v>
      </c>
    </row>
    <row r="14" spans="1:2">
      <c r="A14" s="2" t="s">
        <v>308</v>
      </c>
      <c r="B14" s="4" t="s">
        <v>309</v>
      </c>
    </row>
    <row r="15" spans="1:2">
      <c r="A15" s="2" t="s">
        <v>311</v>
      </c>
      <c r="B15" s="4" t="s">
        <v>312</v>
      </c>
    </row>
    <row r="16" spans="1:2">
      <c r="A16" s="2" t="s">
        <v>313</v>
      </c>
      <c r="B16" s="4" t="s">
        <v>314</v>
      </c>
    </row>
    <row r="17" spans="1:2">
      <c r="A17" s="2" t="s">
        <v>315</v>
      </c>
      <c r="B17" s="4" t="s">
        <v>316</v>
      </c>
    </row>
    <row r="18" spans="1:2">
      <c r="A18" s="2" t="s">
        <v>317</v>
      </c>
      <c r="B18" s="4" t="s">
        <v>318</v>
      </c>
    </row>
    <row r="19" spans="1:2">
      <c r="A19" s="2" t="s">
        <v>319</v>
      </c>
      <c r="B19" s="4" t="s">
        <v>320</v>
      </c>
    </row>
    <row r="20" spans="1:2">
      <c r="A20" s="2" t="s">
        <v>321</v>
      </c>
      <c r="B20" s="4" t="s">
        <v>322</v>
      </c>
    </row>
    <row r="21" spans="1:2">
      <c r="A21" s="2" t="s">
        <v>323</v>
      </c>
      <c r="B21" s="4" t="s">
        <v>324</v>
      </c>
    </row>
    <row r="22" spans="1:2">
      <c r="A22" s="2" t="s">
        <v>325</v>
      </c>
      <c r="B22" s="3" t="s">
        <v>326</v>
      </c>
    </row>
    <row r="23" spans="1:2">
      <c r="A23" s="2" t="s">
        <v>327</v>
      </c>
      <c r="B23" s="3" t="s">
        <v>328</v>
      </c>
    </row>
    <row r="24" spans="1:2">
      <c r="A24" s="2" t="s">
        <v>329</v>
      </c>
      <c r="B24" s="3" t="s">
        <v>330</v>
      </c>
    </row>
    <row r="25" spans="1:2">
      <c r="A25" s="2" t="s">
        <v>331</v>
      </c>
      <c r="B25" s="3" t="s">
        <v>332</v>
      </c>
    </row>
    <row r="26" spans="1:2">
      <c r="A26" s="2" t="s">
        <v>333</v>
      </c>
      <c r="B26" s="3" t="s">
        <v>334</v>
      </c>
    </row>
    <row r="27" spans="1:2">
      <c r="A27" s="2" t="s">
        <v>335</v>
      </c>
      <c r="B27" s="3" t="s">
        <v>336</v>
      </c>
    </row>
    <row r="28" spans="1:2">
      <c r="A28" s="2" t="s">
        <v>337</v>
      </c>
      <c r="B28" s="3" t="s">
        <v>338</v>
      </c>
    </row>
    <row r="29" spans="1:2">
      <c r="A29" s="2" t="s">
        <v>339</v>
      </c>
      <c r="B29" s="3" t="s">
        <v>340</v>
      </c>
    </row>
    <row r="30" spans="1:2">
      <c r="A30" s="2" t="s">
        <v>341</v>
      </c>
      <c r="B30" s="3" t="s">
        <v>342</v>
      </c>
    </row>
    <row r="31" spans="1:2">
      <c r="A31" s="2" t="s">
        <v>343</v>
      </c>
      <c r="B31" s="3" t="s">
        <v>344</v>
      </c>
    </row>
    <row r="32" spans="1:2">
      <c r="A32" s="2" t="s">
        <v>345</v>
      </c>
      <c r="B32" s="3" t="s">
        <v>346</v>
      </c>
    </row>
    <row r="33" spans="1:2">
      <c r="A33" s="2" t="s">
        <v>347</v>
      </c>
      <c r="B33" s="3" t="s">
        <v>348</v>
      </c>
    </row>
    <row r="34" spans="1:2">
      <c r="A34" s="2" t="s">
        <v>349</v>
      </c>
      <c r="B34" s="3" t="s">
        <v>350</v>
      </c>
    </row>
    <row r="35" spans="1:2">
      <c r="A35" s="2" t="s">
        <v>351</v>
      </c>
      <c r="B35" s="3" t="s">
        <v>352</v>
      </c>
    </row>
    <row r="36" spans="1:2">
      <c r="A36" s="2" t="s">
        <v>353</v>
      </c>
      <c r="B36" s="3" t="s">
        <v>354</v>
      </c>
    </row>
    <row r="37" spans="1:2">
      <c r="A37" s="2" t="s">
        <v>355</v>
      </c>
      <c r="B37" s="3" t="s">
        <v>356</v>
      </c>
    </row>
    <row r="38" spans="1:2">
      <c r="A38" s="2" t="s">
        <v>292</v>
      </c>
      <c r="B38" s="3" t="s">
        <v>357</v>
      </c>
    </row>
    <row r="39" spans="1:2">
      <c r="A39" s="2" t="s">
        <v>358</v>
      </c>
      <c r="B39" s="3" t="s">
        <v>359</v>
      </c>
    </row>
    <row r="40" spans="1:2">
      <c r="A40" s="2" t="s">
        <v>360</v>
      </c>
      <c r="B40" s="3" t="s">
        <v>361</v>
      </c>
    </row>
  </sheetData>
  <mergeCells count="2">
    <mergeCell ref="A1:A2"/>
    <mergeCell ref="B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2018 BOOTHWISE</vt:lpstr>
      <vt:lpstr>WARDWISE ANALYISIS</vt:lpstr>
      <vt:lpstr>BJP WIN OR LOSS</vt:lpstr>
      <vt:lpstr>BJP</vt:lpstr>
      <vt:lpstr>CONGRESS</vt:lpstr>
      <vt:lpstr>WARD-BOOTH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dcterms:created xsi:type="dcterms:W3CDTF">2018-11-03T09:38:00Z</dcterms:created>
  <dcterms:modified xsi:type="dcterms:W3CDTF">2024-06-02T02:09:19Z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1033-12.2.0.16909</vt:lpwstr>
  </property>
  <property fmtid="{D5CDD505-2E9C-101B-9397-08002B2CF9AE}" pid="3" name="ICV">
    <vt:lpwstr>32863F62DBA44FC59BC38778EDDEDFD3_12</vt:lpwstr>
  </property>
</Properties>
</file>