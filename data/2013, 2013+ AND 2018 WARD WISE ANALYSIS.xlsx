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 activeTab="3"/>
  </bookViews>
  <sheets>
    <sheet name="3 YEAR WARD WISE ANALYSIS" sheetId="1" r:id="rId1"/>
    <sheet name="BJP WIN OR LOSS" sheetId="2" r:id="rId2"/>
    <sheet name="BJP" sheetId="3" r:id="rId3"/>
    <sheet name="CONGRESS" sheetId="4" r:id="rId4"/>
  </sheets>
  <externalReferences>
    <externalReference r:id="rId5"/>
  </externalReferences>
  <definedNames>
    <definedName name="_xlnm._FilterDatabase" localSheetId="0" hidden="1">'3 YEAR WARD WISE ANALYSIS'!$A$3:$AA$43</definedName>
  </definedNames>
  <calcPr calcId="124519"/>
</workbook>
</file>

<file path=xl/calcChain.xml><?xml version="1.0" encoding="utf-8"?>
<calcChain xmlns="http://schemas.openxmlformats.org/spreadsheetml/2006/main">
  <c r="F33" i="4"/>
  <c r="J33"/>
  <c r="O33"/>
  <c r="O27"/>
  <c r="J27"/>
  <c r="F27"/>
  <c r="O12"/>
  <c r="J12"/>
  <c r="F12"/>
  <c r="O34" i="3"/>
  <c r="J34"/>
  <c r="F34"/>
  <c r="O24" l="1"/>
  <c r="J24"/>
  <c r="F24"/>
  <c r="O13"/>
  <c r="J13"/>
  <c r="F13"/>
  <c r="I33" i="2"/>
  <c r="I32"/>
  <c r="I31"/>
  <c r="I30"/>
  <c r="I29"/>
  <c r="B32"/>
  <c r="B31"/>
  <c r="B30"/>
  <c r="B29"/>
  <c r="B28"/>
  <c r="O42" i="1" l="1"/>
  <c r="J42"/>
  <c r="F42"/>
  <c r="S41"/>
  <c r="R41"/>
  <c r="P41"/>
  <c r="N41"/>
  <c r="M41"/>
  <c r="K41"/>
  <c r="L41" s="1"/>
  <c r="I41"/>
  <c r="H41"/>
  <c r="G41"/>
  <c r="S40"/>
  <c r="R40"/>
  <c r="P40"/>
  <c r="N40"/>
  <c r="M40"/>
  <c r="K40"/>
  <c r="I40"/>
  <c r="H40"/>
  <c r="G40"/>
  <c r="S39"/>
  <c r="R39"/>
  <c r="P39"/>
  <c r="N39"/>
  <c r="M39"/>
  <c r="K39"/>
  <c r="L39" s="1"/>
  <c r="I39"/>
  <c r="H39"/>
  <c r="G39"/>
  <c r="S38"/>
  <c r="R38"/>
  <c r="P38"/>
  <c r="N38"/>
  <c r="M38"/>
  <c r="K38"/>
  <c r="I38"/>
  <c r="H38"/>
  <c r="G38"/>
  <c r="S37"/>
  <c r="R37"/>
  <c r="P37"/>
  <c r="N37"/>
  <c r="M37"/>
  <c r="K37"/>
  <c r="L37" s="1"/>
  <c r="I37"/>
  <c r="H37"/>
  <c r="G37"/>
  <c r="S36"/>
  <c r="R36"/>
  <c r="P36"/>
  <c r="N36"/>
  <c r="M36"/>
  <c r="K36"/>
  <c r="I36"/>
  <c r="H36"/>
  <c r="G36"/>
  <c r="S35"/>
  <c r="R35"/>
  <c r="P35"/>
  <c r="N35"/>
  <c r="M35"/>
  <c r="K35"/>
  <c r="L35" s="1"/>
  <c r="I35"/>
  <c r="H35"/>
  <c r="G35"/>
  <c r="S34"/>
  <c r="R34"/>
  <c r="P34"/>
  <c r="N34"/>
  <c r="M34"/>
  <c r="K34"/>
  <c r="I34"/>
  <c r="H34"/>
  <c r="G34"/>
  <c r="S33"/>
  <c r="R33"/>
  <c r="P33"/>
  <c r="N33"/>
  <c r="M33"/>
  <c r="K33"/>
  <c r="L33" s="1"/>
  <c r="I33"/>
  <c r="H33"/>
  <c r="G33"/>
  <c r="S32"/>
  <c r="R32"/>
  <c r="P32"/>
  <c r="N32"/>
  <c r="M32"/>
  <c r="K32"/>
  <c r="I32"/>
  <c r="H32"/>
  <c r="G32"/>
  <c r="S31"/>
  <c r="R31"/>
  <c r="P31"/>
  <c r="N31"/>
  <c r="M31"/>
  <c r="K31"/>
  <c r="L31" s="1"/>
  <c r="I31"/>
  <c r="H31"/>
  <c r="G31"/>
  <c r="S30"/>
  <c r="R30"/>
  <c r="P30"/>
  <c r="N30"/>
  <c r="M30"/>
  <c r="K30"/>
  <c r="I30"/>
  <c r="H30"/>
  <c r="G30"/>
  <c r="S29"/>
  <c r="R29"/>
  <c r="P29"/>
  <c r="N29"/>
  <c r="M29"/>
  <c r="K29"/>
  <c r="L29" s="1"/>
  <c r="I29"/>
  <c r="H29"/>
  <c r="G29"/>
  <c r="S28"/>
  <c r="R28"/>
  <c r="P28"/>
  <c r="N28"/>
  <c r="M28"/>
  <c r="K28"/>
  <c r="I28"/>
  <c r="H28"/>
  <c r="G28"/>
  <c r="S27"/>
  <c r="R27"/>
  <c r="P27"/>
  <c r="N27"/>
  <c r="M27"/>
  <c r="K27"/>
  <c r="L27" s="1"/>
  <c r="I27"/>
  <c r="H27"/>
  <c r="G27"/>
  <c r="S26"/>
  <c r="R26"/>
  <c r="P26"/>
  <c r="N26"/>
  <c r="M26"/>
  <c r="K26"/>
  <c r="I26"/>
  <c r="H26"/>
  <c r="G26"/>
  <c r="S25"/>
  <c r="R25"/>
  <c r="P25"/>
  <c r="N25"/>
  <c r="M25"/>
  <c r="K25"/>
  <c r="L25" s="1"/>
  <c r="I25"/>
  <c r="H25"/>
  <c r="G25"/>
  <c r="S24"/>
  <c r="R24"/>
  <c r="P24"/>
  <c r="N24"/>
  <c r="M24"/>
  <c r="K24"/>
  <c r="I24"/>
  <c r="H24"/>
  <c r="G24"/>
  <c r="S23"/>
  <c r="R23"/>
  <c r="P23"/>
  <c r="K23"/>
  <c r="L23" s="1"/>
  <c r="N23"/>
  <c r="M23"/>
  <c r="I23"/>
  <c r="H23"/>
  <c r="G23"/>
  <c r="S22"/>
  <c r="R22"/>
  <c r="P22"/>
  <c r="N22"/>
  <c r="M22"/>
  <c r="K22"/>
  <c r="I22"/>
  <c r="H22"/>
  <c r="G22"/>
  <c r="S21"/>
  <c r="R21"/>
  <c r="P21"/>
  <c r="N21"/>
  <c r="M21"/>
  <c r="K21"/>
  <c r="L21" s="1"/>
  <c r="I21"/>
  <c r="H21"/>
  <c r="G21"/>
  <c r="S20"/>
  <c r="R20"/>
  <c r="P20"/>
  <c r="N20"/>
  <c r="M20"/>
  <c r="K20"/>
  <c r="I20"/>
  <c r="H20"/>
  <c r="G20"/>
  <c r="S19"/>
  <c r="R19"/>
  <c r="P19"/>
  <c r="N19"/>
  <c r="M19"/>
  <c r="K19"/>
  <c r="L19" s="1"/>
  <c r="I19"/>
  <c r="H19"/>
  <c r="G19"/>
  <c r="S18"/>
  <c r="R18"/>
  <c r="P18"/>
  <c r="N18"/>
  <c r="M18"/>
  <c r="K18"/>
  <c r="I18"/>
  <c r="H18"/>
  <c r="G18"/>
  <c r="S17"/>
  <c r="R17"/>
  <c r="P17"/>
  <c r="N17"/>
  <c r="M17"/>
  <c r="K17"/>
  <c r="L17" s="1"/>
  <c r="I17"/>
  <c r="H17"/>
  <c r="G17"/>
  <c r="S16"/>
  <c r="R16"/>
  <c r="P16"/>
  <c r="N16"/>
  <c r="M16"/>
  <c r="K16"/>
  <c r="I16"/>
  <c r="H16"/>
  <c r="G16"/>
  <c r="S15"/>
  <c r="R15"/>
  <c r="P15"/>
  <c r="N15"/>
  <c r="M15"/>
  <c r="K15"/>
  <c r="L15" s="1"/>
  <c r="I15"/>
  <c r="H15"/>
  <c r="G15"/>
  <c r="S14"/>
  <c r="R14"/>
  <c r="P14"/>
  <c r="N14"/>
  <c r="M14"/>
  <c r="K14"/>
  <c r="I14"/>
  <c r="H14"/>
  <c r="G14"/>
  <c r="S13"/>
  <c r="R13"/>
  <c r="P13"/>
  <c r="N13"/>
  <c r="M13"/>
  <c r="K13"/>
  <c r="L13" s="1"/>
  <c r="I13"/>
  <c r="H13"/>
  <c r="G13"/>
  <c r="S12"/>
  <c r="R12"/>
  <c r="P12"/>
  <c r="N12"/>
  <c r="M12"/>
  <c r="K12"/>
  <c r="I12"/>
  <c r="H12"/>
  <c r="G12"/>
  <c r="S11"/>
  <c r="R11"/>
  <c r="P11"/>
  <c r="N11"/>
  <c r="M11"/>
  <c r="K11"/>
  <c r="L11" s="1"/>
  <c r="I11"/>
  <c r="H11"/>
  <c r="G11"/>
  <c r="S10"/>
  <c r="R10"/>
  <c r="P10"/>
  <c r="N10"/>
  <c r="M10"/>
  <c r="K10"/>
  <c r="I10"/>
  <c r="H10"/>
  <c r="G10"/>
  <c r="S9"/>
  <c r="R9"/>
  <c r="P9"/>
  <c r="N9"/>
  <c r="M9"/>
  <c r="K9"/>
  <c r="L9" s="1"/>
  <c r="I9"/>
  <c r="H9"/>
  <c r="G9"/>
  <c r="S8"/>
  <c r="R8"/>
  <c r="P8"/>
  <c r="N8"/>
  <c r="M8"/>
  <c r="K8"/>
  <c r="I8"/>
  <c r="H8"/>
  <c r="G8"/>
  <c r="S6"/>
  <c r="S7"/>
  <c r="R7"/>
  <c r="P7"/>
  <c r="N7"/>
  <c r="M7"/>
  <c r="K7"/>
  <c r="I7"/>
  <c r="H7"/>
  <c r="G7"/>
  <c r="R6"/>
  <c r="P6"/>
  <c r="N6"/>
  <c r="M6"/>
  <c r="K6"/>
  <c r="I6"/>
  <c r="H6"/>
  <c r="G6"/>
  <c r="S5"/>
  <c r="R5"/>
  <c r="P5"/>
  <c r="N5"/>
  <c r="M5"/>
  <c r="K5"/>
  <c r="L5" s="1"/>
  <c r="I5"/>
  <c r="H5"/>
  <c r="G5"/>
  <c r="S4"/>
  <c r="R4"/>
  <c r="P4"/>
  <c r="N4"/>
  <c r="M4"/>
  <c r="K4"/>
  <c r="Q6" l="1"/>
  <c r="Q7"/>
  <c r="Q5"/>
  <c r="Z5" s="1"/>
  <c r="AA5" s="1"/>
  <c r="L8"/>
  <c r="Q9"/>
  <c r="Z9" s="1"/>
  <c r="AA9" s="1"/>
  <c r="L12"/>
  <c r="Q13"/>
  <c r="Y13" s="1"/>
  <c r="L16"/>
  <c r="Q17"/>
  <c r="Z17" s="1"/>
  <c r="AA17" s="1"/>
  <c r="L20"/>
  <c r="Q21"/>
  <c r="Z21" s="1"/>
  <c r="AA21" s="1"/>
  <c r="L24"/>
  <c r="Q25"/>
  <c r="Z25" s="1"/>
  <c r="AA25" s="1"/>
  <c r="L28"/>
  <c r="Q29"/>
  <c r="Z29" s="1"/>
  <c r="AA29" s="1"/>
  <c r="L32"/>
  <c r="Q33"/>
  <c r="Z33" s="1"/>
  <c r="AA33" s="1"/>
  <c r="L36"/>
  <c r="Q37"/>
  <c r="Y37" s="1"/>
  <c r="L40"/>
  <c r="Q41"/>
  <c r="Z41" s="1"/>
  <c r="AA41" s="1"/>
  <c r="K43"/>
  <c r="Q8"/>
  <c r="Q12"/>
  <c r="Q16"/>
  <c r="Q20"/>
  <c r="Q24"/>
  <c r="Z24" s="1"/>
  <c r="AA24" s="1"/>
  <c r="Q28"/>
  <c r="Q32"/>
  <c r="Q36"/>
  <c r="Q40"/>
  <c r="Z40" s="1"/>
  <c r="AA40" s="1"/>
  <c r="L6"/>
  <c r="L7"/>
  <c r="L10"/>
  <c r="Q11"/>
  <c r="Y11" s="1"/>
  <c r="L14"/>
  <c r="Q15"/>
  <c r="Z15" s="1"/>
  <c r="AA15" s="1"/>
  <c r="L18"/>
  <c r="Q19"/>
  <c r="Z19" s="1"/>
  <c r="AA19" s="1"/>
  <c r="L22"/>
  <c r="Q23"/>
  <c r="Z23" s="1"/>
  <c r="AA23" s="1"/>
  <c r="L26"/>
  <c r="Q27"/>
  <c r="Z27" s="1"/>
  <c r="AA27" s="1"/>
  <c r="L30"/>
  <c r="Q31"/>
  <c r="Y31" s="1"/>
  <c r="L34"/>
  <c r="Q35"/>
  <c r="Y35" s="1"/>
  <c r="L38"/>
  <c r="Q39"/>
  <c r="Y39" s="1"/>
  <c r="Q10"/>
  <c r="Q14"/>
  <c r="Q18"/>
  <c r="Q22"/>
  <c r="Q26"/>
  <c r="Z26" s="1"/>
  <c r="AA26" s="1"/>
  <c r="Q30"/>
  <c r="Q34"/>
  <c r="Q38"/>
  <c r="P43"/>
  <c r="I4"/>
  <c r="Y9" l="1"/>
  <c r="Z34"/>
  <c r="AA34" s="1"/>
  <c r="Z18"/>
  <c r="AA18" s="1"/>
  <c r="Z32"/>
  <c r="AA32" s="1"/>
  <c r="Z16"/>
  <c r="AA16" s="1"/>
  <c r="Z13"/>
  <c r="AA13" s="1"/>
  <c r="Y5"/>
  <c r="Z28"/>
  <c r="AA28" s="1"/>
  <c r="Z12"/>
  <c r="AA12" s="1"/>
  <c r="Z36"/>
  <c r="AA36" s="1"/>
  <c r="Z20"/>
  <c r="AA20" s="1"/>
  <c r="Z38"/>
  <c r="AA38" s="1"/>
  <c r="Y10"/>
  <c r="Z10"/>
  <c r="AA10" s="1"/>
  <c r="Y23"/>
  <c r="Y34"/>
  <c r="Y26"/>
  <c r="Y18"/>
  <c r="Y27"/>
  <c r="Z35"/>
  <c r="AA35" s="1"/>
  <c r="Y36"/>
  <c r="Y28"/>
  <c r="Y20"/>
  <c r="Y12"/>
  <c r="Z39"/>
  <c r="AA39" s="1"/>
  <c r="Y19"/>
  <c r="Y29"/>
  <c r="Y25"/>
  <c r="Y15"/>
  <c r="Y33"/>
  <c r="Y17"/>
  <c r="Y30"/>
  <c r="Z30"/>
  <c r="AA30" s="1"/>
  <c r="Y22"/>
  <c r="Z22"/>
  <c r="AA22" s="1"/>
  <c r="Y14"/>
  <c r="Z14"/>
  <c r="AA14" s="1"/>
  <c r="Y6"/>
  <c r="Z6"/>
  <c r="AA6" s="1"/>
  <c r="Y8"/>
  <c r="Z8"/>
  <c r="AA8" s="1"/>
  <c r="Z11"/>
  <c r="AA11" s="1"/>
  <c r="Y38"/>
  <c r="Z37"/>
  <c r="AA37" s="1"/>
  <c r="Y40"/>
  <c r="Y32"/>
  <c r="Y24"/>
  <c r="Y16"/>
  <c r="Z31"/>
  <c r="AA31" s="1"/>
  <c r="Y21"/>
  <c r="Z7"/>
  <c r="AA7" s="1"/>
  <c r="Y7"/>
  <c r="Y41"/>
  <c r="G4"/>
  <c r="G43" l="1"/>
  <c r="Q4"/>
  <c r="Q43" s="1"/>
  <c r="L4"/>
  <c r="H4"/>
  <c r="Y4" l="1"/>
  <c r="L43"/>
  <c r="Z4"/>
  <c r="AA4" s="1"/>
  <c r="Z48" l="1"/>
  <c r="Z50"/>
  <c r="Z49"/>
  <c r="Z51"/>
  <c r="Z47"/>
  <c r="X47"/>
  <c r="X48"/>
</calcChain>
</file>

<file path=xl/sharedStrings.xml><?xml version="1.0" encoding="utf-8"?>
<sst xmlns="http://schemas.openxmlformats.org/spreadsheetml/2006/main" count="904" uniqueCount="131">
  <si>
    <t>SL. NO</t>
  </si>
  <si>
    <t>WARD NO.</t>
  </si>
  <si>
    <t>WARD NAME</t>
  </si>
  <si>
    <t>TOTAL NO. OF BOOTH</t>
  </si>
  <si>
    <t>BOOTH DETAILS</t>
  </si>
  <si>
    <t>TOTAL POLLED</t>
  </si>
  <si>
    <t>BJP</t>
  </si>
  <si>
    <t>CONGRESS</t>
  </si>
  <si>
    <t>WARD STATUS</t>
  </si>
  <si>
    <t>WIN MARGIN</t>
  </si>
  <si>
    <t>MARGIN STATUS</t>
  </si>
  <si>
    <t>MEAN</t>
  </si>
  <si>
    <t>STANDARD DEVIATION</t>
  </si>
  <si>
    <t>VARIANCE</t>
  </si>
  <si>
    <t>BJP POLLED</t>
  </si>
  <si>
    <t>%</t>
  </si>
  <si>
    <t>CONGRESS POLLED</t>
  </si>
  <si>
    <t>BOOTH STATUS(POOLING)</t>
  </si>
  <si>
    <t>HINDU POPULATION STATUS</t>
  </si>
  <si>
    <t>OTHERS POPULATION STATUS</t>
  </si>
  <si>
    <t>GENDER RATIO</t>
  </si>
  <si>
    <t>RATIO OF COMPARISION NON VOTERS</t>
  </si>
  <si>
    <t>Padav West</t>
  </si>
  <si>
    <t>28,29,48,49,50,51</t>
  </si>
  <si>
    <t>STRONG</t>
  </si>
  <si>
    <t>EXCELLENT</t>
  </si>
  <si>
    <t>VLOW</t>
  </si>
  <si>
    <t>FEMALE DOM</t>
  </si>
  <si>
    <t>O</t>
  </si>
  <si>
    <t>Derebail South</t>
  </si>
  <si>
    <t>8,10,11,12,13,15</t>
  </si>
  <si>
    <t>AVG</t>
  </si>
  <si>
    <t>Derebail West</t>
  </si>
  <si>
    <t>4,5,6,7,1,2</t>
  </si>
  <si>
    <t>Derebail Nairuthya</t>
  </si>
  <si>
    <t>3,4,75,75,77,78,79,80</t>
  </si>
  <si>
    <t>Boloor</t>
  </si>
  <si>
    <t>71,73,74,81,82,83</t>
  </si>
  <si>
    <t>H</t>
  </si>
  <si>
    <t>Mannagudda</t>
  </si>
  <si>
    <t>68,69,70,72</t>
  </si>
  <si>
    <t>MEN</t>
  </si>
  <si>
    <t>HIGHMARGIN</t>
  </si>
  <si>
    <t>Kambala</t>
  </si>
  <si>
    <t>61,62,63,64</t>
  </si>
  <si>
    <t>Kodialbail</t>
  </si>
  <si>
    <t>20,22,23,59,60</t>
  </si>
  <si>
    <t>Bejai</t>
  </si>
  <si>
    <t>14,16,17,18,19,21</t>
  </si>
  <si>
    <t>Kadri North</t>
  </si>
  <si>
    <t>24,27,57,25,26</t>
  </si>
  <si>
    <t>kadri south</t>
  </si>
  <si>
    <t>54,55,56,58</t>
  </si>
  <si>
    <t>Shivabagh</t>
  </si>
  <si>
    <t>52,53,117,119,123</t>
  </si>
  <si>
    <t>WEAK</t>
  </si>
  <si>
    <t>Padav Central</t>
  </si>
  <si>
    <t>30,31,34,38,39,35,37</t>
  </si>
  <si>
    <t>Padav East</t>
  </si>
  <si>
    <t>32,33,36</t>
  </si>
  <si>
    <t>Maroli</t>
  </si>
  <si>
    <t>42,43,44,45,46,47</t>
  </si>
  <si>
    <t>Bendoor</t>
  </si>
  <si>
    <t>117,118,122,124,148,149,153</t>
  </si>
  <si>
    <t>Falnir</t>
  </si>
  <si>
    <t>144,145,146,154,155,147</t>
  </si>
  <si>
    <t>Court</t>
  </si>
  <si>
    <t>114,115,116,129,130</t>
  </si>
  <si>
    <t>Central</t>
  </si>
  <si>
    <t>111,112,113,109,110</t>
  </si>
  <si>
    <t>DONGARAKERY</t>
  </si>
  <si>
    <t>65, 66, 67, 98,100, 102,103</t>
  </si>
  <si>
    <t>KUDROLI</t>
  </si>
  <si>
    <t>94, 95, 96, 97,99</t>
  </si>
  <si>
    <t>NAVAYATH</t>
  </si>
  <si>
    <t>106, 107, 108, 109,101, 104</t>
  </si>
  <si>
    <t>PORT</t>
  </si>
  <si>
    <t>131,135, 136, 208, 209, 210</t>
  </si>
  <si>
    <t>CONTONMENT</t>
  </si>
  <si>
    <t>125, 128, 132, 133, 137</t>
  </si>
  <si>
    <t>MILLAGRES</t>
  </si>
  <si>
    <t>126, 127, 150, 151, 152</t>
  </si>
  <si>
    <t>VALANCIA</t>
  </si>
  <si>
    <t>120, 121, 156, 157, 158, 165</t>
  </si>
  <si>
    <t>KANKANADY</t>
  </si>
  <si>
    <t>157, 160, 161, 167, 163, 164</t>
  </si>
  <si>
    <t>ALAPE SOUTH</t>
  </si>
  <si>
    <t>166, 167, 168, 169, 170, 189, 190, 191</t>
  </si>
  <si>
    <t>ALAPE NORTH</t>
  </si>
  <si>
    <t>40, 41, 171, 172, 173, 174, 179</t>
  </si>
  <si>
    <t>KANNUR</t>
  </si>
  <si>
    <t>175, 176, 177,178, 180, 181</t>
  </si>
  <si>
    <t>BAJAL</t>
  </si>
  <si>
    <t>182, 183, 184, 185, 186,187, 188</t>
  </si>
  <si>
    <t>JAPPINAMOGARU</t>
  </si>
  <si>
    <t>192, 193, 194, 195, 219</t>
  </si>
  <si>
    <t>ATTAVARA</t>
  </si>
  <si>
    <t>138, 139, 140, 197, 198, 199, 200, 217</t>
  </si>
  <si>
    <t>MANGALADEVI</t>
  </si>
  <si>
    <t>199, 200, 202, 203, 204</t>
  </si>
  <si>
    <t>HOIGE BAZAR</t>
  </si>
  <si>
    <t>206, 207, 210, 213, 214</t>
  </si>
  <si>
    <t>BOLOOR</t>
  </si>
  <si>
    <t>201, 211, 212, 205</t>
  </si>
  <si>
    <t>JEPPU</t>
  </si>
  <si>
    <t>141, 142, 143, 196, 215, 216</t>
  </si>
  <si>
    <t>BENGRE</t>
  </si>
  <si>
    <t>84, 85, 91, 93, 185, 186, 184</t>
  </si>
  <si>
    <t>TOTAL</t>
  </si>
  <si>
    <t>AVERAGE</t>
  </si>
  <si>
    <t>NARROW MARGIN</t>
  </si>
  <si>
    <t>LOW MARGIN</t>
  </si>
  <si>
    <t>MEDIUM MARGIN</t>
  </si>
  <si>
    <t>VERYHIGHMARGIN</t>
  </si>
  <si>
    <t>WIN</t>
  </si>
  <si>
    <t>LOSS</t>
  </si>
  <si>
    <t>SL.NO</t>
  </si>
  <si>
    <t>WARD NO</t>
  </si>
  <si>
    <t>MARGINSTATUS</t>
  </si>
  <si>
    <t>LOSS MARGIN</t>
  </si>
  <si>
    <t>LOWMARGIN</t>
  </si>
  <si>
    <t>NARROWMARGIN</t>
  </si>
  <si>
    <t>MEDIUMMARGIN</t>
  </si>
  <si>
    <t>BJP WIN MARGIN STATUS</t>
  </si>
  <si>
    <t>CONGRESS WIN MARGIN STATUS</t>
  </si>
  <si>
    <t>BJP WARD WISE MARGIN BASED STATISTICAL ANALYSIS OF YEAR 2013, 2013+ AND 2018</t>
  </si>
  <si>
    <t>BJP GAIN</t>
  </si>
  <si>
    <t>HIGH MARGIN</t>
  </si>
  <si>
    <t>CONGRESS WARD WISE MARGIN BASED STATISTICAL ANALYSIS OF YEAR 2013, 2013+ AND 2018</t>
  </si>
  <si>
    <t>CONGRESS GAIN</t>
  </si>
  <si>
    <t>MANGALORE SOUTH WARDWISE STATISTICAL ANALYSIS OF YEAR 2013,2013+ AND 2018.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</si>
</sst>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 applyAlignment="1" applyProtection="1">
      <alignment horizontal="center" vertical="center"/>
      <protection hidden="1"/>
    </xf>
    <xf numFmtId="0" fontId="1" fillId="0" borderId="1" xfId="1" applyNumberFormat="1" applyFont="1" applyBorder="1" applyAlignment="1" applyProtection="1">
      <alignment horizontal="center" vertical="center"/>
      <protection hidden="1"/>
    </xf>
    <xf numFmtId="0" fontId="0" fillId="5" borderId="1" xfId="0" applyFont="1" applyFill="1" applyBorder="1" applyAlignment="1" applyProtection="1">
      <alignment horizontal="center"/>
      <protection hidden="1"/>
    </xf>
    <xf numFmtId="0" fontId="0" fillId="6" borderId="1" xfId="0" applyFont="1" applyFill="1" applyBorder="1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4" fillId="5" borderId="1" xfId="0" applyFont="1" applyFill="1" applyBorder="1" applyAlignment="1" applyProtection="1">
      <alignment horizontal="center" vertical="center"/>
      <protection hidden="1"/>
    </xf>
    <xf numFmtId="0" fontId="4" fillId="6" borderId="1" xfId="0" applyFont="1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0" fillId="5" borderId="1" xfId="0" applyFont="1" applyFill="1" applyBorder="1" applyAlignment="1" applyProtection="1">
      <alignment horizontal="center" vertical="center"/>
      <protection hidden="1"/>
    </xf>
    <xf numFmtId="0" fontId="0" fillId="6" borderId="1" xfId="0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5" fillId="6" borderId="1" xfId="0" applyFont="1" applyFill="1" applyBorder="1" applyAlignment="1" applyProtection="1"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13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0" fillId="11" borderId="1" xfId="0" applyFill="1" applyBorder="1" applyAlignment="1" applyProtection="1">
      <alignment horizontal="center" vertical="center"/>
      <protection hidden="1"/>
    </xf>
    <xf numFmtId="0" fontId="0" fillId="3" borderId="5" xfId="0" applyFill="1" applyBorder="1" applyAlignment="1" applyProtection="1">
      <alignment horizontal="center" vertical="center"/>
      <protection hidden="1"/>
    </xf>
    <xf numFmtId="0" fontId="0" fillId="3" borderId="3" xfId="0" applyFill="1" applyBorder="1" applyAlignment="1" applyProtection="1">
      <alignment horizontal="center" vertical="center"/>
      <protection hidden="1"/>
    </xf>
    <xf numFmtId="0" fontId="0" fillId="11" borderId="5" xfId="0" applyFill="1" applyBorder="1" applyAlignment="1" applyProtection="1">
      <alignment horizontal="center" vertical="center"/>
      <protection hidden="1"/>
    </xf>
    <xf numFmtId="0" fontId="0" fillId="11" borderId="3" xfId="0" applyFill="1" applyBorder="1" applyAlignment="1" applyProtection="1">
      <alignment horizontal="center" vertical="center"/>
      <protection hidden="1"/>
    </xf>
    <xf numFmtId="0" fontId="0" fillId="11" borderId="0" xfId="0" applyFill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5" borderId="3" xfId="0" applyFont="1" applyFill="1" applyBorder="1" applyAlignment="1" applyProtection="1">
      <alignment horizontal="center"/>
      <protection hidden="1"/>
    </xf>
    <xf numFmtId="0" fontId="2" fillId="5" borderId="4" xfId="0" applyFont="1" applyFill="1" applyBorder="1" applyAlignment="1" applyProtection="1">
      <alignment horizontal="center"/>
      <protection hidden="1"/>
    </xf>
    <xf numFmtId="0" fontId="2" fillId="5" borderId="5" xfId="0" applyFont="1" applyFill="1" applyBorder="1" applyAlignment="1" applyProtection="1">
      <alignment horizontal="center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6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0" fontId="2" fillId="4" borderId="5" xfId="0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 applyProtection="1">
      <alignment horizontal="center" vertical="center" wrapText="1"/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ercent" xfId="1" builtinId="5"/>
  </cellStyles>
  <dxfs count="297"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BJP WIN MARGIN STATUS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cat>
            <c:strRef>
              <c:f>'BJP WIN OR LOSS'!$A$28:$A$32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LOSS'!$B$28:$B$32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axId val="63396480"/>
        <c:axId val="64684416"/>
      </c:barChart>
      <c:catAx>
        <c:axId val="63396480"/>
        <c:scaling>
          <c:orientation val="minMax"/>
        </c:scaling>
        <c:axPos val="b"/>
        <c:majorTickMark val="none"/>
        <c:tickLblPos val="nextTo"/>
        <c:crossAx val="64684416"/>
        <c:crosses val="autoZero"/>
        <c:auto val="1"/>
        <c:lblAlgn val="ctr"/>
        <c:lblOffset val="100"/>
      </c:catAx>
      <c:valAx>
        <c:axId val="646844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63396480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plotArea>
      <c:layout/>
      <c:barChart>
        <c:barDir val="col"/>
        <c:grouping val="clustered"/>
        <c:ser>
          <c:idx val="0"/>
          <c:order val="0"/>
          <c:cat>
            <c:strRef>
              <c:f>'BJP WIN OR LOSS'!$H$29:$H$33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LOSS'!$I$29:$I$33</c:f>
              <c:numCache>
                <c:formatCode>General</c:formatCode>
                <c:ptCount val="5"/>
                <c:pt idx="0">
                  <c:v>7</c:v>
                </c:pt>
                <c:pt idx="1">
                  <c:v>11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64704512"/>
        <c:axId val="64706048"/>
      </c:barChart>
      <c:catAx>
        <c:axId val="64704512"/>
        <c:scaling>
          <c:orientation val="minMax"/>
        </c:scaling>
        <c:axPos val="b"/>
        <c:tickLblPos val="nextTo"/>
        <c:crossAx val="64706048"/>
        <c:crosses val="autoZero"/>
        <c:auto val="1"/>
        <c:lblAlgn val="ctr"/>
        <c:lblOffset val="100"/>
      </c:catAx>
      <c:valAx>
        <c:axId val="64706048"/>
        <c:scaling>
          <c:orientation val="minMax"/>
        </c:scaling>
        <c:axPos val="l"/>
        <c:majorGridlines/>
        <c:numFmt formatCode="General" sourceLinked="1"/>
        <c:tickLblPos val="nextTo"/>
        <c:crossAx val="64704512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33</xdr:row>
      <xdr:rowOff>66675</xdr:rowOff>
    </xdr:from>
    <xdr:to>
      <xdr:col>6</xdr:col>
      <xdr:colOff>161925</xdr:colOff>
      <xdr:row>48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561976</xdr:colOff>
      <xdr:row>33</xdr:row>
      <xdr:rowOff>66675</xdr:rowOff>
    </xdr:from>
    <xdr:to>
      <xdr:col>12</xdr:col>
      <xdr:colOff>400050</xdr:colOff>
      <xdr:row>48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7/Desktop/Mangaluru%20City%20South/WARDWISE%20ANALYSIS%20%202013,%202013+,%202014,201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ARD 21"/>
      <sheetName val="WARD 24"/>
      <sheetName val="WARD 25"/>
      <sheetName val="WARD 26"/>
      <sheetName val="WARD 27"/>
      <sheetName val="WARD 28"/>
      <sheetName val="WARD 29"/>
      <sheetName val="WARD 30"/>
      <sheetName val="WARD 31"/>
      <sheetName val="WARD 32"/>
      <sheetName val="WARD 33"/>
      <sheetName val="WARD 34"/>
      <sheetName val="WARD 35"/>
      <sheetName val="WARD 36"/>
      <sheetName val="WARD 37"/>
      <sheetName val="WARD 38"/>
      <sheetName val="WARD 39"/>
      <sheetName val="WARD 40"/>
      <sheetName val="WARD 41"/>
      <sheetName val="WARD 42"/>
      <sheetName val="WARD 43"/>
      <sheetName val="WARD 44"/>
      <sheetName val="WARD 45"/>
      <sheetName val="WARD 46"/>
      <sheetName val="WARD 47"/>
      <sheetName val="WARD 48"/>
      <sheetName val="WARD 49"/>
      <sheetName val="WARD 50"/>
      <sheetName val="WARD 51"/>
      <sheetName val="WARD 52"/>
      <sheetName val="WARD 53"/>
      <sheetName val="WARD 54"/>
      <sheetName val="WARD 55"/>
      <sheetName val="WARD 56"/>
      <sheetName val="WARD 57"/>
      <sheetName val="WARD 58"/>
      <sheetName val="WARD 59"/>
      <sheetName val="WARD 60"/>
      <sheetName val="Sheet2"/>
    </sheetNames>
    <sheetDataSet>
      <sheetData sheetId="0">
        <row r="79">
          <cell r="C79">
            <v>577.33333333333326</v>
          </cell>
          <cell r="E79">
            <v>305.08333333333337</v>
          </cell>
          <cell r="G79">
            <v>242.125</v>
          </cell>
        </row>
        <row r="80">
          <cell r="C80">
            <v>23233.569444444445</v>
          </cell>
          <cell r="E80">
            <v>11918.277777777777</v>
          </cell>
          <cell r="G80">
            <v>5094.8125</v>
          </cell>
        </row>
        <row r="81">
          <cell r="C81">
            <v>152.42561938350275</v>
          </cell>
          <cell r="E81">
            <v>109.17086505921705</v>
          </cell>
          <cell r="G81">
            <v>71.377955280324471</v>
          </cell>
        </row>
      </sheetData>
      <sheetData sheetId="1">
        <row r="66">
          <cell r="C66">
            <v>438.70833333333326</v>
          </cell>
          <cell r="E66">
            <v>219.83333333333334</v>
          </cell>
          <cell r="G66">
            <v>201.66666666666663</v>
          </cell>
        </row>
        <row r="67">
          <cell r="C67">
            <v>24503.298611111109</v>
          </cell>
          <cell r="E67">
            <v>4420.6388888888887</v>
          </cell>
          <cell r="G67">
            <v>8227.1527777777774</v>
          </cell>
        </row>
        <row r="68">
          <cell r="C68">
            <v>156.53529509701991</v>
          </cell>
          <cell r="E68">
            <v>66.487885279115986</v>
          </cell>
          <cell r="G68">
            <v>90.703653607656719</v>
          </cell>
        </row>
      </sheetData>
      <sheetData sheetId="2">
        <row r="75">
          <cell r="C75">
            <v>517.58333333333326</v>
          </cell>
          <cell r="E75">
            <v>251.08333333333331</v>
          </cell>
          <cell r="G75">
            <v>227.5</v>
          </cell>
        </row>
        <row r="76">
          <cell r="C76">
            <v>20703.486111111109</v>
          </cell>
          <cell r="E76">
            <v>2624.166666666667</v>
          </cell>
          <cell r="G76">
            <v>7951.75</v>
          </cell>
        </row>
        <row r="77">
          <cell r="C77">
            <v>143.88706026294062</v>
          </cell>
          <cell r="E77">
            <v>51.226620683651063</v>
          </cell>
          <cell r="G77">
            <v>89.172585473339282</v>
          </cell>
        </row>
      </sheetData>
      <sheetData sheetId="3">
        <row r="87">
          <cell r="C87">
            <v>548.09375</v>
          </cell>
          <cell r="E87">
            <v>305.09375</v>
          </cell>
          <cell r="G87">
            <v>220.46875</v>
          </cell>
        </row>
        <row r="88">
          <cell r="C88">
            <v>26984.80078125</v>
          </cell>
          <cell r="E88">
            <v>12808.80078125</v>
          </cell>
          <cell r="G88">
            <v>3498.52734375</v>
          </cell>
        </row>
        <row r="89">
          <cell r="C89">
            <v>164.27051099101749</v>
          </cell>
          <cell r="E89">
            <v>113.17597263222437</v>
          </cell>
          <cell r="G89">
            <v>59.148350304552025</v>
          </cell>
        </row>
      </sheetData>
      <sheetData sheetId="4">
        <row r="65">
          <cell r="C65">
            <v>530.20833333333337</v>
          </cell>
          <cell r="E65">
            <v>299.41666666666669</v>
          </cell>
          <cell r="G65">
            <v>203.45833333333331</v>
          </cell>
        </row>
        <row r="66">
          <cell r="C66">
            <v>16551.645833333336</v>
          </cell>
          <cell r="E66">
            <v>12931.555555555555</v>
          </cell>
          <cell r="G66">
            <v>7544.6875</v>
          </cell>
        </row>
        <row r="67">
          <cell r="C67">
            <v>128.65319985656529</v>
          </cell>
          <cell r="E67">
            <v>113.71699765450877</v>
          </cell>
          <cell r="G67">
            <v>86.860160603121159</v>
          </cell>
        </row>
      </sheetData>
      <sheetData sheetId="5">
        <row r="67">
          <cell r="C67">
            <v>581.1875</v>
          </cell>
          <cell r="E67">
            <v>399.75</v>
          </cell>
          <cell r="G67">
            <v>157.1875</v>
          </cell>
        </row>
        <row r="68">
          <cell r="C68">
            <v>13907.390625</v>
          </cell>
          <cell r="E68">
            <v>6628.59375</v>
          </cell>
          <cell r="G68">
            <v>1405.765625</v>
          </cell>
        </row>
        <row r="69">
          <cell r="C69">
            <v>117.92960029186905</v>
          </cell>
          <cell r="E69">
            <v>81.416176218243024</v>
          </cell>
          <cell r="G69">
            <v>37.49354111043661</v>
          </cell>
        </row>
      </sheetData>
      <sheetData sheetId="6">
        <row r="72">
          <cell r="C72">
            <v>504.25</v>
          </cell>
          <cell r="E72">
            <v>355.6875</v>
          </cell>
          <cell r="G72">
            <v>128.5625</v>
          </cell>
        </row>
        <row r="73">
          <cell r="C73">
            <v>11515.25</v>
          </cell>
          <cell r="E73">
            <v>10981.921875</v>
          </cell>
          <cell r="G73">
            <v>987.421875</v>
          </cell>
        </row>
        <row r="74">
          <cell r="C74">
            <v>107.30913288252776</v>
          </cell>
          <cell r="E74">
            <v>104.79466529838244</v>
          </cell>
          <cell r="G74">
            <v>31.423269642098035</v>
          </cell>
        </row>
      </sheetData>
      <sheetData sheetId="7">
        <row r="56">
          <cell r="C56">
            <v>496.4</v>
          </cell>
          <cell r="E56">
            <v>266.75</v>
          </cell>
          <cell r="G56">
            <v>211.1</v>
          </cell>
        </row>
        <row r="57">
          <cell r="C57">
            <v>10321.76</v>
          </cell>
          <cell r="E57">
            <v>6012.34</v>
          </cell>
          <cell r="G57">
            <v>1064.08</v>
          </cell>
        </row>
        <row r="58">
          <cell r="C58">
            <v>101.59606291584335</v>
          </cell>
          <cell r="E58">
            <v>77.539280368081833</v>
          </cell>
          <cell r="G58">
            <v>32.620239116229662</v>
          </cell>
        </row>
      </sheetData>
      <sheetData sheetId="8">
        <row r="76">
          <cell r="C76">
            <v>480.16666666666663</v>
          </cell>
          <cell r="E76">
            <v>223.41666666666669</v>
          </cell>
          <cell r="G76">
            <v>235.25</v>
          </cell>
        </row>
        <row r="77">
          <cell r="C77">
            <v>8684.8333333333321</v>
          </cell>
          <cell r="E77">
            <v>2850.875</v>
          </cell>
          <cell r="G77">
            <v>1647.0416666666667</v>
          </cell>
        </row>
        <row r="78">
          <cell r="C78">
            <v>93.192453199458868</v>
          </cell>
          <cell r="E78">
            <v>53.39358575709258</v>
          </cell>
          <cell r="G78">
            <v>40.583761120264185</v>
          </cell>
        </row>
      </sheetData>
      <sheetData sheetId="9">
        <row r="75">
          <cell r="C75">
            <v>491.40000000000003</v>
          </cell>
          <cell r="E75">
            <v>278.10000000000002</v>
          </cell>
          <cell r="G75">
            <v>181.89999999999998</v>
          </cell>
        </row>
        <row r="76">
          <cell r="C76">
            <v>24153.52</v>
          </cell>
          <cell r="E76">
            <v>8548.98</v>
          </cell>
          <cell r="G76">
            <v>4202.5200000000004</v>
          </cell>
        </row>
        <row r="77">
          <cell r="C77">
            <v>155.41402768090146</v>
          </cell>
          <cell r="E77">
            <v>92.46069435170817</v>
          </cell>
          <cell r="G77">
            <v>64.826846290715082</v>
          </cell>
        </row>
      </sheetData>
      <sheetData sheetId="10">
        <row r="57">
          <cell r="C57">
            <v>516.5</v>
          </cell>
          <cell r="E57">
            <v>308</v>
          </cell>
          <cell r="G57">
            <v>194.8125</v>
          </cell>
        </row>
        <row r="58">
          <cell r="C58">
            <v>3020.390625</v>
          </cell>
          <cell r="E58">
            <v>2969.296875</v>
          </cell>
        </row>
        <row r="59">
          <cell r="C59">
            <v>54.958080616047717</v>
          </cell>
          <cell r="E59">
            <v>54.491255032344412</v>
          </cell>
          <cell r="G59">
            <v>90.310056195309727</v>
          </cell>
        </row>
      </sheetData>
      <sheetData sheetId="11">
        <row r="71">
          <cell r="C71">
            <v>526</v>
          </cell>
          <cell r="E71">
            <v>208.35</v>
          </cell>
          <cell r="G71">
            <v>300.04999999999995</v>
          </cell>
        </row>
        <row r="72">
          <cell r="C72">
            <v>10979.54</v>
          </cell>
          <cell r="E72">
            <v>6149.48</v>
          </cell>
          <cell r="G72">
            <v>9541.880000000001</v>
          </cell>
        </row>
        <row r="73">
          <cell r="C73">
            <v>104.78330019616676</v>
          </cell>
          <cell r="E73">
            <v>78.418620237798109</v>
          </cell>
          <cell r="G73">
            <v>97.682547059339115</v>
          </cell>
        </row>
      </sheetData>
      <sheetData sheetId="12">
        <row r="83">
          <cell r="C83">
            <v>561.28571428571433</v>
          </cell>
          <cell r="E83">
            <v>251.21428571428572</v>
          </cell>
          <cell r="G83">
            <v>286.07142857142856</v>
          </cell>
        </row>
        <row r="84">
          <cell r="C84">
            <v>8780.8163265306121</v>
          </cell>
          <cell r="E84">
            <v>5378.2346938775518</v>
          </cell>
          <cell r="G84">
            <v>7475.908163265306</v>
          </cell>
        </row>
        <row r="85">
          <cell r="C85">
            <v>93.706010087563811</v>
          </cell>
          <cell r="E85">
            <v>73.336448604207391</v>
          </cell>
          <cell r="G85">
            <v>86.463334213210317</v>
          </cell>
        </row>
      </sheetData>
      <sheetData sheetId="13">
        <row r="53">
          <cell r="C53">
            <v>573.83333333333337</v>
          </cell>
          <cell r="E53">
            <v>221.66666666666669</v>
          </cell>
          <cell r="G53">
            <v>324.75</v>
          </cell>
        </row>
        <row r="54">
          <cell r="C54">
            <v>6988.0555555555557</v>
          </cell>
          <cell r="E54">
            <v>249.66666666666666</v>
          </cell>
          <cell r="G54">
            <v>7700.166666666667</v>
          </cell>
        </row>
        <row r="55">
          <cell r="C55">
            <v>83.594590468256712</v>
          </cell>
          <cell r="E55">
            <v>15.800843859321775</v>
          </cell>
          <cell r="G55">
            <v>87.750593540252865</v>
          </cell>
        </row>
      </sheetData>
      <sheetData sheetId="14">
        <row r="76">
          <cell r="C76">
            <v>504.45833333333337</v>
          </cell>
          <cell r="E76">
            <v>233.45833333333334</v>
          </cell>
          <cell r="G76">
            <v>249.41666666666669</v>
          </cell>
        </row>
        <row r="77">
          <cell r="C77">
            <v>17359.645833333332</v>
          </cell>
          <cell r="E77">
            <v>6959.854166666667</v>
          </cell>
          <cell r="G77">
            <v>9467.3472222222226</v>
          </cell>
        </row>
        <row r="78">
          <cell r="C78">
            <v>131.75600871813526</v>
          </cell>
          <cell r="E78">
            <v>83.425740432235102</v>
          </cell>
          <cell r="G78">
            <v>97.300294050029578</v>
          </cell>
        </row>
      </sheetData>
      <sheetData sheetId="15">
        <row r="83">
          <cell r="C83">
            <v>503.75</v>
          </cell>
          <cell r="E83">
            <v>166.85714285714286</v>
          </cell>
          <cell r="G83">
            <v>322.14285714285711</v>
          </cell>
        </row>
        <row r="84">
          <cell r="C84">
            <v>13849.234693877552</v>
          </cell>
          <cell r="E84">
            <v>6196.1938775510207</v>
          </cell>
          <cell r="G84">
            <v>11613.459183673469</v>
          </cell>
        </row>
        <row r="85">
          <cell r="C85">
            <v>117.68277144033256</v>
          </cell>
          <cell r="E85">
            <v>78.715906127993094</v>
          </cell>
          <cell r="G85">
            <v>107.76576072052509</v>
          </cell>
        </row>
      </sheetData>
      <sheetData sheetId="16">
        <row r="63">
          <cell r="C63">
            <v>465.16666666666663</v>
          </cell>
          <cell r="E63">
            <v>140.5</v>
          </cell>
          <cell r="G63">
            <v>309.45833333333331</v>
          </cell>
        </row>
        <row r="64">
          <cell r="C64">
            <v>17657.791666666664</v>
          </cell>
          <cell r="E64">
            <v>14569.902777777777</v>
          </cell>
          <cell r="G64">
            <v>2988.8263888888891</v>
          </cell>
        </row>
        <row r="65">
          <cell r="C65">
            <v>132.88262364457839</v>
          </cell>
          <cell r="E65">
            <v>120.70585229299273</v>
          </cell>
          <cell r="G65">
            <v>54.670159949362585</v>
          </cell>
        </row>
      </sheetData>
      <sheetData sheetId="17">
        <row r="72">
          <cell r="C72">
            <v>396.75</v>
          </cell>
          <cell r="E72">
            <v>150.85</v>
          </cell>
          <cell r="G72">
            <v>231.4</v>
          </cell>
        </row>
        <row r="73">
          <cell r="C73">
            <v>5462.74</v>
          </cell>
          <cell r="E73">
            <v>1942.3600000000001</v>
          </cell>
          <cell r="G73">
            <v>5250.58</v>
          </cell>
        </row>
        <row r="74">
          <cell r="C74">
            <v>73.910351101858524</v>
          </cell>
          <cell r="E74">
            <v>44.072213468352146</v>
          </cell>
          <cell r="G74">
            <v>72.460886000655549</v>
          </cell>
        </row>
      </sheetData>
      <sheetData sheetId="18">
        <row r="75">
          <cell r="C75">
            <v>437.8</v>
          </cell>
          <cell r="E75">
            <v>294.60000000000002</v>
          </cell>
          <cell r="G75">
            <v>128.04999999999998</v>
          </cell>
        </row>
        <row r="76">
          <cell r="C76">
            <v>8294.92</v>
          </cell>
          <cell r="E76">
            <v>13520.079999999998</v>
          </cell>
          <cell r="G76">
            <v>2901.82</v>
          </cell>
        </row>
        <row r="77">
          <cell r="C77">
            <v>91.076451402105036</v>
          </cell>
          <cell r="E77">
            <v>116.27587883993824</v>
          </cell>
          <cell r="G77">
            <v>53.868543696669583</v>
          </cell>
        </row>
      </sheetData>
      <sheetData sheetId="19">
        <row r="66">
          <cell r="C66">
            <v>464.85714285714283</v>
          </cell>
          <cell r="E66">
            <v>290.21428571428572</v>
          </cell>
          <cell r="G66">
            <v>152.53571428571428</v>
          </cell>
        </row>
        <row r="67">
          <cell r="C67">
            <v>13786.887755102041</v>
          </cell>
          <cell r="E67">
            <v>31081.785714285717</v>
          </cell>
          <cell r="G67">
            <v>5579.908163265306</v>
          </cell>
        </row>
        <row r="68">
          <cell r="C68">
            <v>117.41757856088688</v>
          </cell>
          <cell r="E68">
            <v>176.30027145267167</v>
          </cell>
          <cell r="G68">
            <v>74.698782876733048</v>
          </cell>
        </row>
      </sheetData>
      <sheetData sheetId="20">
        <row r="71">
          <cell r="C71">
            <v>469.35</v>
          </cell>
          <cell r="E71">
            <v>159.5</v>
          </cell>
          <cell r="G71">
            <v>284.5</v>
          </cell>
        </row>
        <row r="72">
          <cell r="C72">
            <v>16569.580000000002</v>
          </cell>
          <cell r="E72">
            <v>9265.76</v>
          </cell>
          <cell r="G72">
            <v>16811.96</v>
          </cell>
        </row>
        <row r="73">
          <cell r="C73">
            <v>128.72288063899131</v>
          </cell>
          <cell r="E73">
            <v>96.258817777905421</v>
          </cell>
          <cell r="G73">
            <v>129.66094246148299</v>
          </cell>
        </row>
      </sheetData>
      <sheetData sheetId="21">
        <row r="78">
          <cell r="C78">
            <v>409.5</v>
          </cell>
          <cell r="E78">
            <v>175.83333333333331</v>
          </cell>
          <cell r="G78">
            <v>214.125</v>
          </cell>
        </row>
        <row r="79">
          <cell r="C79">
            <v>12788.208333333332</v>
          </cell>
          <cell r="E79">
            <v>13248.652777777777</v>
          </cell>
          <cell r="G79">
            <v>19296.729166666664</v>
          </cell>
        </row>
        <row r="80">
          <cell r="C80">
            <v>113.08496068590789</v>
          </cell>
          <cell r="E80">
            <v>115.10279222407151</v>
          </cell>
          <cell r="G80">
            <v>138.91266740893957</v>
          </cell>
        </row>
      </sheetData>
      <sheetData sheetId="22">
        <row r="60">
          <cell r="C60">
            <v>516.29166666666663</v>
          </cell>
          <cell r="E60">
            <v>182.29166666666669</v>
          </cell>
          <cell r="G60">
            <v>311.625</v>
          </cell>
        </row>
        <row r="61">
          <cell r="C61">
            <v>23496.565972222223</v>
          </cell>
          <cell r="E61">
            <v>12736.211805555555</v>
          </cell>
          <cell r="G61">
            <v>7727.34375</v>
          </cell>
        </row>
        <row r="62">
          <cell r="C62">
            <v>153.28589619473223</v>
          </cell>
          <cell r="E62">
            <v>112.85482623953463</v>
          </cell>
          <cell r="G62">
            <v>87.905311272982814</v>
          </cell>
        </row>
      </sheetData>
      <sheetData sheetId="23">
        <row r="71">
          <cell r="C71">
            <v>455.55</v>
          </cell>
          <cell r="E71">
            <v>222.45</v>
          </cell>
          <cell r="G71">
            <v>213.45</v>
          </cell>
        </row>
        <row r="72">
          <cell r="C72">
            <v>13826.220000000001</v>
          </cell>
          <cell r="E72">
            <v>3956.7200000000003</v>
          </cell>
          <cell r="G72">
            <v>12177.74</v>
          </cell>
        </row>
        <row r="73">
          <cell r="C73">
            <v>117.58494801631713</v>
          </cell>
          <cell r="E73">
            <v>62.90246418066625</v>
          </cell>
          <cell r="G73">
            <v>110.35279788025314</v>
          </cell>
        </row>
      </sheetData>
      <sheetData sheetId="24">
        <row r="75">
          <cell r="C75">
            <v>506.8</v>
          </cell>
          <cell r="E75">
            <v>198.64999999999998</v>
          </cell>
          <cell r="G75">
            <v>289.10000000000002</v>
          </cell>
        </row>
        <row r="76">
          <cell r="C76">
            <v>13158.32</v>
          </cell>
          <cell r="E76">
            <v>7211.6399999999994</v>
          </cell>
          <cell r="G76">
            <v>2262.58</v>
          </cell>
        </row>
        <row r="77">
          <cell r="C77">
            <v>114.70972059943307</v>
          </cell>
          <cell r="E77">
            <v>84.921375401014316</v>
          </cell>
          <cell r="G77">
            <v>47.566584909997481</v>
          </cell>
        </row>
      </sheetData>
      <sheetData sheetId="25">
        <row r="67">
          <cell r="C67">
            <v>536.08333333333337</v>
          </cell>
          <cell r="E67">
            <v>217.45833333333331</v>
          </cell>
          <cell r="G67">
            <v>291.16666666666669</v>
          </cell>
        </row>
        <row r="68">
          <cell r="C68">
            <v>23973.291666666664</v>
          </cell>
          <cell r="E68">
            <v>17347.3125</v>
          </cell>
          <cell r="G68">
            <v>3632.9583333333335</v>
          </cell>
        </row>
        <row r="69">
          <cell r="C69">
            <v>154.83310907769908</v>
          </cell>
          <cell r="E69">
            <v>131.70919671761726</v>
          </cell>
          <cell r="G69">
            <v>60.274027021042265</v>
          </cell>
        </row>
      </sheetData>
      <sheetData sheetId="26">
        <row r="75">
          <cell r="C75">
            <v>564.66666666666663</v>
          </cell>
          <cell r="E75">
            <v>279.375</v>
          </cell>
          <cell r="G75">
            <v>251.29166666666669</v>
          </cell>
        </row>
        <row r="76">
          <cell r="C76">
            <v>31822.958333333332</v>
          </cell>
          <cell r="E76">
            <v>15046.923611111111</v>
          </cell>
          <cell r="G76">
            <v>12230.354166666668</v>
          </cell>
        </row>
        <row r="77">
          <cell r="C77">
            <v>178.38990535715112</v>
          </cell>
          <cell r="E77">
            <v>122.66590239798145</v>
          </cell>
          <cell r="G77">
            <v>110.59093166560569</v>
          </cell>
        </row>
      </sheetData>
      <sheetData sheetId="27">
        <row r="87">
          <cell r="C87">
            <v>507.34375</v>
          </cell>
          <cell r="E87">
            <v>249.84375</v>
          </cell>
          <cell r="G87">
            <v>217.96875</v>
          </cell>
        </row>
        <row r="88">
          <cell r="C88">
            <v>19538.80078125</v>
          </cell>
          <cell r="E88">
            <v>19835.18359375</v>
          </cell>
          <cell r="G88">
            <v>4701.95703125</v>
          </cell>
        </row>
        <row r="89">
          <cell r="C89">
            <v>139.78126047954353</v>
          </cell>
          <cell r="E89">
            <v>140.83743676221178</v>
          </cell>
          <cell r="G89">
            <v>68.57081763585731</v>
          </cell>
        </row>
      </sheetData>
      <sheetData sheetId="28">
        <row r="66">
          <cell r="C66">
            <v>492.03571428571428</v>
          </cell>
          <cell r="E66">
            <v>180.28571428571428</v>
          </cell>
          <cell r="G66">
            <v>260.07142857142856</v>
          </cell>
        </row>
        <row r="67">
          <cell r="C67">
            <v>14227.836734693878</v>
          </cell>
          <cell r="E67">
            <v>9815.7857142857138</v>
          </cell>
          <cell r="G67">
            <v>23319.193877551021</v>
          </cell>
        </row>
        <row r="68">
          <cell r="C68">
            <v>119.28049603641777</v>
          </cell>
          <cell r="E68">
            <v>99.074647182241904</v>
          </cell>
          <cell r="G68">
            <v>152.70623391843247</v>
          </cell>
        </row>
      </sheetData>
      <sheetData sheetId="29">
        <row r="75">
          <cell r="C75">
            <v>577.125</v>
          </cell>
          <cell r="E75">
            <v>239.54166666666669</v>
          </cell>
          <cell r="G75">
            <v>264.125</v>
          </cell>
        </row>
        <row r="76">
          <cell r="C76">
            <v>17269.3125</v>
          </cell>
          <cell r="E76">
            <v>11158.104166666668</v>
          </cell>
          <cell r="G76">
            <v>22341.854166666664</v>
          </cell>
        </row>
        <row r="77">
          <cell r="C77">
            <v>131.41275623013163</v>
          </cell>
          <cell r="E77">
            <v>105.63192778069833</v>
          </cell>
          <cell r="G77">
            <v>149.47191765233583</v>
          </cell>
        </row>
      </sheetData>
      <sheetData sheetId="30">
        <row r="81">
          <cell r="C81">
            <v>525.67857142857133</v>
          </cell>
          <cell r="E81">
            <v>206.53571428571428</v>
          </cell>
          <cell r="G81">
            <v>273.39285714285711</v>
          </cell>
        </row>
        <row r="82">
          <cell r="C82">
            <v>18670.408163265307</v>
          </cell>
          <cell r="E82">
            <v>12809.132653061224</v>
          </cell>
          <cell r="G82">
            <v>19719.469387755104</v>
          </cell>
        </row>
        <row r="83">
          <cell r="C83">
            <v>136.63970200225594</v>
          </cell>
          <cell r="E83">
            <v>113.17743879882255</v>
          </cell>
          <cell r="G83">
            <v>140.42602817054643</v>
          </cell>
        </row>
      </sheetData>
      <sheetData sheetId="31">
        <row r="61">
          <cell r="C61">
            <v>555.02499999999998</v>
          </cell>
          <cell r="E61">
            <v>282.86250000000001</v>
          </cell>
          <cell r="G61">
            <v>236.17500000000001</v>
          </cell>
        </row>
        <row r="62">
          <cell r="C62">
            <v>22979.403750000001</v>
          </cell>
          <cell r="E62">
            <v>11478.886875</v>
          </cell>
          <cell r="G62">
            <v>2961.63375</v>
          </cell>
        </row>
        <row r="63">
          <cell r="C63">
            <v>151.58958984706041</v>
          </cell>
          <cell r="E63">
            <v>107.13956727092004</v>
          </cell>
          <cell r="G63">
            <v>54.420894424843844</v>
          </cell>
        </row>
      </sheetData>
      <sheetData sheetId="32">
        <row r="83">
          <cell r="C83">
            <v>419.1875</v>
          </cell>
          <cell r="E83">
            <v>179.8125</v>
          </cell>
          <cell r="G83">
            <v>219.96875</v>
          </cell>
        </row>
        <row r="84">
          <cell r="C84">
            <v>28346.3671875</v>
          </cell>
          <cell r="E84">
            <v>13419.4140625</v>
          </cell>
          <cell r="G84">
            <v>12400.77734375</v>
          </cell>
        </row>
        <row r="85">
          <cell r="C85">
            <v>168.36379417054013</v>
          </cell>
          <cell r="E85">
            <v>115.8421946550565</v>
          </cell>
          <cell r="G85">
            <v>111.35877757837503</v>
          </cell>
        </row>
      </sheetData>
      <sheetData sheetId="33">
        <row r="75">
          <cell r="C75">
            <v>506.34999999999997</v>
          </cell>
          <cell r="E75">
            <v>247.20000000000002</v>
          </cell>
          <cell r="G75">
            <v>236</v>
          </cell>
        </row>
        <row r="76">
          <cell r="C76">
            <v>4593.72</v>
          </cell>
          <cell r="E76">
            <v>4204.66</v>
          </cell>
          <cell r="G76">
            <v>2446.7399999999998</v>
          </cell>
        </row>
        <row r="77">
          <cell r="C77">
            <v>67.776987244934404</v>
          </cell>
          <cell r="E77">
            <v>64.843349697559574</v>
          </cell>
          <cell r="G77">
            <v>49.464532748222737</v>
          </cell>
        </row>
      </sheetData>
      <sheetData sheetId="34">
        <row r="52">
          <cell r="C52">
            <v>509.35</v>
          </cell>
          <cell r="E52">
            <v>210.95</v>
          </cell>
          <cell r="G52">
            <v>263.55</v>
          </cell>
        </row>
        <row r="53">
          <cell r="C53">
            <v>3596.26</v>
          </cell>
          <cell r="E53">
            <v>9347.99</v>
          </cell>
          <cell r="G53">
            <v>4958.5650000000005</v>
          </cell>
        </row>
        <row r="54">
          <cell r="C54">
            <v>59.968825234449945</v>
          </cell>
          <cell r="E54">
            <v>96.685004007860499</v>
          </cell>
          <cell r="G54">
            <v>70.417078894256903</v>
          </cell>
        </row>
      </sheetData>
      <sheetData sheetId="35">
        <row r="66">
          <cell r="C66">
            <v>336.75</v>
          </cell>
          <cell r="E66">
            <v>173.5</v>
          </cell>
          <cell r="G66">
            <v>150.125</v>
          </cell>
        </row>
        <row r="67">
          <cell r="C67">
            <v>51685.40625</v>
          </cell>
          <cell r="E67">
            <v>11569.125</v>
          </cell>
          <cell r="G67">
            <v>15847.3125</v>
          </cell>
        </row>
        <row r="68">
          <cell r="C68">
            <v>227.34424613347926</v>
          </cell>
          <cell r="E68">
            <v>107.55986705086615</v>
          </cell>
          <cell r="G68">
            <v>125.88610924164747</v>
          </cell>
        </row>
      </sheetData>
      <sheetData sheetId="36">
        <row r="76">
          <cell r="C76">
            <v>467.375</v>
          </cell>
          <cell r="E76">
            <v>163</v>
          </cell>
          <cell r="G76">
            <v>283.70833333333331</v>
          </cell>
        </row>
        <row r="77">
          <cell r="C77">
            <v>19305.0625</v>
          </cell>
          <cell r="E77">
            <v>12878.09375</v>
          </cell>
          <cell r="G77">
            <v>2575.7326388888887</v>
          </cell>
        </row>
        <row r="78">
          <cell r="C78">
            <v>138.94265903602104</v>
          </cell>
          <cell r="E78">
            <v>113.48168905158224</v>
          </cell>
          <cell r="G78">
            <v>50.751676217528903</v>
          </cell>
        </row>
      </sheetData>
      <sheetData sheetId="37">
        <row r="65">
          <cell r="C65">
            <v>5895</v>
          </cell>
          <cell r="E65">
            <v>225.21428571428572</v>
          </cell>
          <cell r="G65">
            <v>255.42857142857142</v>
          </cell>
        </row>
        <row r="66">
          <cell r="C66">
            <v>20877.418367346938</v>
          </cell>
          <cell r="E66">
            <v>34904.489795918365</v>
          </cell>
          <cell r="G66">
            <v>23135.561224489797</v>
          </cell>
        </row>
        <row r="67">
          <cell r="C67">
            <v>144.49020163093044</v>
          </cell>
          <cell r="E67">
            <v>186.82743319951265</v>
          </cell>
          <cell r="G67">
            <v>152.10378438582583</v>
          </cell>
        </row>
      </sheetData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3"/>
  <sheetViews>
    <sheetView workbookViewId="0">
      <selection activeCell="E13" sqref="E13"/>
    </sheetView>
  </sheetViews>
  <sheetFormatPr defaultRowHeight="15"/>
  <cols>
    <col min="1" max="2" width="9.140625" style="19"/>
    <col min="3" max="3" width="18" style="19" bestFit="1" customWidth="1"/>
    <col min="4" max="4" width="7.5703125" style="19" customWidth="1"/>
    <col min="5" max="5" width="32.7109375" style="19" bestFit="1" customWidth="1"/>
    <col min="6" max="6" width="13.7109375" style="19" bestFit="1" customWidth="1"/>
    <col min="7" max="7" width="17.140625" style="19" bestFit="1" customWidth="1"/>
    <col min="8" max="9" width="12" style="19" bestFit="1" customWidth="1"/>
    <col min="10" max="10" width="9.85546875" style="19" bestFit="1" customWidth="1"/>
    <col min="11" max="12" width="9.140625" style="19"/>
    <col min="13" max="13" width="12" style="19" bestFit="1" customWidth="1"/>
    <col min="14" max="14" width="13.7109375" style="19" bestFit="1" customWidth="1"/>
    <col min="15" max="15" width="9.85546875" style="19" bestFit="1" customWidth="1"/>
    <col min="16" max="17" width="9.140625" style="19"/>
    <col min="18" max="18" width="12.85546875" style="19" bestFit="1" customWidth="1"/>
    <col min="19" max="19" width="13.7109375" style="19" bestFit="1" customWidth="1"/>
    <col min="20" max="20" width="9.140625" style="19"/>
    <col min="21" max="22" width="10.42578125" style="19" bestFit="1" customWidth="1"/>
    <col min="23" max="23" width="12.7109375" style="19" bestFit="1" customWidth="1"/>
    <col min="24" max="24" width="13.5703125" style="19" bestFit="1" customWidth="1"/>
    <col min="25" max="25" width="17.5703125" style="19" bestFit="1" customWidth="1"/>
    <col min="26" max="26" width="13.5703125" style="19" bestFit="1" customWidth="1"/>
    <col min="27" max="27" width="18" style="19" bestFit="1" customWidth="1"/>
    <col min="28" max="16384" width="9.140625" style="19"/>
  </cols>
  <sheetData>
    <row r="1" spans="1:27" ht="43.5" customHeight="1">
      <c r="A1" s="46" t="s">
        <v>130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27" ht="18.75" customHeight="1">
      <c r="A2" s="41" t="s">
        <v>0</v>
      </c>
      <c r="B2" s="41" t="s">
        <v>1</v>
      </c>
      <c r="C2" s="41" t="s">
        <v>2</v>
      </c>
      <c r="D2" s="47" t="s">
        <v>3</v>
      </c>
      <c r="E2" s="41" t="s">
        <v>4</v>
      </c>
      <c r="F2" s="49" t="s">
        <v>5</v>
      </c>
      <c r="G2" s="41" t="s">
        <v>5</v>
      </c>
      <c r="H2" s="41"/>
      <c r="I2" s="41"/>
      <c r="J2" s="51" t="s">
        <v>6</v>
      </c>
      <c r="K2" s="52"/>
      <c r="L2" s="52"/>
      <c r="M2" s="52"/>
      <c r="N2" s="53"/>
      <c r="O2" s="54" t="s">
        <v>7</v>
      </c>
      <c r="P2" s="55"/>
      <c r="Q2" s="55"/>
      <c r="R2" s="55"/>
      <c r="S2" s="56"/>
      <c r="T2" s="54">
        <v>2018</v>
      </c>
      <c r="U2" s="55"/>
      <c r="V2" s="55"/>
      <c r="W2" s="55"/>
      <c r="X2" s="56"/>
      <c r="Y2" s="39" t="s">
        <v>8</v>
      </c>
      <c r="Z2" s="39" t="s">
        <v>9</v>
      </c>
      <c r="AA2" s="39" t="s">
        <v>10</v>
      </c>
    </row>
    <row r="3" spans="1:27" ht="60">
      <c r="A3" s="41"/>
      <c r="B3" s="41"/>
      <c r="C3" s="41"/>
      <c r="D3" s="48"/>
      <c r="E3" s="41"/>
      <c r="F3" s="50"/>
      <c r="G3" s="21" t="s">
        <v>11</v>
      </c>
      <c r="H3" s="21" t="s">
        <v>12</v>
      </c>
      <c r="I3" s="21" t="s">
        <v>13</v>
      </c>
      <c r="J3" s="21" t="s">
        <v>14</v>
      </c>
      <c r="K3" s="21" t="s">
        <v>11</v>
      </c>
      <c r="L3" s="21" t="s">
        <v>15</v>
      </c>
      <c r="M3" s="21" t="s">
        <v>12</v>
      </c>
      <c r="N3" s="21" t="s">
        <v>13</v>
      </c>
      <c r="O3" s="21" t="s">
        <v>16</v>
      </c>
      <c r="P3" s="21" t="s">
        <v>11</v>
      </c>
      <c r="Q3" s="21" t="s">
        <v>15</v>
      </c>
      <c r="R3" s="21" t="s">
        <v>12</v>
      </c>
      <c r="S3" s="21" t="s">
        <v>13</v>
      </c>
      <c r="T3" s="21" t="s">
        <v>17</v>
      </c>
      <c r="U3" s="21" t="s">
        <v>18</v>
      </c>
      <c r="V3" s="21" t="s">
        <v>19</v>
      </c>
      <c r="W3" s="21" t="s">
        <v>20</v>
      </c>
      <c r="X3" s="21" t="s">
        <v>21</v>
      </c>
      <c r="Y3" s="39"/>
      <c r="Z3" s="39"/>
      <c r="AA3" s="39"/>
    </row>
    <row r="4" spans="1:27">
      <c r="A4" s="1">
        <v>1</v>
      </c>
      <c r="B4" s="1">
        <v>21</v>
      </c>
      <c r="C4" s="2" t="s">
        <v>22</v>
      </c>
      <c r="D4" s="1">
        <v>6</v>
      </c>
      <c r="E4" s="1" t="s">
        <v>23</v>
      </c>
      <c r="F4" s="1">
        <v>13856</v>
      </c>
      <c r="G4" s="3">
        <f>'[1]WARD 21'!$C$79</f>
        <v>577.33333333333326</v>
      </c>
      <c r="H4" s="3">
        <f>'[1]WARD 21'!$C$81</f>
        <v>152.42561938350275</v>
      </c>
      <c r="I4" s="3">
        <f>'[1]WARD 21'!$C$80</f>
        <v>23233.569444444445</v>
      </c>
      <c r="J4" s="4">
        <v>7322</v>
      </c>
      <c r="K4" s="3">
        <f>'[1]WARD 21'!$E$79</f>
        <v>305.08333333333337</v>
      </c>
      <c r="L4" s="3">
        <f>(K4/G4)*100</f>
        <v>52.843533487297933</v>
      </c>
      <c r="M4" s="3">
        <f>'[1]WARD 21'!$E$81</f>
        <v>109.17086505921705</v>
      </c>
      <c r="N4" s="3">
        <f>'[1]WARD 21'!$E$80</f>
        <v>11918.277777777777</v>
      </c>
      <c r="O4" s="4">
        <v>5811</v>
      </c>
      <c r="P4" s="3">
        <f>'[1]WARD 21'!$G$79</f>
        <v>242.125</v>
      </c>
      <c r="Q4" s="3">
        <f>(P4/G4)*100</f>
        <v>41.938510392609707</v>
      </c>
      <c r="R4" s="3">
        <f>'[1]WARD 21'!$G$81</f>
        <v>71.377955280324471</v>
      </c>
      <c r="S4" s="3">
        <f>'[1]WARD 21'!$G$80</f>
        <v>5094.8125</v>
      </c>
      <c r="T4" s="1" t="s">
        <v>24</v>
      </c>
      <c r="U4" s="22" t="s">
        <v>25</v>
      </c>
      <c r="V4" s="1" t="s">
        <v>26</v>
      </c>
      <c r="W4" s="1" t="s">
        <v>27</v>
      </c>
      <c r="X4" s="1" t="s">
        <v>28</v>
      </c>
      <c r="Y4" s="13" t="str">
        <f>IF(L4&gt;Q4,"BJP GAIN","CONGRESS GAIN")</f>
        <v>BJP GAIN</v>
      </c>
      <c r="Z4" s="5">
        <f>L4-Q4</f>
        <v>10.905023094688225</v>
      </c>
      <c r="AA4" s="25" t="str">
        <f t="shared" ref="AA4:AA40" si="0">IF(Z4&gt;=50,"VERYHIGHMARGIN",IF(Z4&gt;=40,"HIGHMARGIN",IF(Z4&gt;=30,"MEDIUMMARGIN",IF(Z4&gt;10,"LOWMARGIN",IF(Z4&gt;1,"NARROWMARGIN")))))</f>
        <v>LOWMARGIN</v>
      </c>
    </row>
    <row r="5" spans="1:27">
      <c r="A5" s="1">
        <v>2</v>
      </c>
      <c r="B5" s="1">
        <v>24</v>
      </c>
      <c r="C5" s="2" t="s">
        <v>29</v>
      </c>
      <c r="D5" s="1">
        <v>6</v>
      </c>
      <c r="E5" s="1" t="s">
        <v>30</v>
      </c>
      <c r="F5" s="1">
        <v>10529</v>
      </c>
      <c r="G5" s="3">
        <f>'[1]WARD 24'!$C$66</f>
        <v>438.70833333333326</v>
      </c>
      <c r="H5" s="3">
        <f>'[1]WARD 24'!$C$68</f>
        <v>156.53529509701991</v>
      </c>
      <c r="I5" s="3">
        <f>'[1]WARD 24'!$C$67</f>
        <v>24503.298611111109</v>
      </c>
      <c r="J5" s="4">
        <v>5276</v>
      </c>
      <c r="K5" s="3">
        <f>'[1]WARD 24'!$E$66</f>
        <v>219.83333333333334</v>
      </c>
      <c r="L5" s="3">
        <f t="shared" ref="L5:L41" si="1">(K5/G5)*100</f>
        <v>50.109222148352181</v>
      </c>
      <c r="M5" s="3">
        <f>'[1]WARD 24'!$E$68</f>
        <v>66.487885279115986</v>
      </c>
      <c r="N5" s="3">
        <f>'[1]WARD 24'!$E$67</f>
        <v>4420.6388888888887</v>
      </c>
      <c r="O5" s="4">
        <v>4840</v>
      </c>
      <c r="P5" s="3">
        <f>'[1]WARD 24'!$G$66</f>
        <v>201.66666666666663</v>
      </c>
      <c r="Q5" s="3">
        <f t="shared" ref="Q5:Q41" si="2">(P5/G5)*100</f>
        <v>45.968278089087285</v>
      </c>
      <c r="R5" s="3">
        <f>'[1]WARD 24'!$G$68</f>
        <v>90.703653607656719</v>
      </c>
      <c r="S5" s="3">
        <f>'[1]WARD 24'!$G$67</f>
        <v>8227.1527777777774</v>
      </c>
      <c r="T5" s="1" t="s">
        <v>31</v>
      </c>
      <c r="U5" s="22" t="s">
        <v>26</v>
      </c>
      <c r="V5" s="1" t="s">
        <v>25</v>
      </c>
      <c r="W5" s="1" t="s">
        <v>27</v>
      </c>
      <c r="X5" s="1" t="e">
        <v>#DIV/0!</v>
      </c>
      <c r="Y5" s="13" t="str">
        <f t="shared" ref="Y5:Y41" si="3">IF(L5&gt;Q5,"BJP GAIN","CONGRESS GAIN")</f>
        <v>BJP GAIN</v>
      </c>
      <c r="Z5" s="5">
        <f t="shared" ref="Z5:Z39" si="4">L5-Q5</f>
        <v>4.1409440592648963</v>
      </c>
      <c r="AA5" s="24" t="str">
        <f t="shared" si="0"/>
        <v>NARROWMARGIN</v>
      </c>
    </row>
    <row r="6" spans="1:27">
      <c r="A6" s="1">
        <v>3</v>
      </c>
      <c r="B6" s="1">
        <v>25</v>
      </c>
      <c r="C6" s="2" t="s">
        <v>32</v>
      </c>
      <c r="D6" s="1">
        <v>6</v>
      </c>
      <c r="E6" s="1" t="s">
        <v>33</v>
      </c>
      <c r="F6" s="1">
        <v>12422</v>
      </c>
      <c r="G6" s="6">
        <f>'[1]WARD 25'!$C$75</f>
        <v>517.58333333333326</v>
      </c>
      <c r="H6" s="6">
        <f>'[1]WARD 25'!$C$77</f>
        <v>143.88706026294062</v>
      </c>
      <c r="I6" s="6">
        <f>'[1]WARD 25'!$C$76</f>
        <v>20703.486111111109</v>
      </c>
      <c r="J6" s="7">
        <v>6026</v>
      </c>
      <c r="K6" s="6">
        <f>'[1]WARD 25'!$E$75</f>
        <v>251.08333333333331</v>
      </c>
      <c r="L6" s="3">
        <f t="shared" si="1"/>
        <v>48.510706810497503</v>
      </c>
      <c r="M6" s="6">
        <f>'[1]WARD 25'!$E$77</f>
        <v>51.226620683651063</v>
      </c>
      <c r="N6" s="6">
        <f>'[1]WARD 25'!$E$76</f>
        <v>2624.166666666667</v>
      </c>
      <c r="O6" s="7">
        <v>5460</v>
      </c>
      <c r="P6" s="6">
        <f>'[1]WARD 25'!$G$75</f>
        <v>227.5</v>
      </c>
      <c r="Q6" s="3">
        <f t="shared" si="2"/>
        <v>43.95427467396555</v>
      </c>
      <c r="R6" s="6">
        <f>'[1]WARD 25'!$G$77</f>
        <v>89.172585473339282</v>
      </c>
      <c r="S6" s="6">
        <f>'[1]WARD 25'!$G$76</f>
        <v>7951.75</v>
      </c>
      <c r="T6" s="1" t="s">
        <v>31</v>
      </c>
      <c r="U6" s="22" t="s">
        <v>24</v>
      </c>
      <c r="V6" s="1" t="s">
        <v>26</v>
      </c>
      <c r="W6" s="8" t="s">
        <v>27</v>
      </c>
      <c r="X6" s="1" t="e">
        <v>#DIV/0!</v>
      </c>
      <c r="Y6" s="13" t="str">
        <f t="shared" si="3"/>
        <v>BJP GAIN</v>
      </c>
      <c r="Z6" s="5">
        <f t="shared" si="4"/>
        <v>4.5564321365319529</v>
      </c>
      <c r="AA6" s="24" t="str">
        <f t="shared" si="0"/>
        <v>NARROWMARGIN</v>
      </c>
    </row>
    <row r="7" spans="1:27">
      <c r="A7" s="1">
        <v>4</v>
      </c>
      <c r="B7" s="1">
        <v>26</v>
      </c>
      <c r="C7" s="2" t="s">
        <v>34</v>
      </c>
      <c r="D7" s="1">
        <v>7</v>
      </c>
      <c r="E7" s="9" t="s">
        <v>35</v>
      </c>
      <c r="F7" s="1">
        <v>17539</v>
      </c>
      <c r="G7" s="10">
        <f>'[1]WARD 26'!$C$87</f>
        <v>548.09375</v>
      </c>
      <c r="H7" s="10">
        <f>'[1]WARD 26'!$C$89</f>
        <v>164.27051099101749</v>
      </c>
      <c r="I7" s="10">
        <f>'[1]WARD 26'!$C$88</f>
        <v>26984.80078125</v>
      </c>
      <c r="J7" s="11">
        <v>9763</v>
      </c>
      <c r="K7" s="10">
        <f>'[1]WARD 26'!$E$87</f>
        <v>305.09375</v>
      </c>
      <c r="L7" s="3">
        <f t="shared" si="1"/>
        <v>55.664519071782884</v>
      </c>
      <c r="M7" s="10">
        <f>'[1]WARD 26'!$E$89</f>
        <v>113.17597263222437</v>
      </c>
      <c r="N7" s="10">
        <f>'[1]WARD 26'!$E$88</f>
        <v>12808.80078125</v>
      </c>
      <c r="O7" s="11">
        <v>7055</v>
      </c>
      <c r="P7" s="10">
        <f>'[1]WARD 26'!$G$87</f>
        <v>220.46875</v>
      </c>
      <c r="Q7" s="3">
        <f t="shared" si="2"/>
        <v>40.224642225896574</v>
      </c>
      <c r="R7" s="10">
        <f>'[1]WARD 26'!$G$89</f>
        <v>59.148350304552025</v>
      </c>
      <c r="S7" s="10">
        <f>'[1]WARD 26'!$G$88</f>
        <v>3498.52734375</v>
      </c>
      <c r="T7" s="1" t="s">
        <v>31</v>
      </c>
      <c r="U7" s="22" t="s">
        <v>25</v>
      </c>
      <c r="V7" s="1" t="s">
        <v>26</v>
      </c>
      <c r="W7" s="1" t="s">
        <v>27</v>
      </c>
      <c r="X7" s="1" t="s">
        <v>28</v>
      </c>
      <c r="Y7" s="13" t="str">
        <f t="shared" si="3"/>
        <v>BJP GAIN</v>
      </c>
      <c r="Z7" s="5">
        <f t="shared" si="4"/>
        <v>15.43987684588631</v>
      </c>
      <c r="AA7" s="25" t="str">
        <f t="shared" si="0"/>
        <v>LOWMARGIN</v>
      </c>
    </row>
    <row r="8" spans="1:27">
      <c r="A8" s="1">
        <v>5</v>
      </c>
      <c r="B8" s="1">
        <v>27</v>
      </c>
      <c r="C8" s="2" t="s">
        <v>36</v>
      </c>
      <c r="D8" s="1">
        <v>6</v>
      </c>
      <c r="E8" s="9" t="s">
        <v>37</v>
      </c>
      <c r="F8" s="1">
        <v>12725</v>
      </c>
      <c r="G8" s="3">
        <f>'[1]WARD 27'!$C$65</f>
        <v>530.20833333333337</v>
      </c>
      <c r="H8" s="3">
        <f>'[1]WARD 27'!$C$67</f>
        <v>128.65319985656529</v>
      </c>
      <c r="I8" s="3">
        <f>'[1]WARD 27'!$C$66</f>
        <v>16551.645833333336</v>
      </c>
      <c r="J8" s="4">
        <v>7186</v>
      </c>
      <c r="K8" s="3">
        <f>'[1]WARD 27'!$E$65</f>
        <v>299.41666666666669</v>
      </c>
      <c r="L8" s="3">
        <f t="shared" si="1"/>
        <v>56.471512770137522</v>
      </c>
      <c r="M8" s="3">
        <f>'[1]WARD 27'!$E$67</f>
        <v>113.71699765450877</v>
      </c>
      <c r="N8" s="3">
        <f>'[1]WARD 27'!$E$66</f>
        <v>12931.555555555555</v>
      </c>
      <c r="O8" s="4">
        <v>4883</v>
      </c>
      <c r="P8" s="3">
        <f>'[1]WARD 27'!$G$65</f>
        <v>203.45833333333331</v>
      </c>
      <c r="Q8" s="3">
        <f t="shared" si="2"/>
        <v>38.373280943025534</v>
      </c>
      <c r="R8" s="3">
        <f>'[1]WARD 27'!$G$67</f>
        <v>86.860160603121159</v>
      </c>
      <c r="S8" s="3">
        <f>'[1]WARD 27'!$G$66</f>
        <v>7544.6875</v>
      </c>
      <c r="T8" s="1" t="s">
        <v>24</v>
      </c>
      <c r="U8" s="22" t="s">
        <v>25</v>
      </c>
      <c r="V8" s="1" t="s">
        <v>26</v>
      </c>
      <c r="W8" s="1" t="s">
        <v>27</v>
      </c>
      <c r="X8" s="1" t="s">
        <v>38</v>
      </c>
      <c r="Y8" s="13" t="str">
        <f t="shared" si="3"/>
        <v>BJP GAIN</v>
      </c>
      <c r="Z8" s="5">
        <f t="shared" si="4"/>
        <v>18.098231827111988</v>
      </c>
      <c r="AA8" s="25" t="str">
        <f t="shared" si="0"/>
        <v>LOWMARGIN</v>
      </c>
    </row>
    <row r="9" spans="1:27">
      <c r="A9" s="1">
        <v>6</v>
      </c>
      <c r="B9" s="1">
        <v>28</v>
      </c>
      <c r="C9" s="2" t="s">
        <v>39</v>
      </c>
      <c r="D9" s="1">
        <v>4</v>
      </c>
      <c r="E9" s="9" t="s">
        <v>40</v>
      </c>
      <c r="F9" s="1">
        <v>9299</v>
      </c>
      <c r="G9" s="10">
        <f>'[1]WARD 28'!$C$67</f>
        <v>581.1875</v>
      </c>
      <c r="H9" s="10">
        <f>'[1]WARD 28'!$C$69</f>
        <v>117.92960029186905</v>
      </c>
      <c r="I9" s="10">
        <f>'[1]WARD 28'!$C$68</f>
        <v>13907.390625</v>
      </c>
      <c r="J9" s="11">
        <v>6396</v>
      </c>
      <c r="K9" s="10">
        <f>'[1]WARD 28'!$E$67</f>
        <v>399.75</v>
      </c>
      <c r="L9" s="3">
        <f t="shared" si="1"/>
        <v>68.78158941821701</v>
      </c>
      <c r="M9" s="10">
        <f>'[1]WARD 28'!$E$69</f>
        <v>81.416176218243024</v>
      </c>
      <c r="N9" s="10">
        <f>'[1]WARD 28'!$E$68</f>
        <v>6628.59375</v>
      </c>
      <c r="O9" s="11">
        <v>2515</v>
      </c>
      <c r="P9" s="10">
        <f>'[1]WARD 28'!$G$67</f>
        <v>157.1875</v>
      </c>
      <c r="Q9" s="3">
        <f t="shared" si="2"/>
        <v>27.045918916012475</v>
      </c>
      <c r="R9" s="10">
        <f>'[1]WARD 28'!$G$69</f>
        <v>37.49354111043661</v>
      </c>
      <c r="S9" s="10">
        <f>'[1]WARD 28'!$G$68</f>
        <v>1405.765625</v>
      </c>
      <c r="T9" s="1" t="s">
        <v>31</v>
      </c>
      <c r="U9" s="22" t="s">
        <v>25</v>
      </c>
      <c r="V9" s="1" t="s">
        <v>26</v>
      </c>
      <c r="W9" s="12" t="s">
        <v>41</v>
      </c>
      <c r="X9" s="1" t="s">
        <v>38</v>
      </c>
      <c r="Y9" s="13" t="str">
        <f t="shared" si="3"/>
        <v>BJP GAIN</v>
      </c>
      <c r="Z9" s="5">
        <f t="shared" si="4"/>
        <v>41.735670502204535</v>
      </c>
      <c r="AA9" s="27" t="str">
        <f t="shared" si="0"/>
        <v>HIGHMARGIN</v>
      </c>
    </row>
    <row r="10" spans="1:27">
      <c r="A10" s="1">
        <v>7</v>
      </c>
      <c r="B10" s="1">
        <v>29</v>
      </c>
      <c r="C10" s="2" t="s">
        <v>43</v>
      </c>
      <c r="D10" s="1">
        <v>4</v>
      </c>
      <c r="E10" s="9" t="s">
        <v>44</v>
      </c>
      <c r="F10" s="1">
        <v>8068</v>
      </c>
      <c r="G10" s="10">
        <f>'[1]WARD 29'!$C$72</f>
        <v>504.25</v>
      </c>
      <c r="H10" s="3">
        <f>'[1]WARD 29'!$C$74</f>
        <v>107.30913288252776</v>
      </c>
      <c r="I10" s="10">
        <f>'[1]WARD 29'!$C$73</f>
        <v>11515.25</v>
      </c>
      <c r="J10" s="11">
        <v>5691</v>
      </c>
      <c r="K10" s="10">
        <f>'[1]WARD 29'!$E$72</f>
        <v>355.6875</v>
      </c>
      <c r="L10" s="3">
        <f t="shared" si="1"/>
        <v>70.537927615270206</v>
      </c>
      <c r="M10" s="3">
        <f>'[1]WARD 29'!$E$74</f>
        <v>104.79466529838244</v>
      </c>
      <c r="N10" s="10">
        <f>'[1]WARD 29'!$E$73</f>
        <v>10981.921875</v>
      </c>
      <c r="O10" s="11">
        <v>2057</v>
      </c>
      <c r="P10" s="10">
        <f>'[1]WARD 29'!$G$72</f>
        <v>128.5625</v>
      </c>
      <c r="Q10" s="3">
        <f t="shared" si="2"/>
        <v>25.495785820525533</v>
      </c>
      <c r="R10" s="3">
        <f>'[1]WARD 29'!$G$74</f>
        <v>31.423269642098035</v>
      </c>
      <c r="S10" s="10">
        <f>'[1]WARD 29'!$G$73</f>
        <v>987.421875</v>
      </c>
      <c r="T10" s="1" t="s">
        <v>31</v>
      </c>
      <c r="U10" s="22" t="s">
        <v>25</v>
      </c>
      <c r="V10" s="1" t="s">
        <v>26</v>
      </c>
      <c r="W10" s="8" t="s">
        <v>27</v>
      </c>
      <c r="X10" s="13" t="s">
        <v>38</v>
      </c>
      <c r="Y10" s="13" t="str">
        <f t="shared" si="3"/>
        <v>BJP GAIN</v>
      </c>
      <c r="Z10" s="5">
        <f t="shared" si="4"/>
        <v>45.042141794744673</v>
      </c>
      <c r="AA10" s="27" t="str">
        <f t="shared" si="0"/>
        <v>HIGHMARGIN</v>
      </c>
    </row>
    <row r="11" spans="1:27">
      <c r="A11" s="1">
        <v>8</v>
      </c>
      <c r="B11" s="1">
        <v>30</v>
      </c>
      <c r="C11" s="2" t="s">
        <v>45</v>
      </c>
      <c r="D11" s="1">
        <v>5</v>
      </c>
      <c r="E11" s="9" t="s">
        <v>46</v>
      </c>
      <c r="F11" s="1">
        <v>9928</v>
      </c>
      <c r="G11" s="3">
        <f>'[1]WARD 30'!$C$56</f>
        <v>496.4</v>
      </c>
      <c r="H11" s="3">
        <f>'[1]WARD 30'!$C$58</f>
        <v>101.59606291584335</v>
      </c>
      <c r="I11" s="3">
        <f>'[1]WARD 30'!$C$57</f>
        <v>10321.76</v>
      </c>
      <c r="J11" s="4">
        <v>5335</v>
      </c>
      <c r="K11" s="3">
        <f>'[1]WARD 30'!$E$56</f>
        <v>266.75</v>
      </c>
      <c r="L11" s="3">
        <f t="shared" si="1"/>
        <v>53.736905721192585</v>
      </c>
      <c r="M11" s="3">
        <f>'[1]WARD 30'!$E$58</f>
        <v>77.539280368081833</v>
      </c>
      <c r="N11" s="3">
        <f>'[1]WARD 30'!$E$57</f>
        <v>6012.34</v>
      </c>
      <c r="O11" s="4">
        <v>4222</v>
      </c>
      <c r="P11" s="3">
        <f>'[1]WARD 30'!$G$56</f>
        <v>211.1</v>
      </c>
      <c r="Q11" s="3">
        <f t="shared" si="2"/>
        <v>42.52618855761483</v>
      </c>
      <c r="R11" s="3">
        <f>'[1]WARD 30'!$G$58</f>
        <v>32.620239116229662</v>
      </c>
      <c r="S11" s="3">
        <f>'[1]WARD 30'!$G$57</f>
        <v>1064.08</v>
      </c>
      <c r="T11" s="1" t="s">
        <v>31</v>
      </c>
      <c r="U11" s="22" t="s">
        <v>26</v>
      </c>
      <c r="V11" s="1" t="s">
        <v>25</v>
      </c>
      <c r="W11" s="8" t="s">
        <v>27</v>
      </c>
      <c r="X11" s="1" t="e">
        <v>#DIV/0!</v>
      </c>
      <c r="Y11" s="13" t="str">
        <f t="shared" si="3"/>
        <v>BJP GAIN</v>
      </c>
      <c r="Z11" s="5">
        <f t="shared" si="4"/>
        <v>11.210717163577755</v>
      </c>
      <c r="AA11" s="25" t="str">
        <f t="shared" si="0"/>
        <v>LOWMARGIN</v>
      </c>
    </row>
    <row r="12" spans="1:27">
      <c r="A12" s="1">
        <v>9</v>
      </c>
      <c r="B12" s="1">
        <v>31</v>
      </c>
      <c r="C12" s="2" t="s">
        <v>47</v>
      </c>
      <c r="D12" s="1">
        <v>6</v>
      </c>
      <c r="E12" s="9" t="s">
        <v>48</v>
      </c>
      <c r="F12" s="1">
        <v>11524</v>
      </c>
      <c r="G12" s="10">
        <f>'[1]WARD 31'!$C$76</f>
        <v>480.16666666666663</v>
      </c>
      <c r="H12" s="10">
        <f>'[1]WARD 31'!$C$78</f>
        <v>93.192453199458868</v>
      </c>
      <c r="I12" s="10">
        <f>'[1]WARD 31'!$C$77</f>
        <v>8684.8333333333321</v>
      </c>
      <c r="J12" s="11">
        <v>5362</v>
      </c>
      <c r="K12" s="10">
        <f>'[1]WARD 31'!$E$76</f>
        <v>223.41666666666669</v>
      </c>
      <c r="L12" s="3">
        <f t="shared" si="1"/>
        <v>46.528982992016672</v>
      </c>
      <c r="M12" s="10">
        <f>'[1]WARD 31'!$E$78</f>
        <v>53.39358575709258</v>
      </c>
      <c r="N12" s="10">
        <f>'[1]WARD 31'!$E$77</f>
        <v>2850.875</v>
      </c>
      <c r="O12" s="11">
        <v>5646</v>
      </c>
      <c r="P12" s="10">
        <f>'[1]WARD 31'!$G$76</f>
        <v>235.25</v>
      </c>
      <c r="Q12" s="3">
        <f t="shared" si="2"/>
        <v>48.993405067684833</v>
      </c>
      <c r="R12" s="10">
        <f>'[1]WARD 31'!$G$78</f>
        <v>40.583761120264185</v>
      </c>
      <c r="S12" s="10">
        <f>'[1]WARD 31'!$G$77</f>
        <v>1647.0416666666667</v>
      </c>
      <c r="T12" s="1" t="s">
        <v>31</v>
      </c>
      <c r="U12" s="22" t="s">
        <v>31</v>
      </c>
      <c r="V12" s="1" t="s">
        <v>26</v>
      </c>
      <c r="W12" s="8" t="s">
        <v>27</v>
      </c>
      <c r="X12" s="22" t="s">
        <v>28</v>
      </c>
      <c r="Y12" s="22" t="str">
        <f t="shared" si="3"/>
        <v>CONGRESS GAIN</v>
      </c>
      <c r="Z12" s="5">
        <f>Q12-L12</f>
        <v>2.4644220756681605</v>
      </c>
      <c r="AA12" s="24" t="str">
        <f t="shared" si="0"/>
        <v>NARROWMARGIN</v>
      </c>
    </row>
    <row r="13" spans="1:27">
      <c r="A13" s="1">
        <v>10</v>
      </c>
      <c r="B13" s="1">
        <v>32</v>
      </c>
      <c r="C13" s="2" t="s">
        <v>49</v>
      </c>
      <c r="D13" s="1">
        <v>5</v>
      </c>
      <c r="E13" s="9" t="s">
        <v>50</v>
      </c>
      <c r="F13" s="1">
        <v>9828</v>
      </c>
      <c r="G13" s="3">
        <f>'[1]WARD 32'!$C$75</f>
        <v>491.40000000000003</v>
      </c>
      <c r="H13" s="3">
        <f>'[1]WARD 32'!$C$77</f>
        <v>155.41402768090146</v>
      </c>
      <c r="I13" s="3">
        <f>'[1]WARD 32'!$C$76</f>
        <v>24153.52</v>
      </c>
      <c r="J13" s="4">
        <v>5562</v>
      </c>
      <c r="K13" s="3">
        <f>'[1]WARD 32'!$E$75</f>
        <v>278.10000000000002</v>
      </c>
      <c r="L13" s="3">
        <f t="shared" si="1"/>
        <v>56.593406593406591</v>
      </c>
      <c r="M13" s="3">
        <f>'[1]WARD 32'!$E$77</f>
        <v>92.46069435170817</v>
      </c>
      <c r="N13" s="3">
        <f>'[1]WARD 32'!$E$76</f>
        <v>8548.98</v>
      </c>
      <c r="O13" s="4">
        <v>3638</v>
      </c>
      <c r="P13" s="3">
        <f>'[1]WARD 32'!$G$75</f>
        <v>181.89999999999998</v>
      </c>
      <c r="Q13" s="3">
        <f t="shared" si="2"/>
        <v>37.016687016687008</v>
      </c>
      <c r="R13" s="3">
        <f>'[1]WARD 32'!$G$77</f>
        <v>64.826846290715082</v>
      </c>
      <c r="S13" s="3">
        <f>'[1]WARD 32'!$G$76</f>
        <v>4202.5200000000004</v>
      </c>
      <c r="T13" s="14" t="s">
        <v>24</v>
      </c>
      <c r="U13" s="22" t="s">
        <v>25</v>
      </c>
      <c r="V13" s="1" t="s">
        <v>26</v>
      </c>
      <c r="W13" s="8" t="s">
        <v>27</v>
      </c>
      <c r="X13" s="22" t="s">
        <v>28</v>
      </c>
      <c r="Y13" s="13" t="str">
        <f t="shared" si="3"/>
        <v>BJP GAIN</v>
      </c>
      <c r="Z13" s="5">
        <f t="shared" si="4"/>
        <v>19.576719576719583</v>
      </c>
      <c r="AA13" s="25" t="str">
        <f t="shared" si="0"/>
        <v>LOWMARGIN</v>
      </c>
    </row>
    <row r="14" spans="1:27">
      <c r="A14" s="1">
        <v>11</v>
      </c>
      <c r="B14" s="1">
        <v>33</v>
      </c>
      <c r="C14" s="2" t="s">
        <v>51</v>
      </c>
      <c r="D14" s="1">
        <v>4</v>
      </c>
      <c r="E14" s="9" t="s">
        <v>52</v>
      </c>
      <c r="F14" s="1">
        <v>8279</v>
      </c>
      <c r="G14" s="3">
        <f>'[1]WARD 33'!$C$57</f>
        <v>516.5</v>
      </c>
      <c r="H14" s="3">
        <f>'[1]WARD 33'!$C$59</f>
        <v>54.958080616047717</v>
      </c>
      <c r="I14" s="3">
        <f>'[1]WARD 33'!$C$58</f>
        <v>3020.390625</v>
      </c>
      <c r="J14" s="4">
        <v>4627</v>
      </c>
      <c r="K14" s="3">
        <f>'[1]WARD 33'!$E$57</f>
        <v>308</v>
      </c>
      <c r="L14" s="3">
        <f t="shared" si="1"/>
        <v>59.632139399806391</v>
      </c>
      <c r="M14" s="3">
        <f>'[1]WARD 33'!$E$59</f>
        <v>54.491255032344412</v>
      </c>
      <c r="N14" s="3">
        <f>'[1]WARD 33'!$E$58</f>
        <v>2969.296875</v>
      </c>
      <c r="O14" s="4">
        <v>3420</v>
      </c>
      <c r="P14" s="3">
        <f>'[1]WARD 33'!$G$57</f>
        <v>194.8125</v>
      </c>
      <c r="Q14" s="3">
        <f t="shared" si="2"/>
        <v>37.717812197483056</v>
      </c>
      <c r="R14" s="3">
        <f>'[1]WARD 33'!$G$59</f>
        <v>90.310056195309727</v>
      </c>
      <c r="S14" s="3">
        <f>'[1]WARD 33'!$E$58</f>
        <v>2969.296875</v>
      </c>
      <c r="T14" s="12" t="s">
        <v>31</v>
      </c>
      <c r="U14" s="22" t="s">
        <v>25</v>
      </c>
      <c r="V14" s="1" t="s">
        <v>26</v>
      </c>
      <c r="W14" s="8" t="s">
        <v>27</v>
      </c>
      <c r="X14" s="22" t="s">
        <v>28</v>
      </c>
      <c r="Y14" s="13" t="str">
        <f t="shared" si="3"/>
        <v>BJP GAIN</v>
      </c>
      <c r="Z14" s="5">
        <f t="shared" si="4"/>
        <v>21.914327202323335</v>
      </c>
      <c r="AA14" s="25" t="str">
        <f t="shared" si="0"/>
        <v>LOWMARGIN</v>
      </c>
    </row>
    <row r="15" spans="1:27">
      <c r="A15" s="1">
        <v>12</v>
      </c>
      <c r="B15" s="1">
        <v>34</v>
      </c>
      <c r="C15" s="2" t="s">
        <v>53</v>
      </c>
      <c r="D15" s="1">
        <v>5</v>
      </c>
      <c r="E15" s="9" t="s">
        <v>54</v>
      </c>
      <c r="F15" s="1">
        <v>10520</v>
      </c>
      <c r="G15" s="10">
        <f>'[1]WARD 34'!$C$71</f>
        <v>526</v>
      </c>
      <c r="H15" s="10">
        <f>'[1]WARD 34'!$C$73</f>
        <v>104.78330019616676</v>
      </c>
      <c r="I15" s="10">
        <f>'[1]WARD 34'!$C$72</f>
        <v>10979.54</v>
      </c>
      <c r="J15" s="11">
        <v>4167</v>
      </c>
      <c r="K15" s="10">
        <f>'[1]WARD 34'!$E$71</f>
        <v>208.35</v>
      </c>
      <c r="L15" s="3">
        <f t="shared" si="1"/>
        <v>39.610266159695819</v>
      </c>
      <c r="M15" s="10">
        <f>'[1]WARD 34'!$E$73</f>
        <v>78.418620237798109</v>
      </c>
      <c r="N15" s="10">
        <f>'[1]WARD 34'!$E$72</f>
        <v>6149.48</v>
      </c>
      <c r="O15" s="11">
        <v>6001</v>
      </c>
      <c r="P15" s="10">
        <f>'[1]WARD 34'!$G$71</f>
        <v>300.04999999999995</v>
      </c>
      <c r="Q15" s="3">
        <f t="shared" si="2"/>
        <v>57.043726235741431</v>
      </c>
      <c r="R15" s="10">
        <f>'[1]WARD 34'!$G$73</f>
        <v>97.682547059339115</v>
      </c>
      <c r="S15" s="10">
        <f>'[1]WARD 34'!$G$72</f>
        <v>9541.880000000001</v>
      </c>
      <c r="T15" s="12" t="s">
        <v>31</v>
      </c>
      <c r="U15" s="22" t="s">
        <v>26</v>
      </c>
      <c r="V15" s="1" t="s">
        <v>55</v>
      </c>
      <c r="W15" s="8" t="s">
        <v>27</v>
      </c>
      <c r="X15" s="13" t="s">
        <v>38</v>
      </c>
      <c r="Y15" s="22" t="str">
        <f t="shared" si="3"/>
        <v>CONGRESS GAIN</v>
      </c>
      <c r="Z15" s="5">
        <f>Q15-L15</f>
        <v>17.433460076045613</v>
      </c>
      <c r="AA15" s="25" t="str">
        <f t="shared" si="0"/>
        <v>LOWMARGIN</v>
      </c>
    </row>
    <row r="16" spans="1:27">
      <c r="A16" s="1">
        <v>13</v>
      </c>
      <c r="B16" s="1">
        <v>35</v>
      </c>
      <c r="C16" s="2" t="s">
        <v>56</v>
      </c>
      <c r="D16" s="1">
        <v>7</v>
      </c>
      <c r="E16" s="9" t="s">
        <v>57</v>
      </c>
      <c r="F16" s="1">
        <v>15716</v>
      </c>
      <c r="G16" s="3">
        <f>'[1]WARD 35'!$C$83</f>
        <v>561.28571428571433</v>
      </c>
      <c r="H16" s="3">
        <f>'[1]WARD 35'!$C$85</f>
        <v>93.706010087563811</v>
      </c>
      <c r="I16" s="3">
        <f>'[1]WARD 35'!$C$84</f>
        <v>8780.8163265306121</v>
      </c>
      <c r="J16" s="4">
        <v>7034</v>
      </c>
      <c r="K16" s="3">
        <f>'[1]WARD 35'!$E$83</f>
        <v>251.21428571428572</v>
      </c>
      <c r="L16" s="3">
        <f t="shared" si="1"/>
        <v>44.756935607024687</v>
      </c>
      <c r="M16" s="3">
        <f>'[1]WARD 35'!$E$85</f>
        <v>73.336448604207391</v>
      </c>
      <c r="N16" s="3">
        <f>'[1]WARD 35'!$E$84</f>
        <v>5378.2346938775518</v>
      </c>
      <c r="O16" s="4">
        <v>8010</v>
      </c>
      <c r="P16" s="3">
        <f>'[1]WARD 35'!$G$83</f>
        <v>286.07142857142856</v>
      </c>
      <c r="Q16" s="3">
        <f t="shared" si="2"/>
        <v>50.967167218121659</v>
      </c>
      <c r="R16" s="3">
        <f>'[1]WARD 35'!$G$85</f>
        <v>86.463334213210317</v>
      </c>
      <c r="S16" s="3">
        <f>'[1]WARD 35'!$G$84</f>
        <v>7475.908163265306</v>
      </c>
      <c r="T16" s="12" t="s">
        <v>31</v>
      </c>
      <c r="U16" s="22" t="s">
        <v>26</v>
      </c>
      <c r="V16" s="1" t="s">
        <v>25</v>
      </c>
      <c r="W16" s="8" t="s">
        <v>27</v>
      </c>
      <c r="X16" s="1" t="e">
        <v>#DIV/0!</v>
      </c>
      <c r="Y16" s="22" t="str">
        <f t="shared" si="3"/>
        <v>CONGRESS GAIN</v>
      </c>
      <c r="Z16" s="5">
        <f t="shared" ref="Z16:Z21" si="5">Q16-L16</f>
        <v>6.2102316110969724</v>
      </c>
      <c r="AA16" s="24" t="str">
        <f t="shared" si="0"/>
        <v>NARROWMARGIN</v>
      </c>
    </row>
    <row r="17" spans="1:27">
      <c r="A17" s="1">
        <v>14</v>
      </c>
      <c r="B17" s="1">
        <v>36</v>
      </c>
      <c r="C17" s="2" t="s">
        <v>58</v>
      </c>
      <c r="D17" s="1">
        <v>3</v>
      </c>
      <c r="E17" s="9" t="s">
        <v>59</v>
      </c>
      <c r="F17" s="1">
        <v>6886</v>
      </c>
      <c r="G17" s="3">
        <f>'[1]WARD 36'!$C$53</f>
        <v>573.83333333333337</v>
      </c>
      <c r="H17" s="3">
        <f>'[1]WARD 36'!$C$55</f>
        <v>83.594590468256712</v>
      </c>
      <c r="I17" s="3">
        <f>'[1]WARD 36'!$C$54</f>
        <v>6988.0555555555557</v>
      </c>
      <c r="J17" s="4">
        <v>2660</v>
      </c>
      <c r="K17" s="3">
        <f>'[1]WARD 36'!$E$53</f>
        <v>221.66666666666669</v>
      </c>
      <c r="L17" s="3">
        <f t="shared" si="1"/>
        <v>38.629102526866106</v>
      </c>
      <c r="M17" s="3">
        <f>'[1]WARD 36'!$E$55</f>
        <v>15.800843859321775</v>
      </c>
      <c r="N17" s="3">
        <f>'[1]WARD 36'!$E$54</f>
        <v>249.66666666666666</v>
      </c>
      <c r="O17" s="4">
        <v>3897</v>
      </c>
      <c r="P17" s="3">
        <f>'[1]WARD 36'!$G$53</f>
        <v>324.75</v>
      </c>
      <c r="Q17" s="3">
        <f t="shared" si="2"/>
        <v>56.593087423758348</v>
      </c>
      <c r="R17" s="3">
        <f>'[1]WARD 36'!$G$55</f>
        <v>87.750593540252865</v>
      </c>
      <c r="S17" s="3">
        <f>'[1]WARD 36'!$G$54</f>
        <v>7700.166666666667</v>
      </c>
      <c r="T17" s="1" t="s">
        <v>24</v>
      </c>
      <c r="U17" s="22" t="s">
        <v>26</v>
      </c>
      <c r="V17" s="1" t="s">
        <v>25</v>
      </c>
      <c r="W17" s="1" t="s">
        <v>27</v>
      </c>
      <c r="X17" s="1" t="e">
        <v>#DIV/0!</v>
      </c>
      <c r="Y17" s="22" t="str">
        <f t="shared" si="3"/>
        <v>CONGRESS GAIN</v>
      </c>
      <c r="Z17" s="5">
        <f t="shared" si="5"/>
        <v>17.963984896892242</v>
      </c>
      <c r="AA17" s="25" t="str">
        <f t="shared" si="0"/>
        <v>LOWMARGIN</v>
      </c>
    </row>
    <row r="18" spans="1:27">
      <c r="A18" s="1">
        <v>15</v>
      </c>
      <c r="B18" s="1">
        <v>37</v>
      </c>
      <c r="C18" s="2" t="s">
        <v>60</v>
      </c>
      <c r="D18" s="1">
        <v>6</v>
      </c>
      <c r="E18" s="9" t="s">
        <v>61</v>
      </c>
      <c r="F18" s="1">
        <v>12107</v>
      </c>
      <c r="G18" s="10">
        <f>'[1]WARD 37'!$C$76</f>
        <v>504.45833333333337</v>
      </c>
      <c r="H18" s="10">
        <f>'[1]WARD 37'!$C$78</f>
        <v>131.75600871813526</v>
      </c>
      <c r="I18" s="10">
        <f>'[1]WARD 37'!$C$77</f>
        <v>17359.645833333332</v>
      </c>
      <c r="J18" s="11">
        <v>5603</v>
      </c>
      <c r="K18" s="10">
        <f>'[1]WARD 37'!$E$76</f>
        <v>233.45833333333334</v>
      </c>
      <c r="L18" s="3">
        <f t="shared" si="1"/>
        <v>46.279012141736189</v>
      </c>
      <c r="M18" s="10">
        <f>'[1]WARD 37'!$E$78</f>
        <v>83.425740432235102</v>
      </c>
      <c r="N18" s="10">
        <f>'[1]WARD 37'!$E$77</f>
        <v>6959.854166666667</v>
      </c>
      <c r="O18" s="11">
        <v>5986</v>
      </c>
      <c r="P18" s="10">
        <f>'[1]WARD 37'!$G$76</f>
        <v>249.41666666666669</v>
      </c>
      <c r="Q18" s="3">
        <f t="shared" si="2"/>
        <v>49.442471297596427</v>
      </c>
      <c r="R18" s="10">
        <f>'[1]WARD 37'!$G$78</f>
        <v>97.300294050029578</v>
      </c>
      <c r="S18" s="10">
        <f>'[1]WARD 37'!$G$77</f>
        <v>9467.3472222222226</v>
      </c>
      <c r="T18" s="1" t="s">
        <v>24</v>
      </c>
      <c r="U18" s="22" t="s">
        <v>24</v>
      </c>
      <c r="V18" s="1" t="s">
        <v>26</v>
      </c>
      <c r="W18" s="1" t="s">
        <v>27</v>
      </c>
      <c r="X18" s="1" t="s">
        <v>38</v>
      </c>
      <c r="Y18" s="22" t="str">
        <f t="shared" si="3"/>
        <v>CONGRESS GAIN</v>
      </c>
      <c r="Z18" s="5">
        <f t="shared" si="5"/>
        <v>3.1634591558602381</v>
      </c>
      <c r="AA18" s="24" t="str">
        <f t="shared" si="0"/>
        <v>NARROWMARGIN</v>
      </c>
    </row>
    <row r="19" spans="1:27">
      <c r="A19" s="1">
        <v>16</v>
      </c>
      <c r="B19" s="1">
        <v>38</v>
      </c>
      <c r="C19" s="1" t="s">
        <v>62</v>
      </c>
      <c r="D19" s="1">
        <v>7</v>
      </c>
      <c r="E19" s="9" t="s">
        <v>63</v>
      </c>
      <c r="F19" s="1">
        <v>14105</v>
      </c>
      <c r="G19" s="3">
        <f>'[1]WARD 38'!$C$83</f>
        <v>503.75</v>
      </c>
      <c r="H19" s="3">
        <f>'[1]WARD 38'!$C$85</f>
        <v>117.68277144033256</v>
      </c>
      <c r="I19" s="3">
        <f>'[1]WARD 38'!$C$84</f>
        <v>13849.234693877552</v>
      </c>
      <c r="J19" s="4">
        <v>4672</v>
      </c>
      <c r="K19" s="3">
        <f>'[1]WARD 38'!$E$83</f>
        <v>166.85714285714286</v>
      </c>
      <c r="L19" s="3">
        <f t="shared" si="1"/>
        <v>33.123006026231835</v>
      </c>
      <c r="M19" s="3">
        <f>'[1]WARD 38'!$E$85</f>
        <v>78.715906127993094</v>
      </c>
      <c r="N19" s="3">
        <f>'[1]WARD 38'!$E$84</f>
        <v>6196.1938775510207</v>
      </c>
      <c r="O19" s="4">
        <v>9020</v>
      </c>
      <c r="P19" s="3">
        <f>'[1]WARD 38'!$G$83</f>
        <v>322.14285714285711</v>
      </c>
      <c r="Q19" s="3">
        <f t="shared" si="2"/>
        <v>63.948954271534909</v>
      </c>
      <c r="R19" s="3">
        <f>'[1]WARD 38'!$G$85</f>
        <v>107.76576072052509</v>
      </c>
      <c r="S19" s="3">
        <f>'[1]WARD 38'!$G$84</f>
        <v>11613.459183673469</v>
      </c>
      <c r="T19" s="1" t="s">
        <v>55</v>
      </c>
      <c r="U19" s="22" t="s">
        <v>26</v>
      </c>
      <c r="V19" s="1" t="s">
        <v>25</v>
      </c>
      <c r="W19" s="1" t="s">
        <v>27</v>
      </c>
      <c r="X19" s="1" t="e">
        <v>#DIV/0!</v>
      </c>
      <c r="Y19" s="22" t="str">
        <f t="shared" si="3"/>
        <v>CONGRESS GAIN</v>
      </c>
      <c r="Z19" s="5">
        <f t="shared" si="5"/>
        <v>30.825948245303074</v>
      </c>
      <c r="AA19" s="26" t="str">
        <f t="shared" si="0"/>
        <v>MEDIUMMARGIN</v>
      </c>
    </row>
    <row r="20" spans="1:27">
      <c r="A20" s="1">
        <v>17</v>
      </c>
      <c r="B20" s="1">
        <v>39</v>
      </c>
      <c r="C20" s="1" t="s">
        <v>64</v>
      </c>
      <c r="D20" s="1">
        <v>6</v>
      </c>
      <c r="E20" s="9" t="s">
        <v>65</v>
      </c>
      <c r="F20" s="1">
        <v>11164</v>
      </c>
      <c r="G20" s="3">
        <f>'[1]WARD 39'!$C$63</f>
        <v>465.16666666666663</v>
      </c>
      <c r="H20" s="3">
        <f>'[1]WARD 39'!$C$65</f>
        <v>132.88262364457839</v>
      </c>
      <c r="I20" s="3">
        <f>'[1]WARD 39'!$C$64</f>
        <v>17657.791666666664</v>
      </c>
      <c r="J20" s="4">
        <v>3372</v>
      </c>
      <c r="K20" s="3">
        <f>'[1]WARD 39'!$E$63</f>
        <v>140.5</v>
      </c>
      <c r="L20" s="3">
        <f t="shared" si="1"/>
        <v>30.20422787531351</v>
      </c>
      <c r="M20" s="3">
        <f>'[1]WARD 39'!$E$65</f>
        <v>120.70585229299273</v>
      </c>
      <c r="N20" s="3">
        <f>'[1]WARD 39'!$E$64</f>
        <v>14569.902777777777</v>
      </c>
      <c r="O20" s="4">
        <v>7427</v>
      </c>
      <c r="P20" s="3">
        <f>'[1]WARD 39'!$G$63</f>
        <v>309.45833333333331</v>
      </c>
      <c r="Q20" s="3">
        <f t="shared" si="2"/>
        <v>66.526334647079892</v>
      </c>
      <c r="R20" s="3">
        <f>'[1]WARD 39'!$G$65</f>
        <v>54.670159949362585</v>
      </c>
      <c r="S20" s="3">
        <f>'[1]WARD 39'!$G$64</f>
        <v>2988.8263888888891</v>
      </c>
      <c r="T20" s="1" t="s">
        <v>55</v>
      </c>
      <c r="U20" s="22" t="s">
        <v>26</v>
      </c>
      <c r="V20" s="1" t="s">
        <v>25</v>
      </c>
      <c r="W20" s="1" t="s">
        <v>27</v>
      </c>
      <c r="X20" s="1" t="s">
        <v>28</v>
      </c>
      <c r="Y20" s="22" t="str">
        <f t="shared" si="3"/>
        <v>CONGRESS GAIN</v>
      </c>
      <c r="Z20" s="5">
        <f t="shared" si="5"/>
        <v>36.322106771766386</v>
      </c>
      <c r="AA20" s="26" t="str">
        <f t="shared" si="0"/>
        <v>MEDIUMMARGIN</v>
      </c>
    </row>
    <row r="21" spans="1:27">
      <c r="A21" s="1">
        <v>18</v>
      </c>
      <c r="B21" s="1">
        <v>40</v>
      </c>
      <c r="C21" s="1" t="s">
        <v>66</v>
      </c>
      <c r="D21" s="1">
        <v>5</v>
      </c>
      <c r="E21" s="9" t="s">
        <v>67</v>
      </c>
      <c r="F21" s="1">
        <v>7935</v>
      </c>
      <c r="G21" s="10">
        <f>'[1]WARD 40'!$C$72</f>
        <v>396.75</v>
      </c>
      <c r="H21" s="10">
        <f>'[1]WARD 40'!$C$74</f>
        <v>73.910351101858524</v>
      </c>
      <c r="I21" s="10">
        <f>'[1]WARD 40'!$C$73</f>
        <v>5462.74</v>
      </c>
      <c r="J21" s="11">
        <v>3017</v>
      </c>
      <c r="K21" s="10">
        <f>'[1]WARD 40'!$E$72</f>
        <v>150.85</v>
      </c>
      <c r="L21" s="3">
        <f t="shared" si="1"/>
        <v>38.021424070573403</v>
      </c>
      <c r="M21" s="10">
        <f>'[1]WARD 40'!$E$74</f>
        <v>44.072213468352146</v>
      </c>
      <c r="N21" s="10">
        <f>'[1]WARD 40'!$E$73</f>
        <v>1942.3600000000001</v>
      </c>
      <c r="O21" s="11">
        <v>4628</v>
      </c>
      <c r="P21" s="10">
        <f>'[1]WARD 40'!$G$72</f>
        <v>231.4</v>
      </c>
      <c r="Q21" s="3">
        <f t="shared" si="2"/>
        <v>58.323881537492127</v>
      </c>
      <c r="R21" s="10">
        <f>'[1]WARD 40'!$G$74</f>
        <v>72.460886000655549</v>
      </c>
      <c r="S21" s="10">
        <f>'[1]WARD 40'!$G$73</f>
        <v>5250.58</v>
      </c>
      <c r="T21" s="1" t="s">
        <v>55</v>
      </c>
      <c r="U21" s="22" t="s">
        <v>26</v>
      </c>
      <c r="V21" s="1" t="s">
        <v>25</v>
      </c>
      <c r="W21" s="1" t="s">
        <v>27</v>
      </c>
      <c r="X21" s="1" t="e">
        <v>#DIV/0!</v>
      </c>
      <c r="Y21" s="22" t="str">
        <f t="shared" si="3"/>
        <v>CONGRESS GAIN</v>
      </c>
      <c r="Z21" s="5">
        <f t="shared" si="5"/>
        <v>20.302457466918725</v>
      </c>
      <c r="AA21" s="25" t="str">
        <f t="shared" si="0"/>
        <v>LOWMARGIN</v>
      </c>
    </row>
    <row r="22" spans="1:27">
      <c r="A22" s="1">
        <v>19</v>
      </c>
      <c r="B22" s="1">
        <v>41</v>
      </c>
      <c r="C22" s="1" t="s">
        <v>68</v>
      </c>
      <c r="D22" s="1">
        <v>5</v>
      </c>
      <c r="E22" s="9" t="s">
        <v>69</v>
      </c>
      <c r="F22" s="1">
        <v>8756</v>
      </c>
      <c r="G22" s="3">
        <f>'[1]WARD 41'!$C$75</f>
        <v>437.8</v>
      </c>
      <c r="H22" s="3">
        <f>'[1]WARD 41'!$C$77</f>
        <v>91.076451402105036</v>
      </c>
      <c r="I22" s="3">
        <f>'[1]WARD 41'!$C$76</f>
        <v>8294.92</v>
      </c>
      <c r="J22" s="4">
        <v>5892</v>
      </c>
      <c r="K22" s="3">
        <f>'[1]WARD 41'!$E$75</f>
        <v>294.60000000000002</v>
      </c>
      <c r="L22" s="3">
        <f t="shared" si="1"/>
        <v>67.291000456829607</v>
      </c>
      <c r="M22" s="3">
        <f>'[1]WARD 41'!$E$77</f>
        <v>116.27587883993824</v>
      </c>
      <c r="N22" s="3">
        <f>'[1]WARD 41'!$E$76</f>
        <v>13520.079999999998</v>
      </c>
      <c r="O22" s="4">
        <v>2561</v>
      </c>
      <c r="P22" s="3">
        <f>'[1]WARD 41'!$G$75</f>
        <v>128.04999999999998</v>
      </c>
      <c r="Q22" s="3">
        <f t="shared" si="2"/>
        <v>29.248515303791685</v>
      </c>
      <c r="R22" s="3">
        <f>'[1]WARD 41'!$G$77</f>
        <v>53.868543696669583</v>
      </c>
      <c r="S22" s="3">
        <f>'[1]WARD 41'!$G$76</f>
        <v>2901.82</v>
      </c>
      <c r="T22" s="1" t="s">
        <v>24</v>
      </c>
      <c r="U22" s="22" t="s">
        <v>25</v>
      </c>
      <c r="V22" s="1" t="s">
        <v>26</v>
      </c>
      <c r="W22" s="1" t="s">
        <v>41</v>
      </c>
      <c r="X22" s="1" t="s">
        <v>28</v>
      </c>
      <c r="Y22" s="13" t="str">
        <f t="shared" si="3"/>
        <v>BJP GAIN</v>
      </c>
      <c r="Z22" s="5">
        <f t="shared" si="4"/>
        <v>38.042485153037923</v>
      </c>
      <c r="AA22" s="26" t="str">
        <f t="shared" si="0"/>
        <v>MEDIUMMARGIN</v>
      </c>
    </row>
    <row r="23" spans="1:27">
      <c r="A23" s="1">
        <v>20</v>
      </c>
      <c r="B23" s="1">
        <v>42</v>
      </c>
      <c r="C23" s="1" t="s">
        <v>70</v>
      </c>
      <c r="D23" s="1">
        <v>7</v>
      </c>
      <c r="E23" s="1" t="s">
        <v>71</v>
      </c>
      <c r="F23" s="1">
        <v>13016</v>
      </c>
      <c r="G23" s="3">
        <f>'[1]WARD 42'!$C$66</f>
        <v>464.85714285714283</v>
      </c>
      <c r="H23" s="3">
        <f>'[1]WARD 42'!$C$68</f>
        <v>117.41757856088688</v>
      </c>
      <c r="I23" s="3">
        <f>'[1]WARD 42'!$C$67</f>
        <v>13786.887755102041</v>
      </c>
      <c r="J23" s="4">
        <v>8126</v>
      </c>
      <c r="K23" s="3">
        <f>'[1]WARD 42'!$E$66</f>
        <v>290.21428571428572</v>
      </c>
      <c r="L23" s="3">
        <f t="shared" si="1"/>
        <v>62.430854333128458</v>
      </c>
      <c r="M23" s="3">
        <f>'[1]WARD 42'!$E$68</f>
        <v>176.30027145267167</v>
      </c>
      <c r="N23" s="3">
        <f>'[1]WARD 42'!$E$67</f>
        <v>31081.785714285717</v>
      </c>
      <c r="O23" s="4">
        <v>4271</v>
      </c>
      <c r="P23" s="3">
        <f>'[1]WARD 42'!$G$66</f>
        <v>152.53571428571428</v>
      </c>
      <c r="Q23" s="3">
        <f t="shared" si="2"/>
        <v>32.813460356484327</v>
      </c>
      <c r="R23" s="3">
        <f>'[1]WARD 42'!$G$68</f>
        <v>74.698782876733048</v>
      </c>
      <c r="S23" s="3">
        <f>'[1]WARD 42'!$G$67</f>
        <v>5579.908163265306</v>
      </c>
      <c r="T23" s="1" t="s">
        <v>31</v>
      </c>
      <c r="U23" s="22" t="s">
        <v>25</v>
      </c>
      <c r="V23" s="1" t="s">
        <v>26</v>
      </c>
      <c r="W23" s="1" t="s">
        <v>27</v>
      </c>
      <c r="X23" s="1" t="s">
        <v>28</v>
      </c>
      <c r="Y23" s="13" t="str">
        <f t="shared" si="3"/>
        <v>BJP GAIN</v>
      </c>
      <c r="Z23" s="5">
        <f t="shared" si="4"/>
        <v>29.617393976644131</v>
      </c>
      <c r="AA23" s="25" t="str">
        <f t="shared" si="0"/>
        <v>LOWMARGIN</v>
      </c>
    </row>
    <row r="24" spans="1:27">
      <c r="A24" s="1">
        <v>21</v>
      </c>
      <c r="B24" s="1">
        <v>43</v>
      </c>
      <c r="C24" s="1" t="s">
        <v>72</v>
      </c>
      <c r="D24" s="1">
        <v>5</v>
      </c>
      <c r="E24" s="1" t="s">
        <v>73</v>
      </c>
      <c r="F24" s="1">
        <v>9387</v>
      </c>
      <c r="G24" s="10">
        <f>'[1]WARD 43'!$C$71</f>
        <v>469.35</v>
      </c>
      <c r="H24" s="10">
        <f>'[1]WARD 43'!$C$73</f>
        <v>128.72288063899131</v>
      </c>
      <c r="I24" s="10">
        <f>'[1]WARD 43'!$C$72</f>
        <v>16569.580000000002</v>
      </c>
      <c r="J24" s="11">
        <v>3190</v>
      </c>
      <c r="K24" s="10">
        <f>'[1]WARD 43'!$E$71</f>
        <v>159.5</v>
      </c>
      <c r="L24" s="3">
        <f t="shared" si="1"/>
        <v>33.98316821135613</v>
      </c>
      <c r="M24" s="10">
        <f>'[1]WARD 43'!$E$73</f>
        <v>96.258817777905421</v>
      </c>
      <c r="N24" s="10">
        <f>'[1]WARD 43'!$E$72</f>
        <v>9265.76</v>
      </c>
      <c r="O24" s="11">
        <v>5690</v>
      </c>
      <c r="P24" s="10">
        <f>'[1]WARD 43'!$G$71</f>
        <v>284.5</v>
      </c>
      <c r="Q24" s="3">
        <f t="shared" si="2"/>
        <v>60.615745179503563</v>
      </c>
      <c r="R24" s="10">
        <f>'[1]WARD 43'!$G$73</f>
        <v>129.66094246148299</v>
      </c>
      <c r="S24" s="10">
        <f>'[1]WARD 43'!$G$72</f>
        <v>16811.96</v>
      </c>
      <c r="T24" s="1" t="s">
        <v>31</v>
      </c>
      <c r="U24" s="22" t="s">
        <v>26</v>
      </c>
      <c r="V24" s="1" t="s">
        <v>25</v>
      </c>
      <c r="W24" s="1" t="s">
        <v>41</v>
      </c>
      <c r="X24" s="1" t="s">
        <v>28</v>
      </c>
      <c r="Y24" s="22" t="str">
        <f t="shared" si="3"/>
        <v>CONGRESS GAIN</v>
      </c>
      <c r="Z24" s="5">
        <f t="shared" ref="Z24:Z29" si="6">Q24-L24</f>
        <v>26.632576968147433</v>
      </c>
      <c r="AA24" s="25" t="str">
        <f t="shared" si="0"/>
        <v>LOWMARGIN</v>
      </c>
    </row>
    <row r="25" spans="1:27">
      <c r="A25" s="1">
        <v>22</v>
      </c>
      <c r="B25" s="1">
        <v>44</v>
      </c>
      <c r="C25" s="1" t="s">
        <v>74</v>
      </c>
      <c r="D25" s="1">
        <v>6</v>
      </c>
      <c r="E25" s="1" t="s">
        <v>75</v>
      </c>
      <c r="F25" s="1">
        <v>9828</v>
      </c>
      <c r="G25" s="3">
        <f>'[1]WARD 44'!$C$78</f>
        <v>409.5</v>
      </c>
      <c r="H25" s="3">
        <f>'[1]WARD 44'!$C$80</f>
        <v>113.08496068590789</v>
      </c>
      <c r="I25" s="3">
        <f>'[1]WARD 44'!$C$79</f>
        <v>12788.208333333332</v>
      </c>
      <c r="J25" s="4">
        <v>4220</v>
      </c>
      <c r="K25" s="3">
        <f>'[1]WARD 44'!$E$78</f>
        <v>175.83333333333331</v>
      </c>
      <c r="L25" s="3">
        <f t="shared" si="1"/>
        <v>42.938542938542938</v>
      </c>
      <c r="M25" s="3">
        <f>'[1]WARD 44'!$E$80</f>
        <v>115.10279222407151</v>
      </c>
      <c r="N25" s="3">
        <f>'[1]WARD 44'!$E$79</f>
        <v>13248.652777777777</v>
      </c>
      <c r="O25" s="4">
        <v>5139</v>
      </c>
      <c r="P25" s="3">
        <f>'[1]WARD 44'!$G$78</f>
        <v>214.125</v>
      </c>
      <c r="Q25" s="3">
        <f t="shared" si="2"/>
        <v>52.289377289377292</v>
      </c>
      <c r="R25" s="3">
        <f>'[1]WARD 44'!$G$80</f>
        <v>138.91266740893957</v>
      </c>
      <c r="S25" s="3">
        <f>'[1]WARD 44'!$G$79</f>
        <v>19296.729166666664</v>
      </c>
      <c r="T25" s="1" t="s">
        <v>31</v>
      </c>
      <c r="U25" s="22" t="s">
        <v>55</v>
      </c>
      <c r="V25" s="1" t="s">
        <v>26</v>
      </c>
      <c r="W25" s="1" t="s">
        <v>41</v>
      </c>
      <c r="X25" s="1" t="s">
        <v>38</v>
      </c>
      <c r="Y25" s="22" t="str">
        <f t="shared" si="3"/>
        <v>CONGRESS GAIN</v>
      </c>
      <c r="Z25" s="5">
        <f t="shared" si="6"/>
        <v>9.3508343508343543</v>
      </c>
      <c r="AA25" s="24" t="str">
        <f t="shared" si="0"/>
        <v>NARROWMARGIN</v>
      </c>
    </row>
    <row r="26" spans="1:27">
      <c r="A26" s="1">
        <v>23</v>
      </c>
      <c r="B26" s="1">
        <v>45</v>
      </c>
      <c r="C26" s="1" t="s">
        <v>76</v>
      </c>
      <c r="D26" s="1">
        <v>6</v>
      </c>
      <c r="E26" s="1" t="s">
        <v>77</v>
      </c>
      <c r="F26" s="1">
        <v>9884</v>
      </c>
      <c r="G26" s="3">
        <f>'[1]WARD 45'!$C$60</f>
        <v>516.29166666666663</v>
      </c>
      <c r="H26" s="3">
        <f>'[1]WARD 45'!$C$62</f>
        <v>153.28589619473223</v>
      </c>
      <c r="I26" s="3">
        <f>'[1]WARD 45'!$C$61</f>
        <v>23496.565972222223</v>
      </c>
      <c r="J26" s="4">
        <v>3687</v>
      </c>
      <c r="K26" s="3">
        <f>'[1]WARD 45'!$E$60</f>
        <v>182.29166666666669</v>
      </c>
      <c r="L26" s="3">
        <f t="shared" si="1"/>
        <v>35.307884755064165</v>
      </c>
      <c r="M26" s="3">
        <f>'[1]WARD 45'!$E$62</f>
        <v>112.85482623953463</v>
      </c>
      <c r="N26" s="3">
        <f>'[1]WARD 45'!$E$61</f>
        <v>12736.211805555555</v>
      </c>
      <c r="O26" s="4">
        <v>5796</v>
      </c>
      <c r="P26" s="3">
        <f>'[1]WARD 45'!$G$60</f>
        <v>311.625</v>
      </c>
      <c r="Q26" s="3">
        <f t="shared" si="2"/>
        <v>60.358324590428538</v>
      </c>
      <c r="R26" s="3">
        <f>'[1]WARD 45'!$G$62</f>
        <v>87.905311272982814</v>
      </c>
      <c r="S26" s="3">
        <f>'[1]WARD 45'!$G$61</f>
        <v>7727.34375</v>
      </c>
      <c r="T26" s="1" t="s">
        <v>31</v>
      </c>
      <c r="U26" s="22" t="s">
        <v>26</v>
      </c>
      <c r="V26" s="1" t="s">
        <v>25</v>
      </c>
      <c r="W26" s="1" t="s">
        <v>27</v>
      </c>
      <c r="X26" s="1" t="e">
        <v>#DIV/0!</v>
      </c>
      <c r="Y26" s="22" t="str">
        <f t="shared" si="3"/>
        <v>CONGRESS GAIN</v>
      </c>
      <c r="Z26" s="5">
        <f t="shared" si="6"/>
        <v>25.050439835364372</v>
      </c>
      <c r="AA26" s="25" t="str">
        <f t="shared" si="0"/>
        <v>LOWMARGIN</v>
      </c>
    </row>
    <row r="27" spans="1:27">
      <c r="A27" s="1">
        <v>24</v>
      </c>
      <c r="B27" s="1">
        <v>46</v>
      </c>
      <c r="C27" s="1" t="s">
        <v>78</v>
      </c>
      <c r="D27" s="1">
        <v>5</v>
      </c>
      <c r="E27" s="1" t="s">
        <v>79</v>
      </c>
      <c r="F27" s="1">
        <v>9111</v>
      </c>
      <c r="G27" s="10">
        <f>'[1]WARD 46'!$C$71</f>
        <v>455.55</v>
      </c>
      <c r="H27" s="10">
        <f>'[1]WARD 46'!$C$73</f>
        <v>117.58494801631713</v>
      </c>
      <c r="I27" s="10">
        <f>'[1]WARD 46'!$C$72</f>
        <v>13826.220000000001</v>
      </c>
      <c r="J27" s="11">
        <v>4449</v>
      </c>
      <c r="K27" s="10">
        <f>'[1]WARD 46'!$E$71</f>
        <v>222.45</v>
      </c>
      <c r="L27" s="3">
        <f t="shared" si="1"/>
        <v>48.831083305893969</v>
      </c>
      <c r="M27" s="10">
        <f>'[1]WARD 46'!$E$73</f>
        <v>62.90246418066625</v>
      </c>
      <c r="N27" s="10">
        <f>'[1]WARD 46'!$E$72</f>
        <v>3956.7200000000003</v>
      </c>
      <c r="O27" s="11">
        <v>4269</v>
      </c>
      <c r="P27" s="10">
        <f>'[1]WARD 46'!$G$71</f>
        <v>213.45</v>
      </c>
      <c r="Q27" s="3">
        <f t="shared" si="2"/>
        <v>46.85544945670069</v>
      </c>
      <c r="R27" s="10">
        <f>'[1]WARD 46'!$G$73</f>
        <v>110.35279788025314</v>
      </c>
      <c r="S27" s="10">
        <f>'[1]WARD 46'!$G$72</f>
        <v>12177.74</v>
      </c>
      <c r="T27" s="1" t="s">
        <v>31</v>
      </c>
      <c r="U27" s="22" t="s">
        <v>26</v>
      </c>
      <c r="V27" s="1" t="s">
        <v>25</v>
      </c>
      <c r="W27" s="1" t="s">
        <v>27</v>
      </c>
      <c r="X27" s="1" t="e">
        <v>#DIV/0!</v>
      </c>
      <c r="Y27" s="13" t="str">
        <f t="shared" si="3"/>
        <v>BJP GAIN</v>
      </c>
      <c r="Z27" s="5">
        <f t="shared" si="4"/>
        <v>1.9756338491932794</v>
      </c>
      <c r="AA27" s="24" t="str">
        <f t="shared" si="0"/>
        <v>NARROWMARGIN</v>
      </c>
    </row>
    <row r="28" spans="1:27">
      <c r="A28" s="1">
        <v>25</v>
      </c>
      <c r="B28" s="1">
        <v>47</v>
      </c>
      <c r="C28" s="1" t="s">
        <v>80</v>
      </c>
      <c r="D28" s="1">
        <v>5</v>
      </c>
      <c r="E28" s="1" t="s">
        <v>81</v>
      </c>
      <c r="F28" s="1">
        <v>10136</v>
      </c>
      <c r="G28" s="3">
        <f>'[1]WARD 47'!$C$75</f>
        <v>506.8</v>
      </c>
      <c r="H28" s="3">
        <f>'[1]WARD 47'!$C$77</f>
        <v>114.70972059943307</v>
      </c>
      <c r="I28" s="3">
        <f>'[1]WARD 47'!$C$76</f>
        <v>13158.32</v>
      </c>
      <c r="J28" s="4">
        <v>3973</v>
      </c>
      <c r="K28" s="3">
        <f>'[1]WARD 47'!$E$75</f>
        <v>198.64999999999998</v>
      </c>
      <c r="L28" s="3">
        <f t="shared" si="1"/>
        <v>39.196921862667715</v>
      </c>
      <c r="M28" s="3">
        <f>'[1]WARD 47'!$E$77</f>
        <v>84.921375401014316</v>
      </c>
      <c r="N28" s="3">
        <f>'[1]WARD 47'!$E$76</f>
        <v>7211.6399999999994</v>
      </c>
      <c r="O28" s="4">
        <v>5782</v>
      </c>
      <c r="P28" s="3">
        <f>'[1]WARD 47'!$G$75</f>
        <v>289.10000000000002</v>
      </c>
      <c r="Q28" s="3">
        <f t="shared" si="2"/>
        <v>57.044198895027634</v>
      </c>
      <c r="R28" s="3">
        <f>'[1]WARD 47'!$G$77</f>
        <v>47.566584909997481</v>
      </c>
      <c r="S28" s="3">
        <f>'[1]WARD 47'!$G$76</f>
        <v>2262.58</v>
      </c>
      <c r="T28" s="1" t="s">
        <v>55</v>
      </c>
      <c r="U28" s="22" t="s">
        <v>26</v>
      </c>
      <c r="V28" s="15" t="s">
        <v>31</v>
      </c>
      <c r="W28" s="1" t="s">
        <v>27</v>
      </c>
      <c r="X28" s="1" t="s">
        <v>38</v>
      </c>
      <c r="Y28" s="22" t="str">
        <f t="shared" si="3"/>
        <v>CONGRESS GAIN</v>
      </c>
      <c r="Z28" s="5">
        <f t="shared" si="6"/>
        <v>17.847277032359919</v>
      </c>
      <c r="AA28" s="25" t="str">
        <f t="shared" si="0"/>
        <v>LOWMARGIN</v>
      </c>
    </row>
    <row r="29" spans="1:27">
      <c r="A29" s="1">
        <v>26</v>
      </c>
      <c r="B29" s="1">
        <v>48</v>
      </c>
      <c r="C29" s="1" t="s">
        <v>82</v>
      </c>
      <c r="D29" s="1">
        <v>6</v>
      </c>
      <c r="E29" s="1" t="s">
        <v>83</v>
      </c>
      <c r="F29" s="1">
        <v>12866</v>
      </c>
      <c r="G29" s="3">
        <f>'[1]WARD 48'!$C$67</f>
        <v>536.08333333333337</v>
      </c>
      <c r="H29" s="3">
        <f>'[1]WARD 48'!$C$69</f>
        <v>154.83310907769908</v>
      </c>
      <c r="I29" s="3">
        <f>'[1]WARD 48'!$C$68</f>
        <v>23973.291666666664</v>
      </c>
      <c r="J29" s="4">
        <v>5219</v>
      </c>
      <c r="K29" s="3">
        <f>'[1]WARD 48'!$E$67</f>
        <v>217.45833333333331</v>
      </c>
      <c r="L29" s="3">
        <f t="shared" si="1"/>
        <v>40.564277941862265</v>
      </c>
      <c r="M29" s="3">
        <f>'[1]WARD 48'!$E$69</f>
        <v>131.70919671761726</v>
      </c>
      <c r="N29" s="3">
        <f>'[1]WARD 48'!$E$68</f>
        <v>17347.3125</v>
      </c>
      <c r="O29" s="4">
        <v>6988</v>
      </c>
      <c r="P29" s="3">
        <f>'[1]WARD 48'!$G$67</f>
        <v>291.16666666666669</v>
      </c>
      <c r="Q29" s="3">
        <f t="shared" si="2"/>
        <v>54.313695010104148</v>
      </c>
      <c r="R29" s="3">
        <f>'[1]WARD 48'!$G$69</f>
        <v>60.274027021042265</v>
      </c>
      <c r="S29" s="3">
        <f>'[1]WARD 48'!$G$68</f>
        <v>3632.9583333333335</v>
      </c>
      <c r="T29" s="1" t="s">
        <v>31</v>
      </c>
      <c r="U29" s="22" t="s">
        <v>25</v>
      </c>
      <c r="V29" s="1" t="s">
        <v>26</v>
      </c>
      <c r="W29" s="1" t="s">
        <v>27</v>
      </c>
      <c r="X29" s="1" t="s">
        <v>38</v>
      </c>
      <c r="Y29" s="22" t="str">
        <f t="shared" si="3"/>
        <v>CONGRESS GAIN</v>
      </c>
      <c r="Z29" s="5">
        <f t="shared" si="6"/>
        <v>13.749417068241883</v>
      </c>
      <c r="AA29" s="25" t="str">
        <f t="shared" si="0"/>
        <v>LOWMARGIN</v>
      </c>
    </row>
    <row r="30" spans="1:27">
      <c r="A30" s="1">
        <v>27</v>
      </c>
      <c r="B30" s="1">
        <v>49</v>
      </c>
      <c r="C30" s="1" t="s">
        <v>84</v>
      </c>
      <c r="D30" s="1">
        <v>6</v>
      </c>
      <c r="E30" s="1" t="s">
        <v>85</v>
      </c>
      <c r="F30" s="1">
        <v>13552</v>
      </c>
      <c r="G30" s="10">
        <f>'[1]WARD 49'!$C$75</f>
        <v>564.66666666666663</v>
      </c>
      <c r="H30" s="10">
        <f>'[1]WARD 49'!$C$77</f>
        <v>178.38990535715112</v>
      </c>
      <c r="I30" s="10">
        <f>'[1]WARD 49'!$C$76</f>
        <v>31822.958333333332</v>
      </c>
      <c r="J30" s="11">
        <v>6705</v>
      </c>
      <c r="K30" s="10">
        <f>'[1]WARD 49'!$E$75</f>
        <v>279.375</v>
      </c>
      <c r="L30" s="3">
        <f t="shared" si="1"/>
        <v>49.476092089728461</v>
      </c>
      <c r="M30" s="10">
        <f>'[1]WARD 49'!$E$77</f>
        <v>122.66590239798145</v>
      </c>
      <c r="N30" s="10">
        <f>'[1]WARD 49'!$E$76</f>
        <v>15046.923611111111</v>
      </c>
      <c r="O30" s="11">
        <v>6031</v>
      </c>
      <c r="P30" s="10">
        <f>'[1]WARD 49'!$G$75</f>
        <v>251.29166666666669</v>
      </c>
      <c r="Q30" s="3">
        <f t="shared" si="2"/>
        <v>44.502656434474623</v>
      </c>
      <c r="R30" s="10">
        <f>'[1]WARD 49'!$G$77</f>
        <v>110.59093166560569</v>
      </c>
      <c r="S30" s="10">
        <f>'[1]WARD 49'!$G$76</f>
        <v>12230.354166666668</v>
      </c>
      <c r="T30" s="1" t="s">
        <v>24</v>
      </c>
      <c r="U30" s="22" t="s">
        <v>25</v>
      </c>
      <c r="V30" s="1" t="s">
        <v>26</v>
      </c>
      <c r="W30" s="1" t="s">
        <v>27</v>
      </c>
      <c r="X30" s="1" t="s">
        <v>38</v>
      </c>
      <c r="Y30" s="13" t="str">
        <f t="shared" si="3"/>
        <v>BJP GAIN</v>
      </c>
      <c r="Z30" s="5">
        <f t="shared" si="4"/>
        <v>4.9734356552538372</v>
      </c>
      <c r="AA30" s="24" t="str">
        <f t="shared" si="0"/>
        <v>NARROWMARGIN</v>
      </c>
    </row>
    <row r="31" spans="1:27">
      <c r="A31" s="1">
        <v>28</v>
      </c>
      <c r="B31" s="1">
        <v>50</v>
      </c>
      <c r="C31" s="1" t="s">
        <v>86</v>
      </c>
      <c r="D31" s="1">
        <v>8</v>
      </c>
      <c r="E31" s="1" t="s">
        <v>87</v>
      </c>
      <c r="F31" s="1">
        <v>16235</v>
      </c>
      <c r="G31" s="3">
        <f>'[1]WARD 50'!$C$87</f>
        <v>507.34375</v>
      </c>
      <c r="H31" s="3">
        <f>'[1]WARD 50'!$C$89</f>
        <v>139.78126047954353</v>
      </c>
      <c r="I31" s="3">
        <f>'[1]WARD 50'!$C$88</f>
        <v>19538.80078125</v>
      </c>
      <c r="J31" s="4">
        <v>7995</v>
      </c>
      <c r="K31" s="3">
        <f>'[1]WARD 50'!$E$87</f>
        <v>249.84375</v>
      </c>
      <c r="L31" s="3">
        <f t="shared" si="1"/>
        <v>49.245457345241761</v>
      </c>
      <c r="M31" s="3">
        <f>'[1]WARD 50'!$E$89</f>
        <v>140.83743676221178</v>
      </c>
      <c r="N31" s="3">
        <f>'[1]WARD 50'!$E$88</f>
        <v>19835.18359375</v>
      </c>
      <c r="O31" s="4">
        <v>6975</v>
      </c>
      <c r="P31" s="3">
        <f>'[1]WARD 50'!$G$87</f>
        <v>217.96875</v>
      </c>
      <c r="Q31" s="3">
        <f t="shared" si="2"/>
        <v>42.962734832152755</v>
      </c>
      <c r="R31" s="3">
        <f>'[1]WARD 50'!$G$89</f>
        <v>68.57081763585731</v>
      </c>
      <c r="S31" s="3">
        <f>'[1]WARD 50'!$G$88</f>
        <v>4701.95703125</v>
      </c>
      <c r="T31" s="1" t="s">
        <v>24</v>
      </c>
      <c r="U31" s="22" t="s">
        <v>24</v>
      </c>
      <c r="V31" s="1" t="s">
        <v>26</v>
      </c>
      <c r="W31" s="1" t="s">
        <v>27</v>
      </c>
      <c r="X31" s="1" t="s">
        <v>28</v>
      </c>
      <c r="Y31" s="13" t="str">
        <f t="shared" si="3"/>
        <v>BJP GAIN</v>
      </c>
      <c r="Z31" s="5">
        <f t="shared" si="4"/>
        <v>6.2827225130890056</v>
      </c>
      <c r="AA31" s="24" t="str">
        <f t="shared" si="0"/>
        <v>NARROWMARGIN</v>
      </c>
    </row>
    <row r="32" spans="1:27">
      <c r="A32" s="1">
        <v>29</v>
      </c>
      <c r="B32" s="1">
        <v>51</v>
      </c>
      <c r="C32" s="1" t="s">
        <v>88</v>
      </c>
      <c r="D32" s="1">
        <v>8</v>
      </c>
      <c r="E32" s="1" t="s">
        <v>89</v>
      </c>
      <c r="F32" s="1">
        <v>13777</v>
      </c>
      <c r="G32" s="3">
        <f>'[1]WARD 51'!$C$66</f>
        <v>492.03571428571428</v>
      </c>
      <c r="H32" s="3">
        <f>'[1]WARD 51'!$C$68</f>
        <v>119.28049603641777</v>
      </c>
      <c r="I32" s="3">
        <f>'[1]WARD 51'!$C$67</f>
        <v>14227.836734693878</v>
      </c>
      <c r="J32" s="4">
        <v>5048</v>
      </c>
      <c r="K32" s="3">
        <f>'[1]WARD 51'!$E$66</f>
        <v>180.28571428571428</v>
      </c>
      <c r="L32" s="3">
        <f t="shared" si="1"/>
        <v>36.640778108441602</v>
      </c>
      <c r="M32" s="3">
        <f>'[1]WARD 51'!$E$68</f>
        <v>99.074647182241904</v>
      </c>
      <c r="N32" s="3">
        <f>'[1]WARD 51'!$E$67</f>
        <v>9815.7857142857138</v>
      </c>
      <c r="O32" s="4">
        <v>7282</v>
      </c>
      <c r="P32" s="3">
        <f>'[1]WARD 51'!$G$66</f>
        <v>260.07142857142856</v>
      </c>
      <c r="Q32" s="3">
        <f t="shared" si="2"/>
        <v>52.856209624736884</v>
      </c>
      <c r="R32" s="3">
        <f>'[1]WARD 51'!$G$68</f>
        <v>152.70623391843247</v>
      </c>
      <c r="S32" s="3">
        <f>'[1]WARD 51'!$G$67</f>
        <v>23319.193877551021</v>
      </c>
      <c r="T32" s="1" t="s">
        <v>24</v>
      </c>
      <c r="U32" s="22" t="s">
        <v>55</v>
      </c>
      <c r="V32" s="1" t="s">
        <v>26</v>
      </c>
      <c r="W32" s="1" t="s">
        <v>27</v>
      </c>
      <c r="X32" s="1" t="s">
        <v>28</v>
      </c>
      <c r="Y32" s="22" t="str">
        <f t="shared" si="3"/>
        <v>CONGRESS GAIN</v>
      </c>
      <c r="Z32" s="5">
        <f t="shared" ref="Z32:Z34" si="7">Q32-L32</f>
        <v>16.215431516295283</v>
      </c>
      <c r="AA32" s="25" t="str">
        <f t="shared" si="0"/>
        <v>LOWMARGIN</v>
      </c>
    </row>
    <row r="33" spans="1:27">
      <c r="A33" s="1">
        <v>30</v>
      </c>
      <c r="B33" s="1">
        <v>52</v>
      </c>
      <c r="C33" s="1" t="s">
        <v>90</v>
      </c>
      <c r="D33" s="1">
        <v>6</v>
      </c>
      <c r="E33" s="1" t="s">
        <v>91</v>
      </c>
      <c r="F33" s="1">
        <v>13851</v>
      </c>
      <c r="G33" s="10">
        <f>'[1]WARD 52'!$C$75</f>
        <v>577.125</v>
      </c>
      <c r="H33" s="10">
        <f>'[1]WARD 52'!$C$77:$C$77</f>
        <v>131.41275623013163</v>
      </c>
      <c r="I33" s="10">
        <f>'[1]WARD 52'!$C$76</f>
        <v>17269.3125</v>
      </c>
      <c r="J33" s="11">
        <v>5749</v>
      </c>
      <c r="K33" s="10">
        <f>'[1]WARD 52'!$E$75</f>
        <v>239.54166666666669</v>
      </c>
      <c r="L33" s="3">
        <f t="shared" si="1"/>
        <v>41.506028445599597</v>
      </c>
      <c r="M33" s="10">
        <f>'[1]WARD 52'!$E$77</f>
        <v>105.63192778069833</v>
      </c>
      <c r="N33" s="10">
        <f>'[1]WARD 52'!$E$76</f>
        <v>11158.104166666668</v>
      </c>
      <c r="O33" s="11">
        <v>6339</v>
      </c>
      <c r="P33" s="10">
        <f>'[1]WARD 52'!$G$75</f>
        <v>264.125</v>
      </c>
      <c r="Q33" s="3">
        <f t="shared" si="2"/>
        <v>45.765648689625301</v>
      </c>
      <c r="R33" s="10">
        <f>'[1]WARD 52'!$G$77</f>
        <v>149.47191765233583</v>
      </c>
      <c r="S33" s="10">
        <f>'[1]WARD 52'!$G$76</f>
        <v>22341.854166666664</v>
      </c>
      <c r="T33" s="1" t="s">
        <v>24</v>
      </c>
      <c r="U33" s="22" t="s">
        <v>25</v>
      </c>
      <c r="V33" s="1" t="s">
        <v>26</v>
      </c>
      <c r="W33" s="1" t="s">
        <v>27</v>
      </c>
      <c r="X33" s="1" t="s">
        <v>28</v>
      </c>
      <c r="Y33" s="22" t="str">
        <f t="shared" si="3"/>
        <v>CONGRESS GAIN</v>
      </c>
      <c r="Z33" s="5">
        <f t="shared" si="7"/>
        <v>4.2596202440257045</v>
      </c>
      <c r="AA33" s="24" t="str">
        <f t="shared" si="0"/>
        <v>NARROWMARGIN</v>
      </c>
    </row>
    <row r="34" spans="1:27">
      <c r="A34" s="1">
        <v>31</v>
      </c>
      <c r="B34" s="1">
        <v>53</v>
      </c>
      <c r="C34" s="1" t="s">
        <v>92</v>
      </c>
      <c r="D34" s="1">
        <v>7</v>
      </c>
      <c r="E34" s="1" t="s">
        <v>93</v>
      </c>
      <c r="F34" s="1">
        <v>14731</v>
      </c>
      <c r="G34" s="3">
        <f>'[1]WARD 53'!$C$81</f>
        <v>525.67857142857133</v>
      </c>
      <c r="H34" s="3">
        <f>'[1]WARD 53'!$C$83</f>
        <v>136.63970200225594</v>
      </c>
      <c r="I34" s="3">
        <f>'[1]WARD 53'!$C$82</f>
        <v>18670.408163265307</v>
      </c>
      <c r="J34" s="4">
        <v>5783</v>
      </c>
      <c r="K34" s="3">
        <f>'[1]WARD 53'!$E$81</f>
        <v>206.53571428571428</v>
      </c>
      <c r="L34" s="3">
        <f t="shared" si="1"/>
        <v>39.289353896324485</v>
      </c>
      <c r="M34" s="3">
        <f>'[1]WARD 53'!$E$83</f>
        <v>113.17743879882255</v>
      </c>
      <c r="N34" s="3">
        <f>'[1]WARD 53'!$E$82</f>
        <v>12809.132653061224</v>
      </c>
      <c r="O34" s="4">
        <v>7655</v>
      </c>
      <c r="P34" s="3">
        <f>'[1]WARD 53'!$G$81</f>
        <v>273.39285714285711</v>
      </c>
      <c r="Q34" s="3">
        <f t="shared" si="2"/>
        <v>52.007609212582381</v>
      </c>
      <c r="R34" s="3">
        <f>'[1]WARD 53'!$G$83</f>
        <v>140.42602817054643</v>
      </c>
      <c r="S34" s="3">
        <f>'[1]WARD 53'!$G$82</f>
        <v>19719.469387755104</v>
      </c>
      <c r="T34" s="1" t="s">
        <v>24</v>
      </c>
      <c r="U34" s="22" t="s">
        <v>26</v>
      </c>
      <c r="V34" s="1" t="s">
        <v>26</v>
      </c>
      <c r="W34" s="1" t="s">
        <v>27</v>
      </c>
      <c r="X34" s="1" t="s">
        <v>28</v>
      </c>
      <c r="Y34" s="22" t="str">
        <f t="shared" si="3"/>
        <v>CONGRESS GAIN</v>
      </c>
      <c r="Z34" s="5">
        <f t="shared" si="7"/>
        <v>12.718255316257896</v>
      </c>
      <c r="AA34" s="25" t="str">
        <f t="shared" si="0"/>
        <v>LOWMARGIN</v>
      </c>
    </row>
    <row r="35" spans="1:27">
      <c r="A35" s="1">
        <v>32</v>
      </c>
      <c r="B35" s="1">
        <v>54</v>
      </c>
      <c r="C35" s="1" t="s">
        <v>94</v>
      </c>
      <c r="D35" s="1">
        <v>5</v>
      </c>
      <c r="E35" s="1" t="s">
        <v>95</v>
      </c>
      <c r="F35" s="1">
        <v>9787</v>
      </c>
      <c r="G35" s="3">
        <f>'[1]WARD 54'!$C$61</f>
        <v>555.02499999999998</v>
      </c>
      <c r="H35" s="3">
        <f>'[1]WARD 54'!$C$63</f>
        <v>151.58958984706041</v>
      </c>
      <c r="I35" s="3">
        <f>'[1]WARD 54'!$C$62</f>
        <v>22979.403750000001</v>
      </c>
      <c r="J35" s="4">
        <v>5075</v>
      </c>
      <c r="K35" s="3">
        <f>'[1]WARD 54'!$E$61</f>
        <v>282.86250000000001</v>
      </c>
      <c r="L35" s="3">
        <f t="shared" si="1"/>
        <v>50.963920544119631</v>
      </c>
      <c r="M35" s="3">
        <f>'[1]WARD 54'!$E$63</f>
        <v>107.13956727092004</v>
      </c>
      <c r="N35" s="3">
        <f>'[1]WARD 54'!$E$62</f>
        <v>11478.886875</v>
      </c>
      <c r="O35" s="4">
        <v>4057</v>
      </c>
      <c r="P35" s="3">
        <f>'[1]WARD 54'!$G$61</f>
        <v>236.17500000000001</v>
      </c>
      <c r="Q35" s="3">
        <f t="shared" si="2"/>
        <v>42.55213729111302</v>
      </c>
      <c r="R35" s="3">
        <f>'[1]WARD 54'!$G$63</f>
        <v>54.420894424843844</v>
      </c>
      <c r="S35" s="3">
        <f>'[1]WARD 54'!$G$62</f>
        <v>2961.63375</v>
      </c>
      <c r="T35" s="1" t="s">
        <v>24</v>
      </c>
      <c r="U35" s="22" t="s">
        <v>26</v>
      </c>
      <c r="V35" s="1" t="s">
        <v>26</v>
      </c>
      <c r="W35" s="1" t="s">
        <v>27</v>
      </c>
      <c r="X35" s="1" t="s">
        <v>28</v>
      </c>
      <c r="Y35" s="13" t="str">
        <f t="shared" si="3"/>
        <v>BJP GAIN</v>
      </c>
      <c r="Z35" s="5">
        <f t="shared" si="4"/>
        <v>8.411783253006611</v>
      </c>
      <c r="AA35" s="24" t="str">
        <f t="shared" si="0"/>
        <v>NARROWMARGIN</v>
      </c>
    </row>
    <row r="36" spans="1:27">
      <c r="A36" s="1">
        <v>33</v>
      </c>
      <c r="B36" s="1">
        <v>55</v>
      </c>
      <c r="C36" s="1" t="s">
        <v>96</v>
      </c>
      <c r="D36" s="1">
        <v>8</v>
      </c>
      <c r="E36" s="1" t="s">
        <v>97</v>
      </c>
      <c r="F36" s="1">
        <v>13414</v>
      </c>
      <c r="G36" s="10">
        <f>'[1]WARD 55'!$C$83</f>
        <v>419.1875</v>
      </c>
      <c r="H36" s="10">
        <f>'[1]WARD 55'!$C$85</f>
        <v>168.36379417054013</v>
      </c>
      <c r="I36" s="10">
        <f>'[1]WARD 55'!$C$84</f>
        <v>28346.3671875</v>
      </c>
      <c r="J36" s="11">
        <v>5754</v>
      </c>
      <c r="K36" s="10">
        <f>'[1]WARD 55'!$E$83</f>
        <v>179.8125</v>
      </c>
      <c r="L36" s="3">
        <f t="shared" si="1"/>
        <v>42.895482331892055</v>
      </c>
      <c r="M36" s="10">
        <f>'[1]WARD 55'!$E$85</f>
        <v>115.8421946550565</v>
      </c>
      <c r="N36" s="10">
        <f>'[1]WARD 55'!$E$84</f>
        <v>13419.4140625</v>
      </c>
      <c r="O36" s="11">
        <v>7039</v>
      </c>
      <c r="P36" s="10">
        <f>'[1]WARD 55'!$G$83</f>
        <v>219.96875</v>
      </c>
      <c r="Q36" s="3">
        <f t="shared" si="2"/>
        <v>52.475026092142542</v>
      </c>
      <c r="R36" s="10">
        <f>'[1]WARD 55'!$G$85</f>
        <v>111.35877757837503</v>
      </c>
      <c r="S36" s="10">
        <f>'[1]WARD 55'!$G$84</f>
        <v>12400.77734375</v>
      </c>
      <c r="T36" s="1" t="s">
        <v>31</v>
      </c>
      <c r="U36" s="22" t="s">
        <v>26</v>
      </c>
      <c r="V36" s="1" t="s">
        <v>25</v>
      </c>
      <c r="W36" s="1" t="s">
        <v>27</v>
      </c>
      <c r="X36" s="1" t="e">
        <v>#DIV/0!</v>
      </c>
      <c r="Y36" s="22" t="str">
        <f t="shared" si="3"/>
        <v>CONGRESS GAIN</v>
      </c>
      <c r="Z36" s="5">
        <f t="shared" ref="Z36" si="8">Q36-L36</f>
        <v>9.5795437602504876</v>
      </c>
      <c r="AA36" s="24" t="str">
        <f t="shared" si="0"/>
        <v>NARROWMARGIN</v>
      </c>
    </row>
    <row r="37" spans="1:27">
      <c r="A37" s="1">
        <v>34</v>
      </c>
      <c r="B37" s="1">
        <v>56</v>
      </c>
      <c r="C37" s="1" t="s">
        <v>98</v>
      </c>
      <c r="D37" s="1">
        <v>5</v>
      </c>
      <c r="E37" s="1" t="s">
        <v>99</v>
      </c>
      <c r="F37" s="1">
        <v>10127</v>
      </c>
      <c r="G37" s="3">
        <f>'[1]WARD 56'!$C$75</f>
        <v>506.34999999999997</v>
      </c>
      <c r="H37" s="3">
        <f>'[1]WARD 56'!$C$77</f>
        <v>67.776987244934404</v>
      </c>
      <c r="I37" s="3">
        <f>'[1]WARD 56'!$C$76</f>
        <v>4593.72</v>
      </c>
      <c r="J37" s="4">
        <v>4944</v>
      </c>
      <c r="K37" s="3">
        <f>'[1]WARD 56'!$E$75</f>
        <v>247.20000000000002</v>
      </c>
      <c r="L37" s="3">
        <f t="shared" si="1"/>
        <v>48.819986175570264</v>
      </c>
      <c r="M37" s="3">
        <f>'[1]WARD 56'!$E$77</f>
        <v>64.843349697559574</v>
      </c>
      <c r="N37" s="3">
        <f>'[1]WARD 56'!$E$76</f>
        <v>4204.66</v>
      </c>
      <c r="O37" s="4">
        <v>4720</v>
      </c>
      <c r="P37" s="3">
        <f>'[1]WARD 56'!$G$75</f>
        <v>236</v>
      </c>
      <c r="Q37" s="3">
        <f t="shared" si="2"/>
        <v>46.608077416806559</v>
      </c>
      <c r="R37" s="3">
        <f>'[1]WARD 56'!$G$77</f>
        <v>49.464532748222737</v>
      </c>
      <c r="S37" s="3">
        <f>'[1]WARD 56'!$G$76</f>
        <v>2446.7399999999998</v>
      </c>
      <c r="T37" s="1" t="s">
        <v>31</v>
      </c>
      <c r="U37" s="22" t="s">
        <v>26</v>
      </c>
      <c r="V37" s="1" t="s">
        <v>25</v>
      </c>
      <c r="W37" s="1" t="s">
        <v>27</v>
      </c>
      <c r="X37" s="1" t="e">
        <v>#DIV/0!</v>
      </c>
      <c r="Y37" s="13" t="str">
        <f t="shared" si="3"/>
        <v>BJP GAIN</v>
      </c>
      <c r="Z37" s="5">
        <f t="shared" si="4"/>
        <v>2.2119087587637054</v>
      </c>
      <c r="AA37" s="24" t="str">
        <f t="shared" si="0"/>
        <v>NARROWMARGIN</v>
      </c>
    </row>
    <row r="38" spans="1:27">
      <c r="A38" s="1">
        <v>35</v>
      </c>
      <c r="B38" s="1">
        <v>57</v>
      </c>
      <c r="C38" s="1" t="s">
        <v>100</v>
      </c>
      <c r="D38" s="1">
        <v>5</v>
      </c>
      <c r="E38" s="1" t="s">
        <v>101</v>
      </c>
      <c r="F38" s="1">
        <v>6599</v>
      </c>
      <c r="G38" s="5">
        <f>'[1]WARD 57'!$C$52</f>
        <v>509.35</v>
      </c>
      <c r="H38" s="5">
        <f>'[1]WARD 57'!$C$54</f>
        <v>59.968825234449945</v>
      </c>
      <c r="I38" s="5">
        <f>'[1]WARD 57'!$C$53</f>
        <v>3596.26</v>
      </c>
      <c r="J38" s="16">
        <v>5091</v>
      </c>
      <c r="K38" s="5">
        <f>'[1]WARD 57'!$E$52</f>
        <v>210.95</v>
      </c>
      <c r="L38" s="3">
        <f t="shared" si="1"/>
        <v>41.415529596544609</v>
      </c>
      <c r="M38" s="5">
        <f>'[1]WARD 57'!$E$54</f>
        <v>96.685004007860499</v>
      </c>
      <c r="N38" s="5">
        <f>'[1]WARD 57'!$E$53</f>
        <v>9347.99</v>
      </c>
      <c r="O38" s="16">
        <v>3150</v>
      </c>
      <c r="P38" s="5">
        <f>'[1]WARD 57'!$G$52</f>
        <v>263.55</v>
      </c>
      <c r="Q38" s="3">
        <f t="shared" si="2"/>
        <v>51.742416805732795</v>
      </c>
      <c r="R38" s="5">
        <f>'[1]WARD 57'!$G$54</f>
        <v>70.417078894256903</v>
      </c>
      <c r="S38" s="5">
        <f>'[1]WARD 57'!$G$53</f>
        <v>4958.5650000000005</v>
      </c>
      <c r="T38" s="1" t="s">
        <v>31</v>
      </c>
      <c r="U38" s="22" t="s">
        <v>26</v>
      </c>
      <c r="V38" s="1" t="s">
        <v>25</v>
      </c>
      <c r="W38" s="1" t="s">
        <v>27</v>
      </c>
      <c r="X38" s="1" t="e">
        <v>#DIV/0!</v>
      </c>
      <c r="Y38" s="22" t="str">
        <f t="shared" si="3"/>
        <v>CONGRESS GAIN</v>
      </c>
      <c r="Z38" s="5">
        <f t="shared" ref="Z38" si="9">Q38-L38</f>
        <v>10.326887209188186</v>
      </c>
      <c r="AA38" s="25" t="str">
        <f t="shared" si="0"/>
        <v>LOWMARGIN</v>
      </c>
    </row>
    <row r="39" spans="1:27">
      <c r="A39" s="1">
        <v>36</v>
      </c>
      <c r="B39" s="1">
        <v>58</v>
      </c>
      <c r="C39" s="1" t="s">
        <v>102</v>
      </c>
      <c r="D39" s="1">
        <v>4</v>
      </c>
      <c r="E39" s="1" t="s">
        <v>103</v>
      </c>
      <c r="F39" s="1">
        <v>5388</v>
      </c>
      <c r="G39" s="14">
        <f>'[1]WARD 58'!$C$66</f>
        <v>336.75</v>
      </c>
      <c r="H39" s="14">
        <f>'[1]WARD 58'!$C$68</f>
        <v>227.34424613347926</v>
      </c>
      <c r="I39" s="14">
        <f>'[1]WARD 58'!$C$67</f>
        <v>51685.40625</v>
      </c>
      <c r="J39" s="15">
        <v>2776</v>
      </c>
      <c r="K39" s="14">
        <f>'[1]WARD 58'!$E$66</f>
        <v>173.5</v>
      </c>
      <c r="L39" s="3">
        <f t="shared" si="1"/>
        <v>51.521900519673345</v>
      </c>
      <c r="M39" s="14">
        <f>'[1]WARD 58'!$E$68</f>
        <v>107.55986705086615</v>
      </c>
      <c r="N39" s="14">
        <f>'[1]WARD 58'!$E$67</f>
        <v>11569.125</v>
      </c>
      <c r="O39" s="15">
        <v>2402</v>
      </c>
      <c r="P39" s="14">
        <f>'[1]WARD 58'!$G$66</f>
        <v>150.125</v>
      </c>
      <c r="Q39" s="3">
        <f t="shared" si="2"/>
        <v>44.580549368968079</v>
      </c>
      <c r="R39" s="14">
        <f>'[1]WARD 58'!$G$68</f>
        <v>125.88610924164747</v>
      </c>
      <c r="S39" s="14">
        <f>'[1]WARD 58'!$G$67</f>
        <v>15847.3125</v>
      </c>
      <c r="T39" s="1" t="s">
        <v>31</v>
      </c>
      <c r="U39" s="22" t="s">
        <v>26</v>
      </c>
      <c r="V39" s="1" t="s">
        <v>25</v>
      </c>
      <c r="W39" s="1" t="s">
        <v>27</v>
      </c>
      <c r="X39" s="1" t="e">
        <v>#DIV/0!</v>
      </c>
      <c r="Y39" s="13" t="str">
        <f t="shared" si="3"/>
        <v>BJP GAIN</v>
      </c>
      <c r="Z39" s="5">
        <f t="shared" si="4"/>
        <v>6.9413511507052661</v>
      </c>
      <c r="AA39" s="24" t="str">
        <f t="shared" si="0"/>
        <v>NARROWMARGIN</v>
      </c>
    </row>
    <row r="40" spans="1:27">
      <c r="A40" s="1">
        <v>37</v>
      </c>
      <c r="B40" s="1">
        <v>59</v>
      </c>
      <c r="C40" s="1" t="s">
        <v>104</v>
      </c>
      <c r="D40" s="1">
        <v>6</v>
      </c>
      <c r="E40" s="1" t="s">
        <v>105</v>
      </c>
      <c r="F40" s="1">
        <v>9169</v>
      </c>
      <c r="G40" s="3">
        <f>'[1]WARD 59'!$C$76</f>
        <v>467.375</v>
      </c>
      <c r="H40" s="3">
        <f>'[1]WARD 59'!$C$78</f>
        <v>138.94265903602104</v>
      </c>
      <c r="I40" s="3">
        <f>'[1]WARD 59'!$C$77</f>
        <v>19305.0625</v>
      </c>
      <c r="J40" s="4">
        <v>3460</v>
      </c>
      <c r="K40" s="3">
        <f>'[1]WARD 59'!$E$76</f>
        <v>163</v>
      </c>
      <c r="L40" s="3">
        <f t="shared" si="1"/>
        <v>34.875635196576624</v>
      </c>
      <c r="M40" s="3">
        <f>'[1]WARD 59'!$E$78</f>
        <v>113.48168905158224</v>
      </c>
      <c r="N40" s="3">
        <f>'[1]WARD 59'!$E$77</f>
        <v>12878.09375</v>
      </c>
      <c r="O40" s="4">
        <v>5294</v>
      </c>
      <c r="P40" s="3">
        <f>'[1]WARD 59'!$G$76</f>
        <v>283.70833333333331</v>
      </c>
      <c r="Q40" s="3">
        <f t="shared" si="2"/>
        <v>60.702505126147813</v>
      </c>
      <c r="R40" s="3">
        <f>'[1]WARD 59'!$G$78</f>
        <v>50.751676217528903</v>
      </c>
      <c r="S40" s="3">
        <f>'[1]WARD 59'!$G$77</f>
        <v>2575.7326388888887</v>
      </c>
      <c r="T40" s="1" t="s">
        <v>31</v>
      </c>
      <c r="U40" s="22" t="s">
        <v>26</v>
      </c>
      <c r="V40" s="1" t="s">
        <v>25</v>
      </c>
      <c r="W40" s="1" t="s">
        <v>27</v>
      </c>
      <c r="X40" s="1" t="e">
        <v>#DIV/0!</v>
      </c>
      <c r="Y40" s="22" t="str">
        <f t="shared" si="3"/>
        <v>CONGRESS GAIN</v>
      </c>
      <c r="Z40" s="5">
        <f t="shared" ref="Z40:Z41" si="10">Q40-L40</f>
        <v>25.826869929571188</v>
      </c>
      <c r="AA40" s="25" t="str">
        <f t="shared" si="0"/>
        <v>LOWMARGIN</v>
      </c>
    </row>
    <row r="41" spans="1:27">
      <c r="A41" s="1">
        <v>38</v>
      </c>
      <c r="B41" s="1">
        <v>60</v>
      </c>
      <c r="C41" s="1" t="s">
        <v>106</v>
      </c>
      <c r="D41" s="1">
        <v>8</v>
      </c>
      <c r="E41" s="1" t="s">
        <v>107</v>
      </c>
      <c r="F41" s="1">
        <v>14852</v>
      </c>
      <c r="G41" s="3">
        <f>'[1]WARD 60'!$C$65</f>
        <v>5895</v>
      </c>
      <c r="H41" s="3">
        <f>'[1]WARD 60'!$C$67</f>
        <v>144.49020163093044</v>
      </c>
      <c r="I41" s="3">
        <f>'[1]WARD 60'!$C$66</f>
        <v>20877.418367346938</v>
      </c>
      <c r="J41" s="4">
        <v>6306</v>
      </c>
      <c r="K41" s="3">
        <f>'[1]WARD 60'!$E$65</f>
        <v>225.21428571428572</v>
      </c>
      <c r="L41" s="3">
        <f t="shared" si="1"/>
        <v>3.8204289349327523</v>
      </c>
      <c r="M41" s="3">
        <f>'[1]WARD 60'!$E$67</f>
        <v>186.82743319951265</v>
      </c>
      <c r="N41" s="3">
        <f>'[1]WARD 60'!$E$66</f>
        <v>34904.489795918365</v>
      </c>
      <c r="O41" s="4">
        <v>7152</v>
      </c>
      <c r="P41" s="3">
        <f>'[1]WARD 60'!$G$65</f>
        <v>255.42857142857142</v>
      </c>
      <c r="Q41" s="3">
        <f t="shared" si="2"/>
        <v>4.3329698291530345</v>
      </c>
      <c r="R41" s="3">
        <f>'[1]WARD 60'!$G$67</f>
        <v>152.10378438582583</v>
      </c>
      <c r="S41" s="3">
        <f>'[1]WARD 60'!$G$66</f>
        <v>23135.561224489797</v>
      </c>
      <c r="T41" s="1" t="s">
        <v>24</v>
      </c>
      <c r="U41" s="22" t="s">
        <v>26</v>
      </c>
      <c r="V41" s="1" t="s">
        <v>26</v>
      </c>
      <c r="W41" s="1" t="s">
        <v>27</v>
      </c>
      <c r="X41" s="1" t="s">
        <v>38</v>
      </c>
      <c r="Y41" s="22" t="str">
        <f t="shared" si="3"/>
        <v>CONGRESS GAIN</v>
      </c>
      <c r="Z41" s="5">
        <f t="shared" si="10"/>
        <v>0.51254089422028226</v>
      </c>
      <c r="AA41" s="24" t="str">
        <f>IF(Z41&gt;=50,"VERYHIGHMARGIN",IF(Z41&gt;=40,"HIGHMARGIN",IF(Z41&gt;=30,"MEDIUMMARGIN",IF(Z41&gt;10,"LOWMARGIN",IF(Z41&lt;1,"NARROWMARGIN")))))</f>
        <v>NARROWMARGIN</v>
      </c>
    </row>
    <row r="42" spans="1:27" ht="18.75">
      <c r="A42" s="45" t="s">
        <v>108</v>
      </c>
      <c r="B42" s="45"/>
      <c r="C42" s="45"/>
      <c r="D42" s="17"/>
      <c r="E42" s="17"/>
      <c r="F42" s="18">
        <f>SUM(F4:F41)</f>
        <v>426896</v>
      </c>
      <c r="G42" s="17"/>
      <c r="H42" s="17"/>
      <c r="I42" s="17"/>
      <c r="J42" s="18">
        <f>SUM(J4:J41)</f>
        <v>202513</v>
      </c>
      <c r="K42" s="17"/>
      <c r="L42" s="17"/>
      <c r="M42" s="17"/>
      <c r="N42" s="17"/>
      <c r="O42" s="18">
        <f>SUM(O4:O41)</f>
        <v>203108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18.75">
      <c r="A43" s="42" t="s">
        <v>109</v>
      </c>
      <c r="B43" s="43"/>
      <c r="C43" s="44"/>
      <c r="G43" s="20">
        <f>AVERAGE(G4:G41)</f>
        <v>641.18933270676678</v>
      </c>
      <c r="K43" s="20">
        <f>AVERAGE(K4:K41)</f>
        <v>235.9007832080201</v>
      </c>
      <c r="L43" s="20">
        <f>AVERAGE(L4:L41)</f>
        <v>46.080230195405505</v>
      </c>
      <c r="P43" s="20">
        <f>AVERAGE(P4:P41)</f>
        <v>237.4652177318296</v>
      </c>
      <c r="Q43" s="20">
        <f>AVERAGE(Q4:Q41)</f>
        <v>46.492834561499222</v>
      </c>
    </row>
    <row r="45" spans="1:27">
      <c r="W45" s="35" t="s">
        <v>8</v>
      </c>
      <c r="X45" s="36"/>
      <c r="Y45" s="39" t="s">
        <v>10</v>
      </c>
      <c r="Z45" s="39"/>
    </row>
    <row r="46" spans="1:27">
      <c r="W46" s="37"/>
      <c r="X46" s="38"/>
      <c r="Y46" s="39"/>
      <c r="Z46" s="39"/>
    </row>
    <row r="47" spans="1:27">
      <c r="W47" s="29" t="s">
        <v>6</v>
      </c>
      <c r="X47" s="30">
        <f>COUNTIF(Y4:Y41,"BJP GAIN")</f>
        <v>18</v>
      </c>
      <c r="Y47" s="24" t="s">
        <v>110</v>
      </c>
      <c r="Z47" s="24">
        <f>COUNTIF(AA4:AA41,"NARROWMARGIN")</f>
        <v>15</v>
      </c>
    </row>
    <row r="48" spans="1:27">
      <c r="W48" s="31" t="s">
        <v>7</v>
      </c>
      <c r="X48" s="32">
        <f>COUNTIF(Y4:Y41,"CONGRESS GAIN")</f>
        <v>20</v>
      </c>
      <c r="Y48" s="25" t="s">
        <v>111</v>
      </c>
      <c r="Z48" s="25">
        <f>COUNTIF(AA4:AA41,"LOWMARGIN")</f>
        <v>18</v>
      </c>
    </row>
    <row r="49" spans="23:26">
      <c r="W49" s="17"/>
      <c r="X49" s="17"/>
      <c r="Y49" s="26" t="s">
        <v>112</v>
      </c>
      <c r="Z49" s="26">
        <f>COUNTIF(AA4:AA41,"MEDIUMMARGIN")</f>
        <v>3</v>
      </c>
    </row>
    <row r="50" spans="23:26">
      <c r="W50" s="17"/>
      <c r="X50" s="17"/>
      <c r="Y50" s="27" t="s">
        <v>42</v>
      </c>
      <c r="Z50" s="27">
        <f>COUNTIF(AA4:AA41,"HIGHMARGIN")</f>
        <v>2</v>
      </c>
    </row>
    <row r="51" spans="23:26">
      <c r="W51" s="17"/>
      <c r="X51" s="17"/>
      <c r="Y51" s="28" t="s">
        <v>113</v>
      </c>
      <c r="Z51" s="33">
        <f>COUNTIF(AA4:AA41,"VERYHIGHMARGIN")</f>
        <v>0</v>
      </c>
    </row>
    <row r="52" spans="23:26">
      <c r="Y52" s="40" t="s">
        <v>10</v>
      </c>
      <c r="Z52" s="41" t="s">
        <v>111</v>
      </c>
    </row>
    <row r="53" spans="23:26">
      <c r="Y53" s="40"/>
      <c r="Z53" s="41"/>
    </row>
  </sheetData>
  <autoFilter ref="A3:AA43"/>
  <mergeCells count="20">
    <mergeCell ref="A42:C42"/>
    <mergeCell ref="A1:AA1"/>
    <mergeCell ref="A2:A3"/>
    <mergeCell ref="B2:B3"/>
    <mergeCell ref="C2:C3"/>
    <mergeCell ref="D2:D3"/>
    <mergeCell ref="E2:E3"/>
    <mergeCell ref="F2:F3"/>
    <mergeCell ref="G2:I2"/>
    <mergeCell ref="J2:N2"/>
    <mergeCell ref="O2:S2"/>
    <mergeCell ref="T2:X2"/>
    <mergeCell ref="Y2:Y3"/>
    <mergeCell ref="Z2:Z3"/>
    <mergeCell ref="AA2:AA3"/>
    <mergeCell ref="W45:X46"/>
    <mergeCell ref="Y45:Z46"/>
    <mergeCell ref="Y52:Y53"/>
    <mergeCell ref="Z52:Z53"/>
    <mergeCell ref="A43:C43"/>
  </mergeCells>
  <conditionalFormatting sqref="T4:T12 T17:T41">
    <cfRule type="containsText" dxfId="296" priority="45" operator="containsText" text="AVG">
      <formula>NOT(ISERROR(SEARCH("AVG",T4)))</formula>
    </cfRule>
  </conditionalFormatting>
  <conditionalFormatting sqref="T4:T12 T17:T41">
    <cfRule type="cellIs" dxfId="295" priority="44" operator="equal">
      <formula>"STRONG"</formula>
    </cfRule>
  </conditionalFormatting>
  <conditionalFormatting sqref="T4:T12 T17:T41">
    <cfRule type="containsText" dxfId="294" priority="43" operator="containsText" text="VSTRONG">
      <formula>NOT(ISERROR(SEARCH("VSTRONG",T4)))</formula>
    </cfRule>
  </conditionalFormatting>
  <conditionalFormatting sqref="U4:U5 U7:U8 U17:U41">
    <cfRule type="containsText" dxfId="293" priority="42" operator="containsText" text="STRONG">
      <formula>NOT(ISERROR(SEARCH("STRONG",U4)))</formula>
    </cfRule>
  </conditionalFormatting>
  <conditionalFormatting sqref="U4:U5 U7:U8 U17:U41">
    <cfRule type="containsText" dxfId="292" priority="41" operator="containsText" text="VSTRONG">
      <formula>NOT(ISERROR(SEARCH("VSTRONG",U4)))</formula>
    </cfRule>
  </conditionalFormatting>
  <conditionalFormatting sqref="W4:W5 W7:W8 W17:W41">
    <cfRule type="containsText" dxfId="291" priority="40" operator="containsText" text="FEMALE DOM">
      <formula>NOT(ISERROR(SEARCH("FEMALE DOM",W4)))</formula>
    </cfRule>
  </conditionalFormatting>
  <conditionalFormatting sqref="T4:T12 T17:T41">
    <cfRule type="containsText" dxfId="290" priority="39" operator="containsText" text="AVG">
      <formula>NOT(ISERROR(SEARCH("AVG",T4)))</formula>
    </cfRule>
  </conditionalFormatting>
  <conditionalFormatting sqref="V4:V5 V7:V8 V17:V41">
    <cfRule type="cellIs" dxfId="289" priority="38" operator="equal">
      <formula>"VWEAK"</formula>
    </cfRule>
  </conditionalFormatting>
  <conditionalFormatting sqref="V4:V5 U7:V7 V8 U17:V41">
    <cfRule type="containsText" dxfId="288" priority="37" operator="containsText" text="AVG">
      <formula>NOT(ISERROR(SEARCH("AVG",U4)))</formula>
    </cfRule>
  </conditionalFormatting>
  <conditionalFormatting sqref="V4:V5 V7:V8 V17:V41">
    <cfRule type="containsText" dxfId="287" priority="36" operator="containsText" text="VSTRONG">
      <formula>NOT(ISERROR(SEARCH("VSTRONG",V4)))</formula>
    </cfRule>
  </conditionalFormatting>
  <conditionalFormatting sqref="W7 W17:W41">
    <cfRule type="containsText" dxfId="286" priority="35" operator="containsText" text="MEN">
      <formula>NOT(ISERROR(SEARCH("MEN",W7)))</formula>
    </cfRule>
  </conditionalFormatting>
  <conditionalFormatting sqref="X20:X41">
    <cfRule type="containsText" dxfId="285" priority="34" operator="containsText" text="O">
      <formula>NOT(ISERROR(SEARCH("O",X20)))</formula>
    </cfRule>
  </conditionalFormatting>
  <conditionalFormatting sqref="X20:X41">
    <cfRule type="containsText" dxfId="284" priority="32" operator="containsText" text="H">
      <formula>NOT(ISERROR(SEARCH("H",X20)))</formula>
    </cfRule>
    <cfRule type="containsText" dxfId="283" priority="33" operator="containsText" text="H">
      <formula>NOT(ISERROR(SEARCH("H",X20)))</formula>
    </cfRule>
  </conditionalFormatting>
  <conditionalFormatting sqref="X20:X41">
    <cfRule type="containsText" dxfId="282" priority="31" operator="containsText" text="H">
      <formula>NOT(ISERROR(SEARCH("H",X20)))</formula>
    </cfRule>
  </conditionalFormatting>
  <conditionalFormatting sqref="T4:T12 T17:T41">
    <cfRule type="containsText" dxfId="281" priority="30" operator="containsText" text="AVG">
      <formula>NOT(ISERROR(SEARCH("AVG",T4)))</formula>
    </cfRule>
  </conditionalFormatting>
  <conditionalFormatting sqref="T4:T12 T17:T41">
    <cfRule type="cellIs" dxfId="280" priority="29" operator="equal">
      <formula>"STRONG"</formula>
    </cfRule>
  </conditionalFormatting>
  <conditionalFormatting sqref="T4:T12 T17:T41">
    <cfRule type="containsText" dxfId="279" priority="28" operator="containsText" text="VSTRONG">
      <formula>NOT(ISERROR(SEARCH("VSTRONG",T4)))</formula>
    </cfRule>
  </conditionalFormatting>
  <conditionalFormatting sqref="U4:U5 U7:U8 U17:U41">
    <cfRule type="containsText" dxfId="278" priority="27" operator="containsText" text="STRONG">
      <formula>NOT(ISERROR(SEARCH("STRONG",U4)))</formula>
    </cfRule>
  </conditionalFormatting>
  <conditionalFormatting sqref="U4:U5 U7:U8 U17:U41">
    <cfRule type="containsText" dxfId="277" priority="26" operator="containsText" text="VSTRONG">
      <formula>NOT(ISERROR(SEARCH("VSTRONG",U4)))</formula>
    </cfRule>
  </conditionalFormatting>
  <conditionalFormatting sqref="W4:W5 W7:W8 W17:W41">
    <cfRule type="containsText" dxfId="276" priority="25" operator="containsText" text="FEMALE DOM">
      <formula>NOT(ISERROR(SEARCH("FEMALE DOM",W4)))</formula>
    </cfRule>
  </conditionalFormatting>
  <conditionalFormatting sqref="T4:T12 T17:T41">
    <cfRule type="containsText" dxfId="275" priority="24" operator="containsText" text="AVG">
      <formula>NOT(ISERROR(SEARCH("AVG",T4)))</formula>
    </cfRule>
  </conditionalFormatting>
  <conditionalFormatting sqref="V4:V5 V7:V8 V17:V41">
    <cfRule type="cellIs" dxfId="274" priority="23" operator="equal">
      <formula>"VWEAK"</formula>
    </cfRule>
  </conditionalFormatting>
  <conditionalFormatting sqref="V4:V5 U7:V7 V8 U17:V41">
    <cfRule type="containsText" dxfId="273" priority="22" operator="containsText" text="AVG">
      <formula>NOT(ISERROR(SEARCH("AVG",U4)))</formula>
    </cfRule>
  </conditionalFormatting>
  <conditionalFormatting sqref="V4:V5 V7:V8 V17:V41">
    <cfRule type="containsText" dxfId="272" priority="21" operator="containsText" text="VSTRONG">
      <formula>NOT(ISERROR(SEARCH("VSTRONG",V4)))</formula>
    </cfRule>
  </conditionalFormatting>
  <conditionalFormatting sqref="W7 W17:W41">
    <cfRule type="containsText" dxfId="271" priority="20" operator="containsText" text="MEN">
      <formula>NOT(ISERROR(SEARCH("MEN",W7)))</formula>
    </cfRule>
  </conditionalFormatting>
  <conditionalFormatting sqref="X17:X41">
    <cfRule type="containsText" dxfId="270" priority="19" operator="containsText" text="O">
      <formula>NOT(ISERROR(SEARCH("O",X17)))</formula>
    </cfRule>
  </conditionalFormatting>
  <conditionalFormatting sqref="X17:X41">
    <cfRule type="containsText" dxfId="269" priority="17" operator="containsText" text="H">
      <formula>NOT(ISERROR(SEARCH("H",X17)))</formula>
    </cfRule>
    <cfRule type="containsText" dxfId="268" priority="18" operator="containsText" text="H">
      <formula>NOT(ISERROR(SEARCH("H",X17)))</formula>
    </cfRule>
  </conditionalFormatting>
  <conditionalFormatting sqref="X17:X41">
    <cfRule type="containsText" dxfId="267" priority="16" operator="containsText" text="H">
      <formula>NOT(ISERROR(SEARCH("H",X17)))</formula>
    </cfRule>
  </conditionalFormatting>
  <conditionalFormatting sqref="T4:T12 T17:T41">
    <cfRule type="containsText" dxfId="266" priority="15" operator="containsText" text="AVG">
      <formula>NOT(ISERROR(SEARCH("AVG",T4)))</formula>
    </cfRule>
  </conditionalFormatting>
  <conditionalFormatting sqref="T4:T12 T17:T41">
    <cfRule type="cellIs" dxfId="265" priority="14" operator="equal">
      <formula>"STRONG"</formula>
    </cfRule>
  </conditionalFormatting>
  <conditionalFormatting sqref="T4:T12 T17:T41">
    <cfRule type="containsText" dxfId="264" priority="13" operator="containsText" text="VSTRONG">
      <formula>NOT(ISERROR(SEARCH("VSTRONG",T4)))</formula>
    </cfRule>
  </conditionalFormatting>
  <conditionalFormatting sqref="U4:U5 U7:U8 U17:U41">
    <cfRule type="containsText" dxfId="263" priority="12" operator="containsText" text="STRONG">
      <formula>NOT(ISERROR(SEARCH("STRONG",U4)))</formula>
    </cfRule>
  </conditionalFormatting>
  <conditionalFormatting sqref="U4:U5 U7:U8 U17:U41">
    <cfRule type="containsText" dxfId="262" priority="11" operator="containsText" text="VSTRONG">
      <formula>NOT(ISERROR(SEARCH("VSTRONG",U4)))</formula>
    </cfRule>
  </conditionalFormatting>
  <conditionalFormatting sqref="W4:W5 W7:W8 W17:W41">
    <cfRule type="containsText" dxfId="261" priority="10" operator="containsText" text="FEMALE DOM">
      <formula>NOT(ISERROR(SEARCH("FEMALE DOM",W4)))</formula>
    </cfRule>
  </conditionalFormatting>
  <conditionalFormatting sqref="T4:T12 T17:T41">
    <cfRule type="containsText" dxfId="260" priority="9" operator="containsText" text="AVG">
      <formula>NOT(ISERROR(SEARCH("AVG",T4)))</formula>
    </cfRule>
  </conditionalFormatting>
  <conditionalFormatting sqref="V4:V5 V7:V8 V17:V41">
    <cfRule type="cellIs" dxfId="259" priority="8" operator="equal">
      <formula>"VWEAK"</formula>
    </cfRule>
  </conditionalFormatting>
  <conditionalFormatting sqref="V4:V5 U7:V7 V8 U17:V41">
    <cfRule type="containsText" dxfId="258" priority="7" operator="containsText" text="AVG">
      <formula>NOT(ISERROR(SEARCH("AVG",U4)))</formula>
    </cfRule>
  </conditionalFormatting>
  <conditionalFormatting sqref="V4:V5 V7:V8 V17:V41">
    <cfRule type="containsText" dxfId="257" priority="6" operator="containsText" text="VSTRONG">
      <formula>NOT(ISERROR(SEARCH("VSTRONG",V4)))</formula>
    </cfRule>
  </conditionalFormatting>
  <conditionalFormatting sqref="W7 W17:W41">
    <cfRule type="containsText" dxfId="256" priority="5" operator="containsText" text="MEN">
      <formula>NOT(ISERROR(SEARCH("MEN",W7)))</formula>
    </cfRule>
  </conditionalFormatting>
  <conditionalFormatting sqref="X17:X41">
    <cfRule type="containsText" dxfId="255" priority="4" operator="containsText" text="O">
      <formula>NOT(ISERROR(SEARCH("O",X17)))</formula>
    </cfRule>
  </conditionalFormatting>
  <conditionalFormatting sqref="X17:X41">
    <cfRule type="containsText" dxfId="254" priority="2" operator="containsText" text="H">
      <formula>NOT(ISERROR(SEARCH("H",X17)))</formula>
    </cfRule>
    <cfRule type="containsText" dxfId="253" priority="3" operator="containsText" text="H">
      <formula>NOT(ISERROR(SEARCH("H",X17)))</formula>
    </cfRule>
  </conditionalFormatting>
  <conditionalFormatting sqref="X17:X41">
    <cfRule type="containsText" dxfId="252" priority="1" operator="containsText" text="H">
      <formula>NOT(ISERROR(SEARCH("H",X17)))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selection activeCell="D19" sqref="D19"/>
    </sheetView>
  </sheetViews>
  <sheetFormatPr defaultRowHeight="15"/>
  <cols>
    <col min="1" max="1" width="17.5703125" style="19" bestFit="1" customWidth="1"/>
    <col min="2" max="2" width="15.85546875" style="19" customWidth="1"/>
    <col min="3" max="3" width="18.85546875" style="19" customWidth="1"/>
    <col min="4" max="4" width="21.42578125" style="19" customWidth="1"/>
    <col min="5" max="7" width="9.140625" style="19"/>
    <col min="8" max="8" width="17.5703125" style="19" bestFit="1" customWidth="1"/>
    <col min="9" max="9" width="17.7109375" style="19" customWidth="1"/>
    <col min="10" max="10" width="19.28515625" style="19" customWidth="1"/>
    <col min="11" max="11" width="21" style="19" customWidth="1"/>
    <col min="12" max="16384" width="9.140625" style="19"/>
  </cols>
  <sheetData>
    <row r="1" spans="1:11">
      <c r="D1" s="57" t="s">
        <v>6</v>
      </c>
      <c r="E1" s="57"/>
      <c r="F1" s="57"/>
      <c r="G1" s="57"/>
      <c r="H1" s="57"/>
    </row>
    <row r="2" spans="1:11">
      <c r="D2" s="57"/>
      <c r="E2" s="57"/>
      <c r="F2" s="57"/>
      <c r="G2" s="57"/>
      <c r="H2" s="57"/>
    </row>
    <row r="3" spans="1:11">
      <c r="A3" s="58" t="s">
        <v>114</v>
      </c>
      <c r="B3" s="58"/>
      <c r="C3" s="58"/>
      <c r="D3" s="58"/>
      <c r="H3" s="59" t="s">
        <v>115</v>
      </c>
      <c r="I3" s="59"/>
      <c r="J3" s="59"/>
      <c r="K3" s="59"/>
    </row>
    <row r="4" spans="1:11">
      <c r="A4" s="58"/>
      <c r="B4" s="58"/>
      <c r="C4" s="58"/>
      <c r="D4" s="58"/>
      <c r="E4" s="17"/>
      <c r="F4" s="17"/>
      <c r="H4" s="59"/>
      <c r="I4" s="59"/>
      <c r="J4" s="59"/>
      <c r="K4" s="59"/>
    </row>
    <row r="5" spans="1:11">
      <c r="A5" s="23" t="s">
        <v>116</v>
      </c>
      <c r="B5" s="23" t="s">
        <v>117</v>
      </c>
      <c r="C5" s="23" t="s">
        <v>9</v>
      </c>
      <c r="D5" s="23" t="s">
        <v>118</v>
      </c>
      <c r="E5" s="17"/>
      <c r="F5" s="17"/>
      <c r="H5" s="23" t="s">
        <v>116</v>
      </c>
      <c r="I5" s="23" t="s">
        <v>117</v>
      </c>
      <c r="J5" s="23" t="s">
        <v>119</v>
      </c>
      <c r="K5" s="23" t="s">
        <v>118</v>
      </c>
    </row>
    <row r="6" spans="1:11">
      <c r="A6" s="1">
        <v>1</v>
      </c>
      <c r="B6" s="1">
        <v>21</v>
      </c>
      <c r="C6" s="14">
        <v>10.905023094688225</v>
      </c>
      <c r="D6" s="25" t="s">
        <v>120</v>
      </c>
      <c r="H6" s="1">
        <v>1</v>
      </c>
      <c r="I6" s="1">
        <v>31</v>
      </c>
      <c r="J6" s="14">
        <v>2.4644220756681605</v>
      </c>
      <c r="K6" s="24" t="s">
        <v>121</v>
      </c>
    </row>
    <row r="7" spans="1:11">
      <c r="A7" s="1">
        <v>2</v>
      </c>
      <c r="B7" s="1">
        <v>24</v>
      </c>
      <c r="C7" s="14">
        <v>4.1409440592648963</v>
      </c>
      <c r="D7" s="24" t="s">
        <v>121</v>
      </c>
      <c r="H7" s="1">
        <v>2</v>
      </c>
      <c r="I7" s="1">
        <v>34</v>
      </c>
      <c r="J7" s="14">
        <v>17.433460076045613</v>
      </c>
      <c r="K7" s="25" t="s">
        <v>120</v>
      </c>
    </row>
    <row r="8" spans="1:11">
      <c r="A8" s="1">
        <v>3</v>
      </c>
      <c r="B8" s="1">
        <v>25</v>
      </c>
      <c r="C8" s="14">
        <v>4.5564321365319529</v>
      </c>
      <c r="D8" s="24" t="s">
        <v>121</v>
      </c>
      <c r="H8" s="1">
        <v>3</v>
      </c>
      <c r="I8" s="1">
        <v>35</v>
      </c>
      <c r="J8" s="14">
        <v>6.2102316110969724</v>
      </c>
      <c r="K8" s="24" t="s">
        <v>121</v>
      </c>
    </row>
    <row r="9" spans="1:11">
      <c r="A9" s="1">
        <v>4</v>
      </c>
      <c r="B9" s="1">
        <v>26</v>
      </c>
      <c r="C9" s="14">
        <v>15.43987684588631</v>
      </c>
      <c r="D9" s="25" t="s">
        <v>120</v>
      </c>
      <c r="H9" s="1">
        <v>4</v>
      </c>
      <c r="I9" s="1">
        <v>36</v>
      </c>
      <c r="J9" s="14">
        <v>17.963984896892242</v>
      </c>
      <c r="K9" s="25" t="s">
        <v>120</v>
      </c>
    </row>
    <row r="10" spans="1:11">
      <c r="A10" s="1">
        <v>5</v>
      </c>
      <c r="B10" s="1">
        <v>27</v>
      </c>
      <c r="C10" s="14">
        <v>18.098231827111988</v>
      </c>
      <c r="D10" s="25" t="s">
        <v>120</v>
      </c>
      <c r="H10" s="1">
        <v>5</v>
      </c>
      <c r="I10" s="1">
        <v>37</v>
      </c>
      <c r="J10" s="14">
        <v>3.1634591558602381</v>
      </c>
      <c r="K10" s="24" t="s">
        <v>121</v>
      </c>
    </row>
    <row r="11" spans="1:11">
      <c r="A11" s="1">
        <v>6</v>
      </c>
      <c r="B11" s="1">
        <v>28</v>
      </c>
      <c r="C11" s="14">
        <v>41.735670502204535</v>
      </c>
      <c r="D11" s="27" t="s">
        <v>42</v>
      </c>
      <c r="H11" s="1">
        <v>6</v>
      </c>
      <c r="I11" s="1">
        <v>38</v>
      </c>
      <c r="J11" s="14">
        <v>30.825948245303074</v>
      </c>
      <c r="K11" s="26" t="s">
        <v>122</v>
      </c>
    </row>
    <row r="12" spans="1:11">
      <c r="A12" s="1">
        <v>7</v>
      </c>
      <c r="B12" s="1">
        <v>29</v>
      </c>
      <c r="C12" s="14">
        <v>45.042141794744673</v>
      </c>
      <c r="D12" s="27" t="s">
        <v>42</v>
      </c>
      <c r="H12" s="1">
        <v>7</v>
      </c>
      <c r="I12" s="1">
        <v>39</v>
      </c>
      <c r="J12" s="14">
        <v>36.322106771766386</v>
      </c>
      <c r="K12" s="26" t="s">
        <v>122</v>
      </c>
    </row>
    <row r="13" spans="1:11">
      <c r="A13" s="1">
        <v>8</v>
      </c>
      <c r="B13" s="1">
        <v>30</v>
      </c>
      <c r="C13" s="14">
        <v>11.210717163577755</v>
      </c>
      <c r="D13" s="25" t="s">
        <v>120</v>
      </c>
      <c r="H13" s="1">
        <v>8</v>
      </c>
      <c r="I13" s="1">
        <v>40</v>
      </c>
      <c r="J13" s="14">
        <v>20.302457466918725</v>
      </c>
      <c r="K13" s="25" t="s">
        <v>120</v>
      </c>
    </row>
    <row r="14" spans="1:11">
      <c r="A14" s="1">
        <v>9</v>
      </c>
      <c r="B14" s="1">
        <v>32</v>
      </c>
      <c r="C14" s="14">
        <v>19.576719576719583</v>
      </c>
      <c r="D14" s="25" t="s">
        <v>120</v>
      </c>
      <c r="H14" s="1">
        <v>9</v>
      </c>
      <c r="I14" s="1">
        <v>43</v>
      </c>
      <c r="J14" s="14">
        <v>26.632576968147433</v>
      </c>
      <c r="K14" s="25" t="s">
        <v>120</v>
      </c>
    </row>
    <row r="15" spans="1:11">
      <c r="A15" s="1">
        <v>10</v>
      </c>
      <c r="B15" s="1">
        <v>33</v>
      </c>
      <c r="C15" s="14">
        <v>21.914327202323335</v>
      </c>
      <c r="D15" s="25" t="s">
        <v>120</v>
      </c>
      <c r="H15" s="1">
        <v>10</v>
      </c>
      <c r="I15" s="1">
        <v>44</v>
      </c>
      <c r="J15" s="14">
        <v>9.3508343508343543</v>
      </c>
      <c r="K15" s="24" t="s">
        <v>121</v>
      </c>
    </row>
    <row r="16" spans="1:11">
      <c r="A16" s="1">
        <v>11</v>
      </c>
      <c r="B16" s="1">
        <v>41</v>
      </c>
      <c r="C16" s="14">
        <v>38.042485153037923</v>
      </c>
      <c r="D16" s="26" t="s">
        <v>122</v>
      </c>
      <c r="H16" s="1">
        <v>11</v>
      </c>
      <c r="I16" s="1">
        <v>45</v>
      </c>
      <c r="J16" s="14">
        <v>25.050439835364372</v>
      </c>
      <c r="K16" s="25" t="s">
        <v>120</v>
      </c>
    </row>
    <row r="17" spans="1:11">
      <c r="A17" s="1">
        <v>12</v>
      </c>
      <c r="B17" s="1">
        <v>42</v>
      </c>
      <c r="C17" s="14">
        <v>29.617393976644131</v>
      </c>
      <c r="D17" s="25" t="s">
        <v>120</v>
      </c>
      <c r="H17" s="1">
        <v>12</v>
      </c>
      <c r="I17" s="1">
        <v>47</v>
      </c>
      <c r="J17" s="14">
        <v>17.847277032359919</v>
      </c>
      <c r="K17" s="25" t="s">
        <v>120</v>
      </c>
    </row>
    <row r="18" spans="1:11">
      <c r="A18" s="1">
        <v>13</v>
      </c>
      <c r="B18" s="1">
        <v>46</v>
      </c>
      <c r="C18" s="14">
        <v>1.9756338491932794</v>
      </c>
      <c r="D18" s="24" t="s">
        <v>121</v>
      </c>
      <c r="H18" s="1">
        <v>13</v>
      </c>
      <c r="I18" s="1">
        <v>48</v>
      </c>
      <c r="J18" s="14">
        <v>13.749417068241883</v>
      </c>
      <c r="K18" s="25" t="s">
        <v>120</v>
      </c>
    </row>
    <row r="19" spans="1:11">
      <c r="A19" s="1">
        <v>14</v>
      </c>
      <c r="B19" s="1">
        <v>49</v>
      </c>
      <c r="C19" s="14">
        <v>4.9734356552538372</v>
      </c>
      <c r="D19" s="24" t="s">
        <v>121</v>
      </c>
      <c r="H19" s="1">
        <v>14</v>
      </c>
      <c r="I19" s="1">
        <v>51</v>
      </c>
      <c r="J19" s="14">
        <v>16.215431516295283</v>
      </c>
      <c r="K19" s="25" t="s">
        <v>120</v>
      </c>
    </row>
    <row r="20" spans="1:11">
      <c r="A20" s="1">
        <v>15</v>
      </c>
      <c r="B20" s="1">
        <v>50</v>
      </c>
      <c r="C20" s="14">
        <v>6.2827225130890056</v>
      </c>
      <c r="D20" s="24" t="s">
        <v>121</v>
      </c>
      <c r="H20" s="1">
        <v>15</v>
      </c>
      <c r="I20" s="1">
        <v>52</v>
      </c>
      <c r="J20" s="14">
        <v>4.2596202440257045</v>
      </c>
      <c r="K20" s="24" t="s">
        <v>121</v>
      </c>
    </row>
    <row r="21" spans="1:11">
      <c r="A21" s="1">
        <v>16</v>
      </c>
      <c r="B21" s="1">
        <v>54</v>
      </c>
      <c r="C21" s="14">
        <v>8.411783253006611</v>
      </c>
      <c r="D21" s="24" t="s">
        <v>121</v>
      </c>
      <c r="H21" s="1">
        <v>16</v>
      </c>
      <c r="I21" s="1">
        <v>53</v>
      </c>
      <c r="J21" s="14">
        <v>12.718255316257896</v>
      </c>
      <c r="K21" s="25" t="s">
        <v>120</v>
      </c>
    </row>
    <row r="22" spans="1:11">
      <c r="A22" s="1">
        <v>17</v>
      </c>
      <c r="B22" s="1">
        <v>56</v>
      </c>
      <c r="C22" s="14">
        <v>2.2119087587637054</v>
      </c>
      <c r="D22" s="24" t="s">
        <v>121</v>
      </c>
      <c r="H22" s="1">
        <v>17</v>
      </c>
      <c r="I22" s="1">
        <v>55</v>
      </c>
      <c r="J22" s="14">
        <v>9.5795437602504876</v>
      </c>
      <c r="K22" s="24" t="s">
        <v>121</v>
      </c>
    </row>
    <row r="23" spans="1:11">
      <c r="A23" s="1">
        <v>18</v>
      </c>
      <c r="B23" s="1">
        <v>58</v>
      </c>
      <c r="C23" s="14">
        <v>6.9413511507052661</v>
      </c>
      <c r="D23" s="24" t="s">
        <v>121</v>
      </c>
      <c r="H23" s="1">
        <v>18</v>
      </c>
      <c r="I23" s="1">
        <v>57</v>
      </c>
      <c r="J23" s="14">
        <v>10.326887209188186</v>
      </c>
      <c r="K23" s="25" t="s">
        <v>120</v>
      </c>
    </row>
    <row r="24" spans="1:11">
      <c r="H24" s="1">
        <v>19</v>
      </c>
      <c r="I24" s="1">
        <v>59</v>
      </c>
      <c r="J24" s="14">
        <v>25.826869929571188</v>
      </c>
      <c r="K24" s="25" t="s">
        <v>120</v>
      </c>
    </row>
    <row r="25" spans="1:11">
      <c r="H25" s="1">
        <v>20</v>
      </c>
      <c r="I25" s="1">
        <v>60</v>
      </c>
      <c r="J25" s="14">
        <v>0.51254089422028226</v>
      </c>
      <c r="K25" s="24" t="s">
        <v>121</v>
      </c>
    </row>
    <row r="26" spans="1:11">
      <c r="A26" s="39" t="s">
        <v>123</v>
      </c>
      <c r="B26" s="39"/>
    </row>
    <row r="27" spans="1:11">
      <c r="A27" s="39"/>
      <c r="B27" s="39"/>
      <c r="H27" s="60" t="s">
        <v>124</v>
      </c>
      <c r="I27" s="61"/>
    </row>
    <row r="28" spans="1:11">
      <c r="A28" s="24" t="s">
        <v>110</v>
      </c>
      <c r="B28" s="24">
        <f>COUNTIF(D6:D23,"NARROWMARGIN")</f>
        <v>8</v>
      </c>
      <c r="H28" s="62"/>
      <c r="I28" s="63"/>
    </row>
    <row r="29" spans="1:11">
      <c r="A29" s="25" t="s">
        <v>111</v>
      </c>
      <c r="B29" s="25">
        <f>COUNTIF(D6:D23,"LOWMARGIN")</f>
        <v>7</v>
      </c>
      <c r="H29" s="24" t="s">
        <v>110</v>
      </c>
      <c r="I29" s="24">
        <f>COUNTIF(K6:K25,"NARROWMARGIN")</f>
        <v>7</v>
      </c>
    </row>
    <row r="30" spans="1:11">
      <c r="A30" s="26" t="s">
        <v>112</v>
      </c>
      <c r="B30" s="26">
        <f>COUNTIF(D6:D23,"MEDIUMMARGIN")</f>
        <v>1</v>
      </c>
      <c r="H30" s="25" t="s">
        <v>111</v>
      </c>
      <c r="I30" s="25">
        <f>COUNTIF(K6:K25,"LOWMARGIN")</f>
        <v>11</v>
      </c>
    </row>
    <row r="31" spans="1:11">
      <c r="A31" s="27" t="s">
        <v>42</v>
      </c>
      <c r="B31" s="27">
        <f>COUNTIF(D6:D23,"HIGHMARGIN")</f>
        <v>2</v>
      </c>
      <c r="H31" s="26" t="s">
        <v>112</v>
      </c>
      <c r="I31" s="26">
        <f>COUNTIF(K6:K25,"MEDIUMMARGIN")</f>
        <v>2</v>
      </c>
    </row>
    <row r="32" spans="1:11">
      <c r="A32" s="28" t="s">
        <v>113</v>
      </c>
      <c r="B32" s="33">
        <f>COUNTIF(D6:D23,"VERYHIGHMARGIN")</f>
        <v>0</v>
      </c>
      <c r="H32" s="27" t="s">
        <v>42</v>
      </c>
      <c r="I32" s="27">
        <f>COUNTIF(K6:K25,"HIGHMARGIN")</f>
        <v>0</v>
      </c>
    </row>
    <row r="33" spans="8:9">
      <c r="H33" s="28" t="s">
        <v>113</v>
      </c>
      <c r="I33" s="33">
        <f>COUNTIF(K6:K25,"VERYHIGHMARGIN")</f>
        <v>0</v>
      </c>
    </row>
  </sheetData>
  <mergeCells count="5">
    <mergeCell ref="D1:H2"/>
    <mergeCell ref="A3:D4"/>
    <mergeCell ref="H3:K4"/>
    <mergeCell ref="A26:B27"/>
    <mergeCell ref="H27:I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"/>
  <sheetViews>
    <sheetView workbookViewId="0">
      <selection activeCell="A14" sqref="A14:AA14"/>
    </sheetView>
  </sheetViews>
  <sheetFormatPr defaultRowHeight="15"/>
  <cols>
    <col min="1" max="2" width="9.140625" style="19"/>
    <col min="3" max="3" width="16.85546875" style="19" bestFit="1" customWidth="1"/>
    <col min="4" max="4" width="9.140625" style="19"/>
    <col min="5" max="5" width="32.7109375" style="19" bestFit="1" customWidth="1"/>
    <col min="6" max="6" width="13.7109375" style="19" bestFit="1" customWidth="1"/>
    <col min="7" max="7" width="9.140625" style="19"/>
    <col min="8" max="9" width="12" style="19" bestFit="1" customWidth="1"/>
    <col min="10" max="12" width="9.140625" style="19"/>
    <col min="13" max="14" width="12" style="19" bestFit="1" customWidth="1"/>
    <col min="15" max="15" width="8.5703125" style="19" bestFit="1" customWidth="1"/>
    <col min="16" max="17" width="9.140625" style="19"/>
    <col min="18" max="19" width="12" style="19" bestFit="1" customWidth="1"/>
    <col min="20" max="20" width="8.42578125" style="19" bestFit="1" customWidth="1"/>
    <col min="21" max="22" width="10.42578125" style="19" bestFit="1" customWidth="1"/>
    <col min="23" max="23" width="12.7109375" style="19" bestFit="1" customWidth="1"/>
    <col min="24" max="24" width="9" style="19" bestFit="1" customWidth="1"/>
    <col min="25" max="25" width="14" style="19" bestFit="1" customWidth="1"/>
    <col min="26" max="26" width="13.28515625" style="19" bestFit="1" customWidth="1"/>
    <col min="27" max="27" width="16.85546875" style="19" bestFit="1" customWidth="1"/>
    <col min="28" max="16384" width="9.140625" style="19"/>
  </cols>
  <sheetData>
    <row r="1" spans="1:27" ht="28.5">
      <c r="A1" s="65" t="s">
        <v>125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26.25">
      <c r="A2" s="66" t="s">
        <v>110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>
      <c r="A3" s="41" t="s">
        <v>0</v>
      </c>
      <c r="B3" s="41" t="s">
        <v>1</v>
      </c>
      <c r="C3" s="41" t="s">
        <v>2</v>
      </c>
      <c r="D3" s="39" t="s">
        <v>3</v>
      </c>
      <c r="E3" s="41" t="s">
        <v>4</v>
      </c>
      <c r="F3" s="41" t="s">
        <v>5</v>
      </c>
      <c r="G3" s="41" t="s">
        <v>5</v>
      </c>
      <c r="H3" s="41"/>
      <c r="I3" s="41"/>
      <c r="J3" s="64" t="s">
        <v>6</v>
      </c>
      <c r="K3" s="64"/>
      <c r="L3" s="64"/>
      <c r="M3" s="64"/>
      <c r="N3" s="64"/>
      <c r="O3" s="67" t="s">
        <v>7</v>
      </c>
      <c r="P3" s="67"/>
      <c r="Q3" s="67"/>
      <c r="R3" s="67"/>
      <c r="S3" s="67"/>
      <c r="T3" s="67">
        <v>2018</v>
      </c>
      <c r="U3" s="67"/>
      <c r="V3" s="67"/>
      <c r="W3" s="67"/>
      <c r="X3" s="67"/>
      <c r="Y3" s="39" t="s">
        <v>8</v>
      </c>
      <c r="Z3" s="39" t="s">
        <v>9</v>
      </c>
      <c r="AA3" s="39" t="s">
        <v>10</v>
      </c>
    </row>
    <row r="4" spans="1:27" ht="90">
      <c r="A4" s="41"/>
      <c r="B4" s="41"/>
      <c r="C4" s="41"/>
      <c r="D4" s="39"/>
      <c r="E4" s="41"/>
      <c r="F4" s="41"/>
      <c r="G4" s="21" t="s">
        <v>11</v>
      </c>
      <c r="H4" s="21" t="s">
        <v>12</v>
      </c>
      <c r="I4" s="21" t="s">
        <v>13</v>
      </c>
      <c r="J4" s="21" t="s">
        <v>14</v>
      </c>
      <c r="K4" s="21" t="s">
        <v>11</v>
      </c>
      <c r="L4" s="21" t="s">
        <v>15</v>
      </c>
      <c r="M4" s="21" t="s">
        <v>12</v>
      </c>
      <c r="N4" s="21" t="s">
        <v>13</v>
      </c>
      <c r="O4" s="21" t="s">
        <v>16</v>
      </c>
      <c r="P4" s="21" t="s">
        <v>11</v>
      </c>
      <c r="Q4" s="21" t="s">
        <v>15</v>
      </c>
      <c r="R4" s="21" t="s">
        <v>12</v>
      </c>
      <c r="S4" s="21" t="s">
        <v>13</v>
      </c>
      <c r="T4" s="21" t="s">
        <v>17</v>
      </c>
      <c r="U4" s="21" t="s">
        <v>18</v>
      </c>
      <c r="V4" s="21" t="s">
        <v>19</v>
      </c>
      <c r="W4" s="21" t="s">
        <v>20</v>
      </c>
      <c r="X4" s="21" t="s">
        <v>21</v>
      </c>
      <c r="Y4" s="39"/>
      <c r="Z4" s="39"/>
      <c r="AA4" s="39"/>
    </row>
    <row r="5" spans="1:27">
      <c r="A5" s="1">
        <v>2</v>
      </c>
      <c r="B5" s="1">
        <v>24</v>
      </c>
      <c r="C5" s="2" t="s">
        <v>29</v>
      </c>
      <c r="D5" s="1">
        <v>6</v>
      </c>
      <c r="E5" s="1" t="s">
        <v>30</v>
      </c>
      <c r="F5" s="1">
        <v>10529</v>
      </c>
      <c r="G5" s="3">
        <v>438.70833333333326</v>
      </c>
      <c r="H5" s="3">
        <v>156.53529509701991</v>
      </c>
      <c r="I5" s="3">
        <v>24503.298611111109</v>
      </c>
      <c r="J5" s="4">
        <v>5276</v>
      </c>
      <c r="K5" s="3">
        <v>219.83333333333334</v>
      </c>
      <c r="L5" s="3">
        <v>50.109222148352181</v>
      </c>
      <c r="M5" s="3">
        <v>66.487885279115986</v>
      </c>
      <c r="N5" s="3">
        <v>4420.6388888888887</v>
      </c>
      <c r="O5" s="4">
        <v>4840</v>
      </c>
      <c r="P5" s="3">
        <v>201.66666666666663</v>
      </c>
      <c r="Q5" s="3">
        <v>45.968278089087285</v>
      </c>
      <c r="R5" s="3">
        <v>90.703653607656719</v>
      </c>
      <c r="S5" s="3">
        <v>8227.1527777777774</v>
      </c>
      <c r="T5" s="1" t="s">
        <v>31</v>
      </c>
      <c r="U5" s="22" t="s">
        <v>26</v>
      </c>
      <c r="V5" s="1" t="s">
        <v>25</v>
      </c>
      <c r="W5" s="1" t="s">
        <v>27</v>
      </c>
      <c r="X5" s="1" t="e">
        <v>#DIV/0!</v>
      </c>
      <c r="Y5" s="13" t="s">
        <v>126</v>
      </c>
      <c r="Z5" s="5">
        <v>4.1409440592648963</v>
      </c>
      <c r="AA5" s="24" t="s">
        <v>121</v>
      </c>
    </row>
    <row r="6" spans="1:27">
      <c r="A6" s="1">
        <v>3</v>
      </c>
      <c r="B6" s="1">
        <v>25</v>
      </c>
      <c r="C6" s="2" t="s">
        <v>32</v>
      </c>
      <c r="D6" s="1">
        <v>6</v>
      </c>
      <c r="E6" s="1" t="s">
        <v>33</v>
      </c>
      <c r="F6" s="1">
        <v>12422</v>
      </c>
      <c r="G6" s="6">
        <v>517.58333333333326</v>
      </c>
      <c r="H6" s="6">
        <v>143.88706026294062</v>
      </c>
      <c r="I6" s="6">
        <v>20703.486111111109</v>
      </c>
      <c r="J6" s="7">
        <v>6026</v>
      </c>
      <c r="K6" s="6">
        <v>251.08333333333331</v>
      </c>
      <c r="L6" s="3">
        <v>48.510706810497503</v>
      </c>
      <c r="M6" s="6">
        <v>51.226620683651063</v>
      </c>
      <c r="N6" s="6">
        <v>2624.166666666667</v>
      </c>
      <c r="O6" s="7">
        <v>5460</v>
      </c>
      <c r="P6" s="6">
        <v>227.5</v>
      </c>
      <c r="Q6" s="3">
        <v>43.95427467396555</v>
      </c>
      <c r="R6" s="6">
        <v>89.172585473339282</v>
      </c>
      <c r="S6" s="6">
        <v>7951.75</v>
      </c>
      <c r="T6" s="1" t="s">
        <v>31</v>
      </c>
      <c r="U6" s="22" t="s">
        <v>24</v>
      </c>
      <c r="V6" s="1" t="s">
        <v>26</v>
      </c>
      <c r="W6" s="8" t="s">
        <v>27</v>
      </c>
      <c r="X6" s="1" t="e">
        <v>#DIV/0!</v>
      </c>
      <c r="Y6" s="13" t="s">
        <v>126</v>
      </c>
      <c r="Z6" s="5">
        <v>4.5564321365319529</v>
      </c>
      <c r="AA6" s="24" t="s">
        <v>121</v>
      </c>
    </row>
    <row r="7" spans="1:27">
      <c r="A7" s="1">
        <v>24</v>
      </c>
      <c r="B7" s="1">
        <v>46</v>
      </c>
      <c r="C7" s="1" t="s">
        <v>78</v>
      </c>
      <c r="D7" s="1">
        <v>5</v>
      </c>
      <c r="E7" s="1" t="s">
        <v>79</v>
      </c>
      <c r="F7" s="1">
        <v>9111</v>
      </c>
      <c r="G7" s="10">
        <v>455.55</v>
      </c>
      <c r="H7" s="10">
        <v>117.58494801631713</v>
      </c>
      <c r="I7" s="10">
        <v>13826.220000000001</v>
      </c>
      <c r="J7" s="11">
        <v>4449</v>
      </c>
      <c r="K7" s="10">
        <v>222.45</v>
      </c>
      <c r="L7" s="3">
        <v>48.831083305893969</v>
      </c>
      <c r="M7" s="10">
        <v>62.90246418066625</v>
      </c>
      <c r="N7" s="10">
        <v>3956.7200000000003</v>
      </c>
      <c r="O7" s="11">
        <v>4269</v>
      </c>
      <c r="P7" s="10">
        <v>213.45</v>
      </c>
      <c r="Q7" s="3">
        <v>46.85544945670069</v>
      </c>
      <c r="R7" s="10">
        <v>110.35279788025314</v>
      </c>
      <c r="S7" s="10">
        <v>12177.74</v>
      </c>
      <c r="T7" s="1" t="s">
        <v>31</v>
      </c>
      <c r="U7" s="22" t="s">
        <v>26</v>
      </c>
      <c r="V7" s="1" t="s">
        <v>25</v>
      </c>
      <c r="W7" s="1" t="s">
        <v>27</v>
      </c>
      <c r="X7" s="1" t="e">
        <v>#DIV/0!</v>
      </c>
      <c r="Y7" s="13" t="s">
        <v>126</v>
      </c>
      <c r="Z7" s="5">
        <v>1.9756338491932794</v>
      </c>
      <c r="AA7" s="24" t="s">
        <v>121</v>
      </c>
    </row>
    <row r="8" spans="1:27">
      <c r="A8" s="1">
        <v>27</v>
      </c>
      <c r="B8" s="1">
        <v>49</v>
      </c>
      <c r="C8" s="1" t="s">
        <v>84</v>
      </c>
      <c r="D8" s="1">
        <v>6</v>
      </c>
      <c r="E8" s="1" t="s">
        <v>85</v>
      </c>
      <c r="F8" s="1">
        <v>13552</v>
      </c>
      <c r="G8" s="10">
        <v>564.66666666666663</v>
      </c>
      <c r="H8" s="10">
        <v>178.38990535715112</v>
      </c>
      <c r="I8" s="10">
        <v>31822.958333333332</v>
      </c>
      <c r="J8" s="11">
        <v>6705</v>
      </c>
      <c r="K8" s="10">
        <v>279.375</v>
      </c>
      <c r="L8" s="3">
        <v>49.476092089728461</v>
      </c>
      <c r="M8" s="10">
        <v>122.66590239798145</v>
      </c>
      <c r="N8" s="10">
        <v>15046.923611111111</v>
      </c>
      <c r="O8" s="11">
        <v>6031</v>
      </c>
      <c r="P8" s="10">
        <v>251.29166666666669</v>
      </c>
      <c r="Q8" s="3">
        <v>44.502656434474623</v>
      </c>
      <c r="R8" s="10">
        <v>110.59093166560569</v>
      </c>
      <c r="S8" s="10">
        <v>12230.354166666668</v>
      </c>
      <c r="T8" s="1" t="s">
        <v>24</v>
      </c>
      <c r="U8" s="22" t="s">
        <v>25</v>
      </c>
      <c r="V8" s="1" t="s">
        <v>26</v>
      </c>
      <c r="W8" s="1" t="s">
        <v>27</v>
      </c>
      <c r="X8" s="1" t="s">
        <v>38</v>
      </c>
      <c r="Y8" s="13" t="s">
        <v>126</v>
      </c>
      <c r="Z8" s="5">
        <v>4.9734356552538372</v>
      </c>
      <c r="AA8" s="24" t="s">
        <v>121</v>
      </c>
    </row>
    <row r="9" spans="1:27">
      <c r="A9" s="1">
        <v>28</v>
      </c>
      <c r="B9" s="1">
        <v>50</v>
      </c>
      <c r="C9" s="1" t="s">
        <v>86</v>
      </c>
      <c r="D9" s="1">
        <v>8</v>
      </c>
      <c r="E9" s="1" t="s">
        <v>87</v>
      </c>
      <c r="F9" s="1">
        <v>16235</v>
      </c>
      <c r="G9" s="3">
        <v>507.34375</v>
      </c>
      <c r="H9" s="3">
        <v>139.78126047954353</v>
      </c>
      <c r="I9" s="3">
        <v>19538.80078125</v>
      </c>
      <c r="J9" s="4">
        <v>7995</v>
      </c>
      <c r="K9" s="3">
        <v>249.84375</v>
      </c>
      <c r="L9" s="3">
        <v>49.245457345241761</v>
      </c>
      <c r="M9" s="3">
        <v>140.83743676221178</v>
      </c>
      <c r="N9" s="3">
        <v>19835.18359375</v>
      </c>
      <c r="O9" s="4">
        <v>6975</v>
      </c>
      <c r="P9" s="3">
        <v>217.96875</v>
      </c>
      <c r="Q9" s="3">
        <v>42.962734832152755</v>
      </c>
      <c r="R9" s="3">
        <v>68.57081763585731</v>
      </c>
      <c r="S9" s="3">
        <v>4701.95703125</v>
      </c>
      <c r="T9" s="1" t="s">
        <v>24</v>
      </c>
      <c r="U9" s="22" t="s">
        <v>24</v>
      </c>
      <c r="V9" s="1" t="s">
        <v>26</v>
      </c>
      <c r="W9" s="1" t="s">
        <v>27</v>
      </c>
      <c r="X9" s="1" t="s">
        <v>28</v>
      </c>
      <c r="Y9" s="13" t="s">
        <v>126</v>
      </c>
      <c r="Z9" s="5">
        <v>6.2827225130890056</v>
      </c>
      <c r="AA9" s="24" t="s">
        <v>121</v>
      </c>
    </row>
    <row r="10" spans="1:27">
      <c r="A10" s="1">
        <v>32</v>
      </c>
      <c r="B10" s="1">
        <v>54</v>
      </c>
      <c r="C10" s="1" t="s">
        <v>94</v>
      </c>
      <c r="D10" s="1">
        <v>5</v>
      </c>
      <c r="E10" s="1" t="s">
        <v>95</v>
      </c>
      <c r="F10" s="1">
        <v>9787</v>
      </c>
      <c r="G10" s="3">
        <v>555.02499999999998</v>
      </c>
      <c r="H10" s="3">
        <v>151.58958984706041</v>
      </c>
      <c r="I10" s="3">
        <v>22979.403750000001</v>
      </c>
      <c r="J10" s="4">
        <v>5075</v>
      </c>
      <c r="K10" s="3">
        <v>282.86250000000001</v>
      </c>
      <c r="L10" s="3">
        <v>50.963920544119631</v>
      </c>
      <c r="M10" s="3">
        <v>107.13956727092004</v>
      </c>
      <c r="N10" s="3">
        <v>11478.886875</v>
      </c>
      <c r="O10" s="4">
        <v>4057</v>
      </c>
      <c r="P10" s="3">
        <v>236.17500000000001</v>
      </c>
      <c r="Q10" s="3">
        <v>42.55213729111302</v>
      </c>
      <c r="R10" s="3">
        <v>54.420894424843844</v>
      </c>
      <c r="S10" s="3">
        <v>2961.63375</v>
      </c>
      <c r="T10" s="1" t="s">
        <v>24</v>
      </c>
      <c r="U10" s="22" t="s">
        <v>26</v>
      </c>
      <c r="V10" s="1" t="s">
        <v>26</v>
      </c>
      <c r="W10" s="1" t="s">
        <v>27</v>
      </c>
      <c r="X10" s="1" t="s">
        <v>28</v>
      </c>
      <c r="Y10" s="13" t="s">
        <v>126</v>
      </c>
      <c r="Z10" s="5">
        <v>8.411783253006611</v>
      </c>
      <c r="AA10" s="24" t="s">
        <v>121</v>
      </c>
    </row>
    <row r="11" spans="1:27">
      <c r="A11" s="1">
        <v>34</v>
      </c>
      <c r="B11" s="1">
        <v>56</v>
      </c>
      <c r="C11" s="1" t="s">
        <v>98</v>
      </c>
      <c r="D11" s="1">
        <v>5</v>
      </c>
      <c r="E11" s="1" t="s">
        <v>99</v>
      </c>
      <c r="F11" s="1">
        <v>10127</v>
      </c>
      <c r="G11" s="3">
        <v>506.34999999999997</v>
      </c>
      <c r="H11" s="3">
        <v>67.776987244934404</v>
      </c>
      <c r="I11" s="3">
        <v>4593.72</v>
      </c>
      <c r="J11" s="4">
        <v>4944</v>
      </c>
      <c r="K11" s="3">
        <v>247.20000000000002</v>
      </c>
      <c r="L11" s="3">
        <v>48.819986175570264</v>
      </c>
      <c r="M11" s="3">
        <v>64.843349697559574</v>
      </c>
      <c r="N11" s="3">
        <v>4204.66</v>
      </c>
      <c r="O11" s="4">
        <v>4720</v>
      </c>
      <c r="P11" s="3">
        <v>236</v>
      </c>
      <c r="Q11" s="3">
        <v>46.608077416806559</v>
      </c>
      <c r="R11" s="3">
        <v>49.464532748222737</v>
      </c>
      <c r="S11" s="3">
        <v>2446.7399999999998</v>
      </c>
      <c r="T11" s="1" t="s">
        <v>31</v>
      </c>
      <c r="U11" s="22" t="s">
        <v>26</v>
      </c>
      <c r="V11" s="1" t="s">
        <v>25</v>
      </c>
      <c r="W11" s="1" t="s">
        <v>27</v>
      </c>
      <c r="X11" s="1" t="e">
        <v>#DIV/0!</v>
      </c>
      <c r="Y11" s="13" t="s">
        <v>126</v>
      </c>
      <c r="Z11" s="5">
        <v>2.2119087587637054</v>
      </c>
      <c r="AA11" s="24" t="s">
        <v>121</v>
      </c>
    </row>
    <row r="12" spans="1:27">
      <c r="A12" s="1">
        <v>36</v>
      </c>
      <c r="B12" s="1">
        <v>58</v>
      </c>
      <c r="C12" s="1" t="s">
        <v>102</v>
      </c>
      <c r="D12" s="1">
        <v>4</v>
      </c>
      <c r="E12" s="1" t="s">
        <v>103</v>
      </c>
      <c r="F12" s="1">
        <v>5388</v>
      </c>
      <c r="G12" s="14">
        <v>336.75</v>
      </c>
      <c r="H12" s="14">
        <v>227.34424613347926</v>
      </c>
      <c r="I12" s="14">
        <v>51685.40625</v>
      </c>
      <c r="J12" s="15">
        <v>2776</v>
      </c>
      <c r="K12" s="14">
        <v>173.5</v>
      </c>
      <c r="L12" s="3">
        <v>51.521900519673345</v>
      </c>
      <c r="M12" s="14">
        <v>107.55986705086615</v>
      </c>
      <c r="N12" s="14">
        <v>11569.125</v>
      </c>
      <c r="O12" s="15">
        <v>2402</v>
      </c>
      <c r="P12" s="14">
        <v>150.125</v>
      </c>
      <c r="Q12" s="3">
        <v>44.580549368968079</v>
      </c>
      <c r="R12" s="14">
        <v>125.88610924164747</v>
      </c>
      <c r="S12" s="14">
        <v>15847.3125</v>
      </c>
      <c r="T12" s="1" t="s">
        <v>31</v>
      </c>
      <c r="U12" s="22" t="s">
        <v>26</v>
      </c>
      <c r="V12" s="1" t="s">
        <v>25</v>
      </c>
      <c r="W12" s="1" t="s">
        <v>27</v>
      </c>
      <c r="X12" s="1" t="e">
        <v>#DIV/0!</v>
      </c>
      <c r="Y12" s="13" t="s">
        <v>126</v>
      </c>
      <c r="Z12" s="5">
        <v>6.9413511507052661</v>
      </c>
      <c r="AA12" s="24" t="s">
        <v>121</v>
      </c>
    </row>
    <row r="13" spans="1:27" s="17" customFormat="1" ht="15.75">
      <c r="A13" s="34"/>
      <c r="B13" s="34"/>
      <c r="C13" s="34"/>
      <c r="D13" s="34"/>
      <c r="E13" s="34"/>
      <c r="F13" s="34">
        <f>SUM(F5:F12)</f>
        <v>87151</v>
      </c>
      <c r="G13" s="34"/>
      <c r="H13" s="34"/>
      <c r="I13" s="34"/>
      <c r="J13" s="34">
        <f>SUM(J5:J12)</f>
        <v>43246</v>
      </c>
      <c r="K13" s="34"/>
      <c r="L13" s="34"/>
      <c r="M13" s="34"/>
      <c r="N13" s="34"/>
      <c r="O13" s="34">
        <f>SUM(O5:O12)</f>
        <v>38754</v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ht="26.25">
      <c r="A14" s="66" t="s">
        <v>111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27">
      <c r="A15" s="41" t="s">
        <v>0</v>
      </c>
      <c r="B15" s="41" t="s">
        <v>1</v>
      </c>
      <c r="C15" s="41" t="s">
        <v>2</v>
      </c>
      <c r="D15" s="39" t="s">
        <v>3</v>
      </c>
      <c r="E15" s="41" t="s">
        <v>4</v>
      </c>
      <c r="F15" s="41" t="s">
        <v>5</v>
      </c>
      <c r="G15" s="41" t="s">
        <v>5</v>
      </c>
      <c r="H15" s="41"/>
      <c r="I15" s="41"/>
      <c r="J15" s="64" t="s">
        <v>6</v>
      </c>
      <c r="K15" s="64"/>
      <c r="L15" s="64"/>
      <c r="M15" s="64"/>
      <c r="N15" s="64"/>
      <c r="O15" s="67" t="s">
        <v>7</v>
      </c>
      <c r="P15" s="67"/>
      <c r="Q15" s="67"/>
      <c r="R15" s="67"/>
      <c r="S15" s="67"/>
      <c r="T15" s="67">
        <v>2018</v>
      </c>
      <c r="U15" s="67"/>
      <c r="V15" s="67"/>
      <c r="W15" s="67"/>
      <c r="X15" s="67"/>
      <c r="Y15" s="39" t="s">
        <v>8</v>
      </c>
      <c r="Z15" s="39" t="s">
        <v>9</v>
      </c>
      <c r="AA15" s="39" t="s">
        <v>10</v>
      </c>
    </row>
    <row r="16" spans="1:27" ht="90">
      <c r="A16" s="41"/>
      <c r="B16" s="41"/>
      <c r="C16" s="41"/>
      <c r="D16" s="39"/>
      <c r="E16" s="41"/>
      <c r="F16" s="41"/>
      <c r="G16" s="21" t="s">
        <v>11</v>
      </c>
      <c r="H16" s="21" t="s">
        <v>12</v>
      </c>
      <c r="I16" s="21" t="s">
        <v>13</v>
      </c>
      <c r="J16" s="21" t="s">
        <v>14</v>
      </c>
      <c r="K16" s="21" t="s">
        <v>11</v>
      </c>
      <c r="L16" s="21" t="s">
        <v>15</v>
      </c>
      <c r="M16" s="21" t="s">
        <v>12</v>
      </c>
      <c r="N16" s="21" t="s">
        <v>13</v>
      </c>
      <c r="O16" s="21" t="s">
        <v>16</v>
      </c>
      <c r="P16" s="21" t="s">
        <v>11</v>
      </c>
      <c r="Q16" s="21" t="s">
        <v>15</v>
      </c>
      <c r="R16" s="21" t="s">
        <v>12</v>
      </c>
      <c r="S16" s="21" t="s">
        <v>13</v>
      </c>
      <c r="T16" s="21" t="s">
        <v>17</v>
      </c>
      <c r="U16" s="21" t="s">
        <v>18</v>
      </c>
      <c r="V16" s="21" t="s">
        <v>19</v>
      </c>
      <c r="W16" s="21" t="s">
        <v>20</v>
      </c>
      <c r="X16" s="21" t="s">
        <v>21</v>
      </c>
      <c r="Y16" s="39"/>
      <c r="Z16" s="39"/>
      <c r="AA16" s="39"/>
    </row>
    <row r="17" spans="1:27">
      <c r="A17" s="1">
        <v>1</v>
      </c>
      <c r="B17" s="1">
        <v>21</v>
      </c>
      <c r="C17" s="2" t="s">
        <v>22</v>
      </c>
      <c r="D17" s="1">
        <v>6</v>
      </c>
      <c r="E17" s="1" t="s">
        <v>23</v>
      </c>
      <c r="F17" s="1">
        <v>13856</v>
      </c>
      <c r="G17" s="3">
        <v>577.33333333333326</v>
      </c>
      <c r="H17" s="3">
        <v>152.42561938350275</v>
      </c>
      <c r="I17" s="3">
        <v>23233.569444444445</v>
      </c>
      <c r="J17" s="4">
        <v>7322</v>
      </c>
      <c r="K17" s="3">
        <v>305.08333333333337</v>
      </c>
      <c r="L17" s="3">
        <v>52.843533487297933</v>
      </c>
      <c r="M17" s="3">
        <v>109.17086505921705</v>
      </c>
      <c r="N17" s="3">
        <v>11918.277777777777</v>
      </c>
      <c r="O17" s="4">
        <v>5811</v>
      </c>
      <c r="P17" s="3">
        <v>242.125</v>
      </c>
      <c r="Q17" s="3">
        <v>41.938510392609707</v>
      </c>
      <c r="R17" s="3">
        <v>71.377955280324471</v>
      </c>
      <c r="S17" s="3">
        <v>5094.8125</v>
      </c>
      <c r="T17" s="1" t="s">
        <v>24</v>
      </c>
      <c r="U17" s="22" t="s">
        <v>25</v>
      </c>
      <c r="V17" s="1" t="s">
        <v>26</v>
      </c>
      <c r="W17" s="1" t="s">
        <v>27</v>
      </c>
      <c r="X17" s="1" t="s">
        <v>28</v>
      </c>
      <c r="Y17" s="13" t="s">
        <v>126</v>
      </c>
      <c r="Z17" s="5">
        <v>10.905023094688225</v>
      </c>
      <c r="AA17" s="25" t="s">
        <v>120</v>
      </c>
    </row>
    <row r="18" spans="1:27">
      <c r="A18" s="1">
        <v>4</v>
      </c>
      <c r="B18" s="1">
        <v>26</v>
      </c>
      <c r="C18" s="2" t="s">
        <v>34</v>
      </c>
      <c r="D18" s="1">
        <v>7</v>
      </c>
      <c r="E18" s="9" t="s">
        <v>35</v>
      </c>
      <c r="F18" s="1">
        <v>17539</v>
      </c>
      <c r="G18" s="10">
        <v>548.09375</v>
      </c>
      <c r="H18" s="10">
        <v>164.27051099101749</v>
      </c>
      <c r="I18" s="10">
        <v>26984.80078125</v>
      </c>
      <c r="J18" s="11">
        <v>9763</v>
      </c>
      <c r="K18" s="10">
        <v>305.09375</v>
      </c>
      <c r="L18" s="3">
        <v>55.664519071782884</v>
      </c>
      <c r="M18" s="10">
        <v>113.17597263222437</v>
      </c>
      <c r="N18" s="10">
        <v>12808.80078125</v>
      </c>
      <c r="O18" s="11">
        <v>7055</v>
      </c>
      <c r="P18" s="10">
        <v>220.46875</v>
      </c>
      <c r="Q18" s="3">
        <v>40.224642225896574</v>
      </c>
      <c r="R18" s="10">
        <v>59.148350304552025</v>
      </c>
      <c r="S18" s="10">
        <v>3498.52734375</v>
      </c>
      <c r="T18" s="1" t="s">
        <v>31</v>
      </c>
      <c r="U18" s="22" t="s">
        <v>25</v>
      </c>
      <c r="V18" s="1" t="s">
        <v>26</v>
      </c>
      <c r="W18" s="1" t="s">
        <v>27</v>
      </c>
      <c r="X18" s="1" t="s">
        <v>28</v>
      </c>
      <c r="Y18" s="13" t="s">
        <v>126</v>
      </c>
      <c r="Z18" s="5">
        <v>15.43987684588631</v>
      </c>
      <c r="AA18" s="25" t="s">
        <v>120</v>
      </c>
    </row>
    <row r="19" spans="1:27">
      <c r="A19" s="1">
        <v>5</v>
      </c>
      <c r="B19" s="1">
        <v>27</v>
      </c>
      <c r="C19" s="2" t="s">
        <v>36</v>
      </c>
      <c r="D19" s="1">
        <v>6</v>
      </c>
      <c r="E19" s="9" t="s">
        <v>37</v>
      </c>
      <c r="F19" s="1">
        <v>12725</v>
      </c>
      <c r="G19" s="3">
        <v>530.20833333333337</v>
      </c>
      <c r="H19" s="3">
        <v>128.65319985656529</v>
      </c>
      <c r="I19" s="3">
        <v>16551.645833333336</v>
      </c>
      <c r="J19" s="4">
        <v>7186</v>
      </c>
      <c r="K19" s="3">
        <v>299.41666666666669</v>
      </c>
      <c r="L19" s="3">
        <v>56.471512770137522</v>
      </c>
      <c r="M19" s="3">
        <v>113.71699765450877</v>
      </c>
      <c r="N19" s="3">
        <v>12931.555555555555</v>
      </c>
      <c r="O19" s="4">
        <v>4883</v>
      </c>
      <c r="P19" s="3">
        <v>203.45833333333331</v>
      </c>
      <c r="Q19" s="3">
        <v>38.373280943025534</v>
      </c>
      <c r="R19" s="3">
        <v>86.860160603121159</v>
      </c>
      <c r="S19" s="3">
        <v>7544.6875</v>
      </c>
      <c r="T19" s="1" t="s">
        <v>24</v>
      </c>
      <c r="U19" s="22" t="s">
        <v>25</v>
      </c>
      <c r="V19" s="1" t="s">
        <v>26</v>
      </c>
      <c r="W19" s="1" t="s">
        <v>27</v>
      </c>
      <c r="X19" s="1" t="s">
        <v>38</v>
      </c>
      <c r="Y19" s="13" t="s">
        <v>126</v>
      </c>
      <c r="Z19" s="5">
        <v>18.098231827111988</v>
      </c>
      <c r="AA19" s="25" t="s">
        <v>120</v>
      </c>
    </row>
    <row r="20" spans="1:27">
      <c r="A20" s="1">
        <v>8</v>
      </c>
      <c r="B20" s="1">
        <v>30</v>
      </c>
      <c r="C20" s="2" t="s">
        <v>45</v>
      </c>
      <c r="D20" s="1">
        <v>5</v>
      </c>
      <c r="E20" s="9" t="s">
        <v>46</v>
      </c>
      <c r="F20" s="1">
        <v>9928</v>
      </c>
      <c r="G20" s="3">
        <v>496.4</v>
      </c>
      <c r="H20" s="3">
        <v>101.59606291584335</v>
      </c>
      <c r="I20" s="3">
        <v>10321.76</v>
      </c>
      <c r="J20" s="4">
        <v>5335</v>
      </c>
      <c r="K20" s="3">
        <v>266.75</v>
      </c>
      <c r="L20" s="3">
        <v>53.736905721192585</v>
      </c>
      <c r="M20" s="3">
        <v>77.539280368081833</v>
      </c>
      <c r="N20" s="3">
        <v>6012.34</v>
      </c>
      <c r="O20" s="4">
        <v>4222</v>
      </c>
      <c r="P20" s="3">
        <v>211.1</v>
      </c>
      <c r="Q20" s="3">
        <v>42.52618855761483</v>
      </c>
      <c r="R20" s="3">
        <v>32.620239116229662</v>
      </c>
      <c r="S20" s="3">
        <v>1064.08</v>
      </c>
      <c r="T20" s="1" t="s">
        <v>31</v>
      </c>
      <c r="U20" s="22" t="s">
        <v>26</v>
      </c>
      <c r="V20" s="1" t="s">
        <v>25</v>
      </c>
      <c r="W20" s="8" t="s">
        <v>27</v>
      </c>
      <c r="X20" s="1" t="e">
        <v>#DIV/0!</v>
      </c>
      <c r="Y20" s="13" t="s">
        <v>126</v>
      </c>
      <c r="Z20" s="5">
        <v>11.210717163577755</v>
      </c>
      <c r="AA20" s="25" t="s">
        <v>120</v>
      </c>
    </row>
    <row r="21" spans="1:27">
      <c r="A21" s="1">
        <v>10</v>
      </c>
      <c r="B21" s="1">
        <v>32</v>
      </c>
      <c r="C21" s="2" t="s">
        <v>49</v>
      </c>
      <c r="D21" s="1">
        <v>5</v>
      </c>
      <c r="E21" s="9" t="s">
        <v>50</v>
      </c>
      <c r="F21" s="1">
        <v>9828</v>
      </c>
      <c r="G21" s="3">
        <v>491.40000000000003</v>
      </c>
      <c r="H21" s="3">
        <v>155.41402768090146</v>
      </c>
      <c r="I21" s="3">
        <v>24153.52</v>
      </c>
      <c r="J21" s="4">
        <v>5562</v>
      </c>
      <c r="K21" s="3">
        <v>278.10000000000002</v>
      </c>
      <c r="L21" s="3">
        <v>56.593406593406591</v>
      </c>
      <c r="M21" s="3">
        <v>92.46069435170817</v>
      </c>
      <c r="N21" s="3">
        <v>8548.98</v>
      </c>
      <c r="O21" s="4">
        <v>3638</v>
      </c>
      <c r="P21" s="3">
        <v>181.89999999999998</v>
      </c>
      <c r="Q21" s="3">
        <v>37.016687016687008</v>
      </c>
      <c r="R21" s="3">
        <v>64.826846290715082</v>
      </c>
      <c r="S21" s="3">
        <v>4202.5200000000004</v>
      </c>
      <c r="T21" s="14" t="s">
        <v>24</v>
      </c>
      <c r="U21" s="22" t="s">
        <v>25</v>
      </c>
      <c r="V21" s="1" t="s">
        <v>26</v>
      </c>
      <c r="W21" s="8" t="s">
        <v>27</v>
      </c>
      <c r="X21" s="22" t="s">
        <v>28</v>
      </c>
      <c r="Y21" s="13" t="s">
        <v>126</v>
      </c>
      <c r="Z21" s="5">
        <v>19.576719576719583</v>
      </c>
      <c r="AA21" s="25" t="s">
        <v>120</v>
      </c>
    </row>
    <row r="22" spans="1:27">
      <c r="A22" s="1">
        <v>11</v>
      </c>
      <c r="B22" s="1">
        <v>33</v>
      </c>
      <c r="C22" s="2" t="s">
        <v>51</v>
      </c>
      <c r="D22" s="1">
        <v>4</v>
      </c>
      <c r="E22" s="9" t="s">
        <v>52</v>
      </c>
      <c r="F22" s="1">
        <v>8279</v>
      </c>
      <c r="G22" s="3">
        <v>516.5</v>
      </c>
      <c r="H22" s="3">
        <v>54.958080616047717</v>
      </c>
      <c r="I22" s="3">
        <v>3020.390625</v>
      </c>
      <c r="J22" s="4">
        <v>4627</v>
      </c>
      <c r="K22" s="3">
        <v>308</v>
      </c>
      <c r="L22" s="3">
        <v>59.632139399806391</v>
      </c>
      <c r="M22" s="3">
        <v>54.491255032344412</v>
      </c>
      <c r="N22" s="3">
        <v>2969.296875</v>
      </c>
      <c r="O22" s="4">
        <v>3420</v>
      </c>
      <c r="P22" s="3">
        <v>194.8125</v>
      </c>
      <c r="Q22" s="3">
        <v>37.717812197483056</v>
      </c>
      <c r="R22" s="3">
        <v>90.310056195309727</v>
      </c>
      <c r="S22" s="3">
        <v>2969.296875</v>
      </c>
      <c r="T22" s="12" t="s">
        <v>31</v>
      </c>
      <c r="U22" s="22" t="s">
        <v>25</v>
      </c>
      <c r="V22" s="1" t="s">
        <v>26</v>
      </c>
      <c r="W22" s="8" t="s">
        <v>27</v>
      </c>
      <c r="X22" s="22" t="s">
        <v>28</v>
      </c>
      <c r="Y22" s="13" t="s">
        <v>126</v>
      </c>
      <c r="Z22" s="5">
        <v>21.914327202323335</v>
      </c>
      <c r="AA22" s="25" t="s">
        <v>120</v>
      </c>
    </row>
    <row r="23" spans="1:27">
      <c r="A23" s="1">
        <v>20</v>
      </c>
      <c r="B23" s="1">
        <v>42</v>
      </c>
      <c r="C23" s="1" t="s">
        <v>70</v>
      </c>
      <c r="D23" s="1">
        <v>7</v>
      </c>
      <c r="E23" s="1" t="s">
        <v>71</v>
      </c>
      <c r="F23" s="1">
        <v>13016</v>
      </c>
      <c r="G23" s="3">
        <v>464.85714285714283</v>
      </c>
      <c r="H23" s="3">
        <v>117.41757856088688</v>
      </c>
      <c r="I23" s="3">
        <v>13786.887755102041</v>
      </c>
      <c r="J23" s="4">
        <v>8126</v>
      </c>
      <c r="K23" s="3">
        <v>290.21428571428572</v>
      </c>
      <c r="L23" s="3">
        <v>62.430854333128458</v>
      </c>
      <c r="M23" s="3">
        <v>176.30027145267167</v>
      </c>
      <c r="N23" s="3">
        <v>31081.785714285717</v>
      </c>
      <c r="O23" s="4">
        <v>4271</v>
      </c>
      <c r="P23" s="3">
        <v>152.53571428571428</v>
      </c>
      <c r="Q23" s="3">
        <v>32.813460356484327</v>
      </c>
      <c r="R23" s="3">
        <v>74.698782876733048</v>
      </c>
      <c r="S23" s="3">
        <v>5579.908163265306</v>
      </c>
      <c r="T23" s="1" t="s">
        <v>31</v>
      </c>
      <c r="U23" s="22" t="s">
        <v>25</v>
      </c>
      <c r="V23" s="1" t="s">
        <v>26</v>
      </c>
      <c r="W23" s="1" t="s">
        <v>27</v>
      </c>
      <c r="X23" s="1" t="s">
        <v>28</v>
      </c>
      <c r="Y23" s="13" t="s">
        <v>126</v>
      </c>
      <c r="Z23" s="5">
        <v>29.617393976644131</v>
      </c>
      <c r="AA23" s="25" t="s">
        <v>120</v>
      </c>
    </row>
    <row r="24" spans="1:27" ht="15.75">
      <c r="A24" s="34"/>
      <c r="B24" s="34"/>
      <c r="C24" s="34"/>
      <c r="D24" s="34"/>
      <c r="E24" s="34"/>
      <c r="F24" s="34">
        <f>SUM(F17:F23)</f>
        <v>85171</v>
      </c>
      <c r="G24" s="34"/>
      <c r="H24" s="34"/>
      <c r="I24" s="34"/>
      <c r="J24" s="34">
        <f>SUM(J17:J23)</f>
        <v>47921</v>
      </c>
      <c r="K24" s="34"/>
      <c r="L24" s="34"/>
      <c r="M24" s="34"/>
      <c r="N24" s="34"/>
      <c r="O24" s="34">
        <f>SUM(O17:O23)</f>
        <v>33300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ht="26.25">
      <c r="A25" s="66" t="s">
        <v>112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27">
      <c r="A26" s="41" t="s">
        <v>0</v>
      </c>
      <c r="B26" s="41" t="s">
        <v>1</v>
      </c>
      <c r="C26" s="41" t="s">
        <v>2</v>
      </c>
      <c r="D26" s="39" t="s">
        <v>3</v>
      </c>
      <c r="E26" s="41" t="s">
        <v>4</v>
      </c>
      <c r="F26" s="41" t="s">
        <v>5</v>
      </c>
      <c r="G26" s="41" t="s">
        <v>5</v>
      </c>
      <c r="H26" s="41"/>
      <c r="I26" s="41"/>
      <c r="J26" s="64" t="s">
        <v>6</v>
      </c>
      <c r="K26" s="64"/>
      <c r="L26" s="64"/>
      <c r="M26" s="64"/>
      <c r="N26" s="64"/>
      <c r="O26" s="67" t="s">
        <v>7</v>
      </c>
      <c r="P26" s="67"/>
      <c r="Q26" s="67"/>
      <c r="R26" s="67"/>
      <c r="S26" s="67"/>
      <c r="T26" s="67">
        <v>2018</v>
      </c>
      <c r="U26" s="67"/>
      <c r="V26" s="67"/>
      <c r="W26" s="67"/>
      <c r="X26" s="67"/>
      <c r="Y26" s="39" t="s">
        <v>8</v>
      </c>
      <c r="Z26" s="39" t="s">
        <v>9</v>
      </c>
      <c r="AA26" s="39" t="s">
        <v>10</v>
      </c>
    </row>
    <row r="27" spans="1:27" ht="90">
      <c r="A27" s="41"/>
      <c r="B27" s="41"/>
      <c r="C27" s="41"/>
      <c r="D27" s="39"/>
      <c r="E27" s="41"/>
      <c r="F27" s="41"/>
      <c r="G27" s="21" t="s">
        <v>11</v>
      </c>
      <c r="H27" s="21" t="s">
        <v>12</v>
      </c>
      <c r="I27" s="21" t="s">
        <v>13</v>
      </c>
      <c r="J27" s="21" t="s">
        <v>14</v>
      </c>
      <c r="K27" s="21" t="s">
        <v>11</v>
      </c>
      <c r="L27" s="21" t="s">
        <v>15</v>
      </c>
      <c r="M27" s="21" t="s">
        <v>12</v>
      </c>
      <c r="N27" s="21" t="s">
        <v>13</v>
      </c>
      <c r="O27" s="21" t="s">
        <v>16</v>
      </c>
      <c r="P27" s="21" t="s">
        <v>11</v>
      </c>
      <c r="Q27" s="21" t="s">
        <v>15</v>
      </c>
      <c r="R27" s="21" t="s">
        <v>12</v>
      </c>
      <c r="S27" s="21" t="s">
        <v>13</v>
      </c>
      <c r="T27" s="21" t="s">
        <v>17</v>
      </c>
      <c r="U27" s="21" t="s">
        <v>18</v>
      </c>
      <c r="V27" s="21" t="s">
        <v>19</v>
      </c>
      <c r="W27" s="21" t="s">
        <v>20</v>
      </c>
      <c r="X27" s="21" t="s">
        <v>21</v>
      </c>
      <c r="Y27" s="39"/>
      <c r="Z27" s="39"/>
      <c r="AA27" s="39"/>
    </row>
    <row r="28" spans="1:27">
      <c r="A28" s="1">
        <v>19</v>
      </c>
      <c r="B28" s="1">
        <v>41</v>
      </c>
      <c r="C28" s="1" t="s">
        <v>68</v>
      </c>
      <c r="D28" s="1">
        <v>5</v>
      </c>
      <c r="E28" s="9" t="s">
        <v>69</v>
      </c>
      <c r="F28" s="1">
        <v>8756</v>
      </c>
      <c r="G28" s="3">
        <v>437.8</v>
      </c>
      <c r="H28" s="3">
        <v>91.076451402105036</v>
      </c>
      <c r="I28" s="3">
        <v>8294.92</v>
      </c>
      <c r="J28" s="4">
        <v>5892</v>
      </c>
      <c r="K28" s="3">
        <v>294.60000000000002</v>
      </c>
      <c r="L28" s="3">
        <v>67.291000456829607</v>
      </c>
      <c r="M28" s="3">
        <v>116.27587883993824</v>
      </c>
      <c r="N28" s="3">
        <v>13520.079999999998</v>
      </c>
      <c r="O28" s="4">
        <v>2561</v>
      </c>
      <c r="P28" s="3">
        <v>128.04999999999998</v>
      </c>
      <c r="Q28" s="3">
        <v>29.248515303791685</v>
      </c>
      <c r="R28" s="3">
        <v>53.868543696669583</v>
      </c>
      <c r="S28" s="3">
        <v>2901.82</v>
      </c>
      <c r="T28" s="1" t="s">
        <v>24</v>
      </c>
      <c r="U28" s="22" t="s">
        <v>25</v>
      </c>
      <c r="V28" s="1" t="s">
        <v>26</v>
      </c>
      <c r="W28" s="1" t="s">
        <v>41</v>
      </c>
      <c r="X28" s="1" t="s">
        <v>28</v>
      </c>
      <c r="Y28" s="13" t="s">
        <v>126</v>
      </c>
      <c r="Z28" s="5">
        <v>38.042485153037923</v>
      </c>
      <c r="AA28" s="26" t="s">
        <v>122</v>
      </c>
    </row>
    <row r="29" spans="1:27" ht="26.25">
      <c r="A29" s="66" t="s">
        <v>127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1:27">
      <c r="A30" s="41" t="s">
        <v>0</v>
      </c>
      <c r="B30" s="41" t="s">
        <v>1</v>
      </c>
      <c r="C30" s="41" t="s">
        <v>2</v>
      </c>
      <c r="D30" s="39" t="s">
        <v>3</v>
      </c>
      <c r="E30" s="41" t="s">
        <v>4</v>
      </c>
      <c r="F30" s="41" t="s">
        <v>5</v>
      </c>
      <c r="G30" s="41" t="s">
        <v>5</v>
      </c>
      <c r="H30" s="41"/>
      <c r="I30" s="41"/>
      <c r="J30" s="64" t="s">
        <v>6</v>
      </c>
      <c r="K30" s="64"/>
      <c r="L30" s="64"/>
      <c r="M30" s="64"/>
      <c r="N30" s="64"/>
      <c r="O30" s="67" t="s">
        <v>7</v>
      </c>
      <c r="P30" s="67"/>
      <c r="Q30" s="67"/>
      <c r="R30" s="67"/>
      <c r="S30" s="67"/>
      <c r="T30" s="67">
        <v>2018</v>
      </c>
      <c r="U30" s="67"/>
      <c r="V30" s="67"/>
      <c r="W30" s="67"/>
      <c r="X30" s="67"/>
      <c r="Y30" s="39" t="s">
        <v>8</v>
      </c>
      <c r="Z30" s="39" t="s">
        <v>9</v>
      </c>
      <c r="AA30" s="39" t="s">
        <v>10</v>
      </c>
    </row>
    <row r="31" spans="1:27" ht="90">
      <c r="A31" s="41"/>
      <c r="B31" s="41"/>
      <c r="C31" s="41"/>
      <c r="D31" s="39"/>
      <c r="E31" s="41"/>
      <c r="F31" s="41"/>
      <c r="G31" s="21" t="s">
        <v>11</v>
      </c>
      <c r="H31" s="21" t="s">
        <v>12</v>
      </c>
      <c r="I31" s="21" t="s">
        <v>13</v>
      </c>
      <c r="J31" s="21" t="s">
        <v>14</v>
      </c>
      <c r="K31" s="21" t="s">
        <v>11</v>
      </c>
      <c r="L31" s="21" t="s">
        <v>15</v>
      </c>
      <c r="M31" s="21" t="s">
        <v>12</v>
      </c>
      <c r="N31" s="21" t="s">
        <v>13</v>
      </c>
      <c r="O31" s="21" t="s">
        <v>16</v>
      </c>
      <c r="P31" s="21" t="s">
        <v>11</v>
      </c>
      <c r="Q31" s="21" t="s">
        <v>15</v>
      </c>
      <c r="R31" s="21" t="s">
        <v>12</v>
      </c>
      <c r="S31" s="21" t="s">
        <v>13</v>
      </c>
      <c r="T31" s="21" t="s">
        <v>17</v>
      </c>
      <c r="U31" s="21" t="s">
        <v>18</v>
      </c>
      <c r="V31" s="21" t="s">
        <v>19</v>
      </c>
      <c r="W31" s="21" t="s">
        <v>20</v>
      </c>
      <c r="X31" s="21" t="s">
        <v>21</v>
      </c>
      <c r="Y31" s="39"/>
      <c r="Z31" s="39"/>
      <c r="AA31" s="39"/>
    </row>
    <row r="32" spans="1:27">
      <c r="A32" s="1">
        <v>6</v>
      </c>
      <c r="B32" s="1">
        <v>28</v>
      </c>
      <c r="C32" s="2" t="s">
        <v>39</v>
      </c>
      <c r="D32" s="1">
        <v>4</v>
      </c>
      <c r="E32" s="9" t="s">
        <v>40</v>
      </c>
      <c r="F32" s="1">
        <v>9299</v>
      </c>
      <c r="G32" s="10">
        <v>581.1875</v>
      </c>
      <c r="H32" s="10">
        <v>117.92960029186905</v>
      </c>
      <c r="I32" s="10">
        <v>13907.390625</v>
      </c>
      <c r="J32" s="11">
        <v>6396</v>
      </c>
      <c r="K32" s="10">
        <v>399.75</v>
      </c>
      <c r="L32" s="3">
        <v>68.78158941821701</v>
      </c>
      <c r="M32" s="10">
        <v>81.416176218243024</v>
      </c>
      <c r="N32" s="10">
        <v>6628.59375</v>
      </c>
      <c r="O32" s="11">
        <v>2515</v>
      </c>
      <c r="P32" s="10">
        <v>157.1875</v>
      </c>
      <c r="Q32" s="3">
        <v>27.045918916012475</v>
      </c>
      <c r="R32" s="10">
        <v>37.49354111043661</v>
      </c>
      <c r="S32" s="10">
        <v>1405.765625</v>
      </c>
      <c r="T32" s="1" t="s">
        <v>31</v>
      </c>
      <c r="U32" s="22" t="s">
        <v>25</v>
      </c>
      <c r="V32" s="1" t="s">
        <v>26</v>
      </c>
      <c r="W32" s="12" t="s">
        <v>41</v>
      </c>
      <c r="X32" s="1" t="s">
        <v>38</v>
      </c>
      <c r="Y32" s="13" t="s">
        <v>126</v>
      </c>
      <c r="Z32" s="5">
        <v>41.735670502204535</v>
      </c>
      <c r="AA32" s="27" t="s">
        <v>42</v>
      </c>
    </row>
    <row r="33" spans="1:27">
      <c r="A33" s="1">
        <v>7</v>
      </c>
      <c r="B33" s="1">
        <v>29</v>
      </c>
      <c r="C33" s="2" t="s">
        <v>43</v>
      </c>
      <c r="D33" s="1">
        <v>4</v>
      </c>
      <c r="E33" s="9" t="s">
        <v>44</v>
      </c>
      <c r="F33" s="1">
        <v>8068</v>
      </c>
      <c r="G33" s="10">
        <v>504.25</v>
      </c>
      <c r="H33" s="3">
        <v>107.30913288252776</v>
      </c>
      <c r="I33" s="10">
        <v>11515.25</v>
      </c>
      <c r="J33" s="11">
        <v>5691</v>
      </c>
      <c r="K33" s="10">
        <v>355.6875</v>
      </c>
      <c r="L33" s="3">
        <v>70.537927615270206</v>
      </c>
      <c r="M33" s="3">
        <v>104.79466529838244</v>
      </c>
      <c r="N33" s="10">
        <v>10981.921875</v>
      </c>
      <c r="O33" s="11">
        <v>2057</v>
      </c>
      <c r="P33" s="10">
        <v>128.5625</v>
      </c>
      <c r="Q33" s="3">
        <v>25.495785820525533</v>
      </c>
      <c r="R33" s="3">
        <v>31.423269642098035</v>
      </c>
      <c r="S33" s="10">
        <v>987.421875</v>
      </c>
      <c r="T33" s="1" t="s">
        <v>31</v>
      </c>
      <c r="U33" s="22" t="s">
        <v>25</v>
      </c>
      <c r="V33" s="1" t="s">
        <v>26</v>
      </c>
      <c r="W33" s="8" t="s">
        <v>27</v>
      </c>
      <c r="X33" s="13" t="s">
        <v>38</v>
      </c>
      <c r="Y33" s="13" t="s">
        <v>126</v>
      </c>
      <c r="Z33" s="5">
        <v>45.042141794744673</v>
      </c>
      <c r="AA33" s="27" t="s">
        <v>42</v>
      </c>
    </row>
    <row r="34" spans="1:27" s="17" customFormat="1" ht="15.75">
      <c r="A34" s="34"/>
      <c r="B34" s="34"/>
      <c r="C34" s="34"/>
      <c r="D34" s="34"/>
      <c r="E34" s="34"/>
      <c r="F34" s="34">
        <f>SUM(F32:F33)</f>
        <v>17367</v>
      </c>
      <c r="G34" s="34"/>
      <c r="H34" s="34"/>
      <c r="I34" s="34"/>
      <c r="J34" s="34">
        <f>SUM(J32:J33)</f>
        <v>12087</v>
      </c>
      <c r="K34" s="34"/>
      <c r="L34" s="34"/>
      <c r="M34" s="34"/>
      <c r="N34" s="34"/>
      <c r="O34" s="34">
        <f>SUM(O32:O33)</f>
        <v>4572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</sheetData>
  <mergeCells count="57">
    <mergeCell ref="Z30:Z31"/>
    <mergeCell ref="AA30:AA31"/>
    <mergeCell ref="A29:AA29"/>
    <mergeCell ref="F30:F31"/>
    <mergeCell ref="G30:I30"/>
    <mergeCell ref="J30:N30"/>
    <mergeCell ref="O30:S30"/>
    <mergeCell ref="T30:X30"/>
    <mergeCell ref="Y30:Y31"/>
    <mergeCell ref="A30:A31"/>
    <mergeCell ref="B30:B31"/>
    <mergeCell ref="C30:C31"/>
    <mergeCell ref="D30:D31"/>
    <mergeCell ref="E30:E31"/>
    <mergeCell ref="A25:AA25"/>
    <mergeCell ref="A26:A27"/>
    <mergeCell ref="B26:B27"/>
    <mergeCell ref="C26:C27"/>
    <mergeCell ref="D26:D27"/>
    <mergeCell ref="E26:E27"/>
    <mergeCell ref="F26:F27"/>
    <mergeCell ref="G26:I26"/>
    <mergeCell ref="J26:N26"/>
    <mergeCell ref="O26:S26"/>
    <mergeCell ref="T26:X26"/>
    <mergeCell ref="Y26:Y27"/>
    <mergeCell ref="Z26:Z27"/>
    <mergeCell ref="AA26:AA27"/>
    <mergeCell ref="J15:N15"/>
    <mergeCell ref="O15:S15"/>
    <mergeCell ref="T15:X15"/>
    <mergeCell ref="Y15:Y16"/>
    <mergeCell ref="Z15:Z16"/>
    <mergeCell ref="AA15:AA16"/>
    <mergeCell ref="A1:AA1"/>
    <mergeCell ref="A2:AA2"/>
    <mergeCell ref="A14:AA14"/>
    <mergeCell ref="A15:A16"/>
    <mergeCell ref="B15:B16"/>
    <mergeCell ref="C15:C16"/>
    <mergeCell ref="D15:D16"/>
    <mergeCell ref="E15:E16"/>
    <mergeCell ref="F15:F16"/>
    <mergeCell ref="G15:I15"/>
    <mergeCell ref="O3:S3"/>
    <mergeCell ref="T3:X3"/>
    <mergeCell ref="Y3:Y4"/>
    <mergeCell ref="Z3:Z4"/>
    <mergeCell ref="AA3:AA4"/>
    <mergeCell ref="F3:F4"/>
    <mergeCell ref="G3:I3"/>
    <mergeCell ref="J3:N3"/>
    <mergeCell ref="A3:A4"/>
    <mergeCell ref="B3:B4"/>
    <mergeCell ref="C3:C4"/>
    <mergeCell ref="D3:D4"/>
    <mergeCell ref="E3:E4"/>
  </mergeCells>
  <conditionalFormatting sqref="T5:T12">
    <cfRule type="containsText" dxfId="251" priority="147" operator="containsText" text="AVG">
      <formula>NOT(ISERROR(SEARCH("AVG",T5)))</formula>
    </cfRule>
  </conditionalFormatting>
  <conditionalFormatting sqref="T5:T12">
    <cfRule type="cellIs" dxfId="250" priority="146" operator="equal">
      <formula>"STRONG"</formula>
    </cfRule>
  </conditionalFormatting>
  <conditionalFormatting sqref="T5:T12">
    <cfRule type="containsText" dxfId="249" priority="145" operator="containsText" text="VSTRONG">
      <formula>NOT(ISERROR(SEARCH("VSTRONG",T5)))</formula>
    </cfRule>
  </conditionalFormatting>
  <conditionalFormatting sqref="U5 U7:U12">
    <cfRule type="containsText" dxfId="248" priority="144" operator="containsText" text="STRONG">
      <formula>NOT(ISERROR(SEARCH("STRONG",U5)))</formula>
    </cfRule>
  </conditionalFormatting>
  <conditionalFormatting sqref="U5 U7:U12">
    <cfRule type="containsText" dxfId="247" priority="143" operator="containsText" text="VSTRONG">
      <formula>NOT(ISERROR(SEARCH("VSTRONG",U5)))</formula>
    </cfRule>
  </conditionalFormatting>
  <conditionalFormatting sqref="W5 W7:W12">
    <cfRule type="containsText" dxfId="246" priority="142" operator="containsText" text="FEMALE DOM">
      <formula>NOT(ISERROR(SEARCH("FEMALE DOM",W5)))</formula>
    </cfRule>
  </conditionalFormatting>
  <conditionalFormatting sqref="T5:T12">
    <cfRule type="containsText" dxfId="245" priority="141" operator="containsText" text="AVG">
      <formula>NOT(ISERROR(SEARCH("AVG",T5)))</formula>
    </cfRule>
  </conditionalFormatting>
  <conditionalFormatting sqref="V5 V7:V12">
    <cfRule type="cellIs" dxfId="244" priority="140" operator="equal">
      <formula>"VWEAK"</formula>
    </cfRule>
  </conditionalFormatting>
  <conditionalFormatting sqref="V5 U7:V12">
    <cfRule type="containsText" dxfId="243" priority="139" operator="containsText" text="AVG">
      <formula>NOT(ISERROR(SEARCH("AVG",U5)))</formula>
    </cfRule>
  </conditionalFormatting>
  <conditionalFormatting sqref="V5 V7:V12">
    <cfRule type="containsText" dxfId="242" priority="138" operator="containsText" text="VSTRONG">
      <formula>NOT(ISERROR(SEARCH("VSTRONG",V5)))</formula>
    </cfRule>
  </conditionalFormatting>
  <conditionalFormatting sqref="T5:T12">
    <cfRule type="containsText" dxfId="241" priority="137" operator="containsText" text="AVG">
      <formula>NOT(ISERROR(SEARCH("AVG",T5)))</formula>
    </cfRule>
  </conditionalFormatting>
  <conditionalFormatting sqref="T5:T12">
    <cfRule type="cellIs" dxfId="240" priority="136" operator="equal">
      <formula>"STRONG"</formula>
    </cfRule>
  </conditionalFormatting>
  <conditionalFormatting sqref="T5:T12">
    <cfRule type="containsText" dxfId="239" priority="135" operator="containsText" text="VSTRONG">
      <formula>NOT(ISERROR(SEARCH("VSTRONG",T5)))</formula>
    </cfRule>
  </conditionalFormatting>
  <conditionalFormatting sqref="U5 U7:U12">
    <cfRule type="containsText" dxfId="238" priority="134" operator="containsText" text="STRONG">
      <formula>NOT(ISERROR(SEARCH("STRONG",U5)))</formula>
    </cfRule>
  </conditionalFormatting>
  <conditionalFormatting sqref="U5 U7:U12">
    <cfRule type="containsText" dxfId="237" priority="133" operator="containsText" text="VSTRONG">
      <formula>NOT(ISERROR(SEARCH("VSTRONG",U5)))</formula>
    </cfRule>
  </conditionalFormatting>
  <conditionalFormatting sqref="W5 W7:W12">
    <cfRule type="containsText" dxfId="236" priority="132" operator="containsText" text="FEMALE DOM">
      <formula>NOT(ISERROR(SEARCH("FEMALE DOM",W5)))</formula>
    </cfRule>
  </conditionalFormatting>
  <conditionalFormatting sqref="T5:T12">
    <cfRule type="containsText" dxfId="235" priority="131" operator="containsText" text="AVG">
      <formula>NOT(ISERROR(SEARCH("AVG",T5)))</formula>
    </cfRule>
  </conditionalFormatting>
  <conditionalFormatting sqref="V5 V7:V12">
    <cfRule type="cellIs" dxfId="234" priority="130" operator="equal">
      <formula>"VWEAK"</formula>
    </cfRule>
  </conditionalFormatting>
  <conditionalFormatting sqref="V5 U7:V12">
    <cfRule type="containsText" dxfId="233" priority="129" operator="containsText" text="AVG">
      <formula>NOT(ISERROR(SEARCH("AVG",U5)))</formula>
    </cfRule>
  </conditionalFormatting>
  <conditionalFormatting sqref="V5 V7:V12">
    <cfRule type="containsText" dxfId="232" priority="128" operator="containsText" text="VSTRONG">
      <formula>NOT(ISERROR(SEARCH("VSTRONG",V5)))</formula>
    </cfRule>
  </conditionalFormatting>
  <conditionalFormatting sqref="T5:T12">
    <cfRule type="containsText" dxfId="231" priority="127" operator="containsText" text="AVG">
      <formula>NOT(ISERROR(SEARCH("AVG",T5)))</formula>
    </cfRule>
  </conditionalFormatting>
  <conditionalFormatting sqref="T5:T12">
    <cfRule type="cellIs" dxfId="230" priority="126" operator="equal">
      <formula>"STRONG"</formula>
    </cfRule>
  </conditionalFormatting>
  <conditionalFormatting sqref="T5:T12">
    <cfRule type="containsText" dxfId="229" priority="125" operator="containsText" text="VSTRONG">
      <formula>NOT(ISERROR(SEARCH("VSTRONG",T5)))</formula>
    </cfRule>
  </conditionalFormatting>
  <conditionalFormatting sqref="U5 U7:U12">
    <cfRule type="containsText" dxfId="228" priority="124" operator="containsText" text="STRONG">
      <formula>NOT(ISERROR(SEARCH("STRONG",U5)))</formula>
    </cfRule>
  </conditionalFormatting>
  <conditionalFormatting sqref="U5 U7:U12">
    <cfRule type="containsText" dxfId="227" priority="123" operator="containsText" text="VSTRONG">
      <formula>NOT(ISERROR(SEARCH("VSTRONG",U5)))</formula>
    </cfRule>
  </conditionalFormatting>
  <conditionalFormatting sqref="W5 W7:W12">
    <cfRule type="containsText" dxfId="226" priority="122" operator="containsText" text="FEMALE DOM">
      <formula>NOT(ISERROR(SEARCH("FEMALE DOM",W5)))</formula>
    </cfRule>
  </conditionalFormatting>
  <conditionalFormatting sqref="T5:T12">
    <cfRule type="containsText" dxfId="225" priority="121" operator="containsText" text="AVG">
      <formula>NOT(ISERROR(SEARCH("AVG",T5)))</formula>
    </cfRule>
  </conditionalFormatting>
  <conditionalFormatting sqref="V5 V7:V12">
    <cfRule type="cellIs" dxfId="224" priority="120" operator="equal">
      <formula>"VWEAK"</formula>
    </cfRule>
  </conditionalFormatting>
  <conditionalFormatting sqref="V5 U7:V12">
    <cfRule type="containsText" dxfId="223" priority="119" operator="containsText" text="AVG">
      <formula>NOT(ISERROR(SEARCH("AVG",U5)))</formula>
    </cfRule>
  </conditionalFormatting>
  <conditionalFormatting sqref="V5 V7:V12">
    <cfRule type="containsText" dxfId="222" priority="118" operator="containsText" text="VSTRONG">
      <formula>NOT(ISERROR(SEARCH("VSTRONG",V5)))</formula>
    </cfRule>
  </conditionalFormatting>
  <conditionalFormatting sqref="W7:W12">
    <cfRule type="containsText" dxfId="221" priority="117" operator="containsText" text="MEN">
      <formula>NOT(ISERROR(SEARCH("MEN",W7)))</formula>
    </cfRule>
  </conditionalFormatting>
  <conditionalFormatting sqref="X7:X12">
    <cfRule type="containsText" dxfId="220" priority="116" operator="containsText" text="O">
      <formula>NOT(ISERROR(SEARCH("O",X7)))</formula>
    </cfRule>
  </conditionalFormatting>
  <conditionalFormatting sqref="X7:X12">
    <cfRule type="containsText" dxfId="219" priority="114" operator="containsText" text="H">
      <formula>NOT(ISERROR(SEARCH("H",X7)))</formula>
    </cfRule>
    <cfRule type="containsText" dxfId="218" priority="115" operator="containsText" text="H">
      <formula>NOT(ISERROR(SEARCH("H",X7)))</formula>
    </cfRule>
  </conditionalFormatting>
  <conditionalFormatting sqref="X7:X12">
    <cfRule type="containsText" dxfId="217" priority="113" operator="containsText" text="H">
      <formula>NOT(ISERROR(SEARCH("H",X7)))</formula>
    </cfRule>
  </conditionalFormatting>
  <conditionalFormatting sqref="W7:W12">
    <cfRule type="containsText" dxfId="216" priority="112" operator="containsText" text="MEN">
      <formula>NOT(ISERROR(SEARCH("MEN",W7)))</formula>
    </cfRule>
  </conditionalFormatting>
  <conditionalFormatting sqref="X7:X12">
    <cfRule type="containsText" dxfId="215" priority="111" operator="containsText" text="O">
      <formula>NOT(ISERROR(SEARCH("O",X7)))</formula>
    </cfRule>
  </conditionalFormatting>
  <conditionalFormatting sqref="X7:X12">
    <cfRule type="containsText" dxfId="214" priority="109" operator="containsText" text="H">
      <formula>NOT(ISERROR(SEARCH("H",X7)))</formula>
    </cfRule>
    <cfRule type="containsText" dxfId="213" priority="110" operator="containsText" text="H">
      <formula>NOT(ISERROR(SEARCH("H",X7)))</formula>
    </cfRule>
  </conditionalFormatting>
  <conditionalFormatting sqref="X7:X12">
    <cfRule type="containsText" dxfId="212" priority="108" operator="containsText" text="H">
      <formula>NOT(ISERROR(SEARCH("H",X7)))</formula>
    </cfRule>
  </conditionalFormatting>
  <conditionalFormatting sqref="W7:W12">
    <cfRule type="containsText" dxfId="211" priority="107" operator="containsText" text="MEN">
      <formula>NOT(ISERROR(SEARCH("MEN",W7)))</formula>
    </cfRule>
  </conditionalFormatting>
  <conditionalFormatting sqref="X7:X12">
    <cfRule type="containsText" dxfId="210" priority="106" operator="containsText" text="O">
      <formula>NOT(ISERROR(SEARCH("O",X7)))</formula>
    </cfRule>
  </conditionalFormatting>
  <conditionalFormatting sqref="X7:X12">
    <cfRule type="containsText" dxfId="209" priority="104" operator="containsText" text="H">
      <formula>NOT(ISERROR(SEARCH("H",X7)))</formula>
    </cfRule>
    <cfRule type="containsText" dxfId="208" priority="105" operator="containsText" text="H">
      <formula>NOT(ISERROR(SEARCH("H",X7)))</formula>
    </cfRule>
  </conditionalFormatting>
  <conditionalFormatting sqref="X7:X12">
    <cfRule type="containsText" dxfId="207" priority="103" operator="containsText" text="H">
      <formula>NOT(ISERROR(SEARCH("H",X7)))</formula>
    </cfRule>
  </conditionalFormatting>
  <conditionalFormatting sqref="T17:T20 T23">
    <cfRule type="containsText" dxfId="206" priority="102" operator="containsText" text="AVG">
      <formula>NOT(ISERROR(SEARCH("AVG",T17)))</formula>
    </cfRule>
  </conditionalFormatting>
  <conditionalFormatting sqref="T17:T20 T23">
    <cfRule type="cellIs" dxfId="205" priority="101" operator="equal">
      <formula>"STRONG"</formula>
    </cfRule>
  </conditionalFormatting>
  <conditionalFormatting sqref="T17:T20 T23">
    <cfRule type="containsText" dxfId="204" priority="100" operator="containsText" text="VSTRONG">
      <formula>NOT(ISERROR(SEARCH("VSTRONG",T17)))</formula>
    </cfRule>
  </conditionalFormatting>
  <conditionalFormatting sqref="U17:U19 U23">
    <cfRule type="containsText" dxfId="203" priority="99" operator="containsText" text="STRONG">
      <formula>NOT(ISERROR(SEARCH("STRONG",U17)))</formula>
    </cfRule>
  </conditionalFormatting>
  <conditionalFormatting sqref="U17:U19 U23">
    <cfRule type="containsText" dxfId="202" priority="98" operator="containsText" text="VSTRONG">
      <formula>NOT(ISERROR(SEARCH("VSTRONG",U17)))</formula>
    </cfRule>
  </conditionalFormatting>
  <conditionalFormatting sqref="W17:W19 W23">
    <cfRule type="containsText" dxfId="201" priority="97" operator="containsText" text="FEMALE DOM">
      <formula>NOT(ISERROR(SEARCH("FEMALE DOM",W17)))</formula>
    </cfRule>
  </conditionalFormatting>
  <conditionalFormatting sqref="T17:T20 T23">
    <cfRule type="containsText" dxfId="200" priority="96" operator="containsText" text="AVG">
      <formula>NOT(ISERROR(SEARCH("AVG",T17)))</formula>
    </cfRule>
  </conditionalFormatting>
  <conditionalFormatting sqref="V17:V19 V23">
    <cfRule type="cellIs" dxfId="199" priority="95" operator="equal">
      <formula>"VWEAK"</formula>
    </cfRule>
  </conditionalFormatting>
  <conditionalFormatting sqref="V17 U18:V18 V19 U23:V23">
    <cfRule type="containsText" dxfId="198" priority="94" operator="containsText" text="AVG">
      <formula>NOT(ISERROR(SEARCH("AVG",U17)))</formula>
    </cfRule>
  </conditionalFormatting>
  <conditionalFormatting sqref="V17:V19 V23">
    <cfRule type="containsText" dxfId="197" priority="93" operator="containsText" text="VSTRONG">
      <formula>NOT(ISERROR(SEARCH("VSTRONG",V17)))</formula>
    </cfRule>
  </conditionalFormatting>
  <conditionalFormatting sqref="T17:T20 T23">
    <cfRule type="containsText" dxfId="196" priority="92" operator="containsText" text="AVG">
      <formula>NOT(ISERROR(SEARCH("AVG",T17)))</formula>
    </cfRule>
  </conditionalFormatting>
  <conditionalFormatting sqref="T17:T20 T23">
    <cfRule type="cellIs" dxfId="195" priority="91" operator="equal">
      <formula>"STRONG"</formula>
    </cfRule>
  </conditionalFormatting>
  <conditionalFormatting sqref="T17:T20 T23">
    <cfRule type="containsText" dxfId="194" priority="90" operator="containsText" text="VSTRONG">
      <formula>NOT(ISERROR(SEARCH("VSTRONG",T17)))</formula>
    </cfRule>
  </conditionalFormatting>
  <conditionalFormatting sqref="U17:U19 U23">
    <cfRule type="containsText" dxfId="193" priority="89" operator="containsText" text="STRONG">
      <formula>NOT(ISERROR(SEARCH("STRONG",U17)))</formula>
    </cfRule>
  </conditionalFormatting>
  <conditionalFormatting sqref="U17:U19 U23">
    <cfRule type="containsText" dxfId="192" priority="88" operator="containsText" text="VSTRONG">
      <formula>NOT(ISERROR(SEARCH("VSTRONG",U17)))</formula>
    </cfRule>
  </conditionalFormatting>
  <conditionalFormatting sqref="W17:W19 W23">
    <cfRule type="containsText" dxfId="191" priority="87" operator="containsText" text="FEMALE DOM">
      <formula>NOT(ISERROR(SEARCH("FEMALE DOM",W17)))</formula>
    </cfRule>
  </conditionalFormatting>
  <conditionalFormatting sqref="T17:T20 T23">
    <cfRule type="containsText" dxfId="190" priority="86" operator="containsText" text="AVG">
      <formula>NOT(ISERROR(SEARCH("AVG",T17)))</formula>
    </cfRule>
  </conditionalFormatting>
  <conditionalFormatting sqref="V17:V19 V23">
    <cfRule type="cellIs" dxfId="189" priority="85" operator="equal">
      <formula>"VWEAK"</formula>
    </cfRule>
  </conditionalFormatting>
  <conditionalFormatting sqref="V17 U18:V18 V19 U23:V23">
    <cfRule type="containsText" dxfId="188" priority="84" operator="containsText" text="AVG">
      <formula>NOT(ISERROR(SEARCH("AVG",U17)))</formula>
    </cfRule>
  </conditionalFormatting>
  <conditionalFormatting sqref="V17:V19 V23">
    <cfRule type="containsText" dxfId="187" priority="83" operator="containsText" text="VSTRONG">
      <formula>NOT(ISERROR(SEARCH("VSTRONG",V17)))</formula>
    </cfRule>
  </conditionalFormatting>
  <conditionalFormatting sqref="T17:T20 T23">
    <cfRule type="containsText" dxfId="186" priority="82" operator="containsText" text="AVG">
      <formula>NOT(ISERROR(SEARCH("AVG",T17)))</formula>
    </cfRule>
  </conditionalFormatting>
  <conditionalFormatting sqref="T17:T20 T23">
    <cfRule type="cellIs" dxfId="185" priority="81" operator="equal">
      <formula>"STRONG"</formula>
    </cfRule>
  </conditionalFormatting>
  <conditionalFormatting sqref="T17:T20 T23">
    <cfRule type="containsText" dxfId="184" priority="80" operator="containsText" text="VSTRONG">
      <formula>NOT(ISERROR(SEARCH("VSTRONG",T17)))</formula>
    </cfRule>
  </conditionalFormatting>
  <conditionalFormatting sqref="U17:U19 U23">
    <cfRule type="containsText" dxfId="183" priority="79" operator="containsText" text="STRONG">
      <formula>NOT(ISERROR(SEARCH("STRONG",U17)))</formula>
    </cfRule>
  </conditionalFormatting>
  <conditionalFormatting sqref="U17:U19 U23">
    <cfRule type="containsText" dxfId="182" priority="78" operator="containsText" text="VSTRONG">
      <formula>NOT(ISERROR(SEARCH("VSTRONG",U17)))</formula>
    </cfRule>
  </conditionalFormatting>
  <conditionalFormatting sqref="W17:W19 W23">
    <cfRule type="containsText" dxfId="181" priority="77" operator="containsText" text="FEMALE DOM">
      <formula>NOT(ISERROR(SEARCH("FEMALE DOM",W17)))</formula>
    </cfRule>
  </conditionalFormatting>
  <conditionalFormatting sqref="T17:T20 T23">
    <cfRule type="containsText" dxfId="180" priority="76" operator="containsText" text="AVG">
      <formula>NOT(ISERROR(SEARCH("AVG",T17)))</formula>
    </cfRule>
  </conditionalFormatting>
  <conditionalFormatting sqref="V17:V19 V23">
    <cfRule type="cellIs" dxfId="179" priority="75" operator="equal">
      <formula>"VWEAK"</formula>
    </cfRule>
  </conditionalFormatting>
  <conditionalFormatting sqref="V17 U18:V18 V19 U23:V23">
    <cfRule type="containsText" dxfId="178" priority="74" operator="containsText" text="AVG">
      <formula>NOT(ISERROR(SEARCH("AVG",U17)))</formula>
    </cfRule>
  </conditionalFormatting>
  <conditionalFormatting sqref="V17:V19 V23">
    <cfRule type="containsText" dxfId="177" priority="73" operator="containsText" text="VSTRONG">
      <formula>NOT(ISERROR(SEARCH("VSTRONG",V17)))</formula>
    </cfRule>
  </conditionalFormatting>
  <conditionalFormatting sqref="W18 W23">
    <cfRule type="containsText" dxfId="176" priority="72" operator="containsText" text="MEN">
      <formula>NOT(ISERROR(SEARCH("MEN",W18)))</formula>
    </cfRule>
  </conditionalFormatting>
  <conditionalFormatting sqref="W18 W23">
    <cfRule type="containsText" dxfId="175" priority="71" operator="containsText" text="MEN">
      <formula>NOT(ISERROR(SEARCH("MEN",W18)))</formula>
    </cfRule>
  </conditionalFormatting>
  <conditionalFormatting sqref="W18 W23">
    <cfRule type="containsText" dxfId="174" priority="70" operator="containsText" text="MEN">
      <formula>NOT(ISERROR(SEARCH("MEN",W18)))</formula>
    </cfRule>
  </conditionalFormatting>
  <conditionalFormatting sqref="X23">
    <cfRule type="containsText" dxfId="173" priority="69" operator="containsText" text="O">
      <formula>NOT(ISERROR(SEARCH("O",X23)))</formula>
    </cfRule>
  </conditionalFormatting>
  <conditionalFormatting sqref="X23">
    <cfRule type="containsText" dxfId="172" priority="67" operator="containsText" text="H">
      <formula>NOT(ISERROR(SEARCH("H",X23)))</formula>
    </cfRule>
    <cfRule type="containsText" dxfId="171" priority="68" operator="containsText" text="H">
      <formula>NOT(ISERROR(SEARCH("H",X23)))</formula>
    </cfRule>
  </conditionalFormatting>
  <conditionalFormatting sqref="X23">
    <cfRule type="containsText" dxfId="170" priority="66" operator="containsText" text="H">
      <formula>NOT(ISERROR(SEARCH("H",X23)))</formula>
    </cfRule>
  </conditionalFormatting>
  <conditionalFormatting sqref="X23">
    <cfRule type="containsText" dxfId="169" priority="65" operator="containsText" text="O">
      <formula>NOT(ISERROR(SEARCH("O",X23)))</formula>
    </cfRule>
  </conditionalFormatting>
  <conditionalFormatting sqref="X23">
    <cfRule type="containsText" dxfId="168" priority="63" operator="containsText" text="H">
      <formula>NOT(ISERROR(SEARCH("H",X23)))</formula>
    </cfRule>
    <cfRule type="containsText" dxfId="167" priority="64" operator="containsText" text="H">
      <formula>NOT(ISERROR(SEARCH("H",X23)))</formula>
    </cfRule>
  </conditionalFormatting>
  <conditionalFormatting sqref="X23">
    <cfRule type="containsText" dxfId="166" priority="62" operator="containsText" text="H">
      <formula>NOT(ISERROR(SEARCH("H",X23)))</formula>
    </cfRule>
  </conditionalFormatting>
  <conditionalFormatting sqref="X23">
    <cfRule type="containsText" dxfId="165" priority="61" operator="containsText" text="O">
      <formula>NOT(ISERROR(SEARCH("O",X23)))</formula>
    </cfRule>
  </conditionalFormatting>
  <conditionalFormatting sqref="X23">
    <cfRule type="containsText" dxfId="164" priority="59" operator="containsText" text="H">
      <formula>NOT(ISERROR(SEARCH("H",X23)))</formula>
    </cfRule>
    <cfRule type="containsText" dxfId="163" priority="60" operator="containsText" text="H">
      <formula>NOT(ISERROR(SEARCH("H",X23)))</formula>
    </cfRule>
  </conditionalFormatting>
  <conditionalFormatting sqref="X23">
    <cfRule type="containsText" dxfId="162" priority="58" operator="containsText" text="H">
      <formula>NOT(ISERROR(SEARCH("H",X23)))</formula>
    </cfRule>
  </conditionalFormatting>
  <conditionalFormatting sqref="T28">
    <cfRule type="containsText" dxfId="161" priority="57" operator="containsText" text="AVG">
      <formula>NOT(ISERROR(SEARCH("AVG",T28)))</formula>
    </cfRule>
  </conditionalFormatting>
  <conditionalFormatting sqref="T28">
    <cfRule type="cellIs" dxfId="160" priority="56" operator="equal">
      <formula>"STRONG"</formula>
    </cfRule>
  </conditionalFormatting>
  <conditionalFormatting sqref="T28">
    <cfRule type="containsText" dxfId="159" priority="55" operator="containsText" text="VSTRONG">
      <formula>NOT(ISERROR(SEARCH("VSTRONG",T28)))</formula>
    </cfRule>
  </conditionalFormatting>
  <conditionalFormatting sqref="U28">
    <cfRule type="containsText" dxfId="158" priority="54" operator="containsText" text="STRONG">
      <formula>NOT(ISERROR(SEARCH("STRONG",U28)))</formula>
    </cfRule>
  </conditionalFormatting>
  <conditionalFormatting sqref="U28">
    <cfRule type="containsText" dxfId="157" priority="53" operator="containsText" text="VSTRONG">
      <formula>NOT(ISERROR(SEARCH("VSTRONG",U28)))</formula>
    </cfRule>
  </conditionalFormatting>
  <conditionalFormatting sqref="W28">
    <cfRule type="containsText" dxfId="156" priority="52" operator="containsText" text="FEMALE DOM">
      <formula>NOT(ISERROR(SEARCH("FEMALE DOM",W28)))</formula>
    </cfRule>
  </conditionalFormatting>
  <conditionalFormatting sqref="T28">
    <cfRule type="containsText" dxfId="155" priority="51" operator="containsText" text="AVG">
      <formula>NOT(ISERROR(SEARCH("AVG",T28)))</formula>
    </cfRule>
  </conditionalFormatting>
  <conditionalFormatting sqref="V28">
    <cfRule type="cellIs" dxfId="154" priority="50" operator="equal">
      <formula>"VWEAK"</formula>
    </cfRule>
  </conditionalFormatting>
  <conditionalFormatting sqref="U28:V28">
    <cfRule type="containsText" dxfId="153" priority="49" operator="containsText" text="AVG">
      <formula>NOT(ISERROR(SEARCH("AVG",U28)))</formula>
    </cfRule>
  </conditionalFormatting>
  <conditionalFormatting sqref="V28">
    <cfRule type="containsText" dxfId="152" priority="48" operator="containsText" text="VSTRONG">
      <formula>NOT(ISERROR(SEARCH("VSTRONG",V28)))</formula>
    </cfRule>
  </conditionalFormatting>
  <conditionalFormatting sqref="W28">
    <cfRule type="containsText" dxfId="151" priority="47" operator="containsText" text="MEN">
      <formula>NOT(ISERROR(SEARCH("MEN",W28)))</formula>
    </cfRule>
  </conditionalFormatting>
  <conditionalFormatting sqref="X28">
    <cfRule type="containsText" dxfId="150" priority="46" operator="containsText" text="O">
      <formula>NOT(ISERROR(SEARCH("O",X28)))</formula>
    </cfRule>
  </conditionalFormatting>
  <conditionalFormatting sqref="X28">
    <cfRule type="containsText" dxfId="149" priority="44" operator="containsText" text="H">
      <formula>NOT(ISERROR(SEARCH("H",X28)))</formula>
    </cfRule>
    <cfRule type="containsText" dxfId="148" priority="45" operator="containsText" text="H">
      <formula>NOT(ISERROR(SEARCH("H",X28)))</formula>
    </cfRule>
  </conditionalFormatting>
  <conditionalFormatting sqref="X28">
    <cfRule type="containsText" dxfId="147" priority="43" operator="containsText" text="H">
      <formula>NOT(ISERROR(SEARCH("H",X28)))</formula>
    </cfRule>
  </conditionalFormatting>
  <conditionalFormatting sqref="T28">
    <cfRule type="containsText" dxfId="146" priority="42" operator="containsText" text="AVG">
      <formula>NOT(ISERROR(SEARCH("AVG",T28)))</formula>
    </cfRule>
  </conditionalFormatting>
  <conditionalFormatting sqref="T28">
    <cfRule type="cellIs" dxfId="145" priority="41" operator="equal">
      <formula>"STRONG"</formula>
    </cfRule>
  </conditionalFormatting>
  <conditionalFormatting sqref="T28">
    <cfRule type="containsText" dxfId="144" priority="40" operator="containsText" text="VSTRONG">
      <formula>NOT(ISERROR(SEARCH("VSTRONG",T28)))</formula>
    </cfRule>
  </conditionalFormatting>
  <conditionalFormatting sqref="U28">
    <cfRule type="containsText" dxfId="143" priority="39" operator="containsText" text="STRONG">
      <formula>NOT(ISERROR(SEARCH("STRONG",U28)))</formula>
    </cfRule>
  </conditionalFormatting>
  <conditionalFormatting sqref="U28">
    <cfRule type="containsText" dxfId="142" priority="38" operator="containsText" text="VSTRONG">
      <formula>NOT(ISERROR(SEARCH("VSTRONG",U28)))</formula>
    </cfRule>
  </conditionalFormatting>
  <conditionalFormatting sqref="W28">
    <cfRule type="containsText" dxfId="141" priority="37" operator="containsText" text="FEMALE DOM">
      <formula>NOT(ISERROR(SEARCH("FEMALE DOM",W28)))</formula>
    </cfRule>
  </conditionalFormatting>
  <conditionalFormatting sqref="T28">
    <cfRule type="containsText" dxfId="140" priority="36" operator="containsText" text="AVG">
      <formula>NOT(ISERROR(SEARCH("AVG",T28)))</formula>
    </cfRule>
  </conditionalFormatting>
  <conditionalFormatting sqref="V28">
    <cfRule type="cellIs" dxfId="139" priority="35" operator="equal">
      <formula>"VWEAK"</formula>
    </cfRule>
  </conditionalFormatting>
  <conditionalFormatting sqref="U28:V28">
    <cfRule type="containsText" dxfId="138" priority="34" operator="containsText" text="AVG">
      <formula>NOT(ISERROR(SEARCH("AVG",U28)))</formula>
    </cfRule>
  </conditionalFormatting>
  <conditionalFormatting sqref="V28">
    <cfRule type="containsText" dxfId="137" priority="33" operator="containsText" text="VSTRONG">
      <formula>NOT(ISERROR(SEARCH("VSTRONG",V28)))</formula>
    </cfRule>
  </conditionalFormatting>
  <conditionalFormatting sqref="W28">
    <cfRule type="containsText" dxfId="136" priority="32" operator="containsText" text="MEN">
      <formula>NOT(ISERROR(SEARCH("MEN",W28)))</formula>
    </cfRule>
  </conditionalFormatting>
  <conditionalFormatting sqref="X28">
    <cfRule type="containsText" dxfId="135" priority="31" operator="containsText" text="O">
      <formula>NOT(ISERROR(SEARCH("O",X28)))</formula>
    </cfRule>
  </conditionalFormatting>
  <conditionalFormatting sqref="X28">
    <cfRule type="containsText" dxfId="134" priority="29" operator="containsText" text="H">
      <formula>NOT(ISERROR(SEARCH("H",X28)))</formula>
    </cfRule>
    <cfRule type="containsText" dxfId="133" priority="30" operator="containsText" text="H">
      <formula>NOT(ISERROR(SEARCH("H",X28)))</formula>
    </cfRule>
  </conditionalFormatting>
  <conditionalFormatting sqref="X28">
    <cfRule type="containsText" dxfId="132" priority="28" operator="containsText" text="H">
      <formula>NOT(ISERROR(SEARCH("H",X28)))</formula>
    </cfRule>
  </conditionalFormatting>
  <conditionalFormatting sqref="T28">
    <cfRule type="containsText" dxfId="131" priority="27" operator="containsText" text="AVG">
      <formula>NOT(ISERROR(SEARCH("AVG",T28)))</formula>
    </cfRule>
  </conditionalFormatting>
  <conditionalFormatting sqref="T28">
    <cfRule type="cellIs" dxfId="130" priority="26" operator="equal">
      <formula>"STRONG"</formula>
    </cfRule>
  </conditionalFormatting>
  <conditionalFormatting sqref="T28">
    <cfRule type="containsText" dxfId="129" priority="25" operator="containsText" text="VSTRONG">
      <formula>NOT(ISERROR(SEARCH("VSTRONG",T28)))</formula>
    </cfRule>
  </conditionalFormatting>
  <conditionalFormatting sqref="U28">
    <cfRule type="containsText" dxfId="128" priority="24" operator="containsText" text="STRONG">
      <formula>NOT(ISERROR(SEARCH("STRONG",U28)))</formula>
    </cfRule>
  </conditionalFormatting>
  <conditionalFormatting sqref="U28">
    <cfRule type="containsText" dxfId="127" priority="23" operator="containsText" text="VSTRONG">
      <formula>NOT(ISERROR(SEARCH("VSTRONG",U28)))</formula>
    </cfRule>
  </conditionalFormatting>
  <conditionalFormatting sqref="W28">
    <cfRule type="containsText" dxfId="126" priority="22" operator="containsText" text="FEMALE DOM">
      <formula>NOT(ISERROR(SEARCH("FEMALE DOM",W28)))</formula>
    </cfRule>
  </conditionalFormatting>
  <conditionalFormatting sqref="T28">
    <cfRule type="containsText" dxfId="125" priority="21" operator="containsText" text="AVG">
      <formula>NOT(ISERROR(SEARCH("AVG",T28)))</formula>
    </cfRule>
  </conditionalFormatting>
  <conditionalFormatting sqref="V28">
    <cfRule type="cellIs" dxfId="124" priority="20" operator="equal">
      <formula>"VWEAK"</formula>
    </cfRule>
  </conditionalFormatting>
  <conditionalFormatting sqref="U28:V28">
    <cfRule type="containsText" dxfId="123" priority="19" operator="containsText" text="AVG">
      <formula>NOT(ISERROR(SEARCH("AVG",U28)))</formula>
    </cfRule>
  </conditionalFormatting>
  <conditionalFormatting sqref="V28">
    <cfRule type="containsText" dxfId="122" priority="18" operator="containsText" text="VSTRONG">
      <formula>NOT(ISERROR(SEARCH("VSTRONG",V28)))</formula>
    </cfRule>
  </conditionalFormatting>
  <conditionalFormatting sqref="W28">
    <cfRule type="containsText" dxfId="121" priority="17" operator="containsText" text="MEN">
      <formula>NOT(ISERROR(SEARCH("MEN",W28)))</formula>
    </cfRule>
  </conditionalFormatting>
  <conditionalFormatting sqref="X28">
    <cfRule type="containsText" dxfId="120" priority="16" operator="containsText" text="O">
      <formula>NOT(ISERROR(SEARCH("O",X28)))</formula>
    </cfRule>
  </conditionalFormatting>
  <conditionalFormatting sqref="X28">
    <cfRule type="containsText" dxfId="119" priority="14" operator="containsText" text="H">
      <formula>NOT(ISERROR(SEARCH("H",X28)))</formula>
    </cfRule>
    <cfRule type="containsText" dxfId="118" priority="15" operator="containsText" text="H">
      <formula>NOT(ISERROR(SEARCH("H",X28)))</formula>
    </cfRule>
  </conditionalFormatting>
  <conditionalFormatting sqref="X28">
    <cfRule type="containsText" dxfId="117" priority="13" operator="containsText" text="H">
      <formula>NOT(ISERROR(SEARCH("H",X28)))</formula>
    </cfRule>
  </conditionalFormatting>
  <conditionalFormatting sqref="T32:T33">
    <cfRule type="containsText" dxfId="116" priority="12" operator="containsText" text="AVG">
      <formula>NOT(ISERROR(SEARCH("AVG",T32)))</formula>
    </cfRule>
  </conditionalFormatting>
  <conditionalFormatting sqref="T32:T33">
    <cfRule type="cellIs" dxfId="115" priority="11" operator="equal">
      <formula>"STRONG"</formula>
    </cfRule>
  </conditionalFormatting>
  <conditionalFormatting sqref="T32:T33">
    <cfRule type="containsText" dxfId="114" priority="10" operator="containsText" text="VSTRONG">
      <formula>NOT(ISERROR(SEARCH("VSTRONG",T32)))</formula>
    </cfRule>
  </conditionalFormatting>
  <conditionalFormatting sqref="T32:T33">
    <cfRule type="containsText" dxfId="113" priority="9" operator="containsText" text="AVG">
      <formula>NOT(ISERROR(SEARCH("AVG",T32)))</formula>
    </cfRule>
  </conditionalFormatting>
  <conditionalFormatting sqref="T32:T33">
    <cfRule type="containsText" dxfId="112" priority="8" operator="containsText" text="AVG">
      <formula>NOT(ISERROR(SEARCH("AVG",T32)))</formula>
    </cfRule>
  </conditionalFormatting>
  <conditionalFormatting sqref="T32:T33">
    <cfRule type="cellIs" dxfId="111" priority="7" operator="equal">
      <formula>"STRONG"</formula>
    </cfRule>
  </conditionalFormatting>
  <conditionalFormatting sqref="T32:T33">
    <cfRule type="containsText" dxfId="110" priority="6" operator="containsText" text="VSTRONG">
      <formula>NOT(ISERROR(SEARCH("VSTRONG",T32)))</formula>
    </cfRule>
  </conditionalFormatting>
  <conditionalFormatting sqref="T32:T33">
    <cfRule type="containsText" dxfId="109" priority="5" operator="containsText" text="AVG">
      <formula>NOT(ISERROR(SEARCH("AVG",T32)))</formula>
    </cfRule>
  </conditionalFormatting>
  <conditionalFormatting sqref="T32:T33">
    <cfRule type="containsText" dxfId="108" priority="4" operator="containsText" text="AVG">
      <formula>NOT(ISERROR(SEARCH("AVG",T32)))</formula>
    </cfRule>
  </conditionalFormatting>
  <conditionalFormatting sqref="T32:T33">
    <cfRule type="cellIs" dxfId="107" priority="3" operator="equal">
      <formula>"STRONG"</formula>
    </cfRule>
  </conditionalFormatting>
  <conditionalFormatting sqref="T32:T33">
    <cfRule type="containsText" dxfId="106" priority="2" operator="containsText" text="VSTRONG">
      <formula>NOT(ISERROR(SEARCH("VSTRONG",T32)))</formula>
    </cfRule>
  </conditionalFormatting>
  <conditionalFormatting sqref="T32:T33">
    <cfRule type="containsText" dxfId="105" priority="1" operator="containsText" text="AVG">
      <formula>NOT(ISERROR(SEARCH("AVG",T32)))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3"/>
  <sheetViews>
    <sheetView tabSelected="1" workbookViewId="0">
      <selection activeCell="E11" sqref="E11"/>
    </sheetView>
  </sheetViews>
  <sheetFormatPr defaultRowHeight="15"/>
  <cols>
    <col min="1" max="1" width="9.140625" style="19"/>
    <col min="2" max="2" width="10.5703125" style="19" bestFit="1" customWidth="1"/>
    <col min="3" max="3" width="13.28515625" style="19" bestFit="1" customWidth="1"/>
    <col min="4" max="4" width="9.140625" style="19"/>
    <col min="5" max="5" width="32.7109375" style="19" bestFit="1" customWidth="1"/>
    <col min="6" max="6" width="13.7109375" style="19" bestFit="1" customWidth="1"/>
    <col min="7" max="7" width="9.140625" style="19"/>
    <col min="8" max="9" width="12" style="19" bestFit="1" customWidth="1"/>
    <col min="10" max="12" width="9.140625" style="19"/>
    <col min="13" max="14" width="12" style="19" bestFit="1" customWidth="1"/>
    <col min="15" max="15" width="8.5703125" style="19" bestFit="1" customWidth="1"/>
    <col min="16" max="17" width="9.140625" style="19"/>
    <col min="18" max="19" width="12" style="19" bestFit="1" customWidth="1"/>
    <col min="20" max="20" width="8.42578125" style="19" bestFit="1" customWidth="1"/>
    <col min="21" max="22" width="10.42578125" style="19" bestFit="1" customWidth="1"/>
    <col min="23" max="23" width="12.7109375" style="19" bestFit="1" customWidth="1"/>
    <col min="24" max="24" width="9.140625" style="19"/>
    <col min="25" max="25" width="15.5703125" style="19" bestFit="1" customWidth="1"/>
    <col min="26" max="26" width="9.140625" style="19"/>
    <col min="27" max="27" width="16.85546875" style="19" bestFit="1" customWidth="1"/>
    <col min="28" max="16384" width="9.140625" style="19"/>
  </cols>
  <sheetData>
    <row r="1" spans="1:27" ht="28.5">
      <c r="A1" s="65" t="s">
        <v>128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26.25">
      <c r="A2" s="66" t="s">
        <v>110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>
      <c r="A3" s="41" t="s">
        <v>0</v>
      </c>
      <c r="B3" s="41" t="s">
        <v>1</v>
      </c>
      <c r="C3" s="41" t="s">
        <v>2</v>
      </c>
      <c r="D3" s="39" t="s">
        <v>3</v>
      </c>
      <c r="E3" s="41" t="s">
        <v>4</v>
      </c>
      <c r="F3" s="41" t="s">
        <v>5</v>
      </c>
      <c r="G3" s="41" t="s">
        <v>5</v>
      </c>
      <c r="H3" s="41"/>
      <c r="I3" s="41"/>
      <c r="J3" s="64" t="s">
        <v>6</v>
      </c>
      <c r="K3" s="64"/>
      <c r="L3" s="64"/>
      <c r="M3" s="64"/>
      <c r="N3" s="64"/>
      <c r="O3" s="67" t="s">
        <v>7</v>
      </c>
      <c r="P3" s="67"/>
      <c r="Q3" s="67"/>
      <c r="R3" s="67"/>
      <c r="S3" s="67"/>
      <c r="T3" s="67">
        <v>2018</v>
      </c>
      <c r="U3" s="67"/>
      <c r="V3" s="67"/>
      <c r="W3" s="67"/>
      <c r="X3" s="67"/>
      <c r="Y3" s="39" t="s">
        <v>8</v>
      </c>
      <c r="Z3" s="39" t="s">
        <v>9</v>
      </c>
      <c r="AA3" s="39" t="s">
        <v>10</v>
      </c>
    </row>
    <row r="4" spans="1:27" ht="90">
      <c r="A4" s="41"/>
      <c r="B4" s="41"/>
      <c r="C4" s="41"/>
      <c r="D4" s="39"/>
      <c r="E4" s="41"/>
      <c r="F4" s="41"/>
      <c r="G4" s="21" t="s">
        <v>11</v>
      </c>
      <c r="H4" s="21" t="s">
        <v>12</v>
      </c>
      <c r="I4" s="21" t="s">
        <v>13</v>
      </c>
      <c r="J4" s="21" t="s">
        <v>14</v>
      </c>
      <c r="K4" s="21" t="s">
        <v>11</v>
      </c>
      <c r="L4" s="21" t="s">
        <v>15</v>
      </c>
      <c r="M4" s="21" t="s">
        <v>12</v>
      </c>
      <c r="N4" s="21" t="s">
        <v>13</v>
      </c>
      <c r="O4" s="21" t="s">
        <v>16</v>
      </c>
      <c r="P4" s="21" t="s">
        <v>11</v>
      </c>
      <c r="Q4" s="21" t="s">
        <v>15</v>
      </c>
      <c r="R4" s="21" t="s">
        <v>12</v>
      </c>
      <c r="S4" s="21" t="s">
        <v>13</v>
      </c>
      <c r="T4" s="21" t="s">
        <v>17</v>
      </c>
      <c r="U4" s="21" t="s">
        <v>18</v>
      </c>
      <c r="V4" s="21" t="s">
        <v>19</v>
      </c>
      <c r="W4" s="21" t="s">
        <v>20</v>
      </c>
      <c r="X4" s="21" t="s">
        <v>21</v>
      </c>
      <c r="Y4" s="39"/>
      <c r="Z4" s="39"/>
      <c r="AA4" s="39"/>
    </row>
    <row r="5" spans="1:27">
      <c r="A5" s="1">
        <v>9</v>
      </c>
      <c r="B5" s="1">
        <v>31</v>
      </c>
      <c r="C5" s="2" t="s">
        <v>47</v>
      </c>
      <c r="D5" s="1">
        <v>6</v>
      </c>
      <c r="E5" s="9" t="s">
        <v>48</v>
      </c>
      <c r="F5" s="1">
        <v>11524</v>
      </c>
      <c r="G5" s="10">
        <v>480.16666666666663</v>
      </c>
      <c r="H5" s="10">
        <v>93.192453199458868</v>
      </c>
      <c r="I5" s="10">
        <v>8684.8333333333321</v>
      </c>
      <c r="J5" s="11">
        <v>5362</v>
      </c>
      <c r="K5" s="10">
        <v>223.41666666666669</v>
      </c>
      <c r="L5" s="3">
        <v>46.528982992016672</v>
      </c>
      <c r="M5" s="10">
        <v>53.39358575709258</v>
      </c>
      <c r="N5" s="10">
        <v>2850.875</v>
      </c>
      <c r="O5" s="11">
        <v>5646</v>
      </c>
      <c r="P5" s="10">
        <v>235.25</v>
      </c>
      <c r="Q5" s="3">
        <v>48.993405067684833</v>
      </c>
      <c r="R5" s="10">
        <v>40.583761120264185</v>
      </c>
      <c r="S5" s="10">
        <v>1647.0416666666667</v>
      </c>
      <c r="T5" s="1" t="s">
        <v>31</v>
      </c>
      <c r="U5" s="22" t="s">
        <v>31</v>
      </c>
      <c r="V5" s="1" t="s">
        <v>26</v>
      </c>
      <c r="W5" s="8" t="s">
        <v>27</v>
      </c>
      <c r="X5" s="22" t="s">
        <v>28</v>
      </c>
      <c r="Y5" s="22" t="s">
        <v>129</v>
      </c>
      <c r="Z5" s="5">
        <v>2.4644220756681605</v>
      </c>
      <c r="AA5" s="24" t="s">
        <v>121</v>
      </c>
    </row>
    <row r="6" spans="1:27">
      <c r="A6" s="1">
        <v>13</v>
      </c>
      <c r="B6" s="1">
        <v>35</v>
      </c>
      <c r="C6" s="2" t="s">
        <v>56</v>
      </c>
      <c r="D6" s="1">
        <v>7</v>
      </c>
      <c r="E6" s="9" t="s">
        <v>57</v>
      </c>
      <c r="F6" s="1">
        <v>15716</v>
      </c>
      <c r="G6" s="3">
        <v>561.28571428571433</v>
      </c>
      <c r="H6" s="3">
        <v>93.706010087563811</v>
      </c>
      <c r="I6" s="3">
        <v>8780.8163265306121</v>
      </c>
      <c r="J6" s="4">
        <v>7034</v>
      </c>
      <c r="K6" s="3">
        <v>251.21428571428572</v>
      </c>
      <c r="L6" s="3">
        <v>44.756935607024687</v>
      </c>
      <c r="M6" s="3">
        <v>73.336448604207391</v>
      </c>
      <c r="N6" s="3">
        <v>5378.2346938775518</v>
      </c>
      <c r="O6" s="4">
        <v>8010</v>
      </c>
      <c r="P6" s="3">
        <v>286.07142857142856</v>
      </c>
      <c r="Q6" s="3">
        <v>50.967167218121659</v>
      </c>
      <c r="R6" s="3">
        <v>86.463334213210317</v>
      </c>
      <c r="S6" s="3">
        <v>7475.908163265306</v>
      </c>
      <c r="T6" s="12" t="s">
        <v>31</v>
      </c>
      <c r="U6" s="22" t="s">
        <v>26</v>
      </c>
      <c r="V6" s="1" t="s">
        <v>25</v>
      </c>
      <c r="W6" s="8" t="s">
        <v>27</v>
      </c>
      <c r="X6" s="1" t="e">
        <v>#DIV/0!</v>
      </c>
      <c r="Y6" s="22" t="s">
        <v>129</v>
      </c>
      <c r="Z6" s="5">
        <v>6.2102316110969724</v>
      </c>
      <c r="AA6" s="24" t="s">
        <v>121</v>
      </c>
    </row>
    <row r="7" spans="1:27">
      <c r="A7" s="1">
        <v>15</v>
      </c>
      <c r="B7" s="1">
        <v>37</v>
      </c>
      <c r="C7" s="2" t="s">
        <v>60</v>
      </c>
      <c r="D7" s="1">
        <v>6</v>
      </c>
      <c r="E7" s="9" t="s">
        <v>61</v>
      </c>
      <c r="F7" s="1">
        <v>12107</v>
      </c>
      <c r="G7" s="10">
        <v>504.45833333333337</v>
      </c>
      <c r="H7" s="10">
        <v>131.75600871813526</v>
      </c>
      <c r="I7" s="10">
        <v>17359.645833333332</v>
      </c>
      <c r="J7" s="11">
        <v>5603</v>
      </c>
      <c r="K7" s="10">
        <v>233.45833333333334</v>
      </c>
      <c r="L7" s="3">
        <v>46.279012141736189</v>
      </c>
      <c r="M7" s="10">
        <v>83.425740432235102</v>
      </c>
      <c r="N7" s="10">
        <v>6959.854166666667</v>
      </c>
      <c r="O7" s="11">
        <v>5986</v>
      </c>
      <c r="P7" s="10">
        <v>249.41666666666669</v>
      </c>
      <c r="Q7" s="3">
        <v>49.442471297596427</v>
      </c>
      <c r="R7" s="10">
        <v>97.300294050029578</v>
      </c>
      <c r="S7" s="10">
        <v>9467.3472222222226</v>
      </c>
      <c r="T7" s="1" t="s">
        <v>24</v>
      </c>
      <c r="U7" s="22" t="s">
        <v>24</v>
      </c>
      <c r="V7" s="1" t="s">
        <v>26</v>
      </c>
      <c r="W7" s="1" t="s">
        <v>27</v>
      </c>
      <c r="X7" s="1" t="s">
        <v>38</v>
      </c>
      <c r="Y7" s="22" t="s">
        <v>129</v>
      </c>
      <c r="Z7" s="5">
        <v>3.1634591558602381</v>
      </c>
      <c r="AA7" s="24" t="s">
        <v>121</v>
      </c>
    </row>
    <row r="8" spans="1:27">
      <c r="A8" s="1">
        <v>22</v>
      </c>
      <c r="B8" s="1">
        <v>44</v>
      </c>
      <c r="C8" s="1" t="s">
        <v>74</v>
      </c>
      <c r="D8" s="1">
        <v>6</v>
      </c>
      <c r="E8" s="1" t="s">
        <v>75</v>
      </c>
      <c r="F8" s="1">
        <v>9828</v>
      </c>
      <c r="G8" s="3">
        <v>409.5</v>
      </c>
      <c r="H8" s="3">
        <v>113.08496068590789</v>
      </c>
      <c r="I8" s="3">
        <v>12788.208333333332</v>
      </c>
      <c r="J8" s="4">
        <v>4220</v>
      </c>
      <c r="K8" s="3">
        <v>175.83333333333331</v>
      </c>
      <c r="L8" s="3">
        <v>42.938542938542938</v>
      </c>
      <c r="M8" s="3">
        <v>115.10279222407151</v>
      </c>
      <c r="N8" s="3">
        <v>13248.652777777777</v>
      </c>
      <c r="O8" s="4">
        <v>5139</v>
      </c>
      <c r="P8" s="3">
        <v>214.125</v>
      </c>
      <c r="Q8" s="3">
        <v>52.289377289377292</v>
      </c>
      <c r="R8" s="3">
        <v>138.91266740893957</v>
      </c>
      <c r="S8" s="3">
        <v>19296.729166666664</v>
      </c>
      <c r="T8" s="1" t="s">
        <v>31</v>
      </c>
      <c r="U8" s="22" t="s">
        <v>55</v>
      </c>
      <c r="V8" s="1" t="s">
        <v>26</v>
      </c>
      <c r="W8" s="1" t="s">
        <v>41</v>
      </c>
      <c r="X8" s="1" t="s">
        <v>38</v>
      </c>
      <c r="Y8" s="22" t="s">
        <v>129</v>
      </c>
      <c r="Z8" s="5">
        <v>9.3508343508343543</v>
      </c>
      <c r="AA8" s="24" t="s">
        <v>121</v>
      </c>
    </row>
    <row r="9" spans="1:27">
      <c r="A9" s="1">
        <v>30</v>
      </c>
      <c r="B9" s="1">
        <v>52</v>
      </c>
      <c r="C9" s="1" t="s">
        <v>90</v>
      </c>
      <c r="D9" s="1">
        <v>6</v>
      </c>
      <c r="E9" s="1" t="s">
        <v>91</v>
      </c>
      <c r="F9" s="1">
        <v>13851</v>
      </c>
      <c r="G9" s="10">
        <v>577.125</v>
      </c>
      <c r="H9" s="10">
        <v>131.41275623013163</v>
      </c>
      <c r="I9" s="10">
        <v>17269.3125</v>
      </c>
      <c r="J9" s="11">
        <v>5749</v>
      </c>
      <c r="K9" s="10">
        <v>239.54166666666669</v>
      </c>
      <c r="L9" s="3">
        <v>41.506028445599597</v>
      </c>
      <c r="M9" s="10">
        <v>105.63192778069833</v>
      </c>
      <c r="N9" s="10">
        <v>11158.104166666668</v>
      </c>
      <c r="O9" s="11">
        <v>6339</v>
      </c>
      <c r="P9" s="10">
        <v>264.125</v>
      </c>
      <c r="Q9" s="3">
        <v>45.765648689625301</v>
      </c>
      <c r="R9" s="10">
        <v>149.47191765233583</v>
      </c>
      <c r="S9" s="10">
        <v>22341.854166666664</v>
      </c>
      <c r="T9" s="1" t="s">
        <v>24</v>
      </c>
      <c r="U9" s="22" t="s">
        <v>25</v>
      </c>
      <c r="V9" s="1" t="s">
        <v>26</v>
      </c>
      <c r="W9" s="1" t="s">
        <v>27</v>
      </c>
      <c r="X9" s="1" t="s">
        <v>28</v>
      </c>
      <c r="Y9" s="22" t="s">
        <v>129</v>
      </c>
      <c r="Z9" s="5">
        <v>4.2596202440257045</v>
      </c>
      <c r="AA9" s="24" t="s">
        <v>121</v>
      </c>
    </row>
    <row r="10" spans="1:27">
      <c r="A10" s="1">
        <v>33</v>
      </c>
      <c r="B10" s="1">
        <v>55</v>
      </c>
      <c r="C10" s="1" t="s">
        <v>96</v>
      </c>
      <c r="D10" s="1">
        <v>8</v>
      </c>
      <c r="E10" s="1" t="s">
        <v>97</v>
      </c>
      <c r="F10" s="1">
        <v>13414</v>
      </c>
      <c r="G10" s="10">
        <v>419.1875</v>
      </c>
      <c r="H10" s="10">
        <v>168.36379417054013</v>
      </c>
      <c r="I10" s="10">
        <v>28346.3671875</v>
      </c>
      <c r="J10" s="11">
        <v>5754</v>
      </c>
      <c r="K10" s="10">
        <v>179.8125</v>
      </c>
      <c r="L10" s="3">
        <v>42.895482331892055</v>
      </c>
      <c r="M10" s="10">
        <v>115.8421946550565</v>
      </c>
      <c r="N10" s="10">
        <v>13419.4140625</v>
      </c>
      <c r="O10" s="11">
        <v>7039</v>
      </c>
      <c r="P10" s="10">
        <v>219.96875</v>
      </c>
      <c r="Q10" s="3">
        <v>52.475026092142542</v>
      </c>
      <c r="R10" s="10">
        <v>111.35877757837503</v>
      </c>
      <c r="S10" s="10">
        <v>12400.77734375</v>
      </c>
      <c r="T10" s="1" t="s">
        <v>31</v>
      </c>
      <c r="U10" s="22" t="s">
        <v>26</v>
      </c>
      <c r="V10" s="1" t="s">
        <v>25</v>
      </c>
      <c r="W10" s="1" t="s">
        <v>27</v>
      </c>
      <c r="X10" s="1" t="e">
        <v>#DIV/0!</v>
      </c>
      <c r="Y10" s="22" t="s">
        <v>129</v>
      </c>
      <c r="Z10" s="5">
        <v>9.5795437602504876</v>
      </c>
      <c r="AA10" s="24" t="s">
        <v>121</v>
      </c>
    </row>
    <row r="11" spans="1:27">
      <c r="A11" s="1">
        <v>38</v>
      </c>
      <c r="B11" s="1">
        <v>60</v>
      </c>
      <c r="C11" s="1" t="s">
        <v>106</v>
      </c>
      <c r="D11" s="1">
        <v>8</v>
      </c>
      <c r="E11" s="1" t="s">
        <v>107</v>
      </c>
      <c r="F11" s="1">
        <v>14852</v>
      </c>
      <c r="G11" s="3">
        <v>5895</v>
      </c>
      <c r="H11" s="3">
        <v>144.49020163093044</v>
      </c>
      <c r="I11" s="3">
        <v>20877.418367346938</v>
      </c>
      <c r="J11" s="4">
        <v>6306</v>
      </c>
      <c r="K11" s="3">
        <v>225.21428571428572</v>
      </c>
      <c r="L11" s="3">
        <v>3.8204289349327523</v>
      </c>
      <c r="M11" s="3">
        <v>186.82743319951265</v>
      </c>
      <c r="N11" s="3">
        <v>34904.489795918365</v>
      </c>
      <c r="O11" s="4">
        <v>7152</v>
      </c>
      <c r="P11" s="3">
        <v>255.42857142857142</v>
      </c>
      <c r="Q11" s="3">
        <v>4.3329698291530345</v>
      </c>
      <c r="R11" s="3">
        <v>152.10378438582583</v>
      </c>
      <c r="S11" s="3">
        <v>23135.561224489797</v>
      </c>
      <c r="T11" s="1" t="s">
        <v>24</v>
      </c>
      <c r="U11" s="22" t="s">
        <v>26</v>
      </c>
      <c r="V11" s="1" t="s">
        <v>26</v>
      </c>
      <c r="W11" s="1" t="s">
        <v>27</v>
      </c>
      <c r="X11" s="1" t="s">
        <v>38</v>
      </c>
      <c r="Y11" s="22" t="s">
        <v>129</v>
      </c>
      <c r="Z11" s="5">
        <v>0.51254089422028226</v>
      </c>
      <c r="AA11" s="24" t="s">
        <v>121</v>
      </c>
    </row>
    <row r="12" spans="1:27" s="17" customFormat="1" ht="15.75">
      <c r="A12" s="34"/>
      <c r="B12" s="34"/>
      <c r="C12" s="34"/>
      <c r="D12" s="34"/>
      <c r="E12" s="34"/>
      <c r="F12" s="34">
        <f>SUM(F5:F11)</f>
        <v>91292</v>
      </c>
      <c r="G12" s="34"/>
      <c r="H12" s="34"/>
      <c r="I12" s="34"/>
      <c r="J12" s="34">
        <f>SUM(J5:J11)</f>
        <v>40028</v>
      </c>
      <c r="K12" s="34"/>
      <c r="L12" s="34"/>
      <c r="M12" s="34"/>
      <c r="N12" s="34"/>
      <c r="O12" s="34">
        <f>SUM(O5:O11)</f>
        <v>45311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ht="26.25">
      <c r="A13" s="66" t="s">
        <v>111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27">
      <c r="A14" s="41" t="s">
        <v>0</v>
      </c>
      <c r="B14" s="41" t="s">
        <v>1</v>
      </c>
      <c r="C14" s="41" t="s">
        <v>2</v>
      </c>
      <c r="D14" s="39" t="s">
        <v>3</v>
      </c>
      <c r="E14" s="41" t="s">
        <v>4</v>
      </c>
      <c r="F14" s="41" t="s">
        <v>5</v>
      </c>
      <c r="G14" s="41" t="s">
        <v>5</v>
      </c>
      <c r="H14" s="41"/>
      <c r="I14" s="41"/>
      <c r="J14" s="64" t="s">
        <v>6</v>
      </c>
      <c r="K14" s="64"/>
      <c r="L14" s="64"/>
      <c r="M14" s="64"/>
      <c r="N14" s="64"/>
      <c r="O14" s="67" t="s">
        <v>7</v>
      </c>
      <c r="P14" s="67"/>
      <c r="Q14" s="67"/>
      <c r="R14" s="67"/>
      <c r="S14" s="67"/>
      <c r="T14" s="67">
        <v>2018</v>
      </c>
      <c r="U14" s="67"/>
      <c r="V14" s="67"/>
      <c r="W14" s="67"/>
      <c r="X14" s="67"/>
      <c r="Y14" s="39" t="s">
        <v>8</v>
      </c>
      <c r="Z14" s="39" t="s">
        <v>9</v>
      </c>
      <c r="AA14" s="39" t="s">
        <v>10</v>
      </c>
    </row>
    <row r="15" spans="1:27" ht="90">
      <c r="A15" s="41"/>
      <c r="B15" s="41"/>
      <c r="C15" s="41"/>
      <c r="D15" s="39"/>
      <c r="E15" s="41"/>
      <c r="F15" s="41"/>
      <c r="G15" s="21" t="s">
        <v>11</v>
      </c>
      <c r="H15" s="21" t="s">
        <v>12</v>
      </c>
      <c r="I15" s="21" t="s">
        <v>13</v>
      </c>
      <c r="J15" s="21" t="s">
        <v>14</v>
      </c>
      <c r="K15" s="21" t="s">
        <v>11</v>
      </c>
      <c r="L15" s="21" t="s">
        <v>15</v>
      </c>
      <c r="M15" s="21" t="s">
        <v>12</v>
      </c>
      <c r="N15" s="21" t="s">
        <v>13</v>
      </c>
      <c r="O15" s="21" t="s">
        <v>16</v>
      </c>
      <c r="P15" s="21" t="s">
        <v>11</v>
      </c>
      <c r="Q15" s="21" t="s">
        <v>15</v>
      </c>
      <c r="R15" s="21" t="s">
        <v>12</v>
      </c>
      <c r="S15" s="21" t="s">
        <v>13</v>
      </c>
      <c r="T15" s="21" t="s">
        <v>17</v>
      </c>
      <c r="U15" s="21" t="s">
        <v>18</v>
      </c>
      <c r="V15" s="21" t="s">
        <v>19</v>
      </c>
      <c r="W15" s="21" t="s">
        <v>20</v>
      </c>
      <c r="X15" s="21" t="s">
        <v>21</v>
      </c>
      <c r="Y15" s="39"/>
      <c r="Z15" s="39"/>
      <c r="AA15" s="39"/>
    </row>
    <row r="16" spans="1:27">
      <c r="A16" s="1">
        <v>12</v>
      </c>
      <c r="B16" s="1">
        <v>34</v>
      </c>
      <c r="C16" s="2" t="s">
        <v>53</v>
      </c>
      <c r="D16" s="1">
        <v>5</v>
      </c>
      <c r="E16" s="9" t="s">
        <v>54</v>
      </c>
      <c r="F16" s="1">
        <v>10520</v>
      </c>
      <c r="G16" s="10">
        <v>526</v>
      </c>
      <c r="H16" s="10">
        <v>104.78330019616676</v>
      </c>
      <c r="I16" s="10">
        <v>10979.54</v>
      </c>
      <c r="J16" s="11">
        <v>4167</v>
      </c>
      <c r="K16" s="10">
        <v>208.35</v>
      </c>
      <c r="L16" s="3">
        <v>39.610266159695819</v>
      </c>
      <c r="M16" s="10">
        <v>78.418620237798109</v>
      </c>
      <c r="N16" s="10">
        <v>6149.48</v>
      </c>
      <c r="O16" s="11">
        <v>6001</v>
      </c>
      <c r="P16" s="10">
        <v>300.04999999999995</v>
      </c>
      <c r="Q16" s="3">
        <v>57.043726235741431</v>
      </c>
      <c r="R16" s="10">
        <v>97.682547059339115</v>
      </c>
      <c r="S16" s="10">
        <v>9541.880000000001</v>
      </c>
      <c r="T16" s="12" t="s">
        <v>31</v>
      </c>
      <c r="U16" s="22" t="s">
        <v>26</v>
      </c>
      <c r="V16" s="1" t="s">
        <v>55</v>
      </c>
      <c r="W16" s="8" t="s">
        <v>27</v>
      </c>
      <c r="X16" s="13" t="s">
        <v>38</v>
      </c>
      <c r="Y16" s="22" t="s">
        <v>129</v>
      </c>
      <c r="Z16" s="5">
        <v>17.433460076045613</v>
      </c>
      <c r="AA16" s="25" t="s">
        <v>120</v>
      </c>
    </row>
    <row r="17" spans="1:27">
      <c r="A17" s="1">
        <v>14</v>
      </c>
      <c r="B17" s="1">
        <v>36</v>
      </c>
      <c r="C17" s="2" t="s">
        <v>58</v>
      </c>
      <c r="D17" s="1">
        <v>3</v>
      </c>
      <c r="E17" s="9" t="s">
        <v>59</v>
      </c>
      <c r="F17" s="1">
        <v>6886</v>
      </c>
      <c r="G17" s="3">
        <v>573.83333333333337</v>
      </c>
      <c r="H17" s="3">
        <v>83.594590468256712</v>
      </c>
      <c r="I17" s="3">
        <v>6988.0555555555557</v>
      </c>
      <c r="J17" s="4">
        <v>2660</v>
      </c>
      <c r="K17" s="3">
        <v>221.66666666666669</v>
      </c>
      <c r="L17" s="3">
        <v>38.629102526866106</v>
      </c>
      <c r="M17" s="3">
        <v>15.800843859321775</v>
      </c>
      <c r="N17" s="3">
        <v>249.66666666666666</v>
      </c>
      <c r="O17" s="4">
        <v>3897</v>
      </c>
      <c r="P17" s="3">
        <v>324.75</v>
      </c>
      <c r="Q17" s="3">
        <v>56.593087423758348</v>
      </c>
      <c r="R17" s="3">
        <v>87.750593540252865</v>
      </c>
      <c r="S17" s="3">
        <v>7700.166666666667</v>
      </c>
      <c r="T17" s="1" t="s">
        <v>24</v>
      </c>
      <c r="U17" s="22" t="s">
        <v>26</v>
      </c>
      <c r="V17" s="1" t="s">
        <v>25</v>
      </c>
      <c r="W17" s="1" t="s">
        <v>27</v>
      </c>
      <c r="X17" s="1" t="e">
        <v>#DIV/0!</v>
      </c>
      <c r="Y17" s="22" t="s">
        <v>129</v>
      </c>
      <c r="Z17" s="5">
        <v>17.963984896892242</v>
      </c>
      <c r="AA17" s="25" t="s">
        <v>120</v>
      </c>
    </row>
    <row r="18" spans="1:27">
      <c r="A18" s="1">
        <v>18</v>
      </c>
      <c r="B18" s="1">
        <v>40</v>
      </c>
      <c r="C18" s="1" t="s">
        <v>66</v>
      </c>
      <c r="D18" s="1">
        <v>5</v>
      </c>
      <c r="E18" s="9" t="s">
        <v>67</v>
      </c>
      <c r="F18" s="1">
        <v>7935</v>
      </c>
      <c r="G18" s="10">
        <v>396.75</v>
      </c>
      <c r="H18" s="10">
        <v>73.910351101858524</v>
      </c>
      <c r="I18" s="10">
        <v>5462.74</v>
      </c>
      <c r="J18" s="11">
        <v>3017</v>
      </c>
      <c r="K18" s="10">
        <v>150.85</v>
      </c>
      <c r="L18" s="3">
        <v>38.021424070573403</v>
      </c>
      <c r="M18" s="10">
        <v>44.072213468352146</v>
      </c>
      <c r="N18" s="10">
        <v>1942.3600000000001</v>
      </c>
      <c r="O18" s="11">
        <v>4628</v>
      </c>
      <c r="P18" s="10">
        <v>231.4</v>
      </c>
      <c r="Q18" s="3">
        <v>58.323881537492127</v>
      </c>
      <c r="R18" s="10">
        <v>72.460886000655549</v>
      </c>
      <c r="S18" s="10">
        <v>5250.58</v>
      </c>
      <c r="T18" s="1" t="s">
        <v>55</v>
      </c>
      <c r="U18" s="22" t="s">
        <v>26</v>
      </c>
      <c r="V18" s="1" t="s">
        <v>25</v>
      </c>
      <c r="W18" s="1" t="s">
        <v>27</v>
      </c>
      <c r="X18" s="1" t="e">
        <v>#DIV/0!</v>
      </c>
      <c r="Y18" s="22" t="s">
        <v>129</v>
      </c>
      <c r="Z18" s="5">
        <v>20.302457466918725</v>
      </c>
      <c r="AA18" s="25" t="s">
        <v>120</v>
      </c>
    </row>
    <row r="19" spans="1:27">
      <c r="A19" s="1">
        <v>21</v>
      </c>
      <c r="B19" s="1">
        <v>43</v>
      </c>
      <c r="C19" s="1" t="s">
        <v>72</v>
      </c>
      <c r="D19" s="1">
        <v>5</v>
      </c>
      <c r="E19" s="1" t="s">
        <v>73</v>
      </c>
      <c r="F19" s="1">
        <v>9387</v>
      </c>
      <c r="G19" s="10">
        <v>469.35</v>
      </c>
      <c r="H19" s="10">
        <v>128.72288063899131</v>
      </c>
      <c r="I19" s="10">
        <v>16569.580000000002</v>
      </c>
      <c r="J19" s="11">
        <v>3190</v>
      </c>
      <c r="K19" s="10">
        <v>159.5</v>
      </c>
      <c r="L19" s="3">
        <v>33.98316821135613</v>
      </c>
      <c r="M19" s="10">
        <v>96.258817777905421</v>
      </c>
      <c r="N19" s="10">
        <v>9265.76</v>
      </c>
      <c r="O19" s="11">
        <v>5690</v>
      </c>
      <c r="P19" s="10">
        <v>284.5</v>
      </c>
      <c r="Q19" s="3">
        <v>60.615745179503563</v>
      </c>
      <c r="R19" s="10">
        <v>129.66094246148299</v>
      </c>
      <c r="S19" s="10">
        <v>16811.96</v>
      </c>
      <c r="T19" s="1" t="s">
        <v>31</v>
      </c>
      <c r="U19" s="22" t="s">
        <v>26</v>
      </c>
      <c r="V19" s="1" t="s">
        <v>25</v>
      </c>
      <c r="W19" s="1" t="s">
        <v>41</v>
      </c>
      <c r="X19" s="1" t="s">
        <v>28</v>
      </c>
      <c r="Y19" s="22" t="s">
        <v>129</v>
      </c>
      <c r="Z19" s="5">
        <v>26.632576968147433</v>
      </c>
      <c r="AA19" s="25" t="s">
        <v>120</v>
      </c>
    </row>
    <row r="20" spans="1:27">
      <c r="A20" s="1">
        <v>23</v>
      </c>
      <c r="B20" s="1">
        <v>45</v>
      </c>
      <c r="C20" s="1" t="s">
        <v>76</v>
      </c>
      <c r="D20" s="1">
        <v>6</v>
      </c>
      <c r="E20" s="1" t="s">
        <v>77</v>
      </c>
      <c r="F20" s="1">
        <v>9884</v>
      </c>
      <c r="G20" s="3">
        <v>516.29166666666663</v>
      </c>
      <c r="H20" s="3">
        <v>153.28589619473223</v>
      </c>
      <c r="I20" s="3">
        <v>23496.565972222223</v>
      </c>
      <c r="J20" s="4">
        <v>3687</v>
      </c>
      <c r="K20" s="3">
        <v>182.29166666666669</v>
      </c>
      <c r="L20" s="3">
        <v>35.307884755064165</v>
      </c>
      <c r="M20" s="3">
        <v>112.85482623953463</v>
      </c>
      <c r="N20" s="3">
        <v>12736.211805555555</v>
      </c>
      <c r="O20" s="4">
        <v>5796</v>
      </c>
      <c r="P20" s="3">
        <v>311.625</v>
      </c>
      <c r="Q20" s="3">
        <v>60.358324590428538</v>
      </c>
      <c r="R20" s="3">
        <v>87.905311272982814</v>
      </c>
      <c r="S20" s="3">
        <v>7727.34375</v>
      </c>
      <c r="T20" s="1" t="s">
        <v>31</v>
      </c>
      <c r="U20" s="22" t="s">
        <v>26</v>
      </c>
      <c r="V20" s="1" t="s">
        <v>25</v>
      </c>
      <c r="W20" s="1" t="s">
        <v>27</v>
      </c>
      <c r="X20" s="1" t="e">
        <v>#DIV/0!</v>
      </c>
      <c r="Y20" s="22" t="s">
        <v>129</v>
      </c>
      <c r="Z20" s="5">
        <v>25.050439835364372</v>
      </c>
      <c r="AA20" s="25" t="s">
        <v>120</v>
      </c>
    </row>
    <row r="21" spans="1:27">
      <c r="A21" s="1">
        <v>25</v>
      </c>
      <c r="B21" s="1">
        <v>47</v>
      </c>
      <c r="C21" s="1" t="s">
        <v>80</v>
      </c>
      <c r="D21" s="1">
        <v>5</v>
      </c>
      <c r="E21" s="1" t="s">
        <v>81</v>
      </c>
      <c r="F21" s="1">
        <v>10136</v>
      </c>
      <c r="G21" s="3">
        <v>506.8</v>
      </c>
      <c r="H21" s="3">
        <v>114.70972059943307</v>
      </c>
      <c r="I21" s="3">
        <v>13158.32</v>
      </c>
      <c r="J21" s="4">
        <v>3973</v>
      </c>
      <c r="K21" s="3">
        <v>198.64999999999998</v>
      </c>
      <c r="L21" s="3">
        <v>39.196921862667715</v>
      </c>
      <c r="M21" s="3">
        <v>84.921375401014316</v>
      </c>
      <c r="N21" s="3">
        <v>7211.6399999999994</v>
      </c>
      <c r="O21" s="4">
        <v>5782</v>
      </c>
      <c r="P21" s="3">
        <v>289.10000000000002</v>
      </c>
      <c r="Q21" s="3">
        <v>57.044198895027634</v>
      </c>
      <c r="R21" s="3">
        <v>47.566584909997481</v>
      </c>
      <c r="S21" s="3">
        <v>2262.58</v>
      </c>
      <c r="T21" s="1" t="s">
        <v>55</v>
      </c>
      <c r="U21" s="22" t="s">
        <v>26</v>
      </c>
      <c r="V21" s="15" t="s">
        <v>31</v>
      </c>
      <c r="W21" s="1" t="s">
        <v>27</v>
      </c>
      <c r="X21" s="1" t="s">
        <v>38</v>
      </c>
      <c r="Y21" s="22" t="s">
        <v>129</v>
      </c>
      <c r="Z21" s="5">
        <v>17.847277032359919</v>
      </c>
      <c r="AA21" s="25" t="s">
        <v>120</v>
      </c>
    </row>
    <row r="22" spans="1:27">
      <c r="A22" s="1">
        <v>26</v>
      </c>
      <c r="B22" s="1">
        <v>48</v>
      </c>
      <c r="C22" s="1" t="s">
        <v>82</v>
      </c>
      <c r="D22" s="1">
        <v>6</v>
      </c>
      <c r="E22" s="1" t="s">
        <v>83</v>
      </c>
      <c r="F22" s="1">
        <v>12866</v>
      </c>
      <c r="G22" s="3">
        <v>536.08333333333337</v>
      </c>
      <c r="H22" s="3">
        <v>154.83310907769908</v>
      </c>
      <c r="I22" s="3">
        <v>23973.291666666664</v>
      </c>
      <c r="J22" s="4">
        <v>5219</v>
      </c>
      <c r="K22" s="3">
        <v>217.45833333333331</v>
      </c>
      <c r="L22" s="3">
        <v>40.564277941862265</v>
      </c>
      <c r="M22" s="3">
        <v>131.70919671761726</v>
      </c>
      <c r="N22" s="3">
        <v>17347.3125</v>
      </c>
      <c r="O22" s="4">
        <v>6988</v>
      </c>
      <c r="P22" s="3">
        <v>291.16666666666669</v>
      </c>
      <c r="Q22" s="3">
        <v>54.313695010104148</v>
      </c>
      <c r="R22" s="3">
        <v>60.274027021042265</v>
      </c>
      <c r="S22" s="3">
        <v>3632.9583333333335</v>
      </c>
      <c r="T22" s="1" t="s">
        <v>31</v>
      </c>
      <c r="U22" s="22" t="s">
        <v>25</v>
      </c>
      <c r="V22" s="1" t="s">
        <v>26</v>
      </c>
      <c r="W22" s="1" t="s">
        <v>27</v>
      </c>
      <c r="X22" s="1" t="s">
        <v>38</v>
      </c>
      <c r="Y22" s="22" t="s">
        <v>129</v>
      </c>
      <c r="Z22" s="5">
        <v>13.749417068241883</v>
      </c>
      <c r="AA22" s="25" t="s">
        <v>120</v>
      </c>
    </row>
    <row r="23" spans="1:27">
      <c r="A23" s="1">
        <v>29</v>
      </c>
      <c r="B23" s="1">
        <v>51</v>
      </c>
      <c r="C23" s="1" t="s">
        <v>88</v>
      </c>
      <c r="D23" s="1">
        <v>8</v>
      </c>
      <c r="E23" s="1" t="s">
        <v>89</v>
      </c>
      <c r="F23" s="1">
        <v>13777</v>
      </c>
      <c r="G23" s="3">
        <v>492.03571428571428</v>
      </c>
      <c r="H23" s="3">
        <v>119.28049603641777</v>
      </c>
      <c r="I23" s="3">
        <v>14227.836734693878</v>
      </c>
      <c r="J23" s="4">
        <v>5048</v>
      </c>
      <c r="K23" s="3">
        <v>180.28571428571428</v>
      </c>
      <c r="L23" s="3">
        <v>36.640778108441602</v>
      </c>
      <c r="M23" s="3">
        <v>99.074647182241904</v>
      </c>
      <c r="N23" s="3">
        <v>9815.7857142857138</v>
      </c>
      <c r="O23" s="4">
        <v>7282</v>
      </c>
      <c r="P23" s="3">
        <v>260.07142857142856</v>
      </c>
      <c r="Q23" s="3">
        <v>52.856209624736884</v>
      </c>
      <c r="R23" s="3">
        <v>152.70623391843247</v>
      </c>
      <c r="S23" s="3">
        <v>23319.193877551021</v>
      </c>
      <c r="T23" s="1" t="s">
        <v>24</v>
      </c>
      <c r="U23" s="22" t="s">
        <v>55</v>
      </c>
      <c r="V23" s="1" t="s">
        <v>26</v>
      </c>
      <c r="W23" s="1" t="s">
        <v>27</v>
      </c>
      <c r="X23" s="1" t="s">
        <v>28</v>
      </c>
      <c r="Y23" s="22" t="s">
        <v>129</v>
      </c>
      <c r="Z23" s="5">
        <v>16.215431516295283</v>
      </c>
      <c r="AA23" s="25" t="s">
        <v>120</v>
      </c>
    </row>
    <row r="24" spans="1:27">
      <c r="A24" s="1">
        <v>31</v>
      </c>
      <c r="B24" s="1">
        <v>53</v>
      </c>
      <c r="C24" s="1" t="s">
        <v>92</v>
      </c>
      <c r="D24" s="1">
        <v>7</v>
      </c>
      <c r="E24" s="1" t="s">
        <v>93</v>
      </c>
      <c r="F24" s="1">
        <v>14731</v>
      </c>
      <c r="G24" s="3">
        <v>525.67857142857133</v>
      </c>
      <c r="H24" s="3">
        <v>136.63970200225594</v>
      </c>
      <c r="I24" s="3">
        <v>18670.408163265307</v>
      </c>
      <c r="J24" s="4">
        <v>5783</v>
      </c>
      <c r="K24" s="3">
        <v>206.53571428571428</v>
      </c>
      <c r="L24" s="3">
        <v>39.289353896324485</v>
      </c>
      <c r="M24" s="3">
        <v>113.17743879882255</v>
      </c>
      <c r="N24" s="3">
        <v>12809.132653061224</v>
      </c>
      <c r="O24" s="4">
        <v>7655</v>
      </c>
      <c r="P24" s="3">
        <v>273.39285714285711</v>
      </c>
      <c r="Q24" s="3">
        <v>52.007609212582381</v>
      </c>
      <c r="R24" s="3">
        <v>140.42602817054643</v>
      </c>
      <c r="S24" s="3">
        <v>19719.469387755104</v>
      </c>
      <c r="T24" s="1" t="s">
        <v>24</v>
      </c>
      <c r="U24" s="22" t="s">
        <v>26</v>
      </c>
      <c r="V24" s="1" t="s">
        <v>26</v>
      </c>
      <c r="W24" s="1" t="s">
        <v>27</v>
      </c>
      <c r="X24" s="1" t="s">
        <v>28</v>
      </c>
      <c r="Y24" s="22" t="s">
        <v>129</v>
      </c>
      <c r="Z24" s="5">
        <v>12.718255316257896</v>
      </c>
      <c r="AA24" s="25" t="s">
        <v>120</v>
      </c>
    </row>
    <row r="25" spans="1:27">
      <c r="A25" s="1">
        <v>35</v>
      </c>
      <c r="B25" s="1">
        <v>57</v>
      </c>
      <c r="C25" s="1" t="s">
        <v>100</v>
      </c>
      <c r="D25" s="1">
        <v>5</v>
      </c>
      <c r="E25" s="1" t="s">
        <v>101</v>
      </c>
      <c r="F25" s="1">
        <v>6599</v>
      </c>
      <c r="G25" s="5">
        <v>509.35</v>
      </c>
      <c r="H25" s="5">
        <v>59.968825234449945</v>
      </c>
      <c r="I25" s="5">
        <v>3596.26</v>
      </c>
      <c r="J25" s="16">
        <v>5091</v>
      </c>
      <c r="K25" s="5">
        <v>210.95</v>
      </c>
      <c r="L25" s="3">
        <v>41.415529596544609</v>
      </c>
      <c r="M25" s="5">
        <v>96.685004007860499</v>
      </c>
      <c r="N25" s="5">
        <v>9347.99</v>
      </c>
      <c r="O25" s="16">
        <v>3150</v>
      </c>
      <c r="P25" s="5">
        <v>263.55</v>
      </c>
      <c r="Q25" s="3">
        <v>51.742416805732795</v>
      </c>
      <c r="R25" s="5">
        <v>70.417078894256903</v>
      </c>
      <c r="S25" s="5">
        <v>4958.5650000000005</v>
      </c>
      <c r="T25" s="1" t="s">
        <v>31</v>
      </c>
      <c r="U25" s="22" t="s">
        <v>26</v>
      </c>
      <c r="V25" s="1" t="s">
        <v>25</v>
      </c>
      <c r="W25" s="1" t="s">
        <v>27</v>
      </c>
      <c r="X25" s="1" t="e">
        <v>#DIV/0!</v>
      </c>
      <c r="Y25" s="22" t="s">
        <v>129</v>
      </c>
      <c r="Z25" s="5">
        <v>10.326887209188186</v>
      </c>
      <c r="AA25" s="25" t="s">
        <v>120</v>
      </c>
    </row>
    <row r="26" spans="1:27">
      <c r="A26" s="1">
        <v>37</v>
      </c>
      <c r="B26" s="1">
        <v>59</v>
      </c>
      <c r="C26" s="1" t="s">
        <v>104</v>
      </c>
      <c r="D26" s="1">
        <v>6</v>
      </c>
      <c r="E26" s="1" t="s">
        <v>105</v>
      </c>
      <c r="F26" s="1">
        <v>9169</v>
      </c>
      <c r="G26" s="3">
        <v>467.375</v>
      </c>
      <c r="H26" s="3">
        <v>138.94265903602104</v>
      </c>
      <c r="I26" s="3">
        <v>19305.0625</v>
      </c>
      <c r="J26" s="4">
        <v>3460</v>
      </c>
      <c r="K26" s="3">
        <v>163</v>
      </c>
      <c r="L26" s="3">
        <v>34.875635196576624</v>
      </c>
      <c r="M26" s="3">
        <v>113.48168905158224</v>
      </c>
      <c r="N26" s="3">
        <v>12878.09375</v>
      </c>
      <c r="O26" s="4">
        <v>5294</v>
      </c>
      <c r="P26" s="3">
        <v>283.70833333333331</v>
      </c>
      <c r="Q26" s="3">
        <v>60.702505126147813</v>
      </c>
      <c r="R26" s="3">
        <v>50.751676217528903</v>
      </c>
      <c r="S26" s="3">
        <v>2575.7326388888887</v>
      </c>
      <c r="T26" s="1" t="s">
        <v>31</v>
      </c>
      <c r="U26" s="22" t="s">
        <v>26</v>
      </c>
      <c r="V26" s="1" t="s">
        <v>25</v>
      </c>
      <c r="W26" s="1" t="s">
        <v>27</v>
      </c>
      <c r="X26" s="1" t="e">
        <v>#DIV/0!</v>
      </c>
      <c r="Y26" s="22" t="s">
        <v>129</v>
      </c>
      <c r="Z26" s="5">
        <v>25.826869929571188</v>
      </c>
      <c r="AA26" s="25" t="s">
        <v>120</v>
      </c>
    </row>
    <row r="27" spans="1:27" ht="15.75">
      <c r="A27" s="34"/>
      <c r="B27" s="34"/>
      <c r="C27" s="34"/>
      <c r="D27" s="34"/>
      <c r="E27" s="34"/>
      <c r="F27" s="34">
        <f>SUM(F16:F26)</f>
        <v>111890</v>
      </c>
      <c r="G27" s="34"/>
      <c r="H27" s="34"/>
      <c r="I27" s="34"/>
      <c r="J27" s="34">
        <f>SUM(J16:J26)</f>
        <v>45295</v>
      </c>
      <c r="K27" s="34"/>
      <c r="L27" s="34"/>
      <c r="M27" s="34"/>
      <c r="N27" s="34"/>
      <c r="O27" s="34">
        <f>SUM(O16:O26)</f>
        <v>62163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ht="26.25">
      <c r="A28" s="66" t="s">
        <v>112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27">
      <c r="A29" s="41" t="s">
        <v>0</v>
      </c>
      <c r="B29" s="41" t="s">
        <v>1</v>
      </c>
      <c r="C29" s="41" t="s">
        <v>2</v>
      </c>
      <c r="D29" s="39" t="s">
        <v>3</v>
      </c>
      <c r="E29" s="41" t="s">
        <v>4</v>
      </c>
      <c r="F29" s="41" t="s">
        <v>5</v>
      </c>
      <c r="G29" s="41" t="s">
        <v>5</v>
      </c>
      <c r="H29" s="41"/>
      <c r="I29" s="41"/>
      <c r="J29" s="64" t="s">
        <v>6</v>
      </c>
      <c r="K29" s="64"/>
      <c r="L29" s="64"/>
      <c r="M29" s="64"/>
      <c r="N29" s="64"/>
      <c r="O29" s="67" t="s">
        <v>7</v>
      </c>
      <c r="P29" s="67"/>
      <c r="Q29" s="67"/>
      <c r="R29" s="67"/>
      <c r="S29" s="67"/>
      <c r="T29" s="67">
        <v>2018</v>
      </c>
      <c r="U29" s="67"/>
      <c r="V29" s="67"/>
      <c r="W29" s="67"/>
      <c r="X29" s="67"/>
      <c r="Y29" s="39" t="s">
        <v>8</v>
      </c>
      <c r="Z29" s="39" t="s">
        <v>9</v>
      </c>
      <c r="AA29" s="39" t="s">
        <v>10</v>
      </c>
    </row>
    <row r="30" spans="1:27" ht="90">
      <c r="A30" s="41"/>
      <c r="B30" s="41"/>
      <c r="C30" s="41"/>
      <c r="D30" s="39"/>
      <c r="E30" s="41"/>
      <c r="F30" s="41"/>
      <c r="G30" s="21" t="s">
        <v>11</v>
      </c>
      <c r="H30" s="21" t="s">
        <v>12</v>
      </c>
      <c r="I30" s="21" t="s">
        <v>13</v>
      </c>
      <c r="J30" s="21" t="s">
        <v>14</v>
      </c>
      <c r="K30" s="21" t="s">
        <v>11</v>
      </c>
      <c r="L30" s="21" t="s">
        <v>15</v>
      </c>
      <c r="M30" s="21" t="s">
        <v>12</v>
      </c>
      <c r="N30" s="21" t="s">
        <v>13</v>
      </c>
      <c r="O30" s="21" t="s">
        <v>16</v>
      </c>
      <c r="P30" s="21" t="s">
        <v>11</v>
      </c>
      <c r="Q30" s="21" t="s">
        <v>15</v>
      </c>
      <c r="R30" s="21" t="s">
        <v>12</v>
      </c>
      <c r="S30" s="21" t="s">
        <v>13</v>
      </c>
      <c r="T30" s="21" t="s">
        <v>17</v>
      </c>
      <c r="U30" s="21" t="s">
        <v>18</v>
      </c>
      <c r="V30" s="21" t="s">
        <v>19</v>
      </c>
      <c r="W30" s="21" t="s">
        <v>20</v>
      </c>
      <c r="X30" s="21" t="s">
        <v>21</v>
      </c>
      <c r="Y30" s="39"/>
      <c r="Z30" s="39"/>
      <c r="AA30" s="39"/>
    </row>
    <row r="31" spans="1:27">
      <c r="A31" s="1">
        <v>16</v>
      </c>
      <c r="B31" s="1">
        <v>38</v>
      </c>
      <c r="C31" s="1" t="s">
        <v>62</v>
      </c>
      <c r="D31" s="1">
        <v>7</v>
      </c>
      <c r="E31" s="9" t="s">
        <v>63</v>
      </c>
      <c r="F31" s="1">
        <v>14105</v>
      </c>
      <c r="G31" s="3">
        <v>503.75</v>
      </c>
      <c r="H31" s="3">
        <v>117.68277144033256</v>
      </c>
      <c r="I31" s="3">
        <v>13849.234693877552</v>
      </c>
      <c r="J31" s="4">
        <v>4672</v>
      </c>
      <c r="K31" s="3">
        <v>166.85714285714286</v>
      </c>
      <c r="L31" s="3">
        <v>33.123006026231835</v>
      </c>
      <c r="M31" s="3">
        <v>78.715906127993094</v>
      </c>
      <c r="N31" s="3">
        <v>6196.1938775510207</v>
      </c>
      <c r="O31" s="4">
        <v>9020</v>
      </c>
      <c r="P31" s="3">
        <v>322.14285714285711</v>
      </c>
      <c r="Q31" s="3">
        <v>63.948954271534909</v>
      </c>
      <c r="R31" s="3">
        <v>107.76576072052509</v>
      </c>
      <c r="S31" s="3">
        <v>11613.459183673469</v>
      </c>
      <c r="T31" s="1" t="s">
        <v>55</v>
      </c>
      <c r="U31" s="22" t="s">
        <v>26</v>
      </c>
      <c r="V31" s="1" t="s">
        <v>25</v>
      </c>
      <c r="W31" s="1" t="s">
        <v>27</v>
      </c>
      <c r="X31" s="1" t="e">
        <v>#DIV/0!</v>
      </c>
      <c r="Y31" s="22" t="s">
        <v>129</v>
      </c>
      <c r="Z31" s="5">
        <v>30.825948245303074</v>
      </c>
      <c r="AA31" s="26" t="s">
        <v>122</v>
      </c>
    </row>
    <row r="32" spans="1:27">
      <c r="A32" s="1">
        <v>17</v>
      </c>
      <c r="B32" s="1">
        <v>39</v>
      </c>
      <c r="C32" s="1" t="s">
        <v>64</v>
      </c>
      <c r="D32" s="1">
        <v>6</v>
      </c>
      <c r="E32" s="9" t="s">
        <v>65</v>
      </c>
      <c r="F32" s="1">
        <v>11164</v>
      </c>
      <c r="G32" s="3">
        <v>465.16666666666663</v>
      </c>
      <c r="H32" s="3">
        <v>132.88262364457839</v>
      </c>
      <c r="I32" s="3">
        <v>17657.791666666664</v>
      </c>
      <c r="J32" s="4">
        <v>3372</v>
      </c>
      <c r="K32" s="3">
        <v>140.5</v>
      </c>
      <c r="L32" s="3">
        <v>30.20422787531351</v>
      </c>
      <c r="M32" s="3">
        <v>120.70585229299273</v>
      </c>
      <c r="N32" s="3">
        <v>14569.902777777777</v>
      </c>
      <c r="O32" s="4">
        <v>7427</v>
      </c>
      <c r="P32" s="3">
        <v>309.45833333333331</v>
      </c>
      <c r="Q32" s="3">
        <v>66.526334647079892</v>
      </c>
      <c r="R32" s="3">
        <v>54.670159949362585</v>
      </c>
      <c r="S32" s="3">
        <v>2988.8263888888891</v>
      </c>
      <c r="T32" s="1" t="s">
        <v>55</v>
      </c>
      <c r="U32" s="22" t="s">
        <v>26</v>
      </c>
      <c r="V32" s="1" t="s">
        <v>25</v>
      </c>
      <c r="W32" s="1" t="s">
        <v>27</v>
      </c>
      <c r="X32" s="1" t="s">
        <v>28</v>
      </c>
      <c r="Y32" s="22" t="s">
        <v>129</v>
      </c>
      <c r="Z32" s="5">
        <v>36.322106771766386</v>
      </c>
      <c r="AA32" s="26" t="s">
        <v>122</v>
      </c>
    </row>
    <row r="33" spans="1:27" s="17" customFormat="1" ht="15.75">
      <c r="A33" s="34"/>
      <c r="B33" s="34"/>
      <c r="C33" s="34"/>
      <c r="D33" s="34"/>
      <c r="E33" s="34"/>
      <c r="F33" s="34">
        <f>SUM(F31:F32)</f>
        <v>25269</v>
      </c>
      <c r="G33" s="34"/>
      <c r="H33" s="34"/>
      <c r="I33" s="34"/>
      <c r="J33" s="34">
        <f>SUM(J31:J32)</f>
        <v>8044</v>
      </c>
      <c r="K33" s="34"/>
      <c r="L33" s="34"/>
      <c r="M33" s="34"/>
      <c r="N33" s="34"/>
      <c r="O33" s="34">
        <f>SUM(O31:O32)</f>
        <v>16447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</sheetData>
  <mergeCells count="43">
    <mergeCell ref="AA29:AA30"/>
    <mergeCell ref="G29:I29"/>
    <mergeCell ref="J29:N29"/>
    <mergeCell ref="O29:S29"/>
    <mergeCell ref="T29:X29"/>
    <mergeCell ref="Y29:Y30"/>
    <mergeCell ref="Z29:Z30"/>
    <mergeCell ref="A29:A30"/>
    <mergeCell ref="B29:B30"/>
    <mergeCell ref="C29:C30"/>
    <mergeCell ref="D29:D30"/>
    <mergeCell ref="E29:E30"/>
    <mergeCell ref="F29:F30"/>
    <mergeCell ref="O14:S14"/>
    <mergeCell ref="T14:X14"/>
    <mergeCell ref="Y14:Y15"/>
    <mergeCell ref="Z14:Z15"/>
    <mergeCell ref="AA14:AA15"/>
    <mergeCell ref="A28:AA28"/>
    <mergeCell ref="A13:AA13"/>
    <mergeCell ref="A14:A15"/>
    <mergeCell ref="B14:B15"/>
    <mergeCell ref="C14:C15"/>
    <mergeCell ref="D14:D15"/>
    <mergeCell ref="E14:E15"/>
    <mergeCell ref="F14:F15"/>
    <mergeCell ref="G14:I14"/>
    <mergeCell ref="J14:N14"/>
    <mergeCell ref="A1:AA1"/>
    <mergeCell ref="A2:AA2"/>
    <mergeCell ref="A3:A4"/>
    <mergeCell ref="B3:B4"/>
    <mergeCell ref="C3:C4"/>
    <mergeCell ref="D3:D4"/>
    <mergeCell ref="E3:E4"/>
    <mergeCell ref="F3:F4"/>
    <mergeCell ref="G3:I3"/>
    <mergeCell ref="J3:N3"/>
    <mergeCell ref="O3:S3"/>
    <mergeCell ref="T3:X3"/>
    <mergeCell ref="Y3:Y4"/>
    <mergeCell ref="Z3:Z4"/>
    <mergeCell ref="AA3:AA4"/>
  </mergeCells>
  <conditionalFormatting sqref="T5 T7:T11">
    <cfRule type="containsText" dxfId="104" priority="135" operator="containsText" text="AVG">
      <formula>NOT(ISERROR(SEARCH("AVG",T5)))</formula>
    </cfRule>
  </conditionalFormatting>
  <conditionalFormatting sqref="T5 T7:T11">
    <cfRule type="cellIs" dxfId="103" priority="134" operator="equal">
      <formula>"STRONG"</formula>
    </cfRule>
  </conditionalFormatting>
  <conditionalFormatting sqref="T5 T7:T11">
    <cfRule type="containsText" dxfId="102" priority="133" operator="containsText" text="VSTRONG">
      <formula>NOT(ISERROR(SEARCH("VSTRONG",T5)))</formula>
    </cfRule>
  </conditionalFormatting>
  <conditionalFormatting sqref="T5 T7:T11">
    <cfRule type="containsText" dxfId="101" priority="132" operator="containsText" text="AVG">
      <formula>NOT(ISERROR(SEARCH("AVG",T5)))</formula>
    </cfRule>
  </conditionalFormatting>
  <conditionalFormatting sqref="U7:U11">
    <cfRule type="containsText" dxfId="100" priority="123" operator="containsText" text="STRONG">
      <formula>NOT(ISERROR(SEARCH("STRONG",U7)))</formula>
    </cfRule>
  </conditionalFormatting>
  <conditionalFormatting sqref="U7:U11">
    <cfRule type="containsText" dxfId="99" priority="122" operator="containsText" text="VSTRONG">
      <formula>NOT(ISERROR(SEARCH("VSTRONG",U7)))</formula>
    </cfRule>
  </conditionalFormatting>
  <conditionalFormatting sqref="W7:W11">
    <cfRule type="containsText" dxfId="98" priority="121" operator="containsText" text="FEMALE DOM">
      <formula>NOT(ISERROR(SEARCH("FEMALE DOM",W7)))</formula>
    </cfRule>
  </conditionalFormatting>
  <conditionalFormatting sqref="V7:V11">
    <cfRule type="cellIs" dxfId="97" priority="120" operator="equal">
      <formula>"VWEAK"</formula>
    </cfRule>
  </conditionalFormatting>
  <conditionalFormatting sqref="U7:V11">
    <cfRule type="containsText" dxfId="96" priority="119" operator="containsText" text="AVG">
      <formula>NOT(ISERROR(SEARCH("AVG",U7)))</formula>
    </cfRule>
  </conditionalFormatting>
  <conditionalFormatting sqref="V7:V11">
    <cfRule type="containsText" dxfId="95" priority="118" operator="containsText" text="VSTRONG">
      <formula>NOT(ISERROR(SEARCH("VSTRONG",V7)))</formula>
    </cfRule>
  </conditionalFormatting>
  <conditionalFormatting sqref="W7:W11">
    <cfRule type="containsText" dxfId="94" priority="117" operator="containsText" text="MEN">
      <formula>NOT(ISERROR(SEARCH("MEN",W7)))</formula>
    </cfRule>
  </conditionalFormatting>
  <conditionalFormatting sqref="X7:X11">
    <cfRule type="containsText" dxfId="93" priority="109" operator="containsText" text="O">
      <formula>NOT(ISERROR(SEARCH("O",X7)))</formula>
    </cfRule>
  </conditionalFormatting>
  <conditionalFormatting sqref="X7:X11">
    <cfRule type="containsText" dxfId="92" priority="107" operator="containsText" text="H">
      <formula>NOT(ISERROR(SEARCH("H",X7)))</formula>
    </cfRule>
    <cfRule type="containsText" dxfId="91" priority="108" operator="containsText" text="H">
      <formula>NOT(ISERROR(SEARCH("H",X7)))</formula>
    </cfRule>
  </conditionalFormatting>
  <conditionalFormatting sqref="X7:X11">
    <cfRule type="containsText" dxfId="90" priority="106" operator="containsText" text="H">
      <formula>NOT(ISERROR(SEARCH("H",X7)))</formula>
    </cfRule>
  </conditionalFormatting>
  <conditionalFormatting sqref="T17:T26">
    <cfRule type="containsText" dxfId="89" priority="90" operator="containsText" text="AVG">
      <formula>NOT(ISERROR(SEARCH("AVG",T17)))</formula>
    </cfRule>
  </conditionalFormatting>
  <conditionalFormatting sqref="T17:T26">
    <cfRule type="cellIs" dxfId="88" priority="89" operator="equal">
      <formula>"STRONG"</formula>
    </cfRule>
  </conditionalFormatting>
  <conditionalFormatting sqref="T17:T26">
    <cfRule type="containsText" dxfId="87" priority="88" operator="containsText" text="VSTRONG">
      <formula>NOT(ISERROR(SEARCH("VSTRONG",T17)))</formula>
    </cfRule>
  </conditionalFormatting>
  <conditionalFormatting sqref="U17:U26">
    <cfRule type="containsText" dxfId="86" priority="87" operator="containsText" text="STRONG">
      <formula>NOT(ISERROR(SEARCH("STRONG",U17)))</formula>
    </cfRule>
  </conditionalFormatting>
  <conditionalFormatting sqref="U17:U26">
    <cfRule type="containsText" dxfId="85" priority="86" operator="containsText" text="VSTRONG">
      <formula>NOT(ISERROR(SEARCH("VSTRONG",U17)))</formula>
    </cfRule>
  </conditionalFormatting>
  <conditionalFormatting sqref="W17:W26">
    <cfRule type="containsText" dxfId="84" priority="85" operator="containsText" text="FEMALE DOM">
      <formula>NOT(ISERROR(SEARCH("FEMALE DOM",W17)))</formula>
    </cfRule>
  </conditionalFormatting>
  <conditionalFormatting sqref="T17:T26">
    <cfRule type="containsText" dxfId="83" priority="84" operator="containsText" text="AVG">
      <formula>NOT(ISERROR(SEARCH("AVG",T17)))</formula>
    </cfRule>
  </conditionalFormatting>
  <conditionalFormatting sqref="V17:V26">
    <cfRule type="cellIs" dxfId="82" priority="83" operator="equal">
      <formula>"VWEAK"</formula>
    </cfRule>
  </conditionalFormatting>
  <conditionalFormatting sqref="U17:V26">
    <cfRule type="containsText" dxfId="81" priority="82" operator="containsText" text="AVG">
      <formula>NOT(ISERROR(SEARCH("AVG",U17)))</formula>
    </cfRule>
  </conditionalFormatting>
  <conditionalFormatting sqref="V17:V26">
    <cfRule type="containsText" dxfId="80" priority="81" operator="containsText" text="VSTRONG">
      <formula>NOT(ISERROR(SEARCH("VSTRONG",V17)))</formula>
    </cfRule>
  </conditionalFormatting>
  <conditionalFormatting sqref="W17:W26">
    <cfRule type="containsText" dxfId="79" priority="80" operator="containsText" text="MEN">
      <formula>NOT(ISERROR(SEARCH("MEN",W17)))</formula>
    </cfRule>
  </conditionalFormatting>
  <conditionalFormatting sqref="T17:T26">
    <cfRule type="containsText" dxfId="78" priority="79" operator="containsText" text="AVG">
      <formula>NOT(ISERROR(SEARCH("AVG",T17)))</formula>
    </cfRule>
  </conditionalFormatting>
  <conditionalFormatting sqref="T17:T26">
    <cfRule type="cellIs" dxfId="77" priority="78" operator="equal">
      <formula>"STRONG"</formula>
    </cfRule>
  </conditionalFormatting>
  <conditionalFormatting sqref="T17:T26">
    <cfRule type="containsText" dxfId="76" priority="77" operator="containsText" text="VSTRONG">
      <formula>NOT(ISERROR(SEARCH("VSTRONG",T17)))</formula>
    </cfRule>
  </conditionalFormatting>
  <conditionalFormatting sqref="U17:U26">
    <cfRule type="containsText" dxfId="75" priority="76" operator="containsText" text="STRONG">
      <formula>NOT(ISERROR(SEARCH("STRONG",U17)))</formula>
    </cfRule>
  </conditionalFormatting>
  <conditionalFormatting sqref="U17:U26">
    <cfRule type="containsText" dxfId="74" priority="75" operator="containsText" text="VSTRONG">
      <formula>NOT(ISERROR(SEARCH("VSTRONG",U17)))</formula>
    </cfRule>
  </conditionalFormatting>
  <conditionalFormatting sqref="W17:W26">
    <cfRule type="containsText" dxfId="73" priority="74" operator="containsText" text="FEMALE DOM">
      <formula>NOT(ISERROR(SEARCH("FEMALE DOM",W17)))</formula>
    </cfRule>
  </conditionalFormatting>
  <conditionalFormatting sqref="T17:T26">
    <cfRule type="containsText" dxfId="72" priority="73" operator="containsText" text="AVG">
      <formula>NOT(ISERROR(SEARCH("AVG",T17)))</formula>
    </cfRule>
  </conditionalFormatting>
  <conditionalFormatting sqref="V17:V26">
    <cfRule type="cellIs" dxfId="71" priority="72" operator="equal">
      <formula>"VWEAK"</formula>
    </cfRule>
  </conditionalFormatting>
  <conditionalFormatting sqref="U17:V26">
    <cfRule type="containsText" dxfId="70" priority="71" operator="containsText" text="AVG">
      <formula>NOT(ISERROR(SEARCH("AVG",U17)))</formula>
    </cfRule>
  </conditionalFormatting>
  <conditionalFormatting sqref="V17:V26">
    <cfRule type="containsText" dxfId="69" priority="70" operator="containsText" text="VSTRONG">
      <formula>NOT(ISERROR(SEARCH("VSTRONG",V17)))</formula>
    </cfRule>
  </conditionalFormatting>
  <conditionalFormatting sqref="W17:W26">
    <cfRule type="containsText" dxfId="68" priority="69" operator="containsText" text="MEN">
      <formula>NOT(ISERROR(SEARCH("MEN",W17)))</formula>
    </cfRule>
  </conditionalFormatting>
  <conditionalFormatting sqref="X17:X26">
    <cfRule type="containsText" dxfId="67" priority="68" operator="containsText" text="O">
      <formula>NOT(ISERROR(SEARCH("O",X17)))</formula>
    </cfRule>
  </conditionalFormatting>
  <conditionalFormatting sqref="X17:X26">
    <cfRule type="containsText" dxfId="66" priority="66" operator="containsText" text="H">
      <formula>NOT(ISERROR(SEARCH("H",X17)))</formula>
    </cfRule>
    <cfRule type="containsText" dxfId="65" priority="67" operator="containsText" text="H">
      <formula>NOT(ISERROR(SEARCH("H",X17)))</formula>
    </cfRule>
  </conditionalFormatting>
  <conditionalFormatting sqref="X17:X26">
    <cfRule type="containsText" dxfId="64" priority="65" operator="containsText" text="H">
      <formula>NOT(ISERROR(SEARCH("H",X17)))</formula>
    </cfRule>
  </conditionalFormatting>
  <conditionalFormatting sqref="T17:T26">
    <cfRule type="containsText" dxfId="63" priority="64" operator="containsText" text="AVG">
      <formula>NOT(ISERROR(SEARCH("AVG",T17)))</formula>
    </cfRule>
  </conditionalFormatting>
  <conditionalFormatting sqref="T17:T26">
    <cfRule type="cellIs" dxfId="62" priority="63" operator="equal">
      <formula>"STRONG"</formula>
    </cfRule>
  </conditionalFormatting>
  <conditionalFormatting sqref="T17:T26">
    <cfRule type="containsText" dxfId="61" priority="62" operator="containsText" text="VSTRONG">
      <formula>NOT(ISERROR(SEARCH("VSTRONG",T17)))</formula>
    </cfRule>
  </conditionalFormatting>
  <conditionalFormatting sqref="U17:U26">
    <cfRule type="containsText" dxfId="60" priority="61" operator="containsText" text="STRONG">
      <formula>NOT(ISERROR(SEARCH("STRONG",U17)))</formula>
    </cfRule>
  </conditionalFormatting>
  <conditionalFormatting sqref="U17:U26">
    <cfRule type="containsText" dxfId="59" priority="60" operator="containsText" text="VSTRONG">
      <formula>NOT(ISERROR(SEARCH("VSTRONG",U17)))</formula>
    </cfRule>
  </conditionalFormatting>
  <conditionalFormatting sqref="W17:W26">
    <cfRule type="containsText" dxfId="58" priority="59" operator="containsText" text="FEMALE DOM">
      <formula>NOT(ISERROR(SEARCH("FEMALE DOM",W17)))</formula>
    </cfRule>
  </conditionalFormatting>
  <conditionalFormatting sqref="T17:T26">
    <cfRule type="containsText" dxfId="57" priority="58" operator="containsText" text="AVG">
      <formula>NOT(ISERROR(SEARCH("AVG",T17)))</formula>
    </cfRule>
  </conditionalFormatting>
  <conditionalFormatting sqref="V17:V26">
    <cfRule type="cellIs" dxfId="56" priority="57" operator="equal">
      <formula>"VWEAK"</formula>
    </cfRule>
  </conditionalFormatting>
  <conditionalFormatting sqref="U17:V26">
    <cfRule type="containsText" dxfId="55" priority="56" operator="containsText" text="AVG">
      <formula>NOT(ISERROR(SEARCH("AVG",U17)))</formula>
    </cfRule>
  </conditionalFormatting>
  <conditionalFormatting sqref="V17:V26">
    <cfRule type="containsText" dxfId="54" priority="55" operator="containsText" text="VSTRONG">
      <formula>NOT(ISERROR(SEARCH("VSTRONG",V17)))</formula>
    </cfRule>
  </conditionalFormatting>
  <conditionalFormatting sqref="W17:W26">
    <cfRule type="containsText" dxfId="53" priority="54" operator="containsText" text="MEN">
      <formula>NOT(ISERROR(SEARCH("MEN",W17)))</formula>
    </cfRule>
  </conditionalFormatting>
  <conditionalFormatting sqref="X17:X26">
    <cfRule type="containsText" dxfId="52" priority="53" operator="containsText" text="O">
      <formula>NOT(ISERROR(SEARCH("O",X17)))</formula>
    </cfRule>
  </conditionalFormatting>
  <conditionalFormatting sqref="X17:X26">
    <cfRule type="containsText" dxfId="51" priority="51" operator="containsText" text="H">
      <formula>NOT(ISERROR(SEARCH("H",X17)))</formula>
    </cfRule>
    <cfRule type="containsText" dxfId="50" priority="52" operator="containsText" text="H">
      <formula>NOT(ISERROR(SEARCH("H",X17)))</formula>
    </cfRule>
  </conditionalFormatting>
  <conditionalFormatting sqref="X17:X26">
    <cfRule type="containsText" dxfId="49" priority="50" operator="containsText" text="H">
      <formula>NOT(ISERROR(SEARCH("H",X17)))</formula>
    </cfRule>
  </conditionalFormatting>
  <conditionalFormatting sqref="X18:X26">
    <cfRule type="containsText" dxfId="48" priority="49" operator="containsText" text="O">
      <formula>NOT(ISERROR(SEARCH("O",X18)))</formula>
    </cfRule>
  </conditionalFormatting>
  <conditionalFormatting sqref="X18:X26">
    <cfRule type="containsText" dxfId="47" priority="47" operator="containsText" text="H">
      <formula>NOT(ISERROR(SEARCH("H",X18)))</formula>
    </cfRule>
    <cfRule type="containsText" dxfId="46" priority="48" operator="containsText" text="H">
      <formula>NOT(ISERROR(SEARCH("H",X18)))</formula>
    </cfRule>
  </conditionalFormatting>
  <conditionalFormatting sqref="X18:X26">
    <cfRule type="containsText" dxfId="45" priority="46" operator="containsText" text="H">
      <formula>NOT(ISERROR(SEARCH("H",X18)))</formula>
    </cfRule>
  </conditionalFormatting>
  <conditionalFormatting sqref="T31:T32">
    <cfRule type="containsText" dxfId="44" priority="45" operator="containsText" text="AVG">
      <formula>NOT(ISERROR(SEARCH("AVG",T31)))</formula>
    </cfRule>
  </conditionalFormatting>
  <conditionalFormatting sqref="T31:T32">
    <cfRule type="cellIs" dxfId="43" priority="44" operator="equal">
      <formula>"STRONG"</formula>
    </cfRule>
  </conditionalFormatting>
  <conditionalFormatting sqref="T31:T32">
    <cfRule type="containsText" dxfId="42" priority="43" operator="containsText" text="VSTRONG">
      <formula>NOT(ISERROR(SEARCH("VSTRONG",T31)))</formula>
    </cfRule>
  </conditionalFormatting>
  <conditionalFormatting sqref="U31:U32">
    <cfRule type="containsText" dxfId="41" priority="42" operator="containsText" text="STRONG">
      <formula>NOT(ISERROR(SEARCH("STRONG",U31)))</formula>
    </cfRule>
  </conditionalFormatting>
  <conditionalFormatting sqref="U31:U32">
    <cfRule type="containsText" dxfId="40" priority="41" operator="containsText" text="VSTRONG">
      <formula>NOT(ISERROR(SEARCH("VSTRONG",U31)))</formula>
    </cfRule>
  </conditionalFormatting>
  <conditionalFormatting sqref="W31:W32">
    <cfRule type="containsText" dxfId="39" priority="40" operator="containsText" text="FEMALE DOM">
      <formula>NOT(ISERROR(SEARCH("FEMALE DOM",W31)))</formula>
    </cfRule>
  </conditionalFormatting>
  <conditionalFormatting sqref="T31:T32">
    <cfRule type="containsText" dxfId="38" priority="39" operator="containsText" text="AVG">
      <formula>NOT(ISERROR(SEARCH("AVG",T31)))</formula>
    </cfRule>
  </conditionalFormatting>
  <conditionalFormatting sqref="V31:V32">
    <cfRule type="cellIs" dxfId="37" priority="38" operator="equal">
      <formula>"VWEAK"</formula>
    </cfRule>
  </conditionalFormatting>
  <conditionalFormatting sqref="U31:V32">
    <cfRule type="containsText" dxfId="36" priority="37" operator="containsText" text="AVG">
      <formula>NOT(ISERROR(SEARCH("AVG",U31)))</formula>
    </cfRule>
  </conditionalFormatting>
  <conditionalFormatting sqref="V31:V32">
    <cfRule type="containsText" dxfId="35" priority="36" operator="containsText" text="VSTRONG">
      <formula>NOT(ISERROR(SEARCH("VSTRONG",V31)))</formula>
    </cfRule>
  </conditionalFormatting>
  <conditionalFormatting sqref="W31:W32">
    <cfRule type="containsText" dxfId="34" priority="35" operator="containsText" text="MEN">
      <formula>NOT(ISERROR(SEARCH("MEN",W31)))</formula>
    </cfRule>
  </conditionalFormatting>
  <conditionalFormatting sqref="X32">
    <cfRule type="containsText" dxfId="33" priority="34" operator="containsText" text="O">
      <formula>NOT(ISERROR(SEARCH("O",X32)))</formula>
    </cfRule>
  </conditionalFormatting>
  <conditionalFormatting sqref="X32">
    <cfRule type="containsText" dxfId="32" priority="32" operator="containsText" text="H">
      <formula>NOT(ISERROR(SEARCH("H",X32)))</formula>
    </cfRule>
    <cfRule type="containsText" dxfId="31" priority="33" operator="containsText" text="H">
      <formula>NOT(ISERROR(SEARCH("H",X32)))</formula>
    </cfRule>
  </conditionalFormatting>
  <conditionalFormatting sqref="X32">
    <cfRule type="containsText" dxfId="30" priority="31" operator="containsText" text="H">
      <formula>NOT(ISERROR(SEARCH("H",X32)))</formula>
    </cfRule>
  </conditionalFormatting>
  <conditionalFormatting sqref="T31:T32">
    <cfRule type="containsText" dxfId="29" priority="30" operator="containsText" text="AVG">
      <formula>NOT(ISERROR(SEARCH("AVG",T31)))</formula>
    </cfRule>
  </conditionalFormatting>
  <conditionalFormatting sqref="T31:T32">
    <cfRule type="cellIs" dxfId="28" priority="29" operator="equal">
      <formula>"STRONG"</formula>
    </cfRule>
  </conditionalFormatting>
  <conditionalFormatting sqref="T31:T32">
    <cfRule type="containsText" dxfId="27" priority="28" operator="containsText" text="VSTRONG">
      <formula>NOT(ISERROR(SEARCH("VSTRONG",T31)))</formula>
    </cfRule>
  </conditionalFormatting>
  <conditionalFormatting sqref="U31:U32">
    <cfRule type="containsText" dxfId="26" priority="27" operator="containsText" text="STRONG">
      <formula>NOT(ISERROR(SEARCH("STRONG",U31)))</formula>
    </cfRule>
  </conditionalFormatting>
  <conditionalFormatting sqref="U31:U32">
    <cfRule type="containsText" dxfId="25" priority="26" operator="containsText" text="VSTRONG">
      <formula>NOT(ISERROR(SEARCH("VSTRONG",U31)))</formula>
    </cfRule>
  </conditionalFormatting>
  <conditionalFormatting sqref="W31:W32">
    <cfRule type="containsText" dxfId="24" priority="25" operator="containsText" text="FEMALE DOM">
      <formula>NOT(ISERROR(SEARCH("FEMALE DOM",W31)))</formula>
    </cfRule>
  </conditionalFormatting>
  <conditionalFormatting sqref="T31:T32">
    <cfRule type="containsText" dxfId="23" priority="24" operator="containsText" text="AVG">
      <formula>NOT(ISERROR(SEARCH("AVG",T31)))</formula>
    </cfRule>
  </conditionalFormatting>
  <conditionalFormatting sqref="V31:V32">
    <cfRule type="cellIs" dxfId="22" priority="23" operator="equal">
      <formula>"VWEAK"</formula>
    </cfRule>
  </conditionalFormatting>
  <conditionalFormatting sqref="U31:V32">
    <cfRule type="containsText" dxfId="21" priority="22" operator="containsText" text="AVG">
      <formula>NOT(ISERROR(SEARCH("AVG",U31)))</formula>
    </cfRule>
  </conditionalFormatting>
  <conditionalFormatting sqref="V31:V32">
    <cfRule type="containsText" dxfId="20" priority="21" operator="containsText" text="VSTRONG">
      <formula>NOT(ISERROR(SEARCH("VSTRONG",V31)))</formula>
    </cfRule>
  </conditionalFormatting>
  <conditionalFormatting sqref="W31:W32">
    <cfRule type="containsText" dxfId="19" priority="20" operator="containsText" text="MEN">
      <formula>NOT(ISERROR(SEARCH("MEN",W31)))</formula>
    </cfRule>
  </conditionalFormatting>
  <conditionalFormatting sqref="X31:X32">
    <cfRule type="containsText" dxfId="18" priority="19" operator="containsText" text="O">
      <formula>NOT(ISERROR(SEARCH("O",X31)))</formula>
    </cfRule>
  </conditionalFormatting>
  <conditionalFormatting sqref="X31:X32">
    <cfRule type="containsText" dxfId="17" priority="17" operator="containsText" text="H">
      <formula>NOT(ISERROR(SEARCH("H",X31)))</formula>
    </cfRule>
    <cfRule type="containsText" dxfId="16" priority="18" operator="containsText" text="H">
      <formula>NOT(ISERROR(SEARCH("H",X31)))</formula>
    </cfRule>
  </conditionalFormatting>
  <conditionalFormatting sqref="X31:X32">
    <cfRule type="containsText" dxfId="15" priority="16" operator="containsText" text="H">
      <formula>NOT(ISERROR(SEARCH("H",X31)))</formula>
    </cfRule>
  </conditionalFormatting>
  <conditionalFormatting sqref="T31:T32">
    <cfRule type="containsText" dxfId="14" priority="15" operator="containsText" text="AVG">
      <formula>NOT(ISERROR(SEARCH("AVG",T31)))</formula>
    </cfRule>
  </conditionalFormatting>
  <conditionalFormatting sqref="T31:T32">
    <cfRule type="cellIs" dxfId="13" priority="14" operator="equal">
      <formula>"STRONG"</formula>
    </cfRule>
  </conditionalFormatting>
  <conditionalFormatting sqref="T31:T32">
    <cfRule type="containsText" dxfId="12" priority="13" operator="containsText" text="VSTRONG">
      <formula>NOT(ISERROR(SEARCH("VSTRONG",T31)))</formula>
    </cfRule>
  </conditionalFormatting>
  <conditionalFormatting sqref="U31:U32">
    <cfRule type="containsText" dxfId="11" priority="12" operator="containsText" text="STRONG">
      <formula>NOT(ISERROR(SEARCH("STRONG",U31)))</formula>
    </cfRule>
  </conditionalFormatting>
  <conditionalFormatting sqref="U31:U32">
    <cfRule type="containsText" dxfId="10" priority="11" operator="containsText" text="VSTRONG">
      <formula>NOT(ISERROR(SEARCH("VSTRONG",U31)))</formula>
    </cfRule>
  </conditionalFormatting>
  <conditionalFormatting sqref="W31:W32">
    <cfRule type="containsText" dxfId="9" priority="10" operator="containsText" text="FEMALE DOM">
      <formula>NOT(ISERROR(SEARCH("FEMALE DOM",W31)))</formula>
    </cfRule>
  </conditionalFormatting>
  <conditionalFormatting sqref="T31:T32">
    <cfRule type="containsText" dxfId="8" priority="9" operator="containsText" text="AVG">
      <formula>NOT(ISERROR(SEARCH("AVG",T31)))</formula>
    </cfRule>
  </conditionalFormatting>
  <conditionalFormatting sqref="V31:V32">
    <cfRule type="cellIs" dxfId="7" priority="8" operator="equal">
      <formula>"VWEAK"</formula>
    </cfRule>
  </conditionalFormatting>
  <conditionalFormatting sqref="U31:V32">
    <cfRule type="containsText" dxfId="6" priority="7" operator="containsText" text="AVG">
      <formula>NOT(ISERROR(SEARCH("AVG",U31)))</formula>
    </cfRule>
  </conditionalFormatting>
  <conditionalFormatting sqref="V31:V32">
    <cfRule type="containsText" dxfId="5" priority="6" operator="containsText" text="VSTRONG">
      <formula>NOT(ISERROR(SEARCH("VSTRONG",V31)))</formula>
    </cfRule>
  </conditionalFormatting>
  <conditionalFormatting sqref="W31:W32">
    <cfRule type="containsText" dxfId="4" priority="5" operator="containsText" text="MEN">
      <formula>NOT(ISERROR(SEARCH("MEN",W31)))</formula>
    </cfRule>
  </conditionalFormatting>
  <conditionalFormatting sqref="X31:X32">
    <cfRule type="containsText" dxfId="3" priority="4" operator="containsText" text="O">
      <formula>NOT(ISERROR(SEARCH("O",X31)))</formula>
    </cfRule>
  </conditionalFormatting>
  <conditionalFormatting sqref="X31:X32">
    <cfRule type="containsText" dxfId="2" priority="2" operator="containsText" text="H">
      <formula>NOT(ISERROR(SEARCH("H",X31)))</formula>
    </cfRule>
    <cfRule type="containsText" dxfId="1" priority="3" operator="containsText" text="H">
      <formula>NOT(ISERROR(SEARCH("H",X31)))</formula>
    </cfRule>
  </conditionalFormatting>
  <conditionalFormatting sqref="X31:X32">
    <cfRule type="containsText" dxfId="0" priority="1" operator="containsText" text="H">
      <formula>NOT(ISERROR(SEARCH("H",X31)))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 YEAR WARD WISE ANALYSIS</vt:lpstr>
      <vt:lpstr>BJP WIN OR LOSS</vt:lpstr>
      <vt:lpstr>BJP</vt:lpstr>
      <vt:lpstr>CONGRESS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2018-11-15T10:45:39Z</dcterms:created>
  <dcterms:modified xsi:type="dcterms:W3CDTF">2018-11-22T05:46:24Z</dcterms:modified>
</cp:coreProperties>
</file>