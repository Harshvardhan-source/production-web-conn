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firstSheet="4" activeTab="10"/>
  </bookViews>
  <sheets>
    <sheet name="BOOTHWISE" sheetId="1" r:id="rId1"/>
    <sheet name="WARD-BOOTH" sheetId="2" r:id="rId2"/>
    <sheet name="ATTAVARA" sheetId="5" r:id="rId3"/>
    <sheet name="ATTAVARA-18" sheetId="42" r:id="rId4"/>
    <sheet name="ALAPE-S" sheetId="4" r:id="rId5"/>
    <sheet name="ALAPE-S18" sheetId="43" r:id="rId6"/>
    <sheet name=" ALAPE-N" sheetId="3" r:id="rId7"/>
    <sheet name="ALAPE-N18" sheetId="44" r:id="rId8"/>
    <sheet name="BAJAL" sheetId="6" r:id="rId9"/>
    <sheet name="BAJAL-18" sheetId="45" r:id="rId10"/>
    <sheet name="BEJAI" sheetId="7" r:id="rId11"/>
    <sheet name="BEJAI-18" sheetId="46" r:id="rId12"/>
    <sheet name="BENDUR" sheetId="8" r:id="rId13"/>
    <sheet name="BENDR-18" sheetId="47" r:id="rId14"/>
    <sheet name="BENGRE" sheetId="9" r:id="rId15"/>
    <sheet name="BENGRE-18" sheetId="48" r:id="rId16"/>
    <sheet name="BOLAR" sheetId="10" r:id="rId17"/>
    <sheet name="BOLAR-18" sheetId="49" r:id="rId18"/>
    <sheet name="BOLOOR" sheetId="11" r:id="rId19"/>
    <sheet name="BOLOOR-18" sheetId="50" r:id="rId20"/>
    <sheet name="BUNDER" sheetId="12" r:id="rId21"/>
    <sheet name="BNDER-18" sheetId="51" r:id="rId22"/>
    <sheet name="CENTRAL" sheetId="13" r:id="rId23"/>
    <sheet name="CENTRAL-18" sheetId="52" r:id="rId24"/>
    <sheet name="CONTONMENT" sheetId="14" r:id="rId25"/>
    <sheet name="CONTONMENT-18" sheetId="53" r:id="rId26"/>
    <sheet name="COURT" sheetId="15" r:id="rId27"/>
    <sheet name="CORT-18" sheetId="54" r:id="rId28"/>
    <sheet name="DEREBAIL NAIRTHYA" sheetId="17" r:id="rId29"/>
    <sheet name="DEREBAILNAIRTYHYA18" sheetId="55" r:id="rId30"/>
    <sheet name="DEREBAIL SOUTH" sheetId="16" r:id="rId31"/>
    <sheet name="DEREBAIL SOTH18" sheetId="57" r:id="rId32"/>
    <sheet name="DEREBAIL WEST" sheetId="18" r:id="rId33"/>
    <sheet name="DEREBAIL WEST18" sheetId="58" r:id="rId34"/>
    <sheet name="DONGARAKERI" sheetId="19" r:id="rId35"/>
    <sheet name="DONGARKERI-18" sheetId="59" r:id="rId36"/>
    <sheet name="FALNIR" sheetId="20" r:id="rId37"/>
    <sheet name="FALNIR-18" sheetId="60" r:id="rId38"/>
    <sheet name="HOIGE BAZAR" sheetId="21" r:id="rId39"/>
    <sheet name="HOIGE BAZAR-18" sheetId="61" r:id="rId40"/>
    <sheet name="JEPPINAMOGAR" sheetId="22" r:id="rId41"/>
    <sheet name="JEPPINAMOGAR-18" sheetId="62" r:id="rId42"/>
    <sheet name="JEPPU" sheetId="23" r:id="rId43"/>
    <sheet name="JEPPU-18" sheetId="63" r:id="rId44"/>
    <sheet name="KADRI NORTH" sheetId="24" r:id="rId45"/>
    <sheet name="KADRI-18" sheetId="64" r:id="rId46"/>
    <sheet name="KADRI SOUTH" sheetId="25" r:id="rId47"/>
    <sheet name="KADRI(S)-18" sheetId="65" r:id="rId48"/>
    <sheet name="KAMBALA" sheetId="26" r:id="rId49"/>
    <sheet name="KAMBALA-18" sheetId="66" r:id="rId50"/>
    <sheet name="KANKANADY" sheetId="27" r:id="rId51"/>
    <sheet name="KANKANADY-18" sheetId="67" r:id="rId52"/>
    <sheet name="KANNUR" sheetId="28" r:id="rId53"/>
    <sheet name="KANNUR-18" sheetId="68" r:id="rId54"/>
    <sheet name="KODIALBAIL" sheetId="29" r:id="rId55"/>
    <sheet name="KODIALBAIL-18" sheetId="69" r:id="rId56"/>
    <sheet name="KUDROLI" sheetId="30" r:id="rId57"/>
    <sheet name="KUDROLI-18" sheetId="70" r:id="rId58"/>
    <sheet name="MANNAGUDA" sheetId="31" r:id="rId59"/>
    <sheet name="MANNAGDA-18" sheetId="71" r:id="rId60"/>
    <sheet name="MAROLI" sheetId="32" r:id="rId61"/>
    <sheet name="MAROLI-18" sheetId="72" r:id="rId62"/>
    <sheet name="MILAGRESS" sheetId="33" r:id="rId63"/>
    <sheet name="MILAGRESS-18" sheetId="73" r:id="rId64"/>
    <sheet name="PADAV CENTRAL" sheetId="34" r:id="rId65"/>
    <sheet name="PADAV CENTRAL-18" sheetId="74" r:id="rId66"/>
    <sheet name="PADAV EAST" sheetId="35" r:id="rId67"/>
    <sheet name="PADAV EAST-18" sheetId="75" r:id="rId68"/>
    <sheet name="PADAV WEST" sheetId="36" r:id="rId69"/>
    <sheet name="PADAV WEST-18" sheetId="76" r:id="rId70"/>
    <sheet name="PORT" sheetId="37" r:id="rId71"/>
    <sheet name="PORT-18" sheetId="77" r:id="rId72"/>
    <sheet name="SHIVABAGH" sheetId="38" r:id="rId73"/>
    <sheet name="SHIVABAGH-18" sheetId="78" r:id="rId74"/>
    <sheet name="VALENCIA" sheetId="39" r:id="rId75"/>
    <sheet name="VALENCIA-18" sheetId="79" r:id="rId76"/>
    <sheet name="MAIN WARD" sheetId="41" r:id="rId7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<sst xmlns="http://schemas.openxmlformats.org/spreadsheetml/2006/main" count="4480" uniqueCount="385">
  <si>
    <t>Booth</t>
  </si>
  <si>
    <t xml:space="preserve">No of Valid Votes Cast in favor of </t>
  </si>
  <si>
    <t>Total of Valid Votes</t>
  </si>
  <si>
    <t>No.Of Rejected votes</t>
  </si>
  <si>
    <t>NOTA</t>
  </si>
  <si>
    <t>Total</t>
  </si>
  <si>
    <t>No.Of Tendered Votes</t>
  </si>
  <si>
    <t>J.R.LOBO</t>
  </si>
  <si>
    <t>D.VEDAVYASA KAMATH</t>
  </si>
  <si>
    <t>S</t>
  </si>
  <si>
    <t>K.SANTHOSH KAMATH</t>
  </si>
  <si>
    <t>DHARMENDRA</t>
  </si>
  <si>
    <t>WINNY  PINTO</t>
  </si>
  <si>
    <t>K.S.PAI</t>
  </si>
  <si>
    <t>total analytics</t>
  </si>
  <si>
    <t>TOTAL VOTERS</t>
  </si>
  <si>
    <t>WARD NAME</t>
  </si>
  <si>
    <t>TOTAL POLLING %</t>
  </si>
  <si>
    <t>BJP%</t>
  </si>
  <si>
    <t>CONGRESS %</t>
  </si>
  <si>
    <t>JDS %</t>
  </si>
  <si>
    <t>AAP%</t>
  </si>
  <si>
    <t>TOTAL INDEPENDENT %</t>
  </si>
  <si>
    <t>NOTA%</t>
  </si>
  <si>
    <t>TEMPTOTAL</t>
  </si>
  <si>
    <t>APP ENTRY TALLY</t>
  </si>
  <si>
    <t>DIFFERENCE</t>
  </si>
  <si>
    <t>ALAPE NORTH</t>
  </si>
  <si>
    <t>ALAPE SOUTH</t>
  </si>
  <si>
    <t>ATHAVARA</t>
  </si>
  <si>
    <t>BAJAL</t>
  </si>
  <si>
    <t>BEJAI</t>
  </si>
  <si>
    <t>BENDOOR</t>
  </si>
  <si>
    <t>BENGRE</t>
  </si>
  <si>
    <t>BOLAR</t>
  </si>
  <si>
    <t>BOLOOR</t>
  </si>
  <si>
    <t>BUNDER</t>
  </si>
  <si>
    <t>CENTRAL</t>
  </si>
  <si>
    <t>CONTONMENT</t>
  </si>
  <si>
    <t>COURT</t>
  </si>
  <si>
    <t>DEREBAIL NAIRUTHYA</t>
  </si>
  <si>
    <t>DEREBAIL SOUTH</t>
  </si>
  <si>
    <t>DEREBAIL WEST</t>
  </si>
  <si>
    <t>DONGARAKERY</t>
  </si>
  <si>
    <t>FALNIR</t>
  </si>
  <si>
    <t>HOIGE BAZAR</t>
  </si>
  <si>
    <t>JAPPIMOGAR</t>
  </si>
  <si>
    <t>JEPPU</t>
  </si>
  <si>
    <t>KADRI NORTH</t>
  </si>
  <si>
    <t>KADRI SOUTH</t>
  </si>
  <si>
    <t>KAMBALA</t>
  </si>
  <si>
    <t>KANKANADY</t>
  </si>
  <si>
    <t>KANNUR</t>
  </si>
  <si>
    <t>KODIALBAIL</t>
  </si>
  <si>
    <t>KUDROLI</t>
  </si>
  <si>
    <t>MANGALADEVI</t>
  </si>
  <si>
    <t>MANNAGDDA</t>
  </si>
  <si>
    <t>MAROLI</t>
  </si>
  <si>
    <t>MILAGRESS</t>
  </si>
  <si>
    <t>PADAV CENTRAL</t>
  </si>
  <si>
    <t>PADAV-EAST</t>
  </si>
  <si>
    <t>PADAV-WEST</t>
  </si>
  <si>
    <t>PORT</t>
  </si>
  <si>
    <t>SHIVABAGH</t>
  </si>
  <si>
    <t>VALENCIA</t>
  </si>
  <si>
    <t xml:space="preserve">BJP V/S CONG(DIFF) </t>
  </si>
  <si>
    <t>BJP V/S OP</t>
  </si>
  <si>
    <t>BOOTH CATEGORIZATION</t>
  </si>
  <si>
    <t>POLLING STATION STATS</t>
  </si>
  <si>
    <t>BJP/CONGRESS</t>
  </si>
  <si>
    <t>Electors Total</t>
  </si>
  <si>
    <t>Electors Polled</t>
  </si>
  <si>
    <t>Male Total</t>
  </si>
  <si>
    <t>Male Polled</t>
  </si>
  <si>
    <t>Female Total</t>
  </si>
  <si>
    <t>Female Polled</t>
  </si>
  <si>
    <t>Hindus Total</t>
  </si>
  <si>
    <t>Hindus Polled</t>
  </si>
  <si>
    <t>Muslims Total</t>
  </si>
  <si>
    <t>Muslims Polled</t>
  </si>
  <si>
    <t>Christians Total</t>
  </si>
  <si>
    <t>Christian polled</t>
  </si>
  <si>
    <t>MALE %</t>
  </si>
  <si>
    <t>TOTAL MALE POLLED%</t>
  </si>
  <si>
    <t>FEMALE %</t>
  </si>
  <si>
    <t>TOTAL FEMALE POLLED %</t>
  </si>
  <si>
    <t>GENDER STATS</t>
  </si>
  <si>
    <t>MEN POLLING V/S FEMALE POLLING</t>
  </si>
  <si>
    <t>TOTAL HINDU%</t>
  </si>
  <si>
    <t>TOTAL HINDU POLLED %</t>
  </si>
  <si>
    <t>TOTAL MUSLIM %</t>
  </si>
  <si>
    <t>TOTAL MUSLIM POLLED %</t>
  </si>
  <si>
    <t>TOTAL CHRISTIAN %</t>
  </si>
  <si>
    <t>TOTAL  CHRISTIAN POLLED %</t>
  </si>
  <si>
    <t>MAJORITY VS MINORITY</t>
  </si>
  <si>
    <t>POLLING MAJORITY VS MINORITY</t>
  </si>
  <si>
    <t>TOTAL BOOTH 7</t>
  </si>
  <si>
    <t>BOOTH WISE CATEGORIZATION</t>
  </si>
  <si>
    <t>COMPARITIVE ANALYSIS</t>
  </si>
  <si>
    <t xml:space="preserve">BJP WON </t>
  </si>
  <si>
    <t>NARROW</t>
  </si>
  <si>
    <t>BJP %(2018)</t>
  </si>
  <si>
    <t>BJP%(2023)</t>
  </si>
  <si>
    <t>MEDIUM</t>
  </si>
  <si>
    <t>CONGRESS %(2018)</t>
  </si>
  <si>
    <t>CONGRESS%(2023)</t>
  </si>
  <si>
    <t>CONGRESS WON</t>
  </si>
  <si>
    <t>STRONG</t>
  </si>
  <si>
    <t>TOTAL POLLED (2018)</t>
  </si>
  <si>
    <t>TOTAL POLLED (2023)</t>
  </si>
  <si>
    <t>LOST</t>
  </si>
  <si>
    <t>TOTAL GAIN/LOSS</t>
  </si>
  <si>
    <t>BJP%(18/23)</t>
  </si>
  <si>
    <t>CONGRESS%(18/23)</t>
  </si>
  <si>
    <t>INCREASE/DECREASE</t>
  </si>
  <si>
    <t>TWO BOOTHS HAS BEEN ADDED IN 2023</t>
  </si>
  <si>
    <t>BOOTH NO</t>
  </si>
  <si>
    <t>PS ADDRESS</t>
  </si>
  <si>
    <t>TOTAL POLLED</t>
  </si>
  <si>
    <t>BJP</t>
  </si>
  <si>
    <t>BJP %</t>
  </si>
  <si>
    <t>INC</t>
  </si>
  <si>
    <t>INC %</t>
  </si>
  <si>
    <t>JDS</t>
  </si>
  <si>
    <t>CPI</t>
  </si>
  <si>
    <t>CPI%</t>
  </si>
  <si>
    <t>MALE VOTERS</t>
  </si>
  <si>
    <t>FEMALE VOTERS</t>
  </si>
  <si>
    <t>PERCENTAGE POLLING</t>
  </si>
  <si>
    <t>HINDU</t>
  </si>
  <si>
    <t>HINDU PERCENTAGE IN THE CONSTITUENCY</t>
  </si>
  <si>
    <t>HINDU NOT POLLED</t>
  </si>
  <si>
    <t>% of HINDU NON VOTERS</t>
  </si>
  <si>
    <t xml:space="preserve">HINDU POLLED </t>
  </si>
  <si>
    <t>% OF HINDU VOTERS</t>
  </si>
  <si>
    <t>others</t>
  </si>
  <si>
    <t>OTHERS %</t>
  </si>
  <si>
    <t>others  NOT POLLED</t>
  </si>
  <si>
    <t>% OF OTHERS NOT POLLED</t>
  </si>
  <si>
    <t>others polled</t>
  </si>
  <si>
    <t>%</t>
  </si>
  <si>
    <t>BOOTH STATUS(POOLING)</t>
  </si>
  <si>
    <t>HINDU POPULATION STATUS</t>
  </si>
  <si>
    <t>OTHERS POPULATION STATUS</t>
  </si>
  <si>
    <t>GENDER RATIO</t>
  </si>
  <si>
    <t xml:space="preserve">ratio of comparision non voters </t>
  </si>
  <si>
    <t>VOTE TRANSITION</t>
  </si>
  <si>
    <t>WIN STATUS</t>
  </si>
  <si>
    <t>Dakshina Kannad Zilla Panchayath Lower PrimarySchool,Babugudde Attavar (Middle portion  )</t>
  </si>
  <si>
    <t>Dakshina Kannada Zilla PanchayathLowerPrimarySchool,Babugudde Attavara(West Portion )</t>
  </si>
  <si>
    <t>Kudmal Ranga Rao Samaja Bhavana Babugudda Attavara(South Portion)</t>
  </si>
  <si>
    <t>Cascia High School, Jeppu (North wing )</t>
  </si>
  <si>
    <t>Cascia High School, Jeppu (South wing )</t>
  </si>
  <si>
    <t>Saint Ritas Kannada Medium Aided Higher Primary School, Jeppu (North wing )</t>
  </si>
  <si>
    <t>Saint Retas Kannada Medium Aided Higher Primary School, Jeppu (Middle Wing )</t>
  </si>
  <si>
    <t>Dakshina Kannada Zilla Panchayath Higher Primary School, Mahakalipadpu (Room No 3 Middle Portion)</t>
  </si>
  <si>
    <t>BJP V/S CONG</t>
  </si>
  <si>
    <t>BJP V/S OTHERPARTY</t>
  </si>
  <si>
    <t>BOOTH STATS</t>
  </si>
  <si>
    <t>POLLING BOOTH STATS</t>
  </si>
  <si>
    <t>ONE BOOTH DECREASE</t>
  </si>
  <si>
    <t>Adarsha Vidyanilaya Higher Primary School, Alape Karmaru (South Wing )</t>
  </si>
  <si>
    <t>Adarsha Vidyanilaya Higher Primary School, Alape Karmar ( Ist Room of South Wing )</t>
  </si>
  <si>
    <t>Adarsh Bharathi High School,Alape Karmaru (West wing )</t>
  </si>
  <si>
    <t>Adarsh Bharathi High School,Alape Karmar (Middle  wing )</t>
  </si>
  <si>
    <t>Adarsh Bharathi High School, Alape Karmar (East wing )</t>
  </si>
  <si>
    <t>Saint Joseph Higher Primary School,Bajal Pakkaladka  (Middle Portion  )</t>
  </si>
  <si>
    <t>Saint Joseph Higher Primary School,Bajal Pakkaladka (South wing )</t>
  </si>
  <si>
    <t>Saint Joseph Higher Primary School,Bajal Pakkaladka (East Wing Of South Building)</t>
  </si>
  <si>
    <t>BOOTH CATEGORIATION</t>
  </si>
  <si>
    <t>Anganavadi Centre, Saripalla, (Club Builiding) North wing</t>
  </si>
  <si>
    <t>Anganavadi Centre, Saripalla, (Club Builiding) South Wing</t>
  </si>
  <si>
    <t>Amritha College, Padil (East Portion)</t>
  </si>
  <si>
    <t>Amritha College, Padil (Stage Building )</t>
  </si>
  <si>
    <t>Amritha College, Padil (Middle Portion of East Side)</t>
  </si>
  <si>
    <t>Amritha College, Padil (Middle Portion of West Side)</t>
  </si>
  <si>
    <t>Amritha College, Padil (West Portion)</t>
  </si>
  <si>
    <t>BOOTH</t>
  </si>
  <si>
    <t>ONE BOOTH HAS BEEN ADDED IN 2023</t>
  </si>
  <si>
    <t>Dakshina Kannada Zilla Panchayath  Higher Primary School,Bajal Nanturu (Old Building )</t>
  </si>
  <si>
    <t>Dakshina Kannada Zilla Panchayath Higher Primary School.Bajal Nantoor (New Building)</t>
  </si>
  <si>
    <t>Dakshina Kannada Zilla Panchayath Higher Primary School, Bajal Padpu  (New Building )</t>
  </si>
  <si>
    <t>Dakshina Kannada Zilla Panchayath higher Primary School,Bajal  Padpu  (1 St room of Old Building)</t>
  </si>
  <si>
    <t>DKZP Hr. PRY.School Bajal Padpu(South Wing Of Old Building)</t>
  </si>
  <si>
    <t>DKZP Hr. Pry. School Bajal Padpu ( East Wing Of North Building)</t>
  </si>
  <si>
    <t>Saint Joseph Higher Primary School,Bajal Pakkaladka  (North wing )</t>
  </si>
  <si>
    <t>BJP V/S CONGRESS</t>
  </si>
  <si>
    <t>Dakshina Kannada Zilla Panchayath Higher Priamary School, Bejai, Kapikad (first room)</t>
  </si>
  <si>
    <t>Dakshina Kannada Zilla Panchayath Higher Primary School, Kapikad (2nd Room  of South wing)</t>
  </si>
  <si>
    <t>Dakshina Kannada Zilla Panchayath Higher Primary School, Kapikad (First Room  of East Building)</t>
  </si>
  <si>
    <t>St Francis Xavier Higher Primary School, Bejai (South Wing of South Building)</t>
  </si>
  <si>
    <t>St Francis Xaiver Higher Primary School, Bejai (North Wing  of South Building)</t>
  </si>
  <si>
    <t>Lourds High School, Bejai (East Wing)</t>
  </si>
  <si>
    <t>ONE BOOTH HAS BEEN NEGATED IN 2023</t>
  </si>
  <si>
    <t>Government Girls Pre-University college, Balmatta (West Wing of New Building)</t>
  </si>
  <si>
    <t>Saint Agnes High School, Bendoor (North wing of Meeting hall)</t>
  </si>
  <si>
    <t>Saint Sebastian Higher Primary School, Bendoor (East Wing)</t>
  </si>
  <si>
    <t>Saint Agnes Higher Primary School, Bendoor, (West wing of Main Building)</t>
  </si>
  <si>
    <t>St Maries Girls High School, Falnir,( Room no 1)</t>
  </si>
  <si>
    <t>United Bosel Mission Aided Higher Primary School, Balmatta</t>
  </si>
  <si>
    <t>TOTAL BOOTH 10</t>
  </si>
  <si>
    <t>Anganavadi Centre, Kudroli Bengre</t>
  </si>
  <si>
    <t>Dakshina Kannada Zilla Panchayath Higher Primary School, Kasba, Bengre (North Portion)</t>
  </si>
  <si>
    <t>Dakshina Kannada Zilla Panchayath Higher Primary School, Sandpit, Bangre(South Portion of New Building)</t>
  </si>
  <si>
    <t>Dakshina Kananda Zilla Panchayath Higher Primary School, Sandpit , Bengre,(North portion)</t>
  </si>
  <si>
    <t>TOTAL BOOTH 6</t>
  </si>
  <si>
    <t>D.K.Zilla Panchayath Model Higher Primary School, Bokkapattana, Matadakani Road (North West Building)</t>
  </si>
  <si>
    <t>Dakshina Kannada Zilla Panchayath Higher Primary School, Gandhinagar (North Wing)</t>
  </si>
  <si>
    <t>Dakshina Kannada Zilla Panchayath Higher Primary School, Gandhinagar (South Wing)</t>
  </si>
  <si>
    <t>D.K. Z. Panchayath Higher Primary School, Bokkapattana , Boloor Road (East Wing of West  Building)</t>
  </si>
  <si>
    <t>D.K. Z. Panchayath Higher Primary School, Bokkapattana , Boloor Road (East Building)</t>
  </si>
  <si>
    <t>D. K. Z. Panchayath Higher Primary School, Bokkapattana, Boloor Road (West Wing Of West Building)</t>
  </si>
  <si>
    <t>Saint Retas Kannada Medium Aided Higher Primary School, Jeppu (South wing )</t>
  </si>
  <si>
    <t>Dakshina Kannada Zilla Panchayath Model Higher Primary School, Bolar (West wing of South building )</t>
  </si>
  <si>
    <t>Dakshina Kannada Zilla Panchayath Model Higher Primary school, Bolar (East Wing of South Building )</t>
  </si>
  <si>
    <t>Infant Jesus Joyland School, Bolar (East Wing, 4th Std, Class Room)</t>
  </si>
  <si>
    <t>Dakshina Kannada Zilla Panchayath Lower Primary School,  Kandathapalli (East Wing)</t>
  </si>
  <si>
    <t>Dakshina Kannada Zilla Panchayath Urdu High School, Bunder (South Portion Of East Building)</t>
  </si>
  <si>
    <t>Govt High School(Urdu), Bunder (North portion of New Building)</t>
  </si>
  <si>
    <t>Dakshina Kannada Zilla Panchayath Higher Primary School, Bastigarden (West Wing)</t>
  </si>
  <si>
    <t>Government Girls Pre-University College Car Street (South Wing West Building)</t>
  </si>
  <si>
    <t>B.E.M Higer Primary School,Carstreet (North Wing East Portion - 5th Std. Class Room)</t>
  </si>
  <si>
    <t>Dakshina Kannada Zilla Panchayath Higher Primary School, Bastigarden (East Wing)</t>
  </si>
  <si>
    <t>Ganapathi Composite Aided Pre-University College (South Wing Of Hall)</t>
  </si>
  <si>
    <t>Ganapathi Composite Aided Pre-University College  ( North Wing Of Hall)</t>
  </si>
  <si>
    <t>Ganapathi Kannada Medium Higher  Primary School, Hampanakatte (North  Wing )</t>
  </si>
  <si>
    <t>Milagrese English Medium Higher Primary School, Hampanakatta ,(East Portion - LKG Room No. 106)</t>
  </si>
  <si>
    <t>Dakshina Kannada Zilla Panchayath  Higher Primary School, Athavara (East Building Hall)</t>
  </si>
  <si>
    <t>University College, Hampanakatte, (North Wing)</t>
  </si>
  <si>
    <t>Dakshina Kannada Zilla Panchayath Higher Primary School, Pandeshwara (South wing of Main Building</t>
  </si>
  <si>
    <t>Dakshina Kannada Zilla Panchayath Higher Primary School, Pandeshwara ( East wing  of South Building</t>
  </si>
  <si>
    <t>Dakshina Kannada Zilla Panchayath Lower  Primary School, Babugudde (East Wing)</t>
  </si>
  <si>
    <t>Milagrese English Medium Higher Primary School, Hampanakatta ,(East Portion - LKG Room No. 101)</t>
  </si>
  <si>
    <t>Government  Girls Pre-University College, Balmatta (West Wing of Old  Building)</t>
  </si>
  <si>
    <t>University College, Hampanakatte , (South Wing)</t>
  </si>
  <si>
    <t>Dr.Dayananda Pai and Sathish Pai Building,University College, Hampanakatte</t>
  </si>
  <si>
    <t>Ashoka Nagar Higher Primary School. Ashoknagar  Sharada Sadana (East Portion)</t>
  </si>
  <si>
    <t>Ashoka Nagar Higher Primary School, Ashokanagara  Sharada Sadansa (Middle Wing )</t>
  </si>
  <si>
    <t>Saint Aloysiws English Medium Higher Primary School, Urva (West Wing)</t>
  </si>
  <si>
    <t>Saint Aloysiws Higher Primary School, Urva (East wing of South Building)</t>
  </si>
  <si>
    <t>Saint Aloysiws Higher Primary School, Urva (West wing of South Building)</t>
  </si>
  <si>
    <t>Saint Aloysiws English Medium Higher primary School, Urva (East Wing)</t>
  </si>
  <si>
    <t>Saint Aloysiws English Medium Higher Primary School, Urva (Middle Wing</t>
  </si>
  <si>
    <t>Saint Peters Higher Primary School, Kottara (West wing of New Building)</t>
  </si>
  <si>
    <t>Lady Hill Higher Primary School, Lady Hill (Middle Division)</t>
  </si>
  <si>
    <t>Lady Hill Higher Primary School, Lady Hill (East wing)</t>
  </si>
  <si>
    <t>Ladyhill Victoria Girls High School, Lady Hill (North Wing)</t>
  </si>
  <si>
    <t>Lady Hill Victoria Girls High School, Lady Hill (South Wing)</t>
  </si>
  <si>
    <t>Daskhina Kannada Zilla Panchayath Higher Primary School, Kapikad (2nd Room of middle Wing )</t>
  </si>
  <si>
    <t>Saintt Peters Higher Primary School, Kottara (East Portion of New Building )</t>
  </si>
  <si>
    <t>Saint Peters Higher Primary School, Kottara (Middle Portion of New Building)</t>
  </si>
  <si>
    <t>Saint Peters Higher Primary School, Kottara( East part of Middle portion of New Building</t>
  </si>
  <si>
    <t>Ashoka Nagar Higher Primary School  Ashoknagar  Ashoka Sadana (North Portion)</t>
  </si>
  <si>
    <t>Ashoka Nagar Higher Primary School, Ashoka Sadana (Middle Portion)</t>
  </si>
  <si>
    <t>Sri Dharmasthala Manjunatheshwara Law College , (Middle Wing of North portion)</t>
  </si>
  <si>
    <t>Dakshina Kannada Zilla Panchayath Higher Primary School, Mannugudde (Back Side Building)</t>
  </si>
  <si>
    <t>Dakshina Kannada Zilla Panchayath Higher Primary School, Mannugudde (Middle Wing)</t>
  </si>
  <si>
    <t>D.K.Z.P.Urdu H. P.School,Kudroli ( Sarvasikshana Abhiyana Building North Portion)</t>
  </si>
  <si>
    <t>Dakshina Kananda Zilla Panchayath Urdu Higher Primary School, Kudroli (East Side Of Middle Wing)</t>
  </si>
  <si>
    <t>Government Girls Pre- University College, Car street (North Wing Of West Building)</t>
  </si>
  <si>
    <t>B.E.M Higer Primary School,Carstreet (North Wing East Portion - 1st Std. Class Room)</t>
  </si>
  <si>
    <t>Infant Maries Higher Primary School, Jeppu (West Portion of South Building )</t>
  </si>
  <si>
    <t>Infant Maries Higher Primary School, Jeppu  (East Portion)</t>
  </si>
  <si>
    <t>Infant Maries Higher Primary School, Jeppu (South Wing Of East Building )</t>
  </si>
  <si>
    <t>United Bosel Mission Aided Higher Primary School, Gorigudda Jeppinamogaru(South Building East Portion)</t>
  </si>
  <si>
    <t>United Bosel Mission Aided Higher Primary School, Jeppu Gorigudde (South wing )</t>
  </si>
  <si>
    <t>Infant Maries Higher Primary School, Jeppu (North Portion)</t>
  </si>
  <si>
    <t>Infant Jesus Joyland School, Bolar (West portion of the main building)</t>
  </si>
  <si>
    <t>Govt High School, Hoigebazar(North Wing Of Main Building)</t>
  </si>
  <si>
    <t>Government High School, Hoigebazar (West wing Of North Building )</t>
  </si>
  <si>
    <t>Daksina Kannada Zilla Panchayath Model higher Primary School, Bolar (South wing of West Building )</t>
  </si>
  <si>
    <t>Dakshina Kannada Zilla Panchayath Model Higher Primary School, Bolar (North wing of West Building )</t>
  </si>
  <si>
    <t>bjp v/s cong</t>
  </si>
  <si>
    <t>bjp v/s op</t>
  </si>
  <si>
    <t>booth categorization</t>
  </si>
  <si>
    <t>Dakshina Kannada Zilla Panchayath Kananda Medium Higher Primary School, Jappinamogaru (West Wing )</t>
  </si>
  <si>
    <t>Dakshina Kannada Zilla Panchayath Kannada Medium Higher Primary School, Jappinamogaru (Middle Portion )</t>
  </si>
  <si>
    <t>Dakshina Kannada Zilla Panchayath Kannada Medium Higher Primary School, Jappinamogaru (North wing )</t>
  </si>
  <si>
    <t>Dakshina Kannada Zilla Panchayath Higher Primary School, Jappinamogaru (East Wing )</t>
  </si>
  <si>
    <t>St Sebastian Higher Primary School, Adamkudru</t>
  </si>
  <si>
    <t>Saint Jerosa  High School, Jeppu  ( South Portion of West Building )</t>
  </si>
  <si>
    <t>Saint Jerosa  High School, Jeppu ( Middle Portion Of Main Building )</t>
  </si>
  <si>
    <t>Saint Jerosa High School, Jeppu (North Protion West Building)</t>
  </si>
  <si>
    <t>Dakshina Kannada Zilla Panchayath Higher Primary School, Valencia Suter Pet</t>
  </si>
  <si>
    <t>Dakshina Kannada Zilla Panchayath Higher Primary School, Mahakalipadpu (West wing )</t>
  </si>
  <si>
    <t>Daskhina Kannada Zilla Panchayath higher Primary School, Mahakalipadpu (Middle Wing)</t>
  </si>
  <si>
    <t>bjp vs cong</t>
  </si>
  <si>
    <t>bjp vs opp</t>
  </si>
  <si>
    <t>Padavu High School, Padavu (East Wing)</t>
  </si>
  <si>
    <t>K.S.S.I.D.C. Office Building, Yeyyadi</t>
  </si>
  <si>
    <t>Dakshina Kannada Zilla Panchayath High School, Kadri Mallikatte (East Wing)</t>
  </si>
  <si>
    <t>Padavu High School, Padavu (South Portion of East Wing)</t>
  </si>
  <si>
    <t>Padavu High School, Padavu (South Wing)</t>
  </si>
  <si>
    <t>Dakshina Kannada Zilla Panchayath Higher Primary School, Kadri, Mallikatte (East Wing)</t>
  </si>
  <si>
    <t>Dakshina Kannada Zilla Panchayath Higher Primary School, Kadri, Mallikatte (West wing )</t>
  </si>
  <si>
    <t>Dakshina Kannada Zilla Panchayath Higher Primary School, Kadri, Mallikatte(North Wing of East Bldng)</t>
  </si>
  <si>
    <t>Dakshina Kannada Zilla Panchayath High School, Kadri Mallikatte (West Wing)</t>
  </si>
  <si>
    <t>District Education and Training Institute, Kodilbail, Mangalore (North wing of Middle Building)</t>
  </si>
  <si>
    <t>Canara College ,Kodialbail, Mangalore (Room no  14 of East Portin of South Building)</t>
  </si>
  <si>
    <t>Canara College, Kodialbail, Mangalore (Room no  15 of West Wing of South Building )</t>
  </si>
  <si>
    <t>Sri Dharmasthala Manjunatheshwara Law College ,  Kodialbail, Mangalore(west wing of north building)</t>
  </si>
  <si>
    <t>Capitanio High School, Kankanady (North  Wing )</t>
  </si>
  <si>
    <t>Capitanio High School, Kankanady(North Portion)</t>
  </si>
  <si>
    <t>Capitanio Higher Primary School Kankanady(North Portion of East Building)</t>
  </si>
  <si>
    <t>St.Joseph Hr.Pry.School Bajal Pakkaladka ( Old Building South Portion)</t>
  </si>
  <si>
    <t>Capitanio Higher Primary School, Kankanady (Middle Portion Of East Builiding )</t>
  </si>
  <si>
    <t>Anganavadi Centre, Veeranagar</t>
  </si>
  <si>
    <t>Ranga Mandira Veera Nagra</t>
  </si>
  <si>
    <t>Kannuru English Medium Higher Primary  School, Kannuru (East wing )</t>
  </si>
  <si>
    <t>Kannuru English Medium Higher Primary School, Kannuru (South Wing )</t>
  </si>
  <si>
    <t>Old  Village Panchayath Office, Kannuru (South Wing )</t>
  </si>
  <si>
    <t>Old Village Panchayath Office, Kannuru (West wing )</t>
  </si>
  <si>
    <t>St Francis Xavier High School, Bejai (North wing)</t>
  </si>
  <si>
    <t>Lourds High School, Bejai (North wing of North Building)</t>
  </si>
  <si>
    <t>Lourds High School, Bejai, (South wing of North Building)</t>
  </si>
  <si>
    <t>District Education and Training Institute ,Kodialbail (West  Wing)</t>
  </si>
  <si>
    <t>District Education and Training Institute , Kodialbail, Mangalore (Middle Wing of Middle Building)</t>
  </si>
  <si>
    <t>Vishranthi Nilaya, Community Hall, Bokkapatna (East Portion)</t>
  </si>
  <si>
    <t>Vishranthi Nilaya, Community Hall, Bokkapatna (West Portion)</t>
  </si>
  <si>
    <t>United Bosel Mission Higher Primary School, Bokkapattana (East Wing of New Building)</t>
  </si>
  <si>
    <t>United Bosel Mission Higher Primary School, Bokkapattana (South  Portion of Old Building)</t>
  </si>
  <si>
    <t>Dakshina Kananda Zilla Panchayath Urdu Higher Primary SChool, Kudroli (Sarva Shikshana Abhiyana Building South Portion)</t>
  </si>
  <si>
    <t>Dakshina Kannada Zilla Panchayath Higher Primary School, Mannugudde (West wing)</t>
  </si>
  <si>
    <t>D.Kannada Zilla Panchayalth Model Higher Primary School, Bokkapatna ,Matadakani Road (East wing Of Old Bldng)</t>
  </si>
  <si>
    <t>D.K Z. Panchayath Model Higher Primary School, Bokkapattana , Matadakani Road(West Wing)</t>
  </si>
  <si>
    <t>Dakshina Kannada Zilla Panchayath Higher Primary School, Gandhinagar (Middle Wing)</t>
  </si>
  <si>
    <t>Guardian Anglels Higher Primary School, Maroli (Middle Wing of East Building)</t>
  </si>
  <si>
    <t>Guardian Anglels Higher Primary School, Maroli (Stage Building)</t>
  </si>
  <si>
    <t>Guardian Angels Higher Primary School, Muroli (North Wing  of West Bulding)</t>
  </si>
  <si>
    <t>Guardian Angels Higher Primary SChool, Maroli (South Wing  of West Building)</t>
  </si>
  <si>
    <t>Guardian Angels Higher Primary School, Maroli (North Wing of West Building)</t>
  </si>
  <si>
    <t>Guardian Angles Higher Primary School, Maroli (North Wing  of  West Buliding)</t>
  </si>
  <si>
    <t>Dakshina Kannada Zilla Panchayath  Higher Primary school, Attavara (East Wing)</t>
  </si>
  <si>
    <t>Dakshina Kannada Zilla Panchayath  Higher Primary School, Attavara (West Wing)</t>
  </si>
  <si>
    <t>Saint Maries Girls Higher Primary School, Falnir, East wing</t>
  </si>
  <si>
    <t>St Maries Higher Primary School, Falnir, (South Wing)</t>
  </si>
  <si>
    <t>Saint Maries Girls high School, Falnir (East Portion Of Middle Building)</t>
  </si>
  <si>
    <t>D. K. Zilla Panchayath Higher Primary School, Nalyapadavu, Shakthi Nagar(West Wing of new Building)</t>
  </si>
  <si>
    <t>D .K. Zilla Panchayath Higher Primary School, Nalyapadavu, Shakthi nagar (West portion of New Building)</t>
  </si>
  <si>
    <t>Saint Joseph Higher Primary School, Kulashekara (Room no 1 of South building</t>
  </si>
  <si>
    <t>Saint Joseph Higher Primary School, Kulashekar (Room no 1  South Building )</t>
  </si>
  <si>
    <t>Saint Joseph Higher Primary School, Kulashekar (Room no 2 of South  Building)</t>
  </si>
  <si>
    <t>Saint Joseph Higher Primary School, Kulashekar (Room no 2 of South Building)</t>
  </si>
  <si>
    <t>Saint Joseph Higher Primary School, Kulashekarr (Room no 4 of South Building)</t>
  </si>
  <si>
    <t>Sacred Heart High School, Kulashekar (1st room of East  Portion)</t>
  </si>
  <si>
    <t>Sacred Heart High School, Kulashekara (2nd Room of East Portion)</t>
  </si>
  <si>
    <t>Saint Joseph Higher Primary School, Kulashekar (Room no 3 of South Building)</t>
  </si>
  <si>
    <t>Dakshina Kannda Zilla Panchayath Higher Primary School, Nalyapadavu, Shakthinagar (New Building)</t>
  </si>
  <si>
    <t>D. K.Zilla Panchayath Higher Primary School, Nalyapadavu, Shakthinagar ( East Wing of New Building )</t>
  </si>
  <si>
    <t>D. K Zilla Panchayath Higher Primary School, Bikarnakatte padavu(Left portion of building)</t>
  </si>
  <si>
    <t>Dakshina Kannada Zilla Panchayath Higher Primary School,  (Left portion of middle Building)</t>
  </si>
  <si>
    <t>D. K.Zilla Panchayath Higher Primary School, Bikarna Katte, Right Wing of the middle Buliding)</t>
  </si>
  <si>
    <t>Dakshina Kannada zilla Panchayath Higher Primary School, Bikarnakatte , (Right portion of Middle  Building)</t>
  </si>
  <si>
    <t>D. Kannada Zilla Panchayath Higher Primary  Schoool, Pandeshwara (North Wing of Main Building)</t>
  </si>
  <si>
    <t>Badriya English Medium, Higher Primary School, Bunder (East wing )</t>
  </si>
  <si>
    <t>Badriya English Medium Higher Primary School, Bunder, (West wing)</t>
  </si>
  <si>
    <t>Sri Jnanodaya Lower Primary School, Hoigebazar (South wing of Main Building )</t>
  </si>
  <si>
    <t>Sri Jnanodaya Lower Primary School, Hoigebazar (North Wing Of Main Buliding)</t>
  </si>
  <si>
    <t>St Joseph Higher Primary School, Nanthuru Padavu, Kalvari (South Wing of Ground Floor of New Bilding</t>
  </si>
  <si>
    <t>St Joseph Higher Primary School, Nanthuru Padavu, Kalvari (North wing of ground floor of new Bilding</t>
  </si>
  <si>
    <t>St Agnes High School, Bendoor (South wing of Meeting Hall)</t>
  </si>
  <si>
    <t>St Sebastian Higher Primary School, Bendoor (West  Wing)</t>
  </si>
  <si>
    <t xml:space="preserve">                                                                      </t>
  </si>
  <si>
    <t>Saint Joseph Higher Primary School, Kankanady (North Wing)</t>
  </si>
  <si>
    <t>Saint Joseph Higher Primary School, Kankanady (South Wing)</t>
  </si>
  <si>
    <t>Capitanio High School, Kankanady (South Wing )</t>
  </si>
  <si>
    <t>Capitanio High School, Kankanady (Middle Portion Of North Building )</t>
  </si>
  <si>
    <t>Capitanio Higher Primary School, Kankanady (West wing of East Building )</t>
  </si>
  <si>
    <t>POLLING STATUS</t>
  </si>
  <si>
    <t>BJP / CONGRESS</t>
  </si>
  <si>
    <t>ATTAVARA</t>
  </si>
  <si>
    <t>ALAPR-N</t>
  </si>
  <si>
    <t>MANNAGUDDA</t>
  </si>
  <si>
    <t>TOTAL</t>
  </si>
  <si>
    <t>TOTAL WARDS BJP WON</t>
  </si>
  <si>
    <t>POLLING STATION WITH AVERAGE VOTING</t>
  </si>
  <si>
    <t>WARDS WITH NARROW MARGIN WIN</t>
  </si>
  <si>
    <t>TOTAL WARDS CONGRESS WON</t>
  </si>
  <si>
    <t>POLLING STATION  WITH STRONG VOTING</t>
  </si>
  <si>
    <t>WARDS WITH MEDIUM MARGIN WIN</t>
  </si>
  <si>
    <t>PART WISE WARD WIN POSITION</t>
  </si>
  <si>
    <t>POLLING STATION STATUS COUNT</t>
  </si>
  <si>
    <t>WARDS WITH STRONG MARIN WIN</t>
  </si>
  <si>
    <t>WARDS WHICH ARE LOST</t>
  </si>
  <si>
    <t>BOOTH CATEGORIZATION STATUS OF BJP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</si>
</sst>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1">
    <font>
      <sz val="11"/>
      <color theme="1"/>
      <name val="Calibri"/>
      <charset val="134"/>
      <scheme val="minor"/>
    </font>
    <font>
      <sz val="10"/>
      <color rgb="FF212121"/>
      <name val="Arial"/>
      <charset val="134"/>
    </font>
    <font>
      <sz val="18"/>
      <color rgb="FFFF0000"/>
      <name val="Calibri"/>
      <charset val="134"/>
      <scheme val="minor"/>
    </font>
    <font>
      <sz val="2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medium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rgb="FF000000"/>
      </bottom>
      <diagonal/>
    </border>
    <border>
      <left style="thick">
        <color auto="1"/>
      </left>
      <right style="thick">
        <color auto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rgb="FF000000"/>
      </bottom>
      <diagonal/>
    </border>
    <border>
      <left/>
      <right style="thick">
        <color auto="1"/>
      </right>
      <top/>
      <bottom style="medium">
        <color rgb="FF000000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/>
      <right style="thin">
        <color theme="1"/>
      </right>
      <top/>
      <bottom style="thin">
        <color auto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auto="1"/>
      </top>
      <bottom/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9" borderId="5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9" applyNumberFormat="0" applyFill="0" applyAlignment="0" applyProtection="0">
      <alignment vertical="center"/>
    </xf>
    <xf numFmtId="0" fontId="18" fillId="0" borderId="59" applyNumberFormat="0" applyFill="0" applyAlignment="0" applyProtection="0">
      <alignment vertical="center"/>
    </xf>
    <xf numFmtId="0" fontId="19" fillId="0" borderId="6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0" borderId="61" applyNumberFormat="0" applyAlignment="0" applyProtection="0">
      <alignment vertical="center"/>
    </xf>
    <xf numFmtId="0" fontId="21" fillId="21" borderId="62" applyNumberFormat="0" applyAlignment="0" applyProtection="0">
      <alignment vertical="center"/>
    </xf>
    <xf numFmtId="0" fontId="22" fillId="21" borderId="61" applyNumberFormat="0" applyAlignment="0" applyProtection="0">
      <alignment vertical="center"/>
    </xf>
    <xf numFmtId="0" fontId="23" fillId="22" borderId="63" applyNumberFormat="0" applyAlignment="0" applyProtection="0">
      <alignment vertical="center"/>
    </xf>
    <xf numFmtId="0" fontId="24" fillId="0" borderId="64" applyNumberFormat="0" applyFill="0" applyAlignment="0" applyProtection="0">
      <alignment vertical="center"/>
    </xf>
    <xf numFmtId="0" fontId="25" fillId="0" borderId="65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</cellStyleXfs>
  <cellXfs count="698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6" fillId="10" borderId="22" xfId="0" applyFont="1" applyFill="1" applyBorder="1" applyAlignment="1">
      <alignment horizontal="center" vertical="center"/>
    </xf>
    <xf numFmtId="1" fontId="7" fillId="10" borderId="22" xfId="0" applyNumberFormat="1" applyFont="1" applyFill="1" applyBorder="1" applyAlignment="1">
      <alignment horizontal="center" vertical="center" wrapText="1"/>
    </xf>
    <xf numFmtId="0" fontId="0" fillId="11" borderId="22" xfId="0" applyFill="1" applyBorder="1" applyAlignment="1">
      <alignment horizontal="center" vertical="center"/>
    </xf>
    <xf numFmtId="0" fontId="8" fillId="11" borderId="22" xfId="0" applyFont="1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6" fillId="10" borderId="22" xfId="0" applyNumberFormat="1" applyFont="1" applyFill="1" applyBorder="1" applyAlignment="1">
      <alignment horizontal="center" vertical="center" wrapText="1"/>
    </xf>
    <xf numFmtId="0" fontId="6" fillId="10" borderId="22" xfId="0" applyFont="1" applyFill="1" applyBorder="1" applyAlignment="1">
      <alignment horizontal="center" vertical="center" wrapText="1"/>
    </xf>
    <xf numFmtId="0" fontId="0" fillId="11" borderId="22" xfId="0" applyNumberFormat="1" applyFill="1" applyBorder="1" applyAlignment="1">
      <alignment horizontal="center" vertical="center"/>
    </xf>
    <xf numFmtId="2" fontId="0" fillId="11" borderId="22" xfId="0" applyNumberFormat="1" applyFill="1" applyBorder="1" applyAlignment="1">
      <alignment horizontal="center" vertical="center"/>
    </xf>
    <xf numFmtId="176" fontId="0" fillId="11" borderId="22" xfId="1" applyNumberFormat="1" applyFont="1" applyFill="1" applyBorder="1" applyAlignment="1">
      <alignment horizontal="center" vertical="center"/>
    </xf>
    <xf numFmtId="0" fontId="0" fillId="11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76" fontId="0" fillId="0" borderId="22" xfId="1" applyNumberFormat="1" applyFont="1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9" fillId="11" borderId="22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7" borderId="0" xfId="0" applyFill="1" applyAlignment="1">
      <alignment horizontal="center" wrapText="1"/>
    </xf>
    <xf numFmtId="0" fontId="0" fillId="7" borderId="24" xfId="0" applyFill="1" applyBorder="1" applyAlignment="1">
      <alignment horizontal="center"/>
    </xf>
    <xf numFmtId="0" fontId="0" fillId="7" borderId="25" xfId="0" applyFill="1" applyBorder="1" applyAlignment="1">
      <alignment horizontal="center" wrapText="1"/>
    </xf>
    <xf numFmtId="0" fontId="0" fillId="7" borderId="26" xfId="0" applyFill="1" applyBorder="1" applyAlignment="1">
      <alignment horizontal="center" wrapText="1"/>
    </xf>
    <xf numFmtId="0" fontId="0" fillId="7" borderId="23" xfId="0" applyFill="1" applyBorder="1" applyAlignment="1">
      <alignment horizontal="center"/>
    </xf>
    <xf numFmtId="0" fontId="0" fillId="7" borderId="27" xfId="0" applyFill="1" applyBorder="1" applyAlignment="1">
      <alignment horizontal="center" wrapText="1"/>
    </xf>
    <xf numFmtId="0" fontId="0" fillId="7" borderId="0" xfId="0" applyFill="1" applyBorder="1" applyAlignment="1">
      <alignment horizontal="center" wrapText="1"/>
    </xf>
    <xf numFmtId="0" fontId="0" fillId="7" borderId="24" xfId="0" applyFill="1" applyBorder="1" applyAlignment="1">
      <alignment horizontal="center" wrapText="1"/>
    </xf>
    <xf numFmtId="0" fontId="0" fillId="7" borderId="28" xfId="0" applyFill="1" applyBorder="1" applyAlignment="1">
      <alignment horizontal="center" wrapText="1"/>
    </xf>
    <xf numFmtId="0" fontId="0" fillId="7" borderId="23" xfId="0" applyFill="1" applyBorder="1" applyAlignment="1">
      <alignment horizontal="center" wrapText="1"/>
    </xf>
    <xf numFmtId="0" fontId="0" fillId="7" borderId="29" xfId="0" applyFill="1" applyBorder="1" applyAlignment="1">
      <alignment horizontal="center" wrapText="1"/>
    </xf>
    <xf numFmtId="0" fontId="0" fillId="7" borderId="30" xfId="0" applyFill="1" applyBorder="1" applyAlignment="1">
      <alignment horizontal="center"/>
    </xf>
    <xf numFmtId="0" fontId="0" fillId="7" borderId="30" xfId="0" applyFill="1" applyBorder="1" applyAlignment="1">
      <alignment horizontal="center" wrapText="1"/>
    </xf>
    <xf numFmtId="0" fontId="0" fillId="7" borderId="31" xfId="0" applyFill="1" applyBorder="1" applyAlignment="1">
      <alignment horizontal="center" wrapText="1"/>
    </xf>
    <xf numFmtId="0" fontId="0" fillId="12" borderId="0" xfId="0" applyFill="1"/>
    <xf numFmtId="0" fontId="0" fillId="12" borderId="24" xfId="0" applyFill="1" applyBorder="1"/>
    <xf numFmtId="0" fontId="0" fillId="12" borderId="32" xfId="0" applyFill="1" applyBorder="1"/>
    <xf numFmtId="0" fontId="0" fillId="12" borderId="22" xfId="0" applyFill="1" applyBorder="1"/>
    <xf numFmtId="0" fontId="0" fillId="4" borderId="0" xfId="0" applyFill="1"/>
    <xf numFmtId="0" fontId="0" fillId="4" borderId="23" xfId="0" applyFill="1" applyBorder="1"/>
    <xf numFmtId="0" fontId="0" fillId="4" borderId="32" xfId="0" applyFill="1" applyBorder="1"/>
    <xf numFmtId="0" fontId="0" fillId="4" borderId="22" xfId="0" applyFill="1" applyBorder="1"/>
    <xf numFmtId="0" fontId="0" fillId="12" borderId="23" xfId="0" applyFill="1" applyBorder="1"/>
    <xf numFmtId="0" fontId="0" fillId="12" borderId="30" xfId="0" applyFill="1" applyBorder="1"/>
    <xf numFmtId="0" fontId="0" fillId="7" borderId="25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0" fillId="12" borderId="26" xfId="0" applyFill="1" applyBorder="1"/>
    <xf numFmtId="0" fontId="0" fillId="12" borderId="34" xfId="0" applyFill="1" applyBorder="1"/>
    <xf numFmtId="0" fontId="0" fillId="4" borderId="0" xfId="0" applyFill="1" applyBorder="1"/>
    <xf numFmtId="0" fontId="0" fillId="4" borderId="34" xfId="0" applyFill="1" applyBorder="1"/>
    <xf numFmtId="0" fontId="0" fillId="12" borderId="0" xfId="0" applyFill="1" applyBorder="1"/>
    <xf numFmtId="0" fontId="0" fillId="12" borderId="35" xfId="0" applyFill="1" applyBorder="1"/>
    <xf numFmtId="0" fontId="0" fillId="7" borderId="26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2" borderId="29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28" xfId="0" applyFill="1" applyBorder="1" applyAlignment="1">
      <alignment vertical="center" wrapText="1"/>
    </xf>
    <xf numFmtId="0" fontId="0" fillId="7" borderId="25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0" fillId="13" borderId="28" xfId="0" applyFill="1" applyBorder="1" applyAlignment="1">
      <alignment horizontal="center" vertical="center" wrapText="1"/>
    </xf>
    <xf numFmtId="0" fontId="0" fillId="14" borderId="24" xfId="0" applyFill="1" applyBorder="1" applyAlignment="1">
      <alignment horizontal="center" vertical="center" wrapText="1"/>
    </xf>
    <xf numFmtId="0" fontId="0" fillId="7" borderId="29" xfId="0" applyFill="1" applyBorder="1" applyAlignment="1">
      <alignment vertical="center" wrapText="1"/>
    </xf>
    <xf numFmtId="0" fontId="0" fillId="7" borderId="27" xfId="0" applyFill="1" applyBorder="1" applyAlignment="1">
      <alignment horizontal="center" vertical="center" wrapText="1"/>
    </xf>
    <xf numFmtId="0" fontId="0" fillId="7" borderId="23" xfId="0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29" xfId="0" applyFill="1" applyBorder="1" applyAlignment="1">
      <alignment horizontal="center" vertical="center" wrapText="1"/>
    </xf>
    <xf numFmtId="0" fontId="0" fillId="14" borderId="23" xfId="0" applyFill="1" applyBorder="1" applyAlignment="1">
      <alignment horizontal="center" vertical="center" wrapText="1"/>
    </xf>
    <xf numFmtId="0" fontId="0" fillId="7" borderId="33" xfId="0" applyFill="1" applyBorder="1" applyAlignment="1">
      <alignment horizontal="center" vertical="center" wrapText="1"/>
    </xf>
    <xf numFmtId="0" fontId="0" fillId="7" borderId="30" xfId="0" applyFill="1" applyBorder="1" applyAlignment="1">
      <alignment horizontal="center" vertical="center" wrapText="1"/>
    </xf>
    <xf numFmtId="0" fontId="0" fillId="13" borderId="30" xfId="0" applyFill="1" applyBorder="1" applyAlignment="1">
      <alignment horizontal="center" vertical="center" wrapText="1"/>
    </xf>
    <xf numFmtId="0" fontId="0" fillId="13" borderId="31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5" borderId="36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15" borderId="31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11" borderId="0" xfId="0" applyFill="1"/>
    <xf numFmtId="0" fontId="0" fillId="14" borderId="36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15" borderId="31" xfId="0" applyFont="1" applyFill="1" applyBorder="1" applyAlignment="1">
      <alignment horizontal="center" vertical="center"/>
    </xf>
    <xf numFmtId="0" fontId="0" fillId="14" borderId="31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16" borderId="24" xfId="0" applyFill="1" applyBorder="1" applyAlignment="1">
      <alignment horizontal="center" vertical="center" wrapText="1"/>
    </xf>
    <xf numFmtId="0" fontId="0" fillId="16" borderId="28" xfId="0" applyFill="1" applyBorder="1" applyAlignment="1">
      <alignment horizontal="center" vertical="center" wrapText="1"/>
    </xf>
    <xf numFmtId="0" fontId="0" fillId="13" borderId="27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16" borderId="23" xfId="0" applyFill="1" applyBorder="1" applyAlignment="1">
      <alignment horizontal="center" vertical="center" wrapText="1"/>
    </xf>
    <xf numFmtId="0" fontId="0" fillId="16" borderId="29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5" borderId="30" xfId="0" applyFill="1" applyBorder="1" applyAlignment="1">
      <alignment horizontal="center" vertical="center" wrapText="1"/>
    </xf>
    <xf numFmtId="0" fontId="0" fillId="16" borderId="30" xfId="0" applyFill="1" applyBorder="1" applyAlignment="1">
      <alignment horizontal="center" vertical="center" wrapText="1"/>
    </xf>
    <xf numFmtId="0" fontId="0" fillId="16" borderId="31" xfId="0" applyFill="1" applyBorder="1" applyAlignment="1">
      <alignment horizontal="center" vertical="center" wrapText="1"/>
    </xf>
    <xf numFmtId="0" fontId="0" fillId="13" borderId="33" xfId="0" applyFill="1" applyBorder="1" applyAlignment="1">
      <alignment horizontal="center" vertical="center"/>
    </xf>
    <xf numFmtId="0" fontId="0" fillId="14" borderId="25" xfId="0" applyFill="1" applyBorder="1" applyAlignment="1">
      <alignment horizontal="center" vertical="center" wrapText="1"/>
    </xf>
    <xf numFmtId="0" fontId="0" fillId="17" borderId="24" xfId="0" applyFill="1" applyBorder="1" applyAlignment="1">
      <alignment horizontal="center" vertical="center" wrapText="1"/>
    </xf>
    <xf numFmtId="0" fontId="0" fillId="17" borderId="29" xfId="0" applyFill="1" applyBorder="1" applyAlignment="1">
      <alignment horizontal="center" vertical="center" wrapText="1"/>
    </xf>
    <xf numFmtId="0" fontId="0" fillId="14" borderId="27" xfId="0" applyFill="1" applyBorder="1" applyAlignment="1">
      <alignment horizontal="center" vertical="center" wrapText="1"/>
    </xf>
    <xf numFmtId="0" fontId="0" fillId="17" borderId="23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0" fillId="17" borderId="30" xfId="0" applyFill="1" applyBorder="1" applyAlignment="1">
      <alignment horizontal="center" vertical="center" wrapText="1"/>
    </xf>
    <xf numFmtId="0" fontId="0" fillId="17" borderId="31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14" borderId="0" xfId="0" applyFill="1" applyBorder="1" applyAlignment="1">
      <alignment horizontal="center" vertical="center" wrapText="1"/>
    </xf>
    <xf numFmtId="0" fontId="0" fillId="18" borderId="29" xfId="0" applyFill="1" applyBorder="1" applyAlignment="1">
      <alignment horizontal="center" vertical="center" wrapText="1"/>
    </xf>
    <xf numFmtId="0" fontId="0" fillId="18" borderId="28" xfId="0" applyFill="1" applyBorder="1" applyAlignment="1">
      <alignment horizontal="center" vertical="center" wrapText="1"/>
    </xf>
    <xf numFmtId="0" fontId="0" fillId="14" borderId="35" xfId="0" applyFill="1" applyBorder="1" applyAlignment="1">
      <alignment horizontal="center" vertical="center" wrapText="1"/>
    </xf>
    <xf numFmtId="0" fontId="0" fillId="18" borderId="3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0" fillId="0" borderId="22" xfId="0" applyNumberFormat="1" applyFill="1" applyBorder="1" applyAlignment="1">
      <alignment horizontal="center" vertical="center"/>
    </xf>
    <xf numFmtId="2" fontId="0" fillId="0" borderId="22" xfId="0" applyNumberForma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12" borderId="0" xfId="0" applyFill="1" applyAlignment="1">
      <alignment wrapText="1"/>
    </xf>
    <xf numFmtId="0" fontId="0" fillId="14" borderId="31" xfId="0" applyFont="1" applyFill="1" applyBorder="1" applyAlignment="1">
      <alignment horizontal="center" vertical="center"/>
    </xf>
    <xf numFmtId="0" fontId="0" fillId="4" borderId="0" xfId="0" applyFont="1" applyFill="1"/>
    <xf numFmtId="0" fontId="0" fillId="6" borderId="31" xfId="0" applyFill="1" applyBorder="1" applyAlignment="1">
      <alignment horizontal="center" vertical="center"/>
    </xf>
    <xf numFmtId="0" fontId="0" fillId="0" borderId="0" xfId="0" applyFill="1"/>
    <xf numFmtId="0" fontId="0" fillId="6" borderId="23" xfId="0" applyFill="1" applyBorder="1" applyAlignment="1">
      <alignment horizontal="center" vertical="center"/>
    </xf>
    <xf numFmtId="0" fontId="0" fillId="6" borderId="0" xfId="0" applyFill="1" applyAlignment="1">
      <alignment wrapText="1"/>
    </xf>
    <xf numFmtId="0" fontId="0" fillId="6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15" borderId="28" xfId="0" applyFill="1" applyBorder="1" applyAlignment="1">
      <alignment horizontal="center" vertical="center"/>
    </xf>
    <xf numFmtId="0" fontId="0" fillId="14" borderId="28" xfId="0" applyFill="1" applyBorder="1" applyAlignment="1">
      <alignment horizontal="center" vertical="center"/>
    </xf>
    <xf numFmtId="0" fontId="0" fillId="5" borderId="0" xfId="0" applyFill="1"/>
    <xf numFmtId="176" fontId="0" fillId="12" borderId="22" xfId="1" applyNumberFormat="1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0" fillId="4" borderId="22" xfId="0" applyNumberFormat="1" applyFill="1" applyBorder="1" applyAlignment="1">
      <alignment horizontal="center" vertical="center"/>
    </xf>
    <xf numFmtId="2" fontId="0" fillId="4" borderId="22" xfId="0" applyNumberFormat="1" applyFill="1" applyBorder="1" applyAlignment="1">
      <alignment horizontal="center" vertical="center"/>
    </xf>
    <xf numFmtId="176" fontId="0" fillId="4" borderId="22" xfId="1" applyNumberFormat="1" applyFont="1" applyFill="1" applyBorder="1" applyAlignment="1">
      <alignment horizontal="center" vertical="center"/>
    </xf>
    <xf numFmtId="0" fontId="10" fillId="15" borderId="36" xfId="0" applyFont="1" applyFill="1" applyBorder="1" applyAlignment="1">
      <alignment horizontal="center" vertical="center"/>
    </xf>
    <xf numFmtId="0" fontId="10" fillId="6" borderId="36" xfId="0" applyFont="1" applyFill="1" applyBorder="1" applyAlignment="1">
      <alignment horizontal="center" vertical="center"/>
    </xf>
    <xf numFmtId="0" fontId="0" fillId="7" borderId="33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3" borderId="25" xfId="0" applyFill="1" applyBorder="1"/>
    <xf numFmtId="0" fontId="0" fillId="3" borderId="24" xfId="0" applyFill="1" applyBorder="1"/>
    <xf numFmtId="0" fontId="0" fillId="3" borderId="28" xfId="0" applyFill="1" applyBorder="1"/>
    <xf numFmtId="0" fontId="0" fillId="3" borderId="34" xfId="0" applyFill="1" applyBorder="1"/>
    <xf numFmtId="0" fontId="0" fillId="0" borderId="29" xfId="0" applyBorder="1"/>
    <xf numFmtId="0" fontId="0" fillId="4" borderId="33" xfId="0" applyFill="1" applyBorder="1"/>
    <xf numFmtId="0" fontId="0" fillId="4" borderId="36" xfId="0" applyFill="1" applyBorder="1"/>
    <xf numFmtId="0" fontId="0" fillId="12" borderId="27" xfId="0" applyFill="1" applyBorder="1"/>
    <xf numFmtId="0" fontId="0" fillId="12" borderId="31" xfId="0" applyFill="1" applyBorder="1"/>
    <xf numFmtId="0" fontId="0" fillId="12" borderId="29" xfId="0" applyFill="1" applyBorder="1"/>
    <xf numFmtId="0" fontId="0" fillId="3" borderId="22" xfId="0" applyFill="1" applyBorder="1"/>
    <xf numFmtId="0" fontId="0" fillId="3" borderId="27" xfId="0" applyFill="1" applyBorder="1"/>
    <xf numFmtId="0" fontId="0" fillId="3" borderId="23" xfId="0" applyFill="1" applyBorder="1"/>
    <xf numFmtId="0" fontId="0" fillId="3" borderId="29" xfId="0" applyFill="1" applyBorder="1"/>
    <xf numFmtId="0" fontId="0" fillId="3" borderId="0" xfId="0" applyFill="1" applyBorder="1"/>
    <xf numFmtId="0" fontId="0" fillId="12" borderId="36" xfId="0" applyFill="1" applyBorder="1"/>
    <xf numFmtId="0" fontId="0" fillId="12" borderId="33" xfId="0" applyFill="1" applyBorder="1"/>
    <xf numFmtId="0" fontId="0" fillId="3" borderId="26" xfId="0" applyFill="1" applyBorder="1"/>
    <xf numFmtId="0" fontId="0" fillId="7" borderId="26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24" xfId="0" applyFill="1" applyBorder="1" applyAlignment="1">
      <alignment vertical="center" wrapText="1"/>
    </xf>
    <xf numFmtId="0" fontId="0" fillId="7" borderId="23" xfId="0" applyFill="1" applyBorder="1" applyAlignment="1">
      <alignment vertical="center" wrapText="1"/>
    </xf>
    <xf numFmtId="0" fontId="0" fillId="7" borderId="30" xfId="0" applyFill="1" applyBorder="1" applyAlignment="1">
      <alignment vertical="center" wrapText="1"/>
    </xf>
    <xf numFmtId="0" fontId="0" fillId="15" borderId="22" xfId="0" applyFill="1" applyBorder="1" applyAlignment="1">
      <alignment horizontal="center" vertical="center"/>
    </xf>
    <xf numFmtId="0" fontId="0" fillId="15" borderId="30" xfId="0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0" fontId="0" fillId="14" borderId="24" xfId="0" applyFill="1" applyBorder="1" applyAlignment="1">
      <alignment horizontal="center" vertical="center"/>
    </xf>
    <xf numFmtId="0" fontId="10" fillId="15" borderId="22" xfId="0" applyFont="1" applyFill="1" applyBorder="1" applyAlignment="1">
      <alignment horizontal="center" vertical="center"/>
    </xf>
    <xf numFmtId="0" fontId="10" fillId="14" borderId="22" xfId="0" applyFont="1" applyFill="1" applyBorder="1" applyAlignment="1">
      <alignment horizontal="center" vertical="center"/>
    </xf>
    <xf numFmtId="0" fontId="10" fillId="5" borderId="36" xfId="0" applyFont="1" applyFill="1" applyBorder="1" applyAlignment="1">
      <alignment horizontal="center" vertical="center"/>
    </xf>
    <xf numFmtId="0" fontId="0" fillId="4" borderId="32" xfId="0" applyFill="1" applyBorder="1" applyAlignment="1">
      <alignment wrapText="1"/>
    </xf>
    <xf numFmtId="0" fontId="0" fillId="6" borderId="24" xfId="0" applyFill="1" applyBorder="1"/>
    <xf numFmtId="0" fontId="0" fillId="6" borderId="26" xfId="0" applyFill="1" applyBorder="1"/>
    <xf numFmtId="0" fontId="0" fillId="6" borderId="25" xfId="0" applyFill="1" applyBorder="1"/>
    <xf numFmtId="0" fontId="0" fillId="4" borderId="27" xfId="0" applyFill="1" applyBorder="1"/>
    <xf numFmtId="0" fontId="0" fillId="6" borderId="23" xfId="0" applyFill="1" applyBorder="1"/>
    <xf numFmtId="0" fontId="0" fillId="6" borderId="27" xfId="0" applyFill="1" applyBorder="1"/>
    <xf numFmtId="0" fontId="0" fillId="6" borderId="22" xfId="0" applyFill="1" applyBorder="1"/>
    <xf numFmtId="0" fontId="0" fillId="6" borderId="32" xfId="0" applyFill="1" applyBorder="1"/>
    <xf numFmtId="0" fontId="0" fillId="6" borderId="0" xfId="0" applyFill="1" applyBorder="1"/>
    <xf numFmtId="0" fontId="0" fillId="6" borderId="34" xfId="0" applyFill="1" applyBorder="1"/>
    <xf numFmtId="0" fontId="0" fillId="7" borderId="28" xfId="0" applyFill="1" applyBorder="1" applyAlignment="1">
      <alignment horizontal="center"/>
    </xf>
    <xf numFmtId="0" fontId="0" fillId="7" borderId="29" xfId="0" applyFill="1" applyBorder="1" applyAlignment="1">
      <alignment horizontal="center"/>
    </xf>
    <xf numFmtId="0" fontId="10" fillId="15" borderId="31" xfId="0" applyFont="1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4" borderId="22" xfId="0" applyFill="1" applyBorder="1" applyAlignment="1">
      <alignment wrapText="1"/>
    </xf>
    <xf numFmtId="0" fontId="0" fillId="4" borderId="26" xfId="0" applyFill="1" applyBorder="1"/>
    <xf numFmtId="0" fontId="0" fillId="4" borderId="24" xfId="0" applyFill="1" applyBorder="1"/>
    <xf numFmtId="0" fontId="0" fillId="4" borderId="30" xfId="0" applyFill="1" applyBorder="1"/>
    <xf numFmtId="0" fontId="10" fillId="4" borderId="33" xfId="0" applyFont="1" applyFill="1" applyBorder="1"/>
    <xf numFmtId="0" fontId="10" fillId="4" borderId="30" xfId="0" applyFont="1" applyFill="1" applyBorder="1"/>
    <xf numFmtId="0" fontId="10" fillId="4" borderId="35" xfId="0" applyFont="1" applyFill="1" applyBorder="1"/>
    <xf numFmtId="0" fontId="0" fillId="7" borderId="23" xfId="0" applyFill="1" applyBorder="1"/>
    <xf numFmtId="0" fontId="0" fillId="4" borderId="28" xfId="0" applyFill="1" applyBorder="1"/>
    <xf numFmtId="0" fontId="0" fillId="6" borderId="28" xfId="0" applyFill="1" applyBorder="1"/>
    <xf numFmtId="0" fontId="10" fillId="4" borderId="31" xfId="0" applyFont="1" applyFill="1" applyBorder="1"/>
    <xf numFmtId="0" fontId="0" fillId="0" borderId="28" xfId="0" applyBorder="1"/>
    <xf numFmtId="0" fontId="0" fillId="3" borderId="32" xfId="0" applyFill="1" applyBorder="1"/>
    <xf numFmtId="0" fontId="10" fillId="12" borderId="33" xfId="0" applyFont="1" applyFill="1" applyBorder="1"/>
    <xf numFmtId="0" fontId="10" fillId="12" borderId="22" xfId="0" applyFont="1" applyFill="1" applyBorder="1"/>
    <xf numFmtId="0" fontId="10" fillId="12" borderId="35" xfId="0" applyFont="1" applyFill="1" applyBorder="1"/>
    <xf numFmtId="0" fontId="0" fillId="3" borderId="36" xfId="0" applyFill="1" applyBorder="1"/>
    <xf numFmtId="0" fontId="0" fillId="4" borderId="29" xfId="0" applyFill="1" applyBorder="1"/>
    <xf numFmtId="0" fontId="10" fillId="12" borderId="36" xfId="0" applyFont="1" applyFill="1" applyBorder="1"/>
    <xf numFmtId="0" fontId="0" fillId="14" borderId="30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10" fillId="14" borderId="30" xfId="0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horizontal="center" vertical="center"/>
    </xf>
    <xf numFmtId="0" fontId="10" fillId="14" borderId="36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0" fillId="3" borderId="22" xfId="0" applyNumberFormat="1" applyFill="1" applyBorder="1" applyAlignment="1">
      <alignment horizontal="center" vertical="center"/>
    </xf>
    <xf numFmtId="2" fontId="0" fillId="3" borderId="22" xfId="0" applyNumberFormat="1" applyFill="1" applyBorder="1" applyAlignment="1">
      <alignment horizontal="center" vertical="center"/>
    </xf>
    <xf numFmtId="176" fontId="0" fillId="3" borderId="22" xfId="1" applyNumberFormat="1" applyFont="1" applyFill="1" applyBorder="1" applyAlignment="1">
      <alignment horizontal="center" vertical="center"/>
    </xf>
    <xf numFmtId="0" fontId="0" fillId="6" borderId="29" xfId="0" applyFill="1" applyBorder="1" applyAlignment="1">
      <alignment wrapText="1"/>
    </xf>
    <xf numFmtId="0" fontId="10" fillId="6" borderId="30" xfId="0" applyFont="1" applyFill="1" applyBorder="1"/>
    <xf numFmtId="0" fontId="10" fillId="6" borderId="35" xfId="0" applyFont="1" applyFill="1" applyBorder="1"/>
    <xf numFmtId="0" fontId="0" fillId="12" borderId="28" xfId="0" applyFill="1" applyBorder="1"/>
    <xf numFmtId="0" fontId="0" fillId="6" borderId="29" xfId="0" applyFill="1" applyBorder="1"/>
    <xf numFmtId="0" fontId="10" fillId="6" borderId="31" xfId="0" applyFont="1" applyFill="1" applyBorder="1"/>
    <xf numFmtId="0" fontId="0" fillId="7" borderId="31" xfId="0" applyFill="1" applyBorder="1" applyAlignment="1">
      <alignment horizontal="center"/>
    </xf>
    <xf numFmtId="0" fontId="0" fillId="12" borderId="25" xfId="0" applyFill="1" applyBorder="1"/>
    <xf numFmtId="0" fontId="10" fillId="6" borderId="33" xfId="0" applyFont="1" applyFill="1" applyBorder="1"/>
    <xf numFmtId="0" fontId="0" fillId="11" borderId="22" xfId="0" applyNumberFormat="1" applyFont="1" applyFill="1" applyBorder="1" applyAlignment="1">
      <alignment horizontal="center" vertical="center"/>
    </xf>
    <xf numFmtId="2" fontId="0" fillId="11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7" borderId="25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4" borderId="29" xfId="0" applyFill="1" applyBorder="1" applyAlignment="1">
      <alignment wrapText="1"/>
    </xf>
    <xf numFmtId="0" fontId="0" fillId="0" borderId="22" xfId="0" applyBorder="1"/>
    <xf numFmtId="0" fontId="10" fillId="4" borderId="22" xfId="0" applyFont="1" applyFill="1" applyBorder="1"/>
    <xf numFmtId="0" fontId="10" fillId="4" borderId="34" xfId="0" applyFont="1" applyFill="1" applyBorder="1"/>
    <xf numFmtId="0" fontId="0" fillId="15" borderId="29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wrapText="1"/>
    </xf>
    <xf numFmtId="0" fontId="0" fillId="7" borderId="38" xfId="0" applyFill="1" applyBorder="1" applyAlignment="1">
      <alignment horizontal="center"/>
    </xf>
    <xf numFmtId="0" fontId="0" fillId="7" borderId="38" xfId="0" applyFill="1" applyBorder="1" applyAlignment="1">
      <alignment horizontal="center" wrapText="1"/>
    </xf>
    <xf numFmtId="0" fontId="0" fillId="7" borderId="39" xfId="0" applyFill="1" applyBorder="1" applyAlignment="1">
      <alignment horizontal="center" wrapText="1"/>
    </xf>
    <xf numFmtId="0" fontId="0" fillId="7" borderId="40" xfId="0" applyFill="1" applyBorder="1" applyAlignment="1">
      <alignment horizontal="center" wrapText="1"/>
    </xf>
    <xf numFmtId="0" fontId="0" fillId="7" borderId="41" xfId="0" applyFill="1" applyBorder="1" applyAlignment="1">
      <alignment horizontal="center" wrapText="1"/>
    </xf>
    <xf numFmtId="0" fontId="0" fillId="4" borderId="0" xfId="0" applyFill="1" applyBorder="1" applyAlignment="1">
      <alignment wrapText="1"/>
    </xf>
    <xf numFmtId="0" fontId="0" fillId="4" borderId="42" xfId="0" applyFill="1" applyBorder="1"/>
    <xf numFmtId="0" fontId="0" fillId="4" borderId="43" xfId="0" applyFill="1" applyBorder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0" fillId="0" borderId="0" xfId="0" applyBorder="1"/>
    <xf numFmtId="0" fontId="0" fillId="4" borderId="48" xfId="0" applyFill="1" applyBorder="1"/>
    <xf numFmtId="0" fontId="0" fillId="4" borderId="38" xfId="0" applyFill="1" applyBorder="1"/>
    <xf numFmtId="0" fontId="0" fillId="4" borderId="37" xfId="0" applyFill="1" applyBorder="1"/>
    <xf numFmtId="0" fontId="0" fillId="6" borderId="45" xfId="0" applyFill="1" applyBorder="1"/>
    <xf numFmtId="0" fontId="0" fillId="6" borderId="46" xfId="0" applyFill="1" applyBorder="1"/>
    <xf numFmtId="0" fontId="0" fillId="6" borderId="47" xfId="0" applyFill="1" applyBorder="1"/>
    <xf numFmtId="0" fontId="0" fillId="4" borderId="49" xfId="0" applyFill="1" applyBorder="1"/>
    <xf numFmtId="0" fontId="0" fillId="4" borderId="50" xfId="0" applyFill="1" applyBorder="1"/>
    <xf numFmtId="0" fontId="0" fillId="4" borderId="51" xfId="0" applyFill="1" applyBorder="1"/>
    <xf numFmtId="0" fontId="0" fillId="0" borderId="45" xfId="0" applyFill="1" applyBorder="1"/>
    <xf numFmtId="0" fontId="10" fillId="4" borderId="46" xfId="0" applyFont="1" applyFill="1" applyBorder="1"/>
    <xf numFmtId="0" fontId="10" fillId="4" borderId="47" xfId="0" applyFont="1" applyFill="1" applyBorder="1"/>
    <xf numFmtId="0" fontId="0" fillId="7" borderId="52" xfId="0" applyFill="1" applyBorder="1" applyAlignment="1">
      <alignment horizontal="center" wrapText="1"/>
    </xf>
    <xf numFmtId="0" fontId="0" fillId="7" borderId="53" xfId="0" applyFill="1" applyBorder="1" applyAlignment="1">
      <alignment horizontal="center" wrapText="1"/>
    </xf>
    <xf numFmtId="0" fontId="0" fillId="7" borderId="53" xfId="0" applyFill="1" applyBorder="1" applyAlignment="1">
      <alignment horizontal="center"/>
    </xf>
    <xf numFmtId="0" fontId="0" fillId="4" borderId="54" xfId="0" applyFill="1" applyBorder="1"/>
    <xf numFmtId="0" fontId="0" fillId="4" borderId="25" xfId="0" applyFill="1" applyBorder="1"/>
    <xf numFmtId="0" fontId="0" fillId="4" borderId="55" xfId="0" applyFill="1" applyBorder="1"/>
    <xf numFmtId="0" fontId="0" fillId="4" borderId="41" xfId="0" applyFill="1" applyBorder="1"/>
    <xf numFmtId="0" fontId="0" fillId="6" borderId="55" xfId="0" applyFill="1" applyBorder="1"/>
    <xf numFmtId="0" fontId="0" fillId="4" borderId="56" xfId="0" applyFill="1" applyBorder="1"/>
    <xf numFmtId="0" fontId="10" fillId="4" borderId="55" xfId="0" applyFont="1" applyFill="1" applyBorder="1"/>
    <xf numFmtId="0" fontId="10" fillId="4" borderId="32" xfId="0" applyFont="1" applyFill="1" applyBorder="1"/>
    <xf numFmtId="0" fontId="0" fillId="7" borderId="0" xfId="0" applyFill="1" applyAlignment="1">
      <alignment vertical="center" wrapText="1"/>
    </xf>
    <xf numFmtId="0" fontId="0" fillId="7" borderId="24" xfId="0" applyFill="1" applyBorder="1" applyAlignment="1">
      <alignment vertical="center"/>
    </xf>
    <xf numFmtId="0" fontId="0" fillId="7" borderId="25" xfId="0" applyFill="1" applyBorder="1" applyAlignment="1">
      <alignment vertical="center" wrapText="1"/>
    </xf>
    <xf numFmtId="0" fontId="0" fillId="7" borderId="26" xfId="0" applyFill="1" applyBorder="1" applyAlignment="1">
      <alignment vertical="center" wrapText="1"/>
    </xf>
    <xf numFmtId="0" fontId="0" fillId="7" borderId="23" xfId="0" applyFill="1" applyBorder="1" applyAlignment="1">
      <alignment vertical="center"/>
    </xf>
    <xf numFmtId="0" fontId="0" fillId="7" borderId="27" xfId="0" applyFill="1" applyBorder="1" applyAlignment="1">
      <alignment vertical="center" wrapText="1"/>
    </xf>
    <xf numFmtId="0" fontId="0" fillId="7" borderId="0" xfId="0" applyFill="1" applyBorder="1" applyAlignment="1">
      <alignment vertical="center" wrapText="1"/>
    </xf>
    <xf numFmtId="0" fontId="0" fillId="6" borderId="30" xfId="0" applyFill="1" applyBorder="1"/>
    <xf numFmtId="0" fontId="0" fillId="6" borderId="35" xfId="0" applyFill="1" applyBorder="1"/>
    <xf numFmtId="0" fontId="0" fillId="0" borderId="30" xfId="0" applyFill="1" applyBorder="1"/>
    <xf numFmtId="0" fontId="0" fillId="6" borderId="36" xfId="0" applyFill="1" applyBorder="1"/>
    <xf numFmtId="0" fontId="0" fillId="6" borderId="31" xfId="0" applyFill="1" applyBorder="1"/>
    <xf numFmtId="0" fontId="10" fillId="6" borderId="0" xfId="0" applyFont="1" applyFill="1"/>
    <xf numFmtId="0" fontId="0" fillId="7" borderId="0" xfId="0" applyFill="1" applyAlignment="1">
      <alignment vertical="center"/>
    </xf>
    <xf numFmtId="0" fontId="10" fillId="6" borderId="23" xfId="0" applyFont="1" applyFill="1" applyBorder="1"/>
    <xf numFmtId="0" fontId="10" fillId="14" borderId="31" xfId="0" applyFont="1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57" xfId="0" applyBorder="1"/>
    <xf numFmtId="0" fontId="0" fillId="0" borderId="23" xfId="0" applyBorder="1"/>
    <xf numFmtId="0" fontId="0" fillId="4" borderId="35" xfId="0" applyFill="1" applyBorder="1"/>
    <xf numFmtId="0" fontId="0" fillId="0" borderId="30" xfId="0" applyBorder="1"/>
    <xf numFmtId="0" fontId="10" fillId="12" borderId="30" xfId="0" applyFont="1" applyFill="1" applyBorder="1"/>
    <xf numFmtId="0" fontId="0" fillId="7" borderId="28" xfId="0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 wrapText="1"/>
    </xf>
    <xf numFmtId="0" fontId="0" fillId="7" borderId="31" xfId="0" applyFill="1" applyBorder="1" applyAlignment="1">
      <alignment horizontal="center" vertical="center" wrapText="1"/>
    </xf>
    <xf numFmtId="0" fontId="0" fillId="12" borderId="36" xfId="0" applyFill="1" applyBorder="1" applyAlignment="1">
      <alignment horizontal="center" vertical="center"/>
    </xf>
    <xf numFmtId="0" fontId="10" fillId="12" borderId="36" xfId="0" applyFont="1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 wrapText="1"/>
    </xf>
    <xf numFmtId="0" fontId="0" fillId="7" borderId="35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10" fillId="6" borderId="34" xfId="0" applyFon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2" borderId="27" xfId="0" applyFill="1" applyBorder="1" applyAlignment="1">
      <alignment horizontal="center" vertical="center" wrapText="1"/>
    </xf>
    <xf numFmtId="0" fontId="0" fillId="12" borderId="23" xfId="0" applyFill="1" applyBorder="1" applyAlignment="1">
      <alignment horizontal="center" vertical="center" wrapText="1"/>
    </xf>
    <xf numFmtId="0" fontId="0" fillId="12" borderId="29" xfId="0" applyFill="1" applyBorder="1" applyAlignment="1">
      <alignment horizontal="center" vertical="center" wrapText="1"/>
    </xf>
    <xf numFmtId="0" fontId="0" fillId="12" borderId="0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 wrapText="1"/>
    </xf>
    <xf numFmtId="0" fontId="0" fillId="12" borderId="22" xfId="0" applyFill="1" applyBorder="1" applyAlignment="1">
      <alignment horizontal="center" vertical="center" wrapText="1"/>
    </xf>
    <xf numFmtId="0" fontId="0" fillId="12" borderId="36" xfId="0" applyFill="1" applyBorder="1" applyAlignment="1">
      <alignment horizontal="center" vertical="center" wrapText="1"/>
    </xf>
    <xf numFmtId="0" fontId="0" fillId="12" borderId="34" xfId="0" applyFill="1" applyBorder="1" applyAlignment="1">
      <alignment horizontal="center" vertical="center" wrapText="1"/>
    </xf>
    <xf numFmtId="0" fontId="0" fillId="6" borderId="33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0" fontId="0" fillId="12" borderId="31" xfId="0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0" fillId="12" borderId="31" xfId="0" applyFont="1" applyFill="1" applyBorder="1" applyAlignment="1">
      <alignment horizontal="center" vertical="center" wrapText="1"/>
    </xf>
    <xf numFmtId="0" fontId="10" fillId="12" borderId="30" xfId="0" applyFont="1" applyFill="1" applyBorder="1" applyAlignment="1">
      <alignment horizontal="center" vertical="center" wrapText="1"/>
    </xf>
    <xf numFmtId="0" fontId="10" fillId="12" borderId="36" xfId="0" applyFont="1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0" fillId="12" borderId="35" xfId="0" applyFill="1" applyBorder="1" applyAlignment="1">
      <alignment horizontal="center" vertical="center" wrapText="1"/>
    </xf>
    <xf numFmtId="0" fontId="0" fillId="12" borderId="30" xfId="0" applyFill="1" applyBorder="1" applyAlignment="1">
      <alignment horizontal="center" vertical="center" wrapText="1"/>
    </xf>
    <xf numFmtId="0" fontId="10" fillId="12" borderId="35" xfId="0" applyFont="1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0" fillId="6" borderId="35" xfId="0" applyFont="1" applyFill="1" applyBorder="1" applyAlignment="1">
      <alignment horizontal="center" vertical="center"/>
    </xf>
    <xf numFmtId="0" fontId="10" fillId="6" borderId="3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12" borderId="30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12" borderId="0" xfId="0" applyFill="1" applyAlignment="1">
      <alignment vertical="center" wrapText="1"/>
    </xf>
    <xf numFmtId="0" fontId="0" fillId="6" borderId="27" xfId="0" applyFill="1" applyBorder="1" applyAlignment="1">
      <alignment vertical="center" wrapText="1"/>
    </xf>
    <xf numFmtId="0" fontId="0" fillId="6" borderId="23" xfId="0" applyFill="1" applyBorder="1" applyAlignment="1">
      <alignment vertical="center" wrapText="1"/>
    </xf>
    <xf numFmtId="0" fontId="0" fillId="6" borderId="29" xfId="0" applyFill="1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12" borderId="32" xfId="0" applyFill="1" applyBorder="1" applyAlignment="1">
      <alignment vertical="center" wrapText="1"/>
    </xf>
    <xf numFmtId="0" fontId="0" fillId="12" borderId="22" xfId="0" applyFill="1" applyBorder="1" applyAlignment="1">
      <alignment vertical="center" wrapText="1"/>
    </xf>
    <xf numFmtId="0" fontId="0" fillId="12" borderId="36" xfId="0" applyFill="1" applyBorder="1" applyAlignment="1">
      <alignment vertical="center" wrapText="1"/>
    </xf>
    <xf numFmtId="0" fontId="0" fillId="12" borderId="34" xfId="0" applyFill="1" applyBorder="1" applyAlignment="1">
      <alignment vertical="center" wrapText="1"/>
    </xf>
    <xf numFmtId="0" fontId="0" fillId="12" borderId="33" xfId="0" applyFill="1" applyBorder="1" applyAlignment="1">
      <alignment vertical="center" wrapText="1"/>
    </xf>
    <xf numFmtId="0" fontId="0" fillId="12" borderId="30" xfId="0" applyFill="1" applyBorder="1" applyAlignment="1">
      <alignment vertical="center" wrapText="1"/>
    </xf>
    <xf numFmtId="0" fontId="0" fillId="12" borderId="31" xfId="0" applyFill="1" applyBorder="1" applyAlignment="1">
      <alignment vertical="center" wrapText="1"/>
    </xf>
    <xf numFmtId="0" fontId="0" fillId="12" borderId="35" xfId="0" applyFill="1" applyBorder="1" applyAlignment="1">
      <alignment vertical="center" wrapText="1"/>
    </xf>
    <xf numFmtId="0" fontId="0" fillId="12" borderId="27" xfId="0" applyFill="1" applyBorder="1" applyAlignment="1">
      <alignment vertical="center" wrapText="1"/>
    </xf>
    <xf numFmtId="0" fontId="0" fillId="12" borderId="23" xfId="0" applyFill="1" applyBorder="1" applyAlignment="1">
      <alignment vertical="center" wrapText="1"/>
    </xf>
    <xf numFmtId="0" fontId="0" fillId="12" borderId="29" xfId="0" applyFill="1" applyBorder="1" applyAlignment="1">
      <alignment vertical="center" wrapText="1"/>
    </xf>
    <xf numFmtId="0" fontId="0" fillId="12" borderId="0" xfId="0" applyFill="1" applyBorder="1" applyAlignment="1">
      <alignment vertical="center" wrapText="1"/>
    </xf>
    <xf numFmtId="0" fontId="0" fillId="6" borderId="25" xfId="0" applyFill="1" applyBorder="1" applyAlignment="1">
      <alignment vertical="center" wrapText="1"/>
    </xf>
    <xf numFmtId="0" fontId="0" fillId="6" borderId="24" xfId="0" applyFill="1" applyBorder="1" applyAlignment="1">
      <alignment vertical="center" wrapText="1"/>
    </xf>
    <xf numFmtId="0" fontId="0" fillId="6" borderId="34" xfId="0" applyFill="1" applyBorder="1" applyAlignment="1">
      <alignment vertical="center" wrapText="1"/>
    </xf>
    <xf numFmtId="0" fontId="0" fillId="6" borderId="22" xfId="0" applyFill="1" applyBorder="1" applyAlignment="1">
      <alignment vertical="center" wrapText="1"/>
    </xf>
    <xf numFmtId="0" fontId="0" fillId="6" borderId="36" xfId="0" applyFill="1" applyBorder="1" applyAlignment="1">
      <alignment vertical="center" wrapText="1"/>
    </xf>
    <xf numFmtId="0" fontId="0" fillId="6" borderId="26" xfId="0" applyFill="1" applyBorder="1" applyAlignment="1">
      <alignment vertical="center" wrapText="1"/>
    </xf>
    <xf numFmtId="0" fontId="0" fillId="3" borderId="30" xfId="0" applyFill="1" applyBorder="1" applyAlignment="1">
      <alignment vertical="center" wrapText="1"/>
    </xf>
    <xf numFmtId="0" fontId="0" fillId="3" borderId="31" xfId="0" applyFill="1" applyBorder="1" applyAlignment="1">
      <alignment vertical="center" wrapText="1"/>
    </xf>
    <xf numFmtId="0" fontId="0" fillId="3" borderId="35" xfId="0" applyFill="1" applyBorder="1" applyAlignment="1">
      <alignment vertical="center" wrapText="1"/>
    </xf>
    <xf numFmtId="0" fontId="0" fillId="3" borderId="22" xfId="0" applyFill="1" applyBorder="1" applyAlignment="1">
      <alignment vertical="center" wrapText="1"/>
    </xf>
    <xf numFmtId="0" fontId="0" fillId="3" borderId="36" xfId="0" applyFill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0" fillId="12" borderId="31" xfId="0" applyFont="1" applyFill="1" applyBorder="1" applyAlignment="1">
      <alignment vertical="center" wrapText="1"/>
    </xf>
    <xf numFmtId="0" fontId="10" fillId="12" borderId="36" xfId="0" applyFont="1" applyFill="1" applyBorder="1" applyAlignment="1">
      <alignment vertical="center" wrapText="1"/>
    </xf>
    <xf numFmtId="0" fontId="10" fillId="12" borderId="30" xfId="0" applyFont="1" applyFill="1" applyBorder="1" applyAlignment="1">
      <alignment vertical="center" wrapText="1"/>
    </xf>
    <xf numFmtId="0" fontId="0" fillId="6" borderId="28" xfId="0" applyFill="1" applyBorder="1" applyAlignment="1">
      <alignment vertical="center" wrapText="1"/>
    </xf>
    <xf numFmtId="0" fontId="0" fillId="6" borderId="32" xfId="0" applyFill="1" applyBorder="1" applyAlignment="1">
      <alignment vertical="center" wrapText="1"/>
    </xf>
    <xf numFmtId="0" fontId="10" fillId="12" borderId="35" xfId="0" applyFont="1" applyFill="1" applyBorder="1" applyAlignment="1">
      <alignment vertical="center" wrapText="1"/>
    </xf>
    <xf numFmtId="0" fontId="0" fillId="7" borderId="0" xfId="0" applyFill="1" applyAlignment="1">
      <alignment horizontal="center" vertical="center" wrapText="1"/>
    </xf>
    <xf numFmtId="0" fontId="0" fillId="12" borderId="24" xfId="0" applyFill="1" applyBorder="1" applyAlignment="1">
      <alignment horizontal="center" vertical="center" wrapText="1"/>
    </xf>
    <xf numFmtId="0" fontId="0" fillId="12" borderId="25" xfId="0" applyFill="1" applyBorder="1" applyAlignment="1">
      <alignment horizontal="center" vertical="center" wrapText="1"/>
    </xf>
    <xf numFmtId="0" fontId="0" fillId="12" borderId="26" xfId="0" applyFill="1" applyBorder="1" applyAlignment="1">
      <alignment horizontal="center" vertical="center" wrapText="1"/>
    </xf>
    <xf numFmtId="0" fontId="0" fillId="12" borderId="33" xfId="0" applyFill="1" applyBorder="1" applyAlignment="1">
      <alignment horizontal="center" vertical="center" wrapText="1"/>
    </xf>
    <xf numFmtId="0" fontId="10" fillId="12" borderId="33" xfId="0" applyFont="1" applyFill="1" applyBorder="1" applyAlignment="1">
      <alignment horizontal="center" vertical="center" wrapText="1"/>
    </xf>
    <xf numFmtId="0" fontId="0" fillId="12" borderId="28" xfId="0" applyFill="1" applyBorder="1" applyAlignment="1">
      <alignment horizontal="center" vertical="center" wrapText="1"/>
    </xf>
    <xf numFmtId="0" fontId="10" fillId="14" borderId="28" xfId="0" applyFont="1" applyFill="1" applyBorder="1" applyAlignment="1">
      <alignment horizontal="center" vertical="center"/>
    </xf>
    <xf numFmtId="0" fontId="10" fillId="12" borderId="28" xfId="0" applyFont="1" applyFill="1" applyBorder="1" applyAlignment="1">
      <alignment horizontal="center" vertical="center"/>
    </xf>
    <xf numFmtId="0" fontId="0" fillId="0" borderId="27" xfId="0" applyBorder="1"/>
    <xf numFmtId="0" fontId="0" fillId="4" borderId="32" xfId="0" applyFont="1" applyFill="1" applyBorder="1"/>
    <xf numFmtId="0" fontId="0" fillId="4" borderId="22" xfId="0" applyFont="1" applyFill="1" applyBorder="1"/>
    <xf numFmtId="0" fontId="0" fillId="4" borderId="34" xfId="0" applyFont="1" applyFill="1" applyBorder="1"/>
    <xf numFmtId="0" fontId="0" fillId="0" borderId="33" xfId="0" applyBorder="1"/>
    <xf numFmtId="0" fontId="0" fillId="4" borderId="31" xfId="0" applyFill="1" applyBorder="1"/>
    <xf numFmtId="0" fontId="0" fillId="6" borderId="27" xfId="0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 wrapText="1"/>
    </xf>
    <xf numFmtId="0" fontId="0" fillId="4" borderId="30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4" borderId="35" xfId="0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 wrapText="1"/>
    </xf>
    <xf numFmtId="0" fontId="0" fillId="4" borderId="34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 wrapText="1"/>
    </xf>
    <xf numFmtId="0" fontId="0" fillId="7" borderId="31" xfId="0" applyFill="1" applyBorder="1" applyAlignment="1">
      <alignment vertical="center" wrapText="1"/>
    </xf>
    <xf numFmtId="0" fontId="0" fillId="3" borderId="27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10" fillId="4" borderId="36" xfId="0" applyFont="1" applyFill="1" applyBorder="1"/>
    <xf numFmtId="0" fontId="0" fillId="0" borderId="36" xfId="0" applyBorder="1" applyAlignment="1">
      <alignment horizontal="center" vertical="center"/>
    </xf>
    <xf numFmtId="0" fontId="0" fillId="11" borderId="23" xfId="0" applyNumberFormat="1" applyFill="1" applyBorder="1" applyAlignment="1">
      <alignment horizontal="center" vertical="center"/>
    </xf>
    <xf numFmtId="2" fontId="0" fillId="0" borderId="0" xfId="0" applyNumberFormat="1"/>
    <xf numFmtId="0" fontId="0" fillId="7" borderId="33" xfId="0" applyFill="1" applyBorder="1" applyAlignment="1">
      <alignment vertical="center" wrapText="1"/>
    </xf>
    <xf numFmtId="0" fontId="0" fillId="7" borderId="35" xfId="0" applyFill="1" applyBorder="1" applyAlignment="1">
      <alignment vertical="center" wrapText="1"/>
    </xf>
    <xf numFmtId="0" fontId="0" fillId="7" borderId="28" xfId="0" applyFill="1" applyBorder="1" applyAlignment="1">
      <alignment vertical="center"/>
    </xf>
    <xf numFmtId="0" fontId="0" fillId="7" borderId="29" xfId="0" applyFill="1" applyBorder="1" applyAlignment="1">
      <alignment vertical="center"/>
    </xf>
    <xf numFmtId="0" fontId="0" fillId="7" borderId="30" xfId="0" applyFill="1" applyBorder="1" applyAlignment="1">
      <alignment vertical="center"/>
    </xf>
    <xf numFmtId="0" fontId="10" fillId="4" borderId="36" xfId="0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0" borderId="35" xfId="0" applyBorder="1"/>
    <xf numFmtId="0" fontId="10" fillId="3" borderId="36" xfId="0" applyFont="1" applyFill="1" applyBorder="1"/>
    <xf numFmtId="0" fontId="10" fillId="3" borderId="31" xfId="0" applyFont="1" applyFill="1" applyBorder="1"/>
    <xf numFmtId="0" fontId="10" fillId="3" borderId="22" xfId="0" applyFont="1" applyFill="1" applyBorder="1"/>
    <xf numFmtId="0" fontId="10" fillId="3" borderId="35" xfId="0" applyFont="1" applyFill="1" applyBorder="1"/>
    <xf numFmtId="0" fontId="10" fillId="3" borderId="30" xfId="0" applyFont="1" applyFill="1" applyBorder="1"/>
    <xf numFmtId="0" fontId="0" fillId="0" borderId="26" xfId="0" applyBorder="1"/>
    <xf numFmtId="0" fontId="0" fillId="0" borderId="24" xfId="0" applyBorder="1"/>
    <xf numFmtId="0" fontId="0" fillId="0" borderId="34" xfId="0" applyBorder="1"/>
    <xf numFmtId="0" fontId="0" fillId="0" borderId="36" xfId="0" applyBorder="1"/>
    <xf numFmtId="0" fontId="0" fillId="0" borderId="31" xfId="0" applyBorder="1"/>
    <xf numFmtId="0" fontId="0" fillId="0" borderId="3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Font="1" applyFill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3399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F6699"/>
        </patternFill>
      </fill>
    </dxf>
    <dxf>
      <fill>
        <patternFill patternType="solid">
          <bgColor rgb="FF92D050"/>
        </patternFill>
      </fill>
    </dxf>
    <dxf>
      <font>
        <color theme="1" tint="0.0499893185216834"/>
      </font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5" tint="0.599963377788629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colors>
    <mruColors>
      <color rgb="00FF6699"/>
      <color rgb="00FF3399"/>
      <color rgb="00FF33CC"/>
      <color rgb="00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0" Type="http://schemas.openxmlformats.org/officeDocument/2006/relationships/styles" Target="styles.xml"/><Relationship Id="rId8" Type="http://schemas.openxmlformats.org/officeDocument/2006/relationships/worksheet" Target="worksheets/sheet8.xml"/><Relationship Id="rId79" Type="http://schemas.openxmlformats.org/officeDocument/2006/relationships/sharedStrings" Target="sharedStrings.xml"/><Relationship Id="rId78" Type="http://schemas.openxmlformats.org/officeDocument/2006/relationships/theme" Target="theme/theme1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1"/>
  <sheetViews>
    <sheetView workbookViewId="0">
      <selection activeCell="E18" sqref="A15:E18"/>
    </sheetView>
  </sheetViews>
  <sheetFormatPr defaultColWidth="9" defaultRowHeight="14.5"/>
  <cols>
    <col min="1" max="1" width="7" customWidth="1"/>
    <col min="2" max="2" width="8.57272727272727" customWidth="1"/>
    <col min="3" max="3" width="29.7090909090909" customWidth="1"/>
    <col min="4" max="4" width="26" customWidth="1"/>
    <col min="5" max="5" width="21.5727272727273" customWidth="1"/>
    <col min="6" max="6" width="16.8545454545455" customWidth="1"/>
    <col min="7" max="7" width="18.4272727272727" customWidth="1"/>
    <col min="8" max="8" width="18.1363636363636" customWidth="1"/>
    <col min="9" max="9" width="15" customWidth="1"/>
  </cols>
  <sheetData>
    <row r="1" ht="15" customHeight="1" spans="1:15">
      <c r="A1" s="265" t="s">
        <v>0</v>
      </c>
      <c r="B1" s="265"/>
      <c r="C1" s="695" t="s">
        <v>1</v>
      </c>
      <c r="D1" s="695"/>
      <c r="E1" s="695"/>
      <c r="F1" s="695"/>
      <c r="G1" s="695"/>
      <c r="H1" s="695"/>
      <c r="I1" s="695"/>
      <c r="J1" s="695"/>
      <c r="K1" s="695" t="s">
        <v>2</v>
      </c>
      <c r="L1" s="265" t="s">
        <v>3</v>
      </c>
      <c r="M1" s="265" t="s">
        <v>4</v>
      </c>
      <c r="N1" s="695" t="s">
        <v>5</v>
      </c>
      <c r="O1" s="695" t="s">
        <v>6</v>
      </c>
    </row>
    <row r="2" spans="1:15">
      <c r="A2" s="265"/>
      <c r="B2" s="265"/>
      <c r="C2" s="695"/>
      <c r="D2" s="695"/>
      <c r="E2" s="695"/>
      <c r="F2" s="695"/>
      <c r="G2" s="695"/>
      <c r="H2" s="695"/>
      <c r="I2" s="695"/>
      <c r="J2" s="695"/>
      <c r="K2" s="695"/>
      <c r="L2" s="265"/>
      <c r="M2" s="265"/>
      <c r="N2" s="695"/>
      <c r="O2" s="695"/>
    </row>
    <row r="3" spans="1:17">
      <c r="A3" s="265"/>
      <c r="B3" s="265"/>
      <c r="C3" s="265" t="s">
        <v>7</v>
      </c>
      <c r="D3" s="265" t="s">
        <v>8</v>
      </c>
      <c r="E3" s="265" t="s">
        <v>9</v>
      </c>
      <c r="F3" s="695" t="s">
        <v>10</v>
      </c>
      <c r="G3" s="265" t="s">
        <v>11</v>
      </c>
      <c r="H3" s="265" t="s">
        <v>12</v>
      </c>
      <c r="I3" s="265" t="s">
        <v>9</v>
      </c>
      <c r="J3" s="265" t="s">
        <v>13</v>
      </c>
      <c r="K3" s="695"/>
      <c r="L3" s="265"/>
      <c r="M3" s="265"/>
      <c r="N3" s="695"/>
      <c r="O3" s="695"/>
      <c r="P3" s="695" t="s">
        <v>14</v>
      </c>
      <c r="Q3" s="695" t="s">
        <v>15</v>
      </c>
    </row>
    <row r="4" spans="1:17">
      <c r="A4" s="265"/>
      <c r="B4" s="265"/>
      <c r="C4" s="265"/>
      <c r="D4" s="265"/>
      <c r="E4" s="265"/>
      <c r="F4" s="695"/>
      <c r="G4" s="265"/>
      <c r="H4" s="265"/>
      <c r="I4" s="265"/>
      <c r="J4" s="265"/>
      <c r="K4" s="695"/>
      <c r="L4" s="265"/>
      <c r="M4" s="265"/>
      <c r="N4" s="695"/>
      <c r="O4" s="695"/>
      <c r="P4" s="695"/>
      <c r="Q4" s="695"/>
    </row>
    <row r="5" spans="1:17">
      <c r="A5" s="265"/>
      <c r="B5" s="265"/>
      <c r="C5" s="265"/>
      <c r="D5" s="265"/>
      <c r="E5" s="265"/>
      <c r="F5" s="695"/>
      <c r="G5" s="265"/>
      <c r="H5" s="265"/>
      <c r="I5" s="265"/>
      <c r="J5" s="265"/>
      <c r="K5" s="695"/>
      <c r="L5" s="265"/>
      <c r="M5" s="265"/>
      <c r="N5" s="695"/>
      <c r="O5" s="695"/>
      <c r="P5" s="695"/>
      <c r="Q5" s="695"/>
    </row>
    <row r="6" spans="1:17">
      <c r="A6" s="265"/>
      <c r="B6" s="265"/>
      <c r="C6" s="265"/>
      <c r="D6" s="265"/>
      <c r="E6" s="265"/>
      <c r="F6" s="695"/>
      <c r="G6" s="265"/>
      <c r="H6" s="265"/>
      <c r="I6" s="265"/>
      <c r="J6" s="265"/>
      <c r="K6" s="695"/>
      <c r="L6" s="265"/>
      <c r="M6" s="265"/>
      <c r="N6" s="695"/>
      <c r="O6" s="695"/>
      <c r="P6" s="695"/>
      <c r="Q6" s="695"/>
    </row>
    <row r="7" spans="1:16">
      <c r="A7">
        <v>1</v>
      </c>
      <c r="C7" s="339">
        <v>273</v>
      </c>
      <c r="D7" s="339">
        <v>500</v>
      </c>
      <c r="E7" s="339">
        <v>1</v>
      </c>
      <c r="F7" s="339">
        <v>2</v>
      </c>
      <c r="G7" s="339">
        <v>1</v>
      </c>
      <c r="H7" s="339">
        <v>0</v>
      </c>
      <c r="I7" s="339">
        <v>1</v>
      </c>
      <c r="J7" s="339">
        <v>0</v>
      </c>
      <c r="K7" s="339">
        <v>778</v>
      </c>
      <c r="L7" s="339">
        <v>0</v>
      </c>
      <c r="M7" s="339">
        <v>6</v>
      </c>
      <c r="N7">
        <v>784</v>
      </c>
      <c r="O7">
        <v>0</v>
      </c>
      <c r="P7">
        <f t="shared" ref="P7:P70" si="0">C7+D7+E7+F7+G7+H7+I7+J7+M7</f>
        <v>784</v>
      </c>
    </row>
    <row r="8" spans="1:16">
      <c r="A8">
        <v>2</v>
      </c>
      <c r="B8">
        <v>2</v>
      </c>
      <c r="C8" s="339">
        <v>208</v>
      </c>
      <c r="D8" s="339">
        <v>521</v>
      </c>
      <c r="E8" s="339">
        <v>2</v>
      </c>
      <c r="F8" s="339">
        <v>2</v>
      </c>
      <c r="G8" s="339">
        <v>0</v>
      </c>
      <c r="H8" s="339">
        <v>0</v>
      </c>
      <c r="I8" s="339">
        <v>3</v>
      </c>
      <c r="J8" s="339">
        <v>2</v>
      </c>
      <c r="K8" s="339">
        <v>738</v>
      </c>
      <c r="L8" s="339">
        <v>0</v>
      </c>
      <c r="M8" s="339">
        <v>4</v>
      </c>
      <c r="N8">
        <v>742</v>
      </c>
      <c r="O8">
        <v>0</v>
      </c>
      <c r="P8">
        <f t="shared" si="0"/>
        <v>742</v>
      </c>
    </row>
    <row r="9" spans="1:16">
      <c r="A9">
        <v>3</v>
      </c>
      <c r="B9">
        <v>3</v>
      </c>
      <c r="C9" s="339">
        <v>191</v>
      </c>
      <c r="D9" s="339">
        <v>278</v>
      </c>
      <c r="E9" s="339">
        <v>2</v>
      </c>
      <c r="F9" s="339">
        <v>0</v>
      </c>
      <c r="G9" s="339">
        <v>0</v>
      </c>
      <c r="H9" s="339">
        <v>1</v>
      </c>
      <c r="I9" s="339">
        <v>1</v>
      </c>
      <c r="J9" s="339">
        <v>0</v>
      </c>
      <c r="K9" s="339">
        <v>473</v>
      </c>
      <c r="L9" s="339">
        <v>0</v>
      </c>
      <c r="M9" s="339">
        <v>5</v>
      </c>
      <c r="N9">
        <v>478</v>
      </c>
      <c r="O9">
        <v>0</v>
      </c>
      <c r="P9">
        <f t="shared" si="0"/>
        <v>478</v>
      </c>
    </row>
    <row r="10" spans="1:16">
      <c r="A10">
        <v>4</v>
      </c>
      <c r="C10" s="339">
        <v>205</v>
      </c>
      <c r="D10" s="339">
        <v>736</v>
      </c>
      <c r="E10" s="339">
        <v>0</v>
      </c>
      <c r="F10" s="339">
        <v>9</v>
      </c>
      <c r="G10" s="339">
        <v>1</v>
      </c>
      <c r="H10" s="339">
        <v>0</v>
      </c>
      <c r="I10" s="339">
        <v>3</v>
      </c>
      <c r="J10" s="339">
        <v>2</v>
      </c>
      <c r="K10" s="339">
        <v>956</v>
      </c>
      <c r="L10" s="339">
        <v>0</v>
      </c>
      <c r="M10" s="339">
        <v>13</v>
      </c>
      <c r="N10">
        <v>969</v>
      </c>
      <c r="O10">
        <v>0</v>
      </c>
      <c r="P10">
        <f t="shared" si="0"/>
        <v>969</v>
      </c>
    </row>
    <row r="11" spans="1:16">
      <c r="A11">
        <v>5</v>
      </c>
      <c r="C11" s="339">
        <v>180</v>
      </c>
      <c r="D11" s="339">
        <v>598</v>
      </c>
      <c r="E11" s="339">
        <v>2</v>
      </c>
      <c r="F11" s="339">
        <v>1</v>
      </c>
      <c r="G11" s="339">
        <v>1</v>
      </c>
      <c r="H11" s="339">
        <v>2</v>
      </c>
      <c r="I11" s="339">
        <v>3</v>
      </c>
      <c r="J11" s="339">
        <v>1</v>
      </c>
      <c r="K11" s="339">
        <v>788</v>
      </c>
      <c r="L11" s="339">
        <v>0</v>
      </c>
      <c r="M11" s="339">
        <v>8</v>
      </c>
      <c r="N11">
        <v>796</v>
      </c>
      <c r="O11">
        <v>0</v>
      </c>
      <c r="P11">
        <f t="shared" si="0"/>
        <v>796</v>
      </c>
    </row>
    <row r="12" spans="1:16">
      <c r="A12">
        <v>6</v>
      </c>
      <c r="C12" s="339">
        <v>388</v>
      </c>
      <c r="D12" s="339">
        <v>497</v>
      </c>
      <c r="E12" s="339">
        <v>5</v>
      </c>
      <c r="F12" s="339">
        <v>1</v>
      </c>
      <c r="G12" s="339">
        <v>0</v>
      </c>
      <c r="H12" s="339">
        <v>0</v>
      </c>
      <c r="I12" s="339">
        <v>1</v>
      </c>
      <c r="J12" s="339">
        <v>1</v>
      </c>
      <c r="K12" s="339">
        <v>893</v>
      </c>
      <c r="L12" s="339">
        <v>0</v>
      </c>
      <c r="M12" s="339">
        <v>10</v>
      </c>
      <c r="N12">
        <v>903</v>
      </c>
      <c r="O12">
        <v>0</v>
      </c>
      <c r="P12">
        <f t="shared" si="0"/>
        <v>903</v>
      </c>
    </row>
    <row r="13" spans="1:16">
      <c r="A13">
        <v>7</v>
      </c>
      <c r="C13" s="339">
        <v>130</v>
      </c>
      <c r="D13" s="339">
        <v>375</v>
      </c>
      <c r="E13" s="339">
        <v>2</v>
      </c>
      <c r="F13" s="339">
        <v>1</v>
      </c>
      <c r="G13" s="339">
        <v>0</v>
      </c>
      <c r="H13" s="339">
        <v>0</v>
      </c>
      <c r="I13" s="339">
        <v>0</v>
      </c>
      <c r="J13" s="339">
        <v>0</v>
      </c>
      <c r="K13" s="339">
        <v>508</v>
      </c>
      <c r="L13" s="339">
        <v>0</v>
      </c>
      <c r="M13" s="339">
        <v>2</v>
      </c>
      <c r="N13">
        <v>510</v>
      </c>
      <c r="O13">
        <v>0</v>
      </c>
      <c r="P13">
        <f t="shared" si="0"/>
        <v>510</v>
      </c>
    </row>
    <row r="14" spans="1:16">
      <c r="A14">
        <v>8</v>
      </c>
      <c r="C14" s="339">
        <v>161</v>
      </c>
      <c r="D14" s="339">
        <v>366</v>
      </c>
      <c r="E14" s="339">
        <v>1</v>
      </c>
      <c r="F14" s="339">
        <v>2</v>
      </c>
      <c r="G14" s="339">
        <v>0</v>
      </c>
      <c r="H14" s="339">
        <v>0</v>
      </c>
      <c r="I14" s="339">
        <v>0</v>
      </c>
      <c r="J14" s="339">
        <v>0</v>
      </c>
      <c r="K14" s="339">
        <v>530</v>
      </c>
      <c r="L14" s="339">
        <v>0</v>
      </c>
      <c r="M14" s="339">
        <v>8</v>
      </c>
      <c r="N14">
        <v>538</v>
      </c>
      <c r="O14">
        <v>0</v>
      </c>
      <c r="P14">
        <f t="shared" si="0"/>
        <v>538</v>
      </c>
    </row>
    <row r="15" spans="1:16">
      <c r="A15">
        <v>9</v>
      </c>
      <c r="C15" s="339">
        <v>248</v>
      </c>
      <c r="D15" s="339">
        <v>392</v>
      </c>
      <c r="E15" s="339">
        <v>10</v>
      </c>
      <c r="F15" s="339">
        <v>4</v>
      </c>
      <c r="G15" s="339">
        <v>0</v>
      </c>
      <c r="H15" s="339">
        <v>1</v>
      </c>
      <c r="I15" s="339">
        <v>1</v>
      </c>
      <c r="J15" s="339">
        <v>0</v>
      </c>
      <c r="K15" s="339">
        <v>656</v>
      </c>
      <c r="L15" s="339">
        <v>0</v>
      </c>
      <c r="M15" s="339">
        <v>8</v>
      </c>
      <c r="N15">
        <v>664</v>
      </c>
      <c r="O15">
        <v>0</v>
      </c>
      <c r="P15">
        <f t="shared" si="0"/>
        <v>664</v>
      </c>
    </row>
    <row r="16" spans="1:16">
      <c r="A16">
        <v>10</v>
      </c>
      <c r="C16" s="339">
        <v>128</v>
      </c>
      <c r="D16" s="339">
        <v>340</v>
      </c>
      <c r="E16" s="339">
        <v>4</v>
      </c>
      <c r="F16" s="339">
        <v>1</v>
      </c>
      <c r="G16" s="339">
        <v>0</v>
      </c>
      <c r="H16" s="339">
        <v>1</v>
      </c>
      <c r="I16" s="339">
        <v>1</v>
      </c>
      <c r="J16" s="339">
        <v>0</v>
      </c>
      <c r="K16" s="339">
        <v>475</v>
      </c>
      <c r="L16" s="339">
        <v>0</v>
      </c>
      <c r="M16" s="339">
        <v>4</v>
      </c>
      <c r="N16">
        <v>479</v>
      </c>
      <c r="O16">
        <v>0</v>
      </c>
      <c r="P16">
        <f t="shared" si="0"/>
        <v>479</v>
      </c>
    </row>
    <row r="17" spans="1:16">
      <c r="A17">
        <v>11</v>
      </c>
      <c r="C17" s="339">
        <v>317</v>
      </c>
      <c r="D17" s="339">
        <v>567</v>
      </c>
      <c r="E17" s="339">
        <v>5</v>
      </c>
      <c r="F17" s="339">
        <v>2</v>
      </c>
      <c r="G17" s="339">
        <v>1</v>
      </c>
      <c r="H17" s="339">
        <v>0</v>
      </c>
      <c r="I17" s="339">
        <v>0</v>
      </c>
      <c r="J17" s="339">
        <v>0</v>
      </c>
      <c r="K17" s="339">
        <v>892</v>
      </c>
      <c r="L17" s="339">
        <v>0</v>
      </c>
      <c r="M17" s="339">
        <v>5</v>
      </c>
      <c r="N17">
        <v>897</v>
      </c>
      <c r="O17">
        <v>0</v>
      </c>
      <c r="P17">
        <f t="shared" si="0"/>
        <v>897</v>
      </c>
    </row>
    <row r="18" spans="1:16">
      <c r="A18">
        <v>12</v>
      </c>
      <c r="C18" s="339">
        <v>167</v>
      </c>
      <c r="D18" s="339">
        <v>343</v>
      </c>
      <c r="E18" s="339">
        <v>1</v>
      </c>
      <c r="F18" s="339">
        <v>5</v>
      </c>
      <c r="G18" s="339">
        <v>0</v>
      </c>
      <c r="H18" s="339">
        <v>0</v>
      </c>
      <c r="I18" s="339">
        <v>1</v>
      </c>
      <c r="J18" s="339">
        <v>1</v>
      </c>
      <c r="K18" s="339">
        <v>518</v>
      </c>
      <c r="L18" s="339">
        <v>0</v>
      </c>
      <c r="M18" s="339">
        <v>4</v>
      </c>
      <c r="N18">
        <v>522</v>
      </c>
      <c r="O18">
        <v>0</v>
      </c>
      <c r="P18">
        <f t="shared" si="0"/>
        <v>522</v>
      </c>
    </row>
    <row r="19" spans="1:16">
      <c r="A19">
        <v>13</v>
      </c>
      <c r="C19" s="339">
        <v>222</v>
      </c>
      <c r="D19" s="339">
        <v>391</v>
      </c>
      <c r="E19" s="339">
        <v>2</v>
      </c>
      <c r="F19" s="339">
        <v>1</v>
      </c>
      <c r="G19" s="339">
        <v>1</v>
      </c>
      <c r="H19" s="339">
        <v>2</v>
      </c>
      <c r="I19" s="339">
        <v>0</v>
      </c>
      <c r="J19" s="339">
        <v>0</v>
      </c>
      <c r="K19" s="339">
        <v>619</v>
      </c>
      <c r="L19" s="339">
        <v>0</v>
      </c>
      <c r="M19" s="339">
        <v>5</v>
      </c>
      <c r="N19">
        <v>624</v>
      </c>
      <c r="O19">
        <v>0</v>
      </c>
      <c r="P19">
        <f t="shared" si="0"/>
        <v>624</v>
      </c>
    </row>
    <row r="20" spans="1:16">
      <c r="A20">
        <v>14</v>
      </c>
      <c r="C20" s="339">
        <v>98</v>
      </c>
      <c r="D20" s="339">
        <v>273</v>
      </c>
      <c r="E20" s="339">
        <v>3</v>
      </c>
      <c r="F20" s="339">
        <v>5</v>
      </c>
      <c r="G20" s="339">
        <v>0</v>
      </c>
      <c r="H20" s="339">
        <v>0</v>
      </c>
      <c r="I20" s="339">
        <v>0</v>
      </c>
      <c r="J20" s="339">
        <v>0</v>
      </c>
      <c r="K20" s="339">
        <v>379</v>
      </c>
      <c r="L20" s="339">
        <v>0</v>
      </c>
      <c r="M20" s="339">
        <v>2</v>
      </c>
      <c r="N20">
        <v>381</v>
      </c>
      <c r="O20">
        <v>0</v>
      </c>
      <c r="P20">
        <f t="shared" si="0"/>
        <v>381</v>
      </c>
    </row>
    <row r="21" spans="1:16">
      <c r="A21">
        <v>15</v>
      </c>
      <c r="C21" s="339">
        <v>119</v>
      </c>
      <c r="D21" s="339">
        <v>168</v>
      </c>
      <c r="E21" s="339">
        <v>1</v>
      </c>
      <c r="F21" s="339">
        <v>2</v>
      </c>
      <c r="G21" s="339">
        <v>0</v>
      </c>
      <c r="H21" s="339">
        <v>2</v>
      </c>
      <c r="I21" s="339">
        <v>1</v>
      </c>
      <c r="J21" s="339">
        <v>0</v>
      </c>
      <c r="K21" s="339">
        <v>293</v>
      </c>
      <c r="L21" s="339">
        <v>0</v>
      </c>
      <c r="M21" s="339">
        <v>1</v>
      </c>
      <c r="N21">
        <v>294</v>
      </c>
      <c r="O21">
        <v>0</v>
      </c>
      <c r="P21">
        <f t="shared" si="0"/>
        <v>294</v>
      </c>
    </row>
    <row r="22" spans="1:16">
      <c r="A22">
        <v>16</v>
      </c>
      <c r="C22" s="339">
        <v>192</v>
      </c>
      <c r="D22" s="339">
        <v>439</v>
      </c>
      <c r="E22" s="339">
        <v>2</v>
      </c>
      <c r="F22" s="339">
        <v>3</v>
      </c>
      <c r="G22" s="339">
        <v>1</v>
      </c>
      <c r="H22" s="339">
        <v>0</v>
      </c>
      <c r="I22" s="339">
        <v>0</v>
      </c>
      <c r="J22" s="339">
        <v>0</v>
      </c>
      <c r="K22" s="339">
        <v>637</v>
      </c>
      <c r="L22" s="339">
        <v>0</v>
      </c>
      <c r="M22" s="339">
        <v>9</v>
      </c>
      <c r="N22">
        <v>646</v>
      </c>
      <c r="O22">
        <v>0</v>
      </c>
      <c r="P22">
        <f t="shared" si="0"/>
        <v>646</v>
      </c>
    </row>
    <row r="23" spans="1:16">
      <c r="A23">
        <v>17</v>
      </c>
      <c r="C23" s="339">
        <v>333</v>
      </c>
      <c r="D23" s="339">
        <v>591</v>
      </c>
      <c r="E23" s="339">
        <v>3</v>
      </c>
      <c r="F23" s="339">
        <v>4</v>
      </c>
      <c r="G23" s="339">
        <v>0</v>
      </c>
      <c r="H23" s="339">
        <v>2</v>
      </c>
      <c r="I23" s="339">
        <v>2</v>
      </c>
      <c r="J23" s="339">
        <v>0</v>
      </c>
      <c r="K23" s="339">
        <v>935</v>
      </c>
      <c r="L23" s="339">
        <v>0</v>
      </c>
      <c r="M23" s="339">
        <v>17</v>
      </c>
      <c r="N23">
        <v>952</v>
      </c>
      <c r="O23">
        <v>0</v>
      </c>
      <c r="P23">
        <f t="shared" si="0"/>
        <v>952</v>
      </c>
    </row>
    <row r="24" spans="1:16">
      <c r="A24">
        <v>18</v>
      </c>
      <c r="C24" s="339">
        <v>293</v>
      </c>
      <c r="D24" s="339">
        <v>392</v>
      </c>
      <c r="E24" s="339">
        <v>1</v>
      </c>
      <c r="F24" s="339">
        <v>2</v>
      </c>
      <c r="G24" s="339">
        <v>1</v>
      </c>
      <c r="H24" s="339">
        <v>2</v>
      </c>
      <c r="I24" s="339">
        <v>0</v>
      </c>
      <c r="J24" s="339">
        <v>0</v>
      </c>
      <c r="K24" s="339">
        <v>691</v>
      </c>
      <c r="L24" s="339">
        <v>0</v>
      </c>
      <c r="M24" s="339">
        <v>5</v>
      </c>
      <c r="N24">
        <v>696</v>
      </c>
      <c r="O24">
        <v>0</v>
      </c>
      <c r="P24">
        <f t="shared" si="0"/>
        <v>696</v>
      </c>
    </row>
    <row r="25" spans="1:16">
      <c r="A25">
        <v>19</v>
      </c>
      <c r="C25" s="339">
        <v>269</v>
      </c>
      <c r="D25" s="339">
        <v>472</v>
      </c>
      <c r="E25" s="339">
        <v>1</v>
      </c>
      <c r="F25" s="339">
        <v>2</v>
      </c>
      <c r="G25" s="339">
        <v>0</v>
      </c>
      <c r="H25" s="339">
        <v>0</v>
      </c>
      <c r="I25" s="339">
        <v>2</v>
      </c>
      <c r="J25" s="339">
        <v>0</v>
      </c>
      <c r="K25" s="339">
        <v>746</v>
      </c>
      <c r="L25" s="339">
        <v>0</v>
      </c>
      <c r="M25" s="339">
        <v>11</v>
      </c>
      <c r="N25">
        <v>757</v>
      </c>
      <c r="O25">
        <v>0</v>
      </c>
      <c r="P25">
        <f t="shared" si="0"/>
        <v>757</v>
      </c>
    </row>
    <row r="26" spans="1:16">
      <c r="A26">
        <v>20</v>
      </c>
      <c r="C26" s="339">
        <v>325</v>
      </c>
      <c r="D26" s="339">
        <v>439</v>
      </c>
      <c r="E26" s="339">
        <v>5</v>
      </c>
      <c r="F26" s="339">
        <v>1</v>
      </c>
      <c r="G26" s="339">
        <v>0</v>
      </c>
      <c r="H26" s="339">
        <v>0</v>
      </c>
      <c r="I26" s="339">
        <v>3</v>
      </c>
      <c r="J26" s="339">
        <v>1</v>
      </c>
      <c r="K26" s="339">
        <v>774</v>
      </c>
      <c r="L26" s="339">
        <v>0</v>
      </c>
      <c r="M26" s="339">
        <v>8</v>
      </c>
      <c r="N26">
        <v>782</v>
      </c>
      <c r="O26">
        <v>0</v>
      </c>
      <c r="P26">
        <f t="shared" si="0"/>
        <v>782</v>
      </c>
    </row>
    <row r="27" spans="1:16">
      <c r="A27">
        <v>21</v>
      </c>
      <c r="C27" s="339">
        <v>222</v>
      </c>
      <c r="D27" s="339">
        <v>284</v>
      </c>
      <c r="E27" s="339">
        <v>4</v>
      </c>
      <c r="F27" s="339">
        <v>6</v>
      </c>
      <c r="G27" s="339">
        <v>0</v>
      </c>
      <c r="H27" s="339">
        <v>0</v>
      </c>
      <c r="I27" s="339">
        <v>1</v>
      </c>
      <c r="J27" s="339">
        <v>0</v>
      </c>
      <c r="K27" s="339">
        <v>517</v>
      </c>
      <c r="L27" s="339">
        <v>0</v>
      </c>
      <c r="M27" s="339">
        <v>6</v>
      </c>
      <c r="N27">
        <v>523</v>
      </c>
      <c r="O27">
        <v>0</v>
      </c>
      <c r="P27">
        <f t="shared" si="0"/>
        <v>523</v>
      </c>
    </row>
    <row r="28" spans="1:16">
      <c r="A28">
        <v>22</v>
      </c>
      <c r="C28" s="339">
        <v>233</v>
      </c>
      <c r="D28" s="339">
        <v>335</v>
      </c>
      <c r="E28" s="339">
        <v>1</v>
      </c>
      <c r="F28" s="339">
        <v>3</v>
      </c>
      <c r="G28" s="339">
        <v>0</v>
      </c>
      <c r="H28" s="339">
        <v>0</v>
      </c>
      <c r="I28" s="339">
        <v>1</v>
      </c>
      <c r="J28" s="339">
        <v>0</v>
      </c>
      <c r="K28" s="339">
        <v>573</v>
      </c>
      <c r="L28" s="339">
        <v>0</v>
      </c>
      <c r="M28" s="339">
        <v>3</v>
      </c>
      <c r="N28">
        <v>576</v>
      </c>
      <c r="O28">
        <v>0</v>
      </c>
      <c r="P28">
        <f t="shared" si="0"/>
        <v>576</v>
      </c>
    </row>
    <row r="29" spans="1:16">
      <c r="A29">
        <v>23</v>
      </c>
      <c r="C29" s="339">
        <v>270</v>
      </c>
      <c r="D29" s="339">
        <v>458</v>
      </c>
      <c r="E29" s="339">
        <v>0</v>
      </c>
      <c r="F29" s="339">
        <v>5</v>
      </c>
      <c r="G29" s="339">
        <v>0</v>
      </c>
      <c r="H29" s="339">
        <v>0</v>
      </c>
      <c r="I29" s="339">
        <v>0</v>
      </c>
      <c r="J29" s="339">
        <v>0</v>
      </c>
      <c r="K29" s="339">
        <v>733</v>
      </c>
      <c r="L29" s="339">
        <v>0</v>
      </c>
      <c r="M29" s="339">
        <v>7</v>
      </c>
      <c r="N29">
        <v>740</v>
      </c>
      <c r="O29">
        <v>0</v>
      </c>
      <c r="P29">
        <f t="shared" si="0"/>
        <v>740</v>
      </c>
    </row>
    <row r="30" spans="1:16">
      <c r="A30">
        <v>24</v>
      </c>
      <c r="C30" s="339">
        <v>271</v>
      </c>
      <c r="D30" s="339">
        <v>346</v>
      </c>
      <c r="E30" s="339">
        <v>1</v>
      </c>
      <c r="F30" s="339">
        <v>1</v>
      </c>
      <c r="G30" s="339">
        <v>0</v>
      </c>
      <c r="H30" s="339">
        <v>0</v>
      </c>
      <c r="I30" s="339">
        <v>2</v>
      </c>
      <c r="J30" s="339">
        <v>2</v>
      </c>
      <c r="K30" s="339">
        <v>623</v>
      </c>
      <c r="L30" s="339">
        <v>0</v>
      </c>
      <c r="M30" s="339">
        <v>3</v>
      </c>
      <c r="N30">
        <v>626</v>
      </c>
      <c r="O30">
        <v>0</v>
      </c>
      <c r="P30">
        <f t="shared" si="0"/>
        <v>626</v>
      </c>
    </row>
    <row r="31" spans="1:16">
      <c r="A31">
        <v>25</v>
      </c>
      <c r="C31" s="339">
        <v>130</v>
      </c>
      <c r="D31" s="339">
        <v>309</v>
      </c>
      <c r="E31" s="339">
        <v>2</v>
      </c>
      <c r="F31" s="339">
        <v>1</v>
      </c>
      <c r="G31" s="339">
        <v>0</v>
      </c>
      <c r="H31" s="339">
        <v>0</v>
      </c>
      <c r="I31" s="339">
        <v>0</v>
      </c>
      <c r="J31" s="339">
        <v>0</v>
      </c>
      <c r="K31" s="339">
        <v>442</v>
      </c>
      <c r="L31" s="339">
        <v>0</v>
      </c>
      <c r="M31" s="339">
        <v>3</v>
      </c>
      <c r="N31">
        <v>445</v>
      </c>
      <c r="O31">
        <v>0</v>
      </c>
      <c r="P31">
        <f t="shared" si="0"/>
        <v>445</v>
      </c>
    </row>
    <row r="32" spans="1:16">
      <c r="A32">
        <v>26</v>
      </c>
      <c r="C32" s="339">
        <v>157</v>
      </c>
      <c r="D32" s="339">
        <v>445</v>
      </c>
      <c r="E32" s="339">
        <v>1</v>
      </c>
      <c r="F32" s="339">
        <v>7</v>
      </c>
      <c r="G32" s="339">
        <v>0</v>
      </c>
      <c r="H32" s="339">
        <v>0</v>
      </c>
      <c r="I32" s="339">
        <v>0</v>
      </c>
      <c r="J32" s="339">
        <v>1</v>
      </c>
      <c r="K32" s="339">
        <v>611</v>
      </c>
      <c r="L32" s="339">
        <v>0</v>
      </c>
      <c r="M32" s="339">
        <v>8</v>
      </c>
      <c r="N32">
        <v>619</v>
      </c>
      <c r="O32">
        <v>0</v>
      </c>
      <c r="P32">
        <f t="shared" si="0"/>
        <v>619</v>
      </c>
    </row>
    <row r="33" spans="1:16">
      <c r="A33">
        <v>27</v>
      </c>
      <c r="C33" s="339">
        <v>186</v>
      </c>
      <c r="D33" s="339">
        <v>449</v>
      </c>
      <c r="E33" s="339">
        <v>1</v>
      </c>
      <c r="F33" s="339">
        <v>6</v>
      </c>
      <c r="G33" s="339">
        <v>1</v>
      </c>
      <c r="H33" s="339">
        <v>1</v>
      </c>
      <c r="I33" s="339">
        <v>0</v>
      </c>
      <c r="J33" s="339">
        <v>0</v>
      </c>
      <c r="K33" s="339">
        <v>644</v>
      </c>
      <c r="L33" s="339">
        <v>0</v>
      </c>
      <c r="M33" s="339">
        <v>6</v>
      </c>
      <c r="N33">
        <v>650</v>
      </c>
      <c r="O33">
        <v>0</v>
      </c>
      <c r="P33">
        <f t="shared" si="0"/>
        <v>650</v>
      </c>
    </row>
    <row r="34" spans="1:16">
      <c r="A34">
        <v>28</v>
      </c>
      <c r="C34" s="339">
        <v>201</v>
      </c>
      <c r="D34" s="339">
        <v>347</v>
      </c>
      <c r="E34" s="339">
        <v>2</v>
      </c>
      <c r="F34" s="339">
        <v>4</v>
      </c>
      <c r="G34" s="339">
        <v>0</v>
      </c>
      <c r="H34" s="339">
        <v>1</v>
      </c>
      <c r="I34" s="339">
        <v>0</v>
      </c>
      <c r="J34" s="339">
        <v>0</v>
      </c>
      <c r="K34" s="339">
        <v>555</v>
      </c>
      <c r="L34" s="339">
        <v>0</v>
      </c>
      <c r="M34" s="339">
        <v>1</v>
      </c>
      <c r="N34">
        <v>556</v>
      </c>
      <c r="O34">
        <v>0</v>
      </c>
      <c r="P34">
        <f t="shared" si="0"/>
        <v>556</v>
      </c>
    </row>
    <row r="35" spans="1:16">
      <c r="A35">
        <v>29</v>
      </c>
      <c r="C35" s="339">
        <v>205</v>
      </c>
      <c r="D35" s="339">
        <v>707</v>
      </c>
      <c r="E35" s="339">
        <v>3</v>
      </c>
      <c r="F35" s="339">
        <v>4</v>
      </c>
      <c r="G35" s="339">
        <v>0</v>
      </c>
      <c r="H35" s="339">
        <v>2</v>
      </c>
      <c r="I35" s="339">
        <v>1</v>
      </c>
      <c r="J35" s="339">
        <v>2</v>
      </c>
      <c r="K35" s="339">
        <v>924</v>
      </c>
      <c r="L35" s="339">
        <v>0</v>
      </c>
      <c r="M35" s="339">
        <v>6</v>
      </c>
      <c r="N35">
        <v>930</v>
      </c>
      <c r="O35">
        <v>0</v>
      </c>
      <c r="P35">
        <f t="shared" si="0"/>
        <v>930</v>
      </c>
    </row>
    <row r="36" spans="1:16">
      <c r="A36">
        <v>30</v>
      </c>
      <c r="C36" s="339">
        <v>306</v>
      </c>
      <c r="D36" s="339">
        <v>703</v>
      </c>
      <c r="E36" s="339">
        <v>3</v>
      </c>
      <c r="F36" s="339">
        <v>2</v>
      </c>
      <c r="G36" s="339">
        <v>1</v>
      </c>
      <c r="H36" s="339">
        <v>0</v>
      </c>
      <c r="I36" s="339">
        <v>2</v>
      </c>
      <c r="J36" s="339">
        <v>1</v>
      </c>
      <c r="K36" s="339">
        <v>1018</v>
      </c>
      <c r="L36" s="339">
        <v>0</v>
      </c>
      <c r="M36" s="339">
        <v>6</v>
      </c>
      <c r="N36">
        <v>1024</v>
      </c>
      <c r="O36">
        <v>0</v>
      </c>
      <c r="P36">
        <f t="shared" si="0"/>
        <v>1024</v>
      </c>
    </row>
    <row r="37" spans="1:16">
      <c r="A37">
        <v>31</v>
      </c>
      <c r="C37" s="339">
        <v>260</v>
      </c>
      <c r="D37" s="339">
        <v>801</v>
      </c>
      <c r="E37" s="339">
        <v>6</v>
      </c>
      <c r="F37" s="339">
        <v>6</v>
      </c>
      <c r="G37" s="339">
        <v>1</v>
      </c>
      <c r="H37" s="339">
        <v>1</v>
      </c>
      <c r="I37" s="339">
        <v>2</v>
      </c>
      <c r="J37" s="339">
        <v>1</v>
      </c>
      <c r="K37" s="339">
        <v>1078</v>
      </c>
      <c r="L37" s="339">
        <v>0</v>
      </c>
      <c r="M37" s="339">
        <v>8</v>
      </c>
      <c r="N37">
        <v>1086</v>
      </c>
      <c r="O37">
        <v>0</v>
      </c>
      <c r="P37">
        <f t="shared" si="0"/>
        <v>1086</v>
      </c>
    </row>
    <row r="38" spans="1:16">
      <c r="A38">
        <v>32</v>
      </c>
      <c r="C38" s="339">
        <v>171</v>
      </c>
      <c r="D38" s="339">
        <v>356</v>
      </c>
      <c r="E38" s="339">
        <v>5</v>
      </c>
      <c r="F38" s="339">
        <v>2</v>
      </c>
      <c r="G38" s="339">
        <v>0</v>
      </c>
      <c r="H38" s="339">
        <v>0</v>
      </c>
      <c r="I38" s="339">
        <v>1</v>
      </c>
      <c r="J38" s="339">
        <v>0</v>
      </c>
      <c r="K38" s="339">
        <v>535</v>
      </c>
      <c r="L38" s="339">
        <v>0</v>
      </c>
      <c r="M38" s="339">
        <v>3</v>
      </c>
      <c r="N38">
        <v>538</v>
      </c>
      <c r="O38">
        <v>0</v>
      </c>
      <c r="P38">
        <f t="shared" si="0"/>
        <v>538</v>
      </c>
    </row>
    <row r="39" spans="1:16">
      <c r="A39">
        <v>33</v>
      </c>
      <c r="C39" s="339">
        <v>107</v>
      </c>
      <c r="D39" s="339">
        <v>441</v>
      </c>
      <c r="E39" s="339">
        <v>1</v>
      </c>
      <c r="F39" s="339">
        <v>1</v>
      </c>
      <c r="G39" s="339">
        <v>0</v>
      </c>
      <c r="H39" s="339">
        <v>1</v>
      </c>
      <c r="I39" s="339">
        <v>1</v>
      </c>
      <c r="J39" s="339">
        <v>0</v>
      </c>
      <c r="K39" s="339">
        <v>552</v>
      </c>
      <c r="L39" s="339">
        <v>0</v>
      </c>
      <c r="M39" s="339">
        <v>7</v>
      </c>
      <c r="N39">
        <v>559</v>
      </c>
      <c r="O39">
        <v>0</v>
      </c>
      <c r="P39">
        <f t="shared" si="0"/>
        <v>559</v>
      </c>
    </row>
    <row r="40" spans="1:16">
      <c r="A40">
        <v>34</v>
      </c>
      <c r="C40" s="339">
        <v>329</v>
      </c>
      <c r="D40" s="339">
        <v>695</v>
      </c>
      <c r="E40" s="339">
        <v>2</v>
      </c>
      <c r="F40" s="339">
        <v>2</v>
      </c>
      <c r="G40" s="339">
        <v>1</v>
      </c>
      <c r="H40" s="339">
        <v>1</v>
      </c>
      <c r="I40" s="339">
        <v>0</v>
      </c>
      <c r="J40" s="339">
        <v>2</v>
      </c>
      <c r="K40" s="339">
        <v>1032</v>
      </c>
      <c r="L40" s="339">
        <v>0</v>
      </c>
      <c r="M40" s="339">
        <v>11</v>
      </c>
      <c r="N40">
        <v>1043</v>
      </c>
      <c r="O40">
        <v>0</v>
      </c>
      <c r="P40">
        <f t="shared" si="0"/>
        <v>1043</v>
      </c>
    </row>
    <row r="41" spans="1:16">
      <c r="A41">
        <v>35</v>
      </c>
      <c r="C41" s="339">
        <v>231</v>
      </c>
      <c r="D41" s="339">
        <v>698</v>
      </c>
      <c r="E41" s="339">
        <v>1</v>
      </c>
      <c r="F41" s="339">
        <v>2</v>
      </c>
      <c r="G41" s="339">
        <v>2</v>
      </c>
      <c r="H41" s="339">
        <v>1</v>
      </c>
      <c r="I41" s="339">
        <v>0</v>
      </c>
      <c r="J41" s="339">
        <v>2</v>
      </c>
      <c r="K41" s="339">
        <v>937</v>
      </c>
      <c r="L41" s="339">
        <v>0</v>
      </c>
      <c r="M41" s="339">
        <v>7</v>
      </c>
      <c r="N41">
        <v>944</v>
      </c>
      <c r="O41">
        <v>0</v>
      </c>
      <c r="P41">
        <f t="shared" si="0"/>
        <v>944</v>
      </c>
    </row>
    <row r="42" spans="1:16">
      <c r="A42">
        <v>36</v>
      </c>
      <c r="C42" s="339">
        <v>538</v>
      </c>
      <c r="D42" s="339">
        <v>468</v>
      </c>
      <c r="E42" s="339">
        <v>3</v>
      </c>
      <c r="F42" s="339">
        <v>9</v>
      </c>
      <c r="G42" s="339">
        <v>0</v>
      </c>
      <c r="H42" s="339">
        <v>0</v>
      </c>
      <c r="I42" s="339">
        <v>1</v>
      </c>
      <c r="J42" s="339">
        <v>0</v>
      </c>
      <c r="K42" s="339">
        <v>1019</v>
      </c>
      <c r="L42" s="339">
        <v>0</v>
      </c>
      <c r="M42" s="339">
        <v>8</v>
      </c>
      <c r="N42">
        <v>1027</v>
      </c>
      <c r="O42">
        <v>0</v>
      </c>
      <c r="P42">
        <f t="shared" si="0"/>
        <v>1027</v>
      </c>
    </row>
    <row r="43" spans="1:16">
      <c r="A43">
        <v>37</v>
      </c>
      <c r="C43" s="339">
        <v>239</v>
      </c>
      <c r="D43" s="339">
        <v>478</v>
      </c>
      <c r="E43" s="339">
        <v>2</v>
      </c>
      <c r="F43" s="339">
        <v>4</v>
      </c>
      <c r="G43" s="339">
        <v>1</v>
      </c>
      <c r="H43" s="339">
        <v>0</v>
      </c>
      <c r="I43" s="339">
        <v>1</v>
      </c>
      <c r="J43" s="339">
        <v>0</v>
      </c>
      <c r="K43" s="339">
        <v>725</v>
      </c>
      <c r="L43" s="339">
        <v>0</v>
      </c>
      <c r="M43" s="339">
        <v>13</v>
      </c>
      <c r="N43">
        <v>738</v>
      </c>
      <c r="O43">
        <v>0</v>
      </c>
      <c r="P43">
        <f t="shared" si="0"/>
        <v>738</v>
      </c>
    </row>
    <row r="44" spans="1:16">
      <c r="A44">
        <v>38</v>
      </c>
      <c r="C44" s="339">
        <v>366</v>
      </c>
      <c r="D44" s="339">
        <v>711</v>
      </c>
      <c r="E44" s="339">
        <v>5</v>
      </c>
      <c r="F44" s="339">
        <v>4</v>
      </c>
      <c r="G44" s="339">
        <v>0</v>
      </c>
      <c r="H44" s="339">
        <v>1</v>
      </c>
      <c r="I44" s="339">
        <v>0</v>
      </c>
      <c r="J44" s="339">
        <v>3</v>
      </c>
      <c r="K44" s="339">
        <v>1090</v>
      </c>
      <c r="L44" s="339">
        <v>0</v>
      </c>
      <c r="M44" s="339">
        <v>3</v>
      </c>
      <c r="N44">
        <v>1093</v>
      </c>
      <c r="O44">
        <v>0</v>
      </c>
      <c r="P44">
        <f t="shared" si="0"/>
        <v>1093</v>
      </c>
    </row>
    <row r="45" spans="1:16">
      <c r="A45">
        <v>39</v>
      </c>
      <c r="C45" s="339">
        <v>357</v>
      </c>
      <c r="D45" s="339">
        <v>518</v>
      </c>
      <c r="E45" s="339">
        <v>4</v>
      </c>
      <c r="F45" s="339">
        <v>3</v>
      </c>
      <c r="G45" s="339">
        <v>1</v>
      </c>
      <c r="H45" s="339">
        <v>0</v>
      </c>
      <c r="I45" s="339">
        <v>0</v>
      </c>
      <c r="J45" s="339">
        <v>0</v>
      </c>
      <c r="K45" s="339">
        <v>883</v>
      </c>
      <c r="L45" s="339">
        <v>0</v>
      </c>
      <c r="M45" s="339">
        <v>7</v>
      </c>
      <c r="N45">
        <v>890</v>
      </c>
      <c r="O45">
        <v>0</v>
      </c>
      <c r="P45">
        <f t="shared" si="0"/>
        <v>890</v>
      </c>
    </row>
    <row r="46" spans="1:16">
      <c r="A46">
        <v>40</v>
      </c>
      <c r="C46" s="339">
        <v>470</v>
      </c>
      <c r="D46" s="339">
        <v>442</v>
      </c>
      <c r="E46" s="339">
        <v>2</v>
      </c>
      <c r="F46" s="339">
        <v>13</v>
      </c>
      <c r="G46" s="339">
        <v>0</v>
      </c>
      <c r="H46" s="339">
        <v>0</v>
      </c>
      <c r="I46" s="339">
        <v>1</v>
      </c>
      <c r="J46" s="339">
        <v>0</v>
      </c>
      <c r="K46" s="339">
        <v>928</v>
      </c>
      <c r="L46" s="339">
        <v>0</v>
      </c>
      <c r="M46" s="339">
        <v>9</v>
      </c>
      <c r="N46">
        <v>937</v>
      </c>
      <c r="O46">
        <v>0</v>
      </c>
      <c r="P46">
        <f t="shared" si="0"/>
        <v>937</v>
      </c>
    </row>
    <row r="47" spans="1:16">
      <c r="A47">
        <v>41</v>
      </c>
      <c r="C47" s="339">
        <v>566</v>
      </c>
      <c r="D47" s="339">
        <v>308</v>
      </c>
      <c r="E47" s="339">
        <v>1</v>
      </c>
      <c r="F47" s="339">
        <v>6</v>
      </c>
      <c r="G47" s="339">
        <v>0</v>
      </c>
      <c r="H47" s="339">
        <v>0</v>
      </c>
      <c r="I47" s="339">
        <v>1</v>
      </c>
      <c r="J47" s="339">
        <v>0</v>
      </c>
      <c r="K47" s="339">
        <v>882</v>
      </c>
      <c r="L47" s="339">
        <v>0</v>
      </c>
      <c r="M47" s="339">
        <v>5</v>
      </c>
      <c r="N47">
        <v>887</v>
      </c>
      <c r="O47">
        <v>0</v>
      </c>
      <c r="P47">
        <f t="shared" si="0"/>
        <v>887</v>
      </c>
    </row>
    <row r="48" spans="1:16">
      <c r="A48">
        <v>42</v>
      </c>
      <c r="C48" s="339">
        <v>410</v>
      </c>
      <c r="D48" s="339">
        <v>405</v>
      </c>
      <c r="E48" s="339">
        <v>3</v>
      </c>
      <c r="F48" s="339">
        <v>3</v>
      </c>
      <c r="G48" s="339">
        <v>0</v>
      </c>
      <c r="H48" s="339">
        <v>0</v>
      </c>
      <c r="I48" s="339">
        <v>0</v>
      </c>
      <c r="J48" s="339">
        <v>0</v>
      </c>
      <c r="K48" s="339">
        <v>821</v>
      </c>
      <c r="L48" s="339">
        <v>0</v>
      </c>
      <c r="M48" s="339">
        <v>6</v>
      </c>
      <c r="N48">
        <v>827</v>
      </c>
      <c r="O48">
        <v>0</v>
      </c>
      <c r="P48">
        <f t="shared" si="0"/>
        <v>827</v>
      </c>
    </row>
    <row r="49" spans="1:16">
      <c r="A49">
        <v>43</v>
      </c>
      <c r="C49" s="339">
        <v>239</v>
      </c>
      <c r="D49" s="339">
        <v>464</v>
      </c>
      <c r="E49" s="339">
        <v>0</v>
      </c>
      <c r="F49" s="339">
        <v>2</v>
      </c>
      <c r="G49" s="339">
        <v>0</v>
      </c>
      <c r="H49" s="339">
        <v>0</v>
      </c>
      <c r="I49" s="339">
        <v>1</v>
      </c>
      <c r="J49" s="339">
        <v>0</v>
      </c>
      <c r="K49" s="339">
        <v>706</v>
      </c>
      <c r="L49" s="339">
        <v>0</v>
      </c>
      <c r="M49" s="339">
        <v>2</v>
      </c>
      <c r="N49">
        <v>708</v>
      </c>
      <c r="O49">
        <v>0</v>
      </c>
      <c r="P49">
        <f t="shared" si="0"/>
        <v>708</v>
      </c>
    </row>
    <row r="50" spans="1:16">
      <c r="A50">
        <v>44</v>
      </c>
      <c r="C50" s="339">
        <v>182</v>
      </c>
      <c r="D50" s="339">
        <v>600</v>
      </c>
      <c r="E50" s="339">
        <v>3</v>
      </c>
      <c r="F50" s="339">
        <v>1</v>
      </c>
      <c r="G50" s="339">
        <v>1</v>
      </c>
      <c r="H50" s="339">
        <v>0</v>
      </c>
      <c r="I50" s="339">
        <v>5</v>
      </c>
      <c r="J50" s="339">
        <v>2</v>
      </c>
      <c r="K50" s="339">
        <v>794</v>
      </c>
      <c r="L50" s="339">
        <v>0</v>
      </c>
      <c r="M50" s="339">
        <v>5</v>
      </c>
      <c r="N50">
        <v>799</v>
      </c>
      <c r="O50">
        <v>0</v>
      </c>
      <c r="P50">
        <f t="shared" si="0"/>
        <v>799</v>
      </c>
    </row>
    <row r="51" spans="1:16">
      <c r="A51">
        <v>45</v>
      </c>
      <c r="C51" s="339">
        <v>171</v>
      </c>
      <c r="D51" s="339">
        <v>350</v>
      </c>
      <c r="E51" s="339">
        <v>1</v>
      </c>
      <c r="F51" s="339">
        <v>0</v>
      </c>
      <c r="G51" s="339">
        <v>0</v>
      </c>
      <c r="H51" s="339">
        <v>0</v>
      </c>
      <c r="I51" s="339">
        <v>0</v>
      </c>
      <c r="J51" s="339">
        <v>2</v>
      </c>
      <c r="K51" s="339">
        <v>524</v>
      </c>
      <c r="L51" s="339">
        <v>0</v>
      </c>
      <c r="M51" s="339">
        <v>2</v>
      </c>
      <c r="N51">
        <v>526</v>
      </c>
      <c r="O51">
        <v>0</v>
      </c>
      <c r="P51">
        <f t="shared" si="0"/>
        <v>526</v>
      </c>
    </row>
    <row r="52" spans="1:16">
      <c r="A52">
        <v>46</v>
      </c>
      <c r="C52" s="339">
        <v>239</v>
      </c>
      <c r="D52" s="339">
        <v>413</v>
      </c>
      <c r="E52" s="339">
        <v>1</v>
      </c>
      <c r="F52" s="339">
        <v>2</v>
      </c>
      <c r="G52" s="339">
        <v>1</v>
      </c>
      <c r="H52" s="339">
        <v>0</v>
      </c>
      <c r="I52" s="339">
        <v>1</v>
      </c>
      <c r="J52" s="339">
        <v>0</v>
      </c>
      <c r="K52" s="339">
        <v>657</v>
      </c>
      <c r="L52" s="339">
        <v>0</v>
      </c>
      <c r="M52" s="339">
        <v>3</v>
      </c>
      <c r="N52">
        <v>660</v>
      </c>
      <c r="O52">
        <v>0</v>
      </c>
      <c r="P52">
        <f t="shared" si="0"/>
        <v>660</v>
      </c>
    </row>
    <row r="53" spans="1:16">
      <c r="A53">
        <v>47</v>
      </c>
      <c r="C53" s="339">
        <v>266</v>
      </c>
      <c r="D53" s="339">
        <v>155</v>
      </c>
      <c r="E53" s="339">
        <v>1</v>
      </c>
      <c r="F53" s="339">
        <v>3</v>
      </c>
      <c r="G53" s="339">
        <v>0</v>
      </c>
      <c r="H53" s="339">
        <v>0</v>
      </c>
      <c r="I53" s="339">
        <v>0</v>
      </c>
      <c r="J53" s="339">
        <v>0</v>
      </c>
      <c r="K53" s="339">
        <v>425</v>
      </c>
      <c r="L53" s="339">
        <v>0</v>
      </c>
      <c r="M53" s="339">
        <v>0</v>
      </c>
      <c r="N53">
        <v>425</v>
      </c>
      <c r="O53">
        <v>0</v>
      </c>
      <c r="P53">
        <f t="shared" si="0"/>
        <v>425</v>
      </c>
    </row>
    <row r="54" spans="1:16">
      <c r="A54">
        <v>48</v>
      </c>
      <c r="C54" s="339">
        <v>291</v>
      </c>
      <c r="D54" s="339">
        <v>545</v>
      </c>
      <c r="E54" s="339">
        <v>4</v>
      </c>
      <c r="F54" s="339">
        <v>6</v>
      </c>
      <c r="G54" s="339">
        <v>1</v>
      </c>
      <c r="H54" s="339">
        <v>1</v>
      </c>
      <c r="I54" s="339">
        <v>1</v>
      </c>
      <c r="J54" s="339">
        <v>1</v>
      </c>
      <c r="K54" s="339">
        <v>850</v>
      </c>
      <c r="L54" s="339">
        <v>0</v>
      </c>
      <c r="M54" s="339">
        <v>5</v>
      </c>
      <c r="N54">
        <v>855</v>
      </c>
      <c r="O54">
        <v>0</v>
      </c>
      <c r="P54">
        <f t="shared" si="0"/>
        <v>855</v>
      </c>
    </row>
    <row r="55" spans="1:16">
      <c r="A55">
        <v>49</v>
      </c>
      <c r="C55" s="339">
        <v>260</v>
      </c>
      <c r="D55" s="339">
        <v>658</v>
      </c>
      <c r="E55" s="339">
        <v>3</v>
      </c>
      <c r="F55" s="339">
        <v>1</v>
      </c>
      <c r="G55" s="339">
        <v>1</v>
      </c>
      <c r="H55" s="339">
        <v>1</v>
      </c>
      <c r="I55" s="339">
        <v>1</v>
      </c>
      <c r="J55" s="339">
        <v>0</v>
      </c>
      <c r="K55" s="339">
        <v>925</v>
      </c>
      <c r="L55" s="339">
        <v>0</v>
      </c>
      <c r="M55" s="339">
        <v>4</v>
      </c>
      <c r="N55">
        <v>929</v>
      </c>
      <c r="O55">
        <v>0</v>
      </c>
      <c r="P55">
        <f t="shared" si="0"/>
        <v>929</v>
      </c>
    </row>
    <row r="56" spans="1:16">
      <c r="A56">
        <v>50</v>
      </c>
      <c r="C56" s="339">
        <v>311</v>
      </c>
      <c r="D56" s="339">
        <v>506</v>
      </c>
      <c r="E56" s="339">
        <v>2</v>
      </c>
      <c r="F56" s="339">
        <v>2</v>
      </c>
      <c r="G56" s="339">
        <v>0</v>
      </c>
      <c r="H56" s="339">
        <v>0</v>
      </c>
      <c r="I56" s="339">
        <v>2</v>
      </c>
      <c r="J56" s="339">
        <v>1</v>
      </c>
      <c r="K56" s="339">
        <v>824</v>
      </c>
      <c r="L56" s="339">
        <v>0</v>
      </c>
      <c r="M56" s="339">
        <v>9</v>
      </c>
      <c r="N56">
        <v>833</v>
      </c>
      <c r="O56">
        <v>0</v>
      </c>
      <c r="P56">
        <f t="shared" si="0"/>
        <v>833</v>
      </c>
    </row>
    <row r="57" spans="1:16">
      <c r="A57">
        <v>51</v>
      </c>
      <c r="C57" s="339">
        <v>108</v>
      </c>
      <c r="D57" s="339">
        <v>353</v>
      </c>
      <c r="E57" s="339">
        <v>3</v>
      </c>
      <c r="F57" s="339">
        <v>2</v>
      </c>
      <c r="G57" s="339">
        <v>0</v>
      </c>
      <c r="H57" s="339">
        <v>1</v>
      </c>
      <c r="I57" s="339">
        <v>0</v>
      </c>
      <c r="J57" s="339">
        <v>0</v>
      </c>
      <c r="K57" s="339">
        <v>467</v>
      </c>
      <c r="L57" s="339">
        <v>0</v>
      </c>
      <c r="M57" s="339">
        <v>6</v>
      </c>
      <c r="N57">
        <v>473</v>
      </c>
      <c r="O57">
        <v>0</v>
      </c>
      <c r="P57">
        <f t="shared" si="0"/>
        <v>473</v>
      </c>
    </row>
    <row r="58" spans="1:16">
      <c r="A58">
        <v>52</v>
      </c>
      <c r="C58" s="339">
        <v>122</v>
      </c>
      <c r="D58" s="339">
        <v>234</v>
      </c>
      <c r="E58" s="339">
        <v>1</v>
      </c>
      <c r="F58" s="339">
        <v>1</v>
      </c>
      <c r="G58" s="339">
        <v>0</v>
      </c>
      <c r="H58" s="339">
        <v>0</v>
      </c>
      <c r="I58" s="339">
        <v>0</v>
      </c>
      <c r="J58" s="339">
        <v>0</v>
      </c>
      <c r="K58" s="339">
        <v>358</v>
      </c>
      <c r="L58" s="339">
        <v>0</v>
      </c>
      <c r="M58" s="339">
        <v>1</v>
      </c>
      <c r="N58">
        <v>359</v>
      </c>
      <c r="O58">
        <v>0</v>
      </c>
      <c r="P58">
        <f t="shared" si="0"/>
        <v>359</v>
      </c>
    </row>
    <row r="59" spans="1:16">
      <c r="A59">
        <v>53</v>
      </c>
      <c r="C59" s="339">
        <v>283</v>
      </c>
      <c r="D59" s="339">
        <v>568</v>
      </c>
      <c r="E59" s="339">
        <v>3</v>
      </c>
      <c r="F59" s="339">
        <v>4</v>
      </c>
      <c r="G59" s="339">
        <v>1</v>
      </c>
      <c r="H59" s="339">
        <v>0</v>
      </c>
      <c r="I59" s="339">
        <v>2</v>
      </c>
      <c r="J59" s="339">
        <v>1</v>
      </c>
      <c r="K59" s="339">
        <v>862</v>
      </c>
      <c r="L59" s="339">
        <v>0</v>
      </c>
      <c r="M59" s="339">
        <v>10</v>
      </c>
      <c r="N59">
        <v>872</v>
      </c>
      <c r="O59">
        <v>0</v>
      </c>
      <c r="P59">
        <f t="shared" si="0"/>
        <v>872</v>
      </c>
    </row>
    <row r="60" spans="1:16">
      <c r="A60">
        <v>54</v>
      </c>
      <c r="C60" s="339">
        <v>285</v>
      </c>
      <c r="D60" s="339">
        <v>600</v>
      </c>
      <c r="E60" s="339">
        <v>3</v>
      </c>
      <c r="F60" s="339">
        <v>1</v>
      </c>
      <c r="G60" s="339">
        <v>1</v>
      </c>
      <c r="H60" s="339">
        <v>2</v>
      </c>
      <c r="I60" s="339">
        <v>2</v>
      </c>
      <c r="J60" s="339">
        <v>0</v>
      </c>
      <c r="K60" s="339">
        <v>894</v>
      </c>
      <c r="L60" s="339">
        <v>0</v>
      </c>
      <c r="M60" s="339">
        <v>6</v>
      </c>
      <c r="N60">
        <v>900</v>
      </c>
      <c r="O60">
        <v>0</v>
      </c>
      <c r="P60">
        <f t="shared" si="0"/>
        <v>900</v>
      </c>
    </row>
    <row r="61" spans="1:16">
      <c r="A61">
        <v>55</v>
      </c>
      <c r="C61" s="339">
        <v>158</v>
      </c>
      <c r="D61" s="339">
        <v>427</v>
      </c>
      <c r="E61" s="339">
        <v>3</v>
      </c>
      <c r="F61" s="339">
        <v>0</v>
      </c>
      <c r="G61" s="339">
        <v>0</v>
      </c>
      <c r="H61" s="339">
        <v>0</v>
      </c>
      <c r="I61" s="339">
        <v>0</v>
      </c>
      <c r="J61" s="339">
        <v>1</v>
      </c>
      <c r="K61" s="339">
        <v>589</v>
      </c>
      <c r="L61" s="339">
        <v>0</v>
      </c>
      <c r="M61" s="339">
        <v>5</v>
      </c>
      <c r="N61">
        <v>594</v>
      </c>
      <c r="O61">
        <v>0</v>
      </c>
      <c r="P61">
        <f t="shared" si="0"/>
        <v>594</v>
      </c>
    </row>
    <row r="62" spans="1:16">
      <c r="A62">
        <v>56</v>
      </c>
      <c r="C62" s="339">
        <v>232</v>
      </c>
      <c r="D62" s="339">
        <v>475</v>
      </c>
      <c r="E62" s="339">
        <v>2</v>
      </c>
      <c r="F62" s="339">
        <v>1</v>
      </c>
      <c r="G62" s="339">
        <v>0</v>
      </c>
      <c r="H62" s="339">
        <v>0</v>
      </c>
      <c r="I62" s="339">
        <v>1</v>
      </c>
      <c r="J62" s="339">
        <v>3</v>
      </c>
      <c r="K62" s="339">
        <v>714</v>
      </c>
      <c r="L62" s="339">
        <v>0</v>
      </c>
      <c r="M62" s="339">
        <v>5</v>
      </c>
      <c r="N62">
        <v>719</v>
      </c>
      <c r="O62">
        <v>0</v>
      </c>
      <c r="P62">
        <f t="shared" si="0"/>
        <v>719</v>
      </c>
    </row>
    <row r="63" spans="1:16">
      <c r="A63">
        <v>57</v>
      </c>
      <c r="C63" s="339">
        <v>433</v>
      </c>
      <c r="D63" s="339">
        <v>317</v>
      </c>
      <c r="E63" s="339">
        <v>2</v>
      </c>
      <c r="F63" s="339">
        <v>4</v>
      </c>
      <c r="G63" s="339">
        <v>0</v>
      </c>
      <c r="H63" s="339">
        <v>0</v>
      </c>
      <c r="I63" s="339">
        <v>1</v>
      </c>
      <c r="J63" s="339">
        <v>0</v>
      </c>
      <c r="K63" s="339">
        <v>757</v>
      </c>
      <c r="L63" s="339">
        <v>0</v>
      </c>
      <c r="M63" s="339">
        <v>5</v>
      </c>
      <c r="N63">
        <v>762</v>
      </c>
      <c r="O63">
        <v>0</v>
      </c>
      <c r="P63">
        <f t="shared" si="0"/>
        <v>762</v>
      </c>
    </row>
    <row r="64" spans="1:16">
      <c r="A64">
        <v>58</v>
      </c>
      <c r="C64" s="339">
        <v>247</v>
      </c>
      <c r="D64" s="339">
        <v>414</v>
      </c>
      <c r="E64" s="339">
        <v>1</v>
      </c>
      <c r="F64" s="339">
        <v>5</v>
      </c>
      <c r="G64" s="339">
        <v>0</v>
      </c>
      <c r="H64" s="339">
        <v>0</v>
      </c>
      <c r="I64" s="339">
        <v>0</v>
      </c>
      <c r="J64" s="339">
        <v>1</v>
      </c>
      <c r="K64" s="339">
        <v>668</v>
      </c>
      <c r="L64" s="339">
        <v>0</v>
      </c>
      <c r="M64" s="339">
        <v>4</v>
      </c>
      <c r="N64">
        <v>672</v>
      </c>
      <c r="O64">
        <v>0</v>
      </c>
      <c r="P64">
        <f t="shared" si="0"/>
        <v>672</v>
      </c>
    </row>
    <row r="65" spans="1:16">
      <c r="A65">
        <v>59</v>
      </c>
      <c r="C65" s="339">
        <v>143</v>
      </c>
      <c r="D65" s="339">
        <v>498</v>
      </c>
      <c r="E65" s="339">
        <v>0</v>
      </c>
      <c r="F65" s="339">
        <v>6</v>
      </c>
      <c r="G65" s="339">
        <v>1</v>
      </c>
      <c r="H65" s="339">
        <v>0</v>
      </c>
      <c r="I65" s="339">
        <v>0</v>
      </c>
      <c r="J65" s="339">
        <v>0</v>
      </c>
      <c r="K65" s="339">
        <v>648</v>
      </c>
      <c r="L65" s="339">
        <v>0</v>
      </c>
      <c r="M65" s="339">
        <v>7</v>
      </c>
      <c r="N65">
        <v>655</v>
      </c>
      <c r="O65">
        <v>0</v>
      </c>
      <c r="P65">
        <f t="shared" si="0"/>
        <v>655</v>
      </c>
    </row>
    <row r="66" spans="1:16">
      <c r="A66">
        <v>60</v>
      </c>
      <c r="C66" s="339">
        <v>230</v>
      </c>
      <c r="D66" s="339">
        <v>648</v>
      </c>
      <c r="E66" s="339">
        <v>1</v>
      </c>
      <c r="F66" s="339">
        <v>4</v>
      </c>
      <c r="G66" s="339">
        <v>3</v>
      </c>
      <c r="H66" s="339">
        <v>1</v>
      </c>
      <c r="I66" s="339">
        <v>1</v>
      </c>
      <c r="J66" s="339">
        <v>0</v>
      </c>
      <c r="K66" s="339">
        <v>888</v>
      </c>
      <c r="L66" s="339">
        <v>0</v>
      </c>
      <c r="M66" s="339">
        <v>4</v>
      </c>
      <c r="N66">
        <v>892</v>
      </c>
      <c r="O66">
        <v>0</v>
      </c>
      <c r="P66">
        <f t="shared" si="0"/>
        <v>892</v>
      </c>
    </row>
    <row r="67" spans="1:16">
      <c r="A67">
        <v>61</v>
      </c>
      <c r="C67" s="339">
        <v>428</v>
      </c>
      <c r="D67" s="339">
        <v>388</v>
      </c>
      <c r="E67" s="339">
        <v>4</v>
      </c>
      <c r="F67" s="339">
        <v>10</v>
      </c>
      <c r="G67" s="339">
        <v>1</v>
      </c>
      <c r="H67" s="339">
        <v>1</v>
      </c>
      <c r="I67" s="339">
        <v>0</v>
      </c>
      <c r="J67" s="339">
        <v>0</v>
      </c>
      <c r="K67" s="339">
        <v>832</v>
      </c>
      <c r="L67" s="339">
        <v>0</v>
      </c>
      <c r="M67" s="339">
        <v>4</v>
      </c>
      <c r="N67">
        <v>836</v>
      </c>
      <c r="O67">
        <v>0</v>
      </c>
      <c r="P67">
        <f t="shared" si="0"/>
        <v>836</v>
      </c>
    </row>
    <row r="68" spans="1:16">
      <c r="A68">
        <v>62</v>
      </c>
      <c r="C68" s="339">
        <v>84</v>
      </c>
      <c r="D68" s="339">
        <v>410</v>
      </c>
      <c r="E68" s="339">
        <v>1</v>
      </c>
      <c r="F68" s="339">
        <v>2</v>
      </c>
      <c r="G68" s="339">
        <v>0</v>
      </c>
      <c r="H68" s="339">
        <v>0</v>
      </c>
      <c r="I68" s="339">
        <v>1</v>
      </c>
      <c r="J68" s="339">
        <v>1</v>
      </c>
      <c r="K68" s="339">
        <v>499</v>
      </c>
      <c r="L68" s="339">
        <v>0</v>
      </c>
      <c r="M68" s="339">
        <v>4</v>
      </c>
      <c r="N68">
        <v>503</v>
      </c>
      <c r="O68">
        <v>0</v>
      </c>
      <c r="P68">
        <f t="shared" si="0"/>
        <v>503</v>
      </c>
    </row>
    <row r="69" spans="1:16">
      <c r="A69">
        <v>63</v>
      </c>
      <c r="C69" s="339">
        <v>183</v>
      </c>
      <c r="D69" s="339">
        <v>580</v>
      </c>
      <c r="E69" s="339">
        <v>1</v>
      </c>
      <c r="F69" s="339">
        <v>10</v>
      </c>
      <c r="G69" s="339">
        <v>1</v>
      </c>
      <c r="H69" s="339">
        <v>0</v>
      </c>
      <c r="I69" s="339">
        <v>0</v>
      </c>
      <c r="J69" s="339">
        <v>0</v>
      </c>
      <c r="K69" s="339">
        <v>775</v>
      </c>
      <c r="L69" s="339">
        <v>0</v>
      </c>
      <c r="M69" s="339">
        <v>7</v>
      </c>
      <c r="N69">
        <v>782</v>
      </c>
      <c r="O69">
        <v>0</v>
      </c>
      <c r="P69">
        <f t="shared" si="0"/>
        <v>782</v>
      </c>
    </row>
    <row r="70" spans="1:16">
      <c r="A70">
        <v>64</v>
      </c>
      <c r="C70" s="339">
        <v>239</v>
      </c>
      <c r="D70" s="339">
        <v>512</v>
      </c>
      <c r="E70" s="339">
        <v>6</v>
      </c>
      <c r="F70" s="339">
        <v>4</v>
      </c>
      <c r="G70" s="339">
        <v>0</v>
      </c>
      <c r="H70" s="339">
        <v>0</v>
      </c>
      <c r="I70" s="339">
        <v>1</v>
      </c>
      <c r="J70" s="339">
        <v>0</v>
      </c>
      <c r="K70" s="339">
        <v>762</v>
      </c>
      <c r="L70" s="339">
        <v>0</v>
      </c>
      <c r="M70" s="339">
        <v>7</v>
      </c>
      <c r="N70">
        <v>769</v>
      </c>
      <c r="O70">
        <v>0</v>
      </c>
      <c r="P70">
        <f t="shared" si="0"/>
        <v>769</v>
      </c>
    </row>
    <row r="71" spans="1:16">
      <c r="A71">
        <v>65</v>
      </c>
      <c r="C71" s="339">
        <v>158</v>
      </c>
      <c r="D71" s="339">
        <v>596</v>
      </c>
      <c r="E71" s="339">
        <v>3</v>
      </c>
      <c r="F71" s="339">
        <v>2</v>
      </c>
      <c r="G71" s="339">
        <v>0</v>
      </c>
      <c r="H71" s="339">
        <v>0</v>
      </c>
      <c r="I71" s="339">
        <v>1</v>
      </c>
      <c r="J71" s="339">
        <v>1</v>
      </c>
      <c r="K71" s="339">
        <v>761</v>
      </c>
      <c r="L71" s="339">
        <v>0</v>
      </c>
      <c r="M71" s="339">
        <v>12</v>
      </c>
      <c r="N71">
        <v>773</v>
      </c>
      <c r="O71">
        <v>0</v>
      </c>
      <c r="P71">
        <f t="shared" ref="P71:P134" si="1">C71+D71+E71+F71+G71+H71+I71+J71+M71</f>
        <v>773</v>
      </c>
    </row>
    <row r="72" spans="1:16">
      <c r="A72">
        <v>66</v>
      </c>
      <c r="C72" s="339">
        <v>109</v>
      </c>
      <c r="D72" s="339">
        <v>774</v>
      </c>
      <c r="E72" s="339">
        <v>0</v>
      </c>
      <c r="F72" s="339">
        <v>5</v>
      </c>
      <c r="G72" s="339">
        <v>1</v>
      </c>
      <c r="H72" s="339">
        <v>0</v>
      </c>
      <c r="I72" s="339">
        <v>0</v>
      </c>
      <c r="J72" s="339">
        <v>1</v>
      </c>
      <c r="K72" s="339">
        <v>890</v>
      </c>
      <c r="L72" s="339">
        <v>0</v>
      </c>
      <c r="M72" s="339">
        <v>13</v>
      </c>
      <c r="N72">
        <v>903</v>
      </c>
      <c r="O72">
        <v>0</v>
      </c>
      <c r="P72">
        <f t="shared" si="1"/>
        <v>903</v>
      </c>
    </row>
    <row r="73" spans="1:16">
      <c r="A73">
        <v>67</v>
      </c>
      <c r="C73" s="339">
        <v>196</v>
      </c>
      <c r="D73" s="339">
        <v>451</v>
      </c>
      <c r="E73" s="339">
        <v>2</v>
      </c>
      <c r="F73" s="339">
        <v>4</v>
      </c>
      <c r="G73" s="339">
        <v>0</v>
      </c>
      <c r="H73" s="339">
        <v>0</v>
      </c>
      <c r="I73" s="339">
        <v>1</v>
      </c>
      <c r="J73" s="339">
        <v>0</v>
      </c>
      <c r="K73" s="339">
        <v>654</v>
      </c>
      <c r="L73" s="339">
        <v>0</v>
      </c>
      <c r="M73" s="339">
        <v>4</v>
      </c>
      <c r="N73">
        <v>658</v>
      </c>
      <c r="O73">
        <v>0</v>
      </c>
      <c r="P73">
        <f t="shared" si="1"/>
        <v>658</v>
      </c>
    </row>
    <row r="74" spans="1:16">
      <c r="A74">
        <v>68</v>
      </c>
      <c r="C74" s="339">
        <v>122</v>
      </c>
      <c r="D74" s="339">
        <v>481</v>
      </c>
      <c r="E74" s="339">
        <v>1</v>
      </c>
      <c r="F74" s="339">
        <v>3</v>
      </c>
      <c r="G74" s="339">
        <v>0</v>
      </c>
      <c r="H74" s="339">
        <v>0</v>
      </c>
      <c r="I74" s="339">
        <v>0</v>
      </c>
      <c r="J74" s="339">
        <v>0</v>
      </c>
      <c r="K74" s="339">
        <v>607</v>
      </c>
      <c r="L74" s="339">
        <v>0</v>
      </c>
      <c r="M74" s="339">
        <v>5</v>
      </c>
      <c r="N74">
        <v>612</v>
      </c>
      <c r="O74">
        <v>0</v>
      </c>
      <c r="P74">
        <f t="shared" si="1"/>
        <v>612</v>
      </c>
    </row>
    <row r="75" spans="1:16">
      <c r="A75">
        <v>69</v>
      </c>
      <c r="C75" s="339">
        <v>51</v>
      </c>
      <c r="D75" s="339">
        <v>261</v>
      </c>
      <c r="E75" s="339">
        <v>0</v>
      </c>
      <c r="F75" s="339">
        <v>4</v>
      </c>
      <c r="G75" s="339">
        <v>0</v>
      </c>
      <c r="H75" s="339">
        <v>0</v>
      </c>
      <c r="I75" s="339">
        <v>1</v>
      </c>
      <c r="J75" s="339">
        <v>0</v>
      </c>
      <c r="K75" s="339">
        <v>317</v>
      </c>
      <c r="L75" s="339">
        <v>0</v>
      </c>
      <c r="M75" s="339">
        <v>4</v>
      </c>
      <c r="N75">
        <v>321</v>
      </c>
      <c r="O75">
        <v>0</v>
      </c>
      <c r="P75">
        <f t="shared" si="1"/>
        <v>321</v>
      </c>
    </row>
    <row r="76" spans="1:16">
      <c r="A76">
        <v>70</v>
      </c>
      <c r="C76" s="339">
        <v>95</v>
      </c>
      <c r="D76" s="339">
        <v>801</v>
      </c>
      <c r="E76" s="339">
        <v>3</v>
      </c>
      <c r="F76" s="339">
        <v>5</v>
      </c>
      <c r="G76" s="339">
        <v>1</v>
      </c>
      <c r="H76" s="339">
        <v>0</v>
      </c>
      <c r="I76" s="339">
        <v>1</v>
      </c>
      <c r="J76" s="339">
        <v>1</v>
      </c>
      <c r="K76" s="339">
        <v>907</v>
      </c>
      <c r="L76" s="339">
        <v>0</v>
      </c>
      <c r="M76" s="339">
        <v>22</v>
      </c>
      <c r="N76">
        <v>929</v>
      </c>
      <c r="O76">
        <v>0</v>
      </c>
      <c r="P76">
        <f t="shared" si="1"/>
        <v>929</v>
      </c>
    </row>
    <row r="77" spans="1:16">
      <c r="A77">
        <v>71</v>
      </c>
      <c r="C77" s="339">
        <v>80</v>
      </c>
      <c r="D77" s="339">
        <v>665</v>
      </c>
      <c r="E77" s="339">
        <v>3</v>
      </c>
      <c r="F77" s="339">
        <v>3</v>
      </c>
      <c r="G77" s="339">
        <v>0</v>
      </c>
      <c r="H77" s="339">
        <v>0</v>
      </c>
      <c r="I77" s="339">
        <v>0</v>
      </c>
      <c r="J77" s="339">
        <v>2</v>
      </c>
      <c r="K77" s="339">
        <v>753</v>
      </c>
      <c r="L77" s="339">
        <v>0</v>
      </c>
      <c r="M77" s="339">
        <v>7</v>
      </c>
      <c r="N77">
        <v>760</v>
      </c>
      <c r="O77">
        <v>0</v>
      </c>
      <c r="P77">
        <f t="shared" si="1"/>
        <v>760</v>
      </c>
    </row>
    <row r="78" spans="1:16">
      <c r="A78">
        <v>72</v>
      </c>
      <c r="C78" s="339">
        <v>101</v>
      </c>
      <c r="D78" s="339">
        <v>254</v>
      </c>
      <c r="E78" s="339">
        <v>1</v>
      </c>
      <c r="F78" s="339">
        <v>2</v>
      </c>
      <c r="G78" s="339">
        <v>0</v>
      </c>
      <c r="H78" s="339">
        <v>0</v>
      </c>
      <c r="I78" s="339">
        <v>0</v>
      </c>
      <c r="J78" s="339">
        <v>0</v>
      </c>
      <c r="K78" s="339">
        <v>358</v>
      </c>
      <c r="L78" s="339">
        <v>0</v>
      </c>
      <c r="M78" s="339">
        <v>5</v>
      </c>
      <c r="N78">
        <v>363</v>
      </c>
      <c r="O78">
        <v>0</v>
      </c>
      <c r="P78">
        <f t="shared" si="1"/>
        <v>363</v>
      </c>
    </row>
    <row r="79" spans="1:16">
      <c r="A79">
        <v>73</v>
      </c>
      <c r="C79" s="339">
        <v>93</v>
      </c>
      <c r="D79" s="339">
        <v>442</v>
      </c>
      <c r="E79" s="339">
        <v>1</v>
      </c>
      <c r="F79" s="339">
        <v>4</v>
      </c>
      <c r="G79" s="339">
        <v>0</v>
      </c>
      <c r="H79" s="339">
        <v>0</v>
      </c>
      <c r="I79" s="339">
        <v>0</v>
      </c>
      <c r="J79" s="339">
        <v>0</v>
      </c>
      <c r="K79" s="339">
        <v>540</v>
      </c>
      <c r="L79" s="339">
        <v>0</v>
      </c>
      <c r="M79" s="339">
        <v>9</v>
      </c>
      <c r="N79">
        <v>549</v>
      </c>
      <c r="O79">
        <v>0</v>
      </c>
      <c r="P79">
        <f t="shared" si="1"/>
        <v>549</v>
      </c>
    </row>
    <row r="80" spans="1:16">
      <c r="A80">
        <v>74</v>
      </c>
      <c r="C80" s="339">
        <v>100</v>
      </c>
      <c r="D80" s="339">
        <v>694</v>
      </c>
      <c r="E80" s="339">
        <v>5</v>
      </c>
      <c r="F80" s="339">
        <v>8</v>
      </c>
      <c r="G80" s="339">
        <v>1</v>
      </c>
      <c r="H80" s="339">
        <v>1</v>
      </c>
      <c r="I80" s="339">
        <v>0</v>
      </c>
      <c r="J80" s="339">
        <v>1</v>
      </c>
      <c r="K80" s="339">
        <v>810</v>
      </c>
      <c r="L80" s="339">
        <v>0</v>
      </c>
      <c r="M80" s="339">
        <v>8</v>
      </c>
      <c r="N80">
        <v>818</v>
      </c>
      <c r="O80">
        <v>0</v>
      </c>
      <c r="P80">
        <f t="shared" si="1"/>
        <v>818</v>
      </c>
    </row>
    <row r="81" spans="1:16">
      <c r="A81">
        <v>75</v>
      </c>
      <c r="C81" s="339">
        <v>127</v>
      </c>
      <c r="D81" s="339">
        <v>767</v>
      </c>
      <c r="E81" s="339">
        <v>3</v>
      </c>
      <c r="F81" s="339">
        <v>6</v>
      </c>
      <c r="G81" s="339">
        <v>0</v>
      </c>
      <c r="H81" s="339">
        <v>0</v>
      </c>
      <c r="I81" s="339">
        <v>0</v>
      </c>
      <c r="J81" s="339">
        <v>0</v>
      </c>
      <c r="K81" s="339">
        <v>903</v>
      </c>
      <c r="L81" s="339">
        <v>0</v>
      </c>
      <c r="M81" s="339">
        <v>7</v>
      </c>
      <c r="N81">
        <v>910</v>
      </c>
      <c r="O81">
        <v>0</v>
      </c>
      <c r="P81">
        <f t="shared" si="1"/>
        <v>910</v>
      </c>
    </row>
    <row r="82" spans="1:16">
      <c r="A82">
        <v>76</v>
      </c>
      <c r="C82" s="339">
        <v>144</v>
      </c>
      <c r="D82" s="339">
        <v>576</v>
      </c>
      <c r="E82" s="339">
        <v>1</v>
      </c>
      <c r="F82" s="339">
        <v>7</v>
      </c>
      <c r="G82" s="339">
        <v>0</v>
      </c>
      <c r="H82" s="339">
        <v>0</v>
      </c>
      <c r="I82" s="339">
        <v>0</v>
      </c>
      <c r="J82" s="339">
        <v>1</v>
      </c>
      <c r="K82" s="339">
        <v>729</v>
      </c>
      <c r="L82" s="339">
        <v>0</v>
      </c>
      <c r="M82" s="339">
        <v>13</v>
      </c>
      <c r="N82">
        <v>742</v>
      </c>
      <c r="O82">
        <v>0</v>
      </c>
      <c r="P82">
        <f t="shared" si="1"/>
        <v>742</v>
      </c>
    </row>
    <row r="83" spans="1:16">
      <c r="A83">
        <v>77</v>
      </c>
      <c r="C83" s="339">
        <v>120</v>
      </c>
      <c r="D83" s="339">
        <v>695</v>
      </c>
      <c r="E83" s="339">
        <v>1</v>
      </c>
      <c r="F83" s="339">
        <v>1</v>
      </c>
      <c r="G83" s="339">
        <v>0</v>
      </c>
      <c r="H83" s="339">
        <v>1</v>
      </c>
      <c r="I83" s="339">
        <v>0</v>
      </c>
      <c r="J83" s="339">
        <v>3</v>
      </c>
      <c r="K83" s="339">
        <v>821</v>
      </c>
      <c r="L83" s="339">
        <v>0</v>
      </c>
      <c r="M83" s="339">
        <v>7</v>
      </c>
      <c r="N83">
        <v>828</v>
      </c>
      <c r="O83">
        <v>0</v>
      </c>
      <c r="P83">
        <f t="shared" si="1"/>
        <v>828</v>
      </c>
    </row>
    <row r="84" spans="1:16">
      <c r="A84">
        <v>78</v>
      </c>
      <c r="C84" s="339">
        <v>216</v>
      </c>
      <c r="D84" s="339">
        <v>382</v>
      </c>
      <c r="E84" s="339">
        <v>4</v>
      </c>
      <c r="F84" s="339">
        <v>5</v>
      </c>
      <c r="G84" s="339">
        <v>0</v>
      </c>
      <c r="H84" s="339">
        <v>0</v>
      </c>
      <c r="I84" s="339">
        <v>0</v>
      </c>
      <c r="J84" s="339">
        <v>1</v>
      </c>
      <c r="K84" s="339">
        <v>608</v>
      </c>
      <c r="L84" s="339">
        <v>0</v>
      </c>
      <c r="M84" s="339">
        <v>1</v>
      </c>
      <c r="N84">
        <v>609</v>
      </c>
      <c r="O84">
        <v>0</v>
      </c>
      <c r="P84">
        <f t="shared" si="1"/>
        <v>609</v>
      </c>
    </row>
    <row r="85" spans="1:16">
      <c r="A85">
        <v>79</v>
      </c>
      <c r="C85" s="339">
        <v>115</v>
      </c>
      <c r="D85" s="339">
        <v>242</v>
      </c>
      <c r="E85" s="339">
        <v>0</v>
      </c>
      <c r="F85" s="339">
        <v>0</v>
      </c>
      <c r="G85" s="339">
        <v>0</v>
      </c>
      <c r="H85" s="339">
        <v>0</v>
      </c>
      <c r="I85" s="339">
        <v>0</v>
      </c>
      <c r="J85" s="339">
        <v>0</v>
      </c>
      <c r="K85" s="339">
        <v>357</v>
      </c>
      <c r="L85" s="339">
        <v>0</v>
      </c>
      <c r="M85" s="339">
        <v>8</v>
      </c>
      <c r="N85">
        <v>365</v>
      </c>
      <c r="O85">
        <v>0</v>
      </c>
      <c r="P85">
        <f t="shared" si="1"/>
        <v>365</v>
      </c>
    </row>
    <row r="86" spans="1:16">
      <c r="A86">
        <v>80</v>
      </c>
      <c r="C86" s="339">
        <v>156</v>
      </c>
      <c r="D86" s="339">
        <v>513</v>
      </c>
      <c r="E86" s="339">
        <v>0</v>
      </c>
      <c r="F86" s="339">
        <v>6</v>
      </c>
      <c r="G86" s="339">
        <v>0</v>
      </c>
      <c r="H86" s="339">
        <v>0</v>
      </c>
      <c r="I86" s="339">
        <v>0</v>
      </c>
      <c r="J86" s="339">
        <v>0</v>
      </c>
      <c r="K86" s="339">
        <v>675</v>
      </c>
      <c r="L86" s="339">
        <v>0</v>
      </c>
      <c r="M86" s="339">
        <v>6</v>
      </c>
      <c r="N86">
        <v>681</v>
      </c>
      <c r="O86">
        <v>0</v>
      </c>
      <c r="P86">
        <f t="shared" si="1"/>
        <v>681</v>
      </c>
    </row>
    <row r="87" spans="1:16">
      <c r="A87">
        <v>81</v>
      </c>
      <c r="C87" s="339">
        <v>62</v>
      </c>
      <c r="D87" s="339">
        <v>335</v>
      </c>
      <c r="E87" s="339">
        <v>0</v>
      </c>
      <c r="F87" s="339">
        <v>1</v>
      </c>
      <c r="G87" s="339">
        <v>1</v>
      </c>
      <c r="H87" s="339">
        <v>0</v>
      </c>
      <c r="I87" s="339">
        <v>0</v>
      </c>
      <c r="J87" s="339">
        <v>0</v>
      </c>
      <c r="K87" s="339">
        <v>399</v>
      </c>
      <c r="L87" s="339">
        <v>0</v>
      </c>
      <c r="M87" s="339">
        <v>8</v>
      </c>
      <c r="N87">
        <v>407</v>
      </c>
      <c r="O87">
        <v>0</v>
      </c>
      <c r="P87">
        <f t="shared" si="1"/>
        <v>407</v>
      </c>
    </row>
    <row r="88" spans="1:16">
      <c r="A88">
        <v>82</v>
      </c>
      <c r="C88" s="339">
        <v>139</v>
      </c>
      <c r="D88" s="339">
        <v>592</v>
      </c>
      <c r="E88" s="339">
        <v>5</v>
      </c>
      <c r="F88" s="339">
        <v>6</v>
      </c>
      <c r="G88" s="339">
        <v>0</v>
      </c>
      <c r="H88" s="339">
        <v>0</v>
      </c>
      <c r="I88" s="339">
        <v>5</v>
      </c>
      <c r="J88" s="339">
        <v>0</v>
      </c>
      <c r="K88" s="339">
        <v>747</v>
      </c>
      <c r="L88" s="339">
        <v>0</v>
      </c>
      <c r="M88" s="339">
        <v>7</v>
      </c>
      <c r="N88">
        <v>754</v>
      </c>
      <c r="O88">
        <v>0</v>
      </c>
      <c r="P88">
        <f t="shared" si="1"/>
        <v>754</v>
      </c>
    </row>
    <row r="89" spans="1:16">
      <c r="A89">
        <v>83</v>
      </c>
      <c r="C89" s="339">
        <v>35</v>
      </c>
      <c r="D89" s="339">
        <v>239</v>
      </c>
      <c r="E89" s="339">
        <v>0</v>
      </c>
      <c r="F89" s="339">
        <v>0</v>
      </c>
      <c r="G89" s="339">
        <v>0</v>
      </c>
      <c r="H89" s="339">
        <v>0</v>
      </c>
      <c r="I89" s="339">
        <v>0</v>
      </c>
      <c r="J89" s="339">
        <v>0</v>
      </c>
      <c r="K89" s="339">
        <v>274</v>
      </c>
      <c r="L89" s="339">
        <v>0</v>
      </c>
      <c r="M89" s="339">
        <v>2</v>
      </c>
      <c r="N89">
        <v>276</v>
      </c>
      <c r="O89">
        <v>0</v>
      </c>
      <c r="P89">
        <f t="shared" si="1"/>
        <v>276</v>
      </c>
    </row>
    <row r="90" spans="1:16">
      <c r="A90">
        <v>84</v>
      </c>
      <c r="C90" s="339">
        <v>144</v>
      </c>
      <c r="D90" s="339">
        <v>460</v>
      </c>
      <c r="E90" s="339">
        <v>3</v>
      </c>
      <c r="F90" s="339">
        <v>4</v>
      </c>
      <c r="G90" s="339">
        <v>0</v>
      </c>
      <c r="H90" s="339">
        <v>0</v>
      </c>
      <c r="I90" s="339">
        <v>3</v>
      </c>
      <c r="J90" s="339">
        <v>1</v>
      </c>
      <c r="K90" s="339">
        <v>615</v>
      </c>
      <c r="L90" s="339">
        <v>0</v>
      </c>
      <c r="M90" s="339">
        <v>7</v>
      </c>
      <c r="N90">
        <v>622</v>
      </c>
      <c r="O90">
        <v>0</v>
      </c>
      <c r="P90">
        <f t="shared" si="1"/>
        <v>622</v>
      </c>
    </row>
    <row r="91" spans="1:16">
      <c r="A91">
        <v>85</v>
      </c>
      <c r="C91" s="339">
        <v>248</v>
      </c>
      <c r="D91" s="339">
        <v>575</v>
      </c>
      <c r="E91" s="339">
        <v>4</v>
      </c>
      <c r="F91" s="339">
        <v>4</v>
      </c>
      <c r="G91" s="339">
        <v>0</v>
      </c>
      <c r="H91" s="339">
        <v>0</v>
      </c>
      <c r="I91" s="339">
        <v>0</v>
      </c>
      <c r="J91" s="339">
        <v>0</v>
      </c>
      <c r="K91" s="339">
        <v>831</v>
      </c>
      <c r="L91" s="339">
        <v>0</v>
      </c>
      <c r="M91" s="339">
        <v>9</v>
      </c>
      <c r="N91">
        <v>840</v>
      </c>
      <c r="O91">
        <v>0</v>
      </c>
      <c r="P91">
        <f t="shared" si="1"/>
        <v>840</v>
      </c>
    </row>
    <row r="92" spans="1:16">
      <c r="A92">
        <v>86</v>
      </c>
      <c r="C92" s="339">
        <v>94</v>
      </c>
      <c r="D92" s="339">
        <v>229</v>
      </c>
      <c r="E92" s="339">
        <v>1</v>
      </c>
      <c r="F92" s="339">
        <v>2</v>
      </c>
      <c r="G92" s="339">
        <v>0</v>
      </c>
      <c r="H92" s="339">
        <v>0</v>
      </c>
      <c r="I92" s="339">
        <v>2</v>
      </c>
      <c r="J92" s="339">
        <v>1</v>
      </c>
      <c r="K92" s="339">
        <v>329</v>
      </c>
      <c r="L92" s="339">
        <v>0</v>
      </c>
      <c r="M92" s="339">
        <v>1</v>
      </c>
      <c r="N92">
        <v>330</v>
      </c>
      <c r="O92">
        <v>0</v>
      </c>
      <c r="P92">
        <f t="shared" si="1"/>
        <v>330</v>
      </c>
    </row>
    <row r="93" spans="1:16">
      <c r="A93">
        <v>87</v>
      </c>
      <c r="C93" s="339">
        <v>202</v>
      </c>
      <c r="D93" s="339">
        <v>456</v>
      </c>
      <c r="E93" s="339">
        <v>2</v>
      </c>
      <c r="F93" s="339">
        <v>0</v>
      </c>
      <c r="G93" s="339">
        <v>0</v>
      </c>
      <c r="H93" s="339">
        <v>0</v>
      </c>
      <c r="I93" s="339">
        <v>0</v>
      </c>
      <c r="J93" s="339">
        <v>1</v>
      </c>
      <c r="K93" s="339">
        <v>661</v>
      </c>
      <c r="L93" s="339">
        <v>0</v>
      </c>
      <c r="M93" s="339">
        <v>6</v>
      </c>
      <c r="N93">
        <v>667</v>
      </c>
      <c r="O93">
        <v>0</v>
      </c>
      <c r="P93">
        <f t="shared" si="1"/>
        <v>667</v>
      </c>
    </row>
    <row r="94" spans="1:16">
      <c r="A94">
        <v>88</v>
      </c>
      <c r="C94" s="339">
        <v>186</v>
      </c>
      <c r="D94" s="339">
        <v>651</v>
      </c>
      <c r="E94" s="339">
        <v>1</v>
      </c>
      <c r="F94" s="339">
        <v>3</v>
      </c>
      <c r="G94" s="339">
        <v>0</v>
      </c>
      <c r="H94" s="339">
        <v>0</v>
      </c>
      <c r="I94" s="339">
        <v>1</v>
      </c>
      <c r="J94" s="339">
        <v>1</v>
      </c>
      <c r="K94" s="339">
        <v>843</v>
      </c>
      <c r="L94" s="339">
        <v>0</v>
      </c>
      <c r="M94" s="339">
        <v>9</v>
      </c>
      <c r="N94">
        <v>852</v>
      </c>
      <c r="O94">
        <v>0</v>
      </c>
      <c r="P94">
        <f t="shared" si="1"/>
        <v>852</v>
      </c>
    </row>
    <row r="95" spans="1:16">
      <c r="A95">
        <v>89</v>
      </c>
      <c r="C95" s="339">
        <v>116</v>
      </c>
      <c r="D95" s="339">
        <v>405</v>
      </c>
      <c r="E95" s="339">
        <v>1</v>
      </c>
      <c r="F95" s="339">
        <v>3</v>
      </c>
      <c r="G95" s="339">
        <v>1</v>
      </c>
      <c r="H95" s="339">
        <v>0</v>
      </c>
      <c r="I95" s="339">
        <v>0</v>
      </c>
      <c r="J95" s="339">
        <v>0</v>
      </c>
      <c r="K95" s="339">
        <v>526</v>
      </c>
      <c r="L95" s="339">
        <v>0</v>
      </c>
      <c r="M95" s="339">
        <v>1</v>
      </c>
      <c r="N95">
        <v>527</v>
      </c>
      <c r="O95">
        <v>0</v>
      </c>
      <c r="P95">
        <f t="shared" si="1"/>
        <v>527</v>
      </c>
    </row>
    <row r="96" spans="1:16">
      <c r="A96">
        <v>90</v>
      </c>
      <c r="C96" s="339">
        <v>250</v>
      </c>
      <c r="D96" s="339">
        <v>554</v>
      </c>
      <c r="E96" s="339">
        <v>3</v>
      </c>
      <c r="F96" s="339">
        <v>5</v>
      </c>
      <c r="G96" s="339">
        <v>2</v>
      </c>
      <c r="H96" s="339">
        <v>1</v>
      </c>
      <c r="I96" s="339">
        <v>0</v>
      </c>
      <c r="J96" s="339">
        <v>0</v>
      </c>
      <c r="K96" s="339">
        <v>815</v>
      </c>
      <c r="L96" s="339">
        <v>0</v>
      </c>
      <c r="M96" s="339">
        <v>4</v>
      </c>
      <c r="N96">
        <v>819</v>
      </c>
      <c r="O96">
        <v>0</v>
      </c>
      <c r="P96">
        <f t="shared" si="1"/>
        <v>819</v>
      </c>
    </row>
    <row r="97" spans="1:16">
      <c r="A97">
        <v>91</v>
      </c>
      <c r="C97" s="339">
        <v>157</v>
      </c>
      <c r="D97" s="339">
        <v>621</v>
      </c>
      <c r="E97" s="339">
        <v>1</v>
      </c>
      <c r="F97" s="339">
        <v>3</v>
      </c>
      <c r="G97" s="339">
        <v>0</v>
      </c>
      <c r="H97" s="339">
        <v>0</v>
      </c>
      <c r="I97" s="339">
        <v>0</v>
      </c>
      <c r="J97" s="339">
        <v>3</v>
      </c>
      <c r="K97" s="339">
        <v>785</v>
      </c>
      <c r="L97" s="339">
        <v>0</v>
      </c>
      <c r="M97" s="339">
        <v>9</v>
      </c>
      <c r="N97">
        <v>794</v>
      </c>
      <c r="O97">
        <v>0</v>
      </c>
      <c r="P97">
        <f t="shared" si="1"/>
        <v>794</v>
      </c>
    </row>
    <row r="98" spans="1:16">
      <c r="A98">
        <v>92</v>
      </c>
      <c r="C98" s="339">
        <v>76</v>
      </c>
      <c r="D98" s="339">
        <v>357</v>
      </c>
      <c r="E98" s="339">
        <v>0</v>
      </c>
      <c r="F98" s="339">
        <v>1</v>
      </c>
      <c r="G98" s="339">
        <v>0</v>
      </c>
      <c r="H98" s="339">
        <v>0</v>
      </c>
      <c r="I98" s="339">
        <v>0</v>
      </c>
      <c r="J98" s="339">
        <v>2</v>
      </c>
      <c r="K98" s="339">
        <v>436</v>
      </c>
      <c r="L98" s="339">
        <v>0</v>
      </c>
      <c r="M98" s="339">
        <v>3</v>
      </c>
      <c r="N98">
        <v>439</v>
      </c>
      <c r="O98">
        <v>0</v>
      </c>
      <c r="P98">
        <f t="shared" si="1"/>
        <v>439</v>
      </c>
    </row>
    <row r="99" spans="1:16">
      <c r="A99">
        <v>93</v>
      </c>
      <c r="C99" s="339">
        <v>243</v>
      </c>
      <c r="D99" s="339">
        <v>381</v>
      </c>
      <c r="E99" s="339">
        <v>0</v>
      </c>
      <c r="F99" s="339">
        <v>0</v>
      </c>
      <c r="G99" s="339">
        <v>0</v>
      </c>
      <c r="H99" s="339">
        <v>1</v>
      </c>
      <c r="I99" s="339">
        <v>0</v>
      </c>
      <c r="J99" s="339">
        <v>0</v>
      </c>
      <c r="K99" s="339">
        <v>625</v>
      </c>
      <c r="L99" s="339">
        <v>0</v>
      </c>
      <c r="M99" s="339">
        <v>2</v>
      </c>
      <c r="N99">
        <v>627</v>
      </c>
      <c r="O99">
        <v>0</v>
      </c>
      <c r="P99">
        <f t="shared" si="1"/>
        <v>627</v>
      </c>
    </row>
    <row r="100" spans="1:16">
      <c r="A100">
        <v>94</v>
      </c>
      <c r="C100" s="339">
        <v>66</v>
      </c>
      <c r="D100" s="339">
        <v>483</v>
      </c>
      <c r="E100" s="339">
        <v>3</v>
      </c>
      <c r="F100" s="339">
        <v>1</v>
      </c>
      <c r="G100" s="339">
        <v>0</v>
      </c>
      <c r="H100" s="339">
        <v>0</v>
      </c>
      <c r="I100" s="339">
        <v>1</v>
      </c>
      <c r="J100" s="339">
        <v>1</v>
      </c>
      <c r="K100" s="339">
        <v>555</v>
      </c>
      <c r="L100" s="339">
        <v>0</v>
      </c>
      <c r="M100" s="339">
        <v>2</v>
      </c>
      <c r="N100">
        <v>557</v>
      </c>
      <c r="O100">
        <v>0</v>
      </c>
      <c r="P100">
        <f t="shared" si="1"/>
        <v>557</v>
      </c>
    </row>
    <row r="101" spans="1:16">
      <c r="A101">
        <v>95</v>
      </c>
      <c r="C101" s="339">
        <v>735</v>
      </c>
      <c r="D101" s="339">
        <v>130</v>
      </c>
      <c r="E101" s="339">
        <v>18</v>
      </c>
      <c r="F101" s="339">
        <v>0</v>
      </c>
      <c r="G101" s="339">
        <v>0</v>
      </c>
      <c r="H101" s="339">
        <v>0</v>
      </c>
      <c r="I101" s="339">
        <v>0</v>
      </c>
      <c r="J101" s="339">
        <v>1</v>
      </c>
      <c r="K101" s="339">
        <v>884</v>
      </c>
      <c r="L101" s="339">
        <v>0</v>
      </c>
      <c r="M101" s="339">
        <v>4</v>
      </c>
      <c r="N101">
        <v>888</v>
      </c>
      <c r="O101">
        <v>0</v>
      </c>
      <c r="P101">
        <f t="shared" si="1"/>
        <v>888</v>
      </c>
    </row>
    <row r="102" spans="1:16">
      <c r="A102">
        <v>96</v>
      </c>
      <c r="C102" s="339">
        <v>687</v>
      </c>
      <c r="D102" s="339">
        <v>56</v>
      </c>
      <c r="E102" s="339">
        <v>17</v>
      </c>
      <c r="F102" s="339">
        <v>1</v>
      </c>
      <c r="G102" s="339">
        <v>0</v>
      </c>
      <c r="H102" s="339">
        <v>0</v>
      </c>
      <c r="I102" s="339">
        <v>0</v>
      </c>
      <c r="J102" s="339">
        <v>0</v>
      </c>
      <c r="K102" s="339">
        <v>761</v>
      </c>
      <c r="L102" s="339">
        <v>0</v>
      </c>
      <c r="M102" s="339">
        <v>4</v>
      </c>
      <c r="N102">
        <v>765</v>
      </c>
      <c r="O102">
        <v>0</v>
      </c>
      <c r="P102">
        <f t="shared" si="1"/>
        <v>765</v>
      </c>
    </row>
    <row r="103" spans="1:16">
      <c r="A103">
        <v>97</v>
      </c>
      <c r="C103" s="339">
        <v>505</v>
      </c>
      <c r="D103" s="339">
        <v>25</v>
      </c>
      <c r="E103" s="339">
        <v>7</v>
      </c>
      <c r="F103" s="339">
        <v>1</v>
      </c>
      <c r="G103" s="339">
        <v>0</v>
      </c>
      <c r="H103" s="339">
        <v>0</v>
      </c>
      <c r="I103" s="339">
        <v>1</v>
      </c>
      <c r="J103" s="339">
        <v>0</v>
      </c>
      <c r="K103" s="339">
        <v>539</v>
      </c>
      <c r="L103" s="339">
        <v>0</v>
      </c>
      <c r="M103" s="339">
        <v>7</v>
      </c>
      <c r="N103">
        <v>546</v>
      </c>
      <c r="O103">
        <v>0</v>
      </c>
      <c r="P103">
        <f t="shared" si="1"/>
        <v>546</v>
      </c>
    </row>
    <row r="104" spans="1:16">
      <c r="A104">
        <v>98</v>
      </c>
      <c r="C104" s="339">
        <v>667</v>
      </c>
      <c r="D104" s="339">
        <v>96</v>
      </c>
      <c r="E104" s="339">
        <v>18</v>
      </c>
      <c r="F104" s="339">
        <v>1</v>
      </c>
      <c r="G104" s="339">
        <v>0</v>
      </c>
      <c r="H104" s="339">
        <v>0</v>
      </c>
      <c r="I104" s="339">
        <v>1</v>
      </c>
      <c r="J104" s="339">
        <v>0</v>
      </c>
      <c r="K104" s="339">
        <v>783</v>
      </c>
      <c r="L104" s="339">
        <v>0</v>
      </c>
      <c r="M104" s="339">
        <v>5</v>
      </c>
      <c r="N104">
        <v>788</v>
      </c>
      <c r="O104">
        <v>0</v>
      </c>
      <c r="P104">
        <f t="shared" si="1"/>
        <v>788</v>
      </c>
    </row>
    <row r="105" spans="1:16">
      <c r="A105">
        <v>99</v>
      </c>
      <c r="C105" s="339">
        <v>868</v>
      </c>
      <c r="D105" s="339">
        <v>50</v>
      </c>
      <c r="E105" s="339">
        <v>14</v>
      </c>
      <c r="F105" s="339">
        <v>1</v>
      </c>
      <c r="G105" s="339">
        <v>0</v>
      </c>
      <c r="H105" s="339">
        <v>0</v>
      </c>
      <c r="I105" s="339">
        <v>2</v>
      </c>
      <c r="J105" s="339">
        <v>2</v>
      </c>
      <c r="K105" s="339">
        <v>937</v>
      </c>
      <c r="L105" s="339">
        <v>0</v>
      </c>
      <c r="M105" s="339">
        <v>9</v>
      </c>
      <c r="N105">
        <v>946</v>
      </c>
      <c r="O105">
        <v>0</v>
      </c>
      <c r="P105">
        <f t="shared" si="1"/>
        <v>946</v>
      </c>
    </row>
    <row r="106" spans="1:16">
      <c r="A106">
        <v>100</v>
      </c>
      <c r="C106" s="339">
        <v>727</v>
      </c>
      <c r="D106" s="339">
        <v>65</v>
      </c>
      <c r="E106" s="339">
        <v>29</v>
      </c>
      <c r="F106" s="339">
        <v>4</v>
      </c>
      <c r="G106" s="339">
        <v>0</v>
      </c>
      <c r="H106" s="339">
        <v>0</v>
      </c>
      <c r="I106" s="339">
        <v>1</v>
      </c>
      <c r="J106" s="339">
        <v>0</v>
      </c>
      <c r="K106" s="339">
        <v>826</v>
      </c>
      <c r="L106" s="339">
        <v>0</v>
      </c>
      <c r="M106" s="339">
        <v>2</v>
      </c>
      <c r="N106">
        <v>828</v>
      </c>
      <c r="O106">
        <v>0</v>
      </c>
      <c r="P106">
        <f t="shared" si="1"/>
        <v>828</v>
      </c>
    </row>
    <row r="107" spans="1:16">
      <c r="A107">
        <v>101</v>
      </c>
      <c r="C107" s="339">
        <v>103</v>
      </c>
      <c r="D107" s="339">
        <v>695</v>
      </c>
      <c r="E107" s="339">
        <v>2</v>
      </c>
      <c r="F107" s="339">
        <v>2</v>
      </c>
      <c r="G107" s="339">
        <v>0</v>
      </c>
      <c r="H107" s="339">
        <v>1</v>
      </c>
      <c r="I107" s="339">
        <v>1</v>
      </c>
      <c r="J107" s="339">
        <v>4</v>
      </c>
      <c r="K107" s="339">
        <v>808</v>
      </c>
      <c r="L107" s="339">
        <v>0</v>
      </c>
      <c r="M107" s="339">
        <v>0</v>
      </c>
      <c r="N107">
        <v>808</v>
      </c>
      <c r="O107">
        <v>0</v>
      </c>
      <c r="P107">
        <f t="shared" si="1"/>
        <v>808</v>
      </c>
    </row>
    <row r="108" spans="1:16">
      <c r="A108">
        <v>102</v>
      </c>
      <c r="C108" s="339">
        <v>200</v>
      </c>
      <c r="D108" s="339">
        <v>235</v>
      </c>
      <c r="E108" s="339">
        <v>0</v>
      </c>
      <c r="F108" s="339">
        <v>0</v>
      </c>
      <c r="G108" s="339">
        <v>0</v>
      </c>
      <c r="H108" s="339">
        <v>0</v>
      </c>
      <c r="I108" s="339">
        <v>0</v>
      </c>
      <c r="J108" s="339">
        <v>0</v>
      </c>
      <c r="K108" s="339">
        <v>435</v>
      </c>
      <c r="L108" s="339">
        <v>0</v>
      </c>
      <c r="M108" s="339">
        <v>1</v>
      </c>
      <c r="N108">
        <v>436</v>
      </c>
      <c r="O108">
        <v>0</v>
      </c>
      <c r="P108">
        <f t="shared" si="1"/>
        <v>436</v>
      </c>
    </row>
    <row r="109" spans="1:16">
      <c r="A109">
        <v>103</v>
      </c>
      <c r="C109" s="339">
        <v>136</v>
      </c>
      <c r="D109" s="339">
        <v>858</v>
      </c>
      <c r="E109" s="339">
        <v>1</v>
      </c>
      <c r="F109" s="339">
        <v>0</v>
      </c>
      <c r="G109" s="339">
        <v>1</v>
      </c>
      <c r="H109" s="339">
        <v>1</v>
      </c>
      <c r="I109" s="339">
        <v>1</v>
      </c>
      <c r="J109" s="339">
        <v>1</v>
      </c>
      <c r="K109" s="339">
        <v>999</v>
      </c>
      <c r="L109" s="339">
        <v>0</v>
      </c>
      <c r="M109" s="339">
        <v>8</v>
      </c>
      <c r="N109">
        <v>1007</v>
      </c>
      <c r="O109">
        <v>0</v>
      </c>
      <c r="P109">
        <f t="shared" si="1"/>
        <v>1007</v>
      </c>
    </row>
    <row r="110" spans="1:16">
      <c r="A110">
        <v>104</v>
      </c>
      <c r="C110" s="339">
        <v>340</v>
      </c>
      <c r="D110" s="339">
        <v>310</v>
      </c>
      <c r="E110" s="339">
        <v>2</v>
      </c>
      <c r="F110" s="339">
        <v>1</v>
      </c>
      <c r="G110" s="339">
        <v>1</v>
      </c>
      <c r="H110" s="339">
        <v>0</v>
      </c>
      <c r="I110" s="339">
        <v>0</v>
      </c>
      <c r="J110" s="339">
        <v>0</v>
      </c>
      <c r="K110" s="339">
        <v>654</v>
      </c>
      <c r="L110" s="339">
        <v>0</v>
      </c>
      <c r="M110" s="339">
        <v>6</v>
      </c>
      <c r="N110">
        <v>660</v>
      </c>
      <c r="O110">
        <v>0</v>
      </c>
      <c r="P110">
        <f t="shared" si="1"/>
        <v>660</v>
      </c>
    </row>
    <row r="111" spans="1:16">
      <c r="A111">
        <v>105</v>
      </c>
      <c r="C111" s="339">
        <v>586</v>
      </c>
      <c r="D111" s="339">
        <v>141</v>
      </c>
      <c r="E111" s="339">
        <v>1</v>
      </c>
      <c r="F111" s="339">
        <v>3</v>
      </c>
      <c r="G111" s="339">
        <v>0</v>
      </c>
      <c r="H111" s="339">
        <v>0</v>
      </c>
      <c r="I111" s="339">
        <v>1</v>
      </c>
      <c r="J111" s="339">
        <v>0</v>
      </c>
      <c r="K111" s="339">
        <v>732</v>
      </c>
      <c r="L111" s="339">
        <v>0</v>
      </c>
      <c r="M111" s="339">
        <v>0</v>
      </c>
      <c r="N111">
        <v>732</v>
      </c>
      <c r="O111">
        <v>0</v>
      </c>
      <c r="P111">
        <f t="shared" si="1"/>
        <v>732</v>
      </c>
    </row>
    <row r="112" spans="1:16">
      <c r="A112">
        <v>106</v>
      </c>
      <c r="C112" s="339">
        <v>517</v>
      </c>
      <c r="D112" s="339">
        <v>86</v>
      </c>
      <c r="E112" s="339">
        <v>0</v>
      </c>
      <c r="F112" s="339">
        <v>0</v>
      </c>
      <c r="G112" s="339">
        <v>0</v>
      </c>
      <c r="H112" s="339">
        <v>0</v>
      </c>
      <c r="I112" s="339">
        <v>0</v>
      </c>
      <c r="J112" s="339">
        <v>0</v>
      </c>
      <c r="K112" s="339">
        <v>603</v>
      </c>
      <c r="L112" s="339">
        <v>0</v>
      </c>
      <c r="M112" s="339">
        <v>1</v>
      </c>
      <c r="N112">
        <v>604</v>
      </c>
      <c r="O112">
        <v>0</v>
      </c>
      <c r="P112">
        <f t="shared" si="1"/>
        <v>604</v>
      </c>
    </row>
    <row r="113" spans="1:16">
      <c r="A113">
        <v>107</v>
      </c>
      <c r="C113" s="339">
        <v>364</v>
      </c>
      <c r="D113" s="339">
        <v>279</v>
      </c>
      <c r="E113" s="339">
        <v>0</v>
      </c>
      <c r="F113" s="339">
        <v>1</v>
      </c>
      <c r="G113" s="339">
        <v>0</v>
      </c>
      <c r="H113" s="339">
        <v>0</v>
      </c>
      <c r="I113" s="339">
        <v>2</v>
      </c>
      <c r="J113" s="339">
        <v>0</v>
      </c>
      <c r="K113" s="339">
        <v>646</v>
      </c>
      <c r="L113" s="339">
        <v>0</v>
      </c>
      <c r="M113" s="339">
        <v>4</v>
      </c>
      <c r="N113">
        <v>650</v>
      </c>
      <c r="O113">
        <v>0</v>
      </c>
      <c r="P113">
        <f t="shared" si="1"/>
        <v>650</v>
      </c>
    </row>
    <row r="114" spans="1:16">
      <c r="A114">
        <v>108</v>
      </c>
      <c r="C114" s="339">
        <v>94</v>
      </c>
      <c r="D114" s="339">
        <v>638</v>
      </c>
      <c r="E114" s="339">
        <v>0</v>
      </c>
      <c r="F114" s="339">
        <v>1</v>
      </c>
      <c r="G114" s="339">
        <v>0</v>
      </c>
      <c r="H114" s="339">
        <v>0</v>
      </c>
      <c r="I114" s="339">
        <v>3</v>
      </c>
      <c r="J114" s="339">
        <v>0</v>
      </c>
      <c r="K114" s="339">
        <v>736</v>
      </c>
      <c r="L114" s="339">
        <v>0</v>
      </c>
      <c r="M114" s="339">
        <v>12</v>
      </c>
      <c r="N114">
        <v>748</v>
      </c>
      <c r="O114">
        <v>0</v>
      </c>
      <c r="P114">
        <f t="shared" si="1"/>
        <v>748</v>
      </c>
    </row>
    <row r="115" spans="1:16">
      <c r="A115">
        <v>109</v>
      </c>
      <c r="C115" s="339">
        <v>656</v>
      </c>
      <c r="D115" s="339">
        <v>15</v>
      </c>
      <c r="E115" s="339">
        <v>6</v>
      </c>
      <c r="F115" s="339">
        <v>0</v>
      </c>
      <c r="G115" s="339">
        <v>0</v>
      </c>
      <c r="H115" s="339">
        <v>0</v>
      </c>
      <c r="I115" s="339">
        <v>2</v>
      </c>
      <c r="J115" s="339">
        <v>0</v>
      </c>
      <c r="K115" s="339">
        <v>679</v>
      </c>
      <c r="L115" s="339">
        <v>0</v>
      </c>
      <c r="M115" s="339">
        <v>1</v>
      </c>
      <c r="N115">
        <v>680</v>
      </c>
      <c r="O115">
        <v>0</v>
      </c>
      <c r="P115">
        <f t="shared" si="1"/>
        <v>680</v>
      </c>
    </row>
    <row r="116" spans="1:16">
      <c r="A116">
        <v>110</v>
      </c>
      <c r="C116" s="339">
        <v>206</v>
      </c>
      <c r="D116" s="339">
        <v>193</v>
      </c>
      <c r="E116" s="339">
        <v>1</v>
      </c>
      <c r="F116" s="339">
        <v>0</v>
      </c>
      <c r="G116" s="339">
        <v>0</v>
      </c>
      <c r="H116" s="339">
        <v>0</v>
      </c>
      <c r="I116" s="339">
        <v>1</v>
      </c>
      <c r="J116" s="339">
        <v>0</v>
      </c>
      <c r="K116" s="339">
        <v>401</v>
      </c>
      <c r="L116" s="339">
        <v>0</v>
      </c>
      <c r="M116" s="339">
        <v>0</v>
      </c>
      <c r="N116">
        <v>401</v>
      </c>
      <c r="O116">
        <v>0</v>
      </c>
      <c r="P116">
        <f t="shared" si="1"/>
        <v>401</v>
      </c>
    </row>
    <row r="117" spans="1:16">
      <c r="A117">
        <v>111</v>
      </c>
      <c r="C117" s="339">
        <v>315</v>
      </c>
      <c r="D117" s="339">
        <v>145</v>
      </c>
      <c r="E117" s="339">
        <v>1</v>
      </c>
      <c r="F117" s="339">
        <v>0</v>
      </c>
      <c r="G117" s="339">
        <v>0</v>
      </c>
      <c r="H117" s="339">
        <v>0</v>
      </c>
      <c r="I117" s="339">
        <v>1</v>
      </c>
      <c r="J117" s="339">
        <v>0</v>
      </c>
      <c r="K117" s="339">
        <v>4622</v>
      </c>
      <c r="L117" s="339">
        <v>0</v>
      </c>
      <c r="M117" s="339">
        <v>2</v>
      </c>
      <c r="N117">
        <v>464</v>
      </c>
      <c r="O117">
        <v>0</v>
      </c>
      <c r="P117">
        <f t="shared" si="1"/>
        <v>464</v>
      </c>
    </row>
    <row r="118" spans="1:16">
      <c r="A118">
        <v>112</v>
      </c>
      <c r="C118" s="339">
        <v>41</v>
      </c>
      <c r="D118" s="339">
        <v>331</v>
      </c>
      <c r="E118" s="339">
        <v>0</v>
      </c>
      <c r="F118" s="339">
        <v>2</v>
      </c>
      <c r="G118" s="339">
        <v>0</v>
      </c>
      <c r="H118" s="339">
        <v>0</v>
      </c>
      <c r="I118" s="339">
        <v>1</v>
      </c>
      <c r="J118" s="339">
        <v>0</v>
      </c>
      <c r="K118" s="339">
        <v>375</v>
      </c>
      <c r="L118" s="339">
        <v>0</v>
      </c>
      <c r="M118" s="339">
        <v>4</v>
      </c>
      <c r="N118">
        <v>379</v>
      </c>
      <c r="O118">
        <v>0</v>
      </c>
      <c r="P118">
        <f t="shared" si="1"/>
        <v>379</v>
      </c>
    </row>
    <row r="119" spans="1:16">
      <c r="A119">
        <v>113</v>
      </c>
      <c r="C119" s="339">
        <v>78</v>
      </c>
      <c r="D119" s="339">
        <v>757</v>
      </c>
      <c r="E119" s="339">
        <v>2</v>
      </c>
      <c r="F119" s="339">
        <v>5</v>
      </c>
      <c r="G119" s="339">
        <v>0</v>
      </c>
      <c r="H119" s="339">
        <v>0</v>
      </c>
      <c r="I119" s="339">
        <v>0</v>
      </c>
      <c r="J119" s="339">
        <v>1</v>
      </c>
      <c r="K119" s="339">
        <v>843</v>
      </c>
      <c r="L119" s="339">
        <v>0</v>
      </c>
      <c r="M119" s="339">
        <v>9</v>
      </c>
      <c r="N119">
        <v>852</v>
      </c>
      <c r="O119">
        <v>0</v>
      </c>
      <c r="P119">
        <f t="shared" si="1"/>
        <v>852</v>
      </c>
    </row>
    <row r="120" spans="1:16">
      <c r="A120">
        <v>114</v>
      </c>
      <c r="C120" s="339">
        <v>308</v>
      </c>
      <c r="D120" s="339">
        <v>214</v>
      </c>
      <c r="E120" s="339">
        <v>1</v>
      </c>
      <c r="F120" s="339">
        <v>0</v>
      </c>
      <c r="G120" s="339">
        <v>0</v>
      </c>
      <c r="H120" s="339">
        <v>0</v>
      </c>
      <c r="I120" s="339">
        <v>0</v>
      </c>
      <c r="J120" s="339">
        <v>0</v>
      </c>
      <c r="K120" s="339">
        <v>523</v>
      </c>
      <c r="L120" s="339">
        <v>0</v>
      </c>
      <c r="M120" s="339">
        <v>4</v>
      </c>
      <c r="N120">
        <v>527</v>
      </c>
      <c r="O120">
        <v>0</v>
      </c>
      <c r="P120">
        <f t="shared" si="1"/>
        <v>527</v>
      </c>
    </row>
    <row r="121" spans="1:16">
      <c r="A121">
        <v>115</v>
      </c>
      <c r="C121" s="339">
        <v>213</v>
      </c>
      <c r="D121" s="339">
        <v>241</v>
      </c>
      <c r="E121" s="339">
        <v>1</v>
      </c>
      <c r="F121" s="339">
        <v>1</v>
      </c>
      <c r="G121" s="339">
        <v>1</v>
      </c>
      <c r="H121" s="339">
        <v>0</v>
      </c>
      <c r="I121" s="339">
        <v>0</v>
      </c>
      <c r="J121" s="339">
        <v>0</v>
      </c>
      <c r="K121" s="339">
        <v>456</v>
      </c>
      <c r="L121" s="339">
        <v>0</v>
      </c>
      <c r="M121" s="339">
        <v>3</v>
      </c>
      <c r="N121">
        <v>459</v>
      </c>
      <c r="O121">
        <v>0</v>
      </c>
      <c r="P121">
        <f t="shared" si="1"/>
        <v>460</v>
      </c>
    </row>
    <row r="122" spans="1:16">
      <c r="A122">
        <v>116</v>
      </c>
      <c r="C122" s="339">
        <v>565</v>
      </c>
      <c r="D122" s="339">
        <v>53</v>
      </c>
      <c r="E122" s="339">
        <v>11</v>
      </c>
      <c r="F122" s="339">
        <v>1</v>
      </c>
      <c r="G122" s="339">
        <v>1</v>
      </c>
      <c r="H122" s="339">
        <v>0</v>
      </c>
      <c r="I122" s="339">
        <v>0</v>
      </c>
      <c r="J122" s="339">
        <v>0</v>
      </c>
      <c r="K122" s="339">
        <v>631</v>
      </c>
      <c r="L122" s="339">
        <v>0</v>
      </c>
      <c r="M122" s="339">
        <v>6</v>
      </c>
      <c r="N122">
        <v>637</v>
      </c>
      <c r="O122">
        <v>0</v>
      </c>
      <c r="P122">
        <f t="shared" si="1"/>
        <v>637</v>
      </c>
    </row>
    <row r="123" spans="1:16">
      <c r="A123">
        <v>117</v>
      </c>
      <c r="C123" s="339">
        <v>390</v>
      </c>
      <c r="D123" s="339">
        <v>415</v>
      </c>
      <c r="E123" s="339">
        <v>7</v>
      </c>
      <c r="F123" s="339">
        <v>2</v>
      </c>
      <c r="G123" s="339">
        <v>1</v>
      </c>
      <c r="H123" s="339">
        <v>0</v>
      </c>
      <c r="I123" s="339">
        <v>1</v>
      </c>
      <c r="J123" s="339">
        <v>1</v>
      </c>
      <c r="K123" s="339">
        <v>817</v>
      </c>
      <c r="L123" s="339">
        <v>0</v>
      </c>
      <c r="M123" s="339">
        <v>9</v>
      </c>
      <c r="N123">
        <v>826</v>
      </c>
      <c r="O123">
        <v>0</v>
      </c>
      <c r="P123">
        <f t="shared" si="1"/>
        <v>826</v>
      </c>
    </row>
    <row r="124" spans="1:16">
      <c r="A124">
        <v>118</v>
      </c>
      <c r="C124" s="339">
        <v>493</v>
      </c>
      <c r="D124" s="339">
        <v>104</v>
      </c>
      <c r="E124" s="339">
        <v>3</v>
      </c>
      <c r="F124" s="339">
        <v>0</v>
      </c>
      <c r="G124" s="339">
        <v>0</v>
      </c>
      <c r="H124" s="339">
        <v>0</v>
      </c>
      <c r="I124" s="339">
        <v>1</v>
      </c>
      <c r="J124" s="339">
        <v>0</v>
      </c>
      <c r="K124" s="339">
        <v>601</v>
      </c>
      <c r="L124" s="339">
        <v>0</v>
      </c>
      <c r="M124" s="339">
        <v>5</v>
      </c>
      <c r="N124">
        <v>606</v>
      </c>
      <c r="O124">
        <v>0</v>
      </c>
      <c r="P124">
        <f t="shared" si="1"/>
        <v>606</v>
      </c>
    </row>
    <row r="125" spans="1:16">
      <c r="A125">
        <v>119</v>
      </c>
      <c r="C125" s="339">
        <v>627</v>
      </c>
      <c r="D125" s="339">
        <v>6</v>
      </c>
      <c r="E125" s="339">
        <v>7</v>
      </c>
      <c r="F125" s="339">
        <v>5</v>
      </c>
      <c r="G125" s="339">
        <v>0</v>
      </c>
      <c r="H125" s="339">
        <v>0</v>
      </c>
      <c r="I125" s="339">
        <v>1</v>
      </c>
      <c r="J125" s="339">
        <v>0</v>
      </c>
      <c r="K125" s="339">
        <v>646</v>
      </c>
      <c r="L125" s="339">
        <v>0</v>
      </c>
      <c r="M125" s="339">
        <v>8</v>
      </c>
      <c r="N125">
        <v>654</v>
      </c>
      <c r="O125">
        <v>0</v>
      </c>
      <c r="P125">
        <f t="shared" si="1"/>
        <v>654</v>
      </c>
    </row>
    <row r="126" spans="1:16">
      <c r="A126">
        <v>120</v>
      </c>
      <c r="C126" s="339">
        <v>153</v>
      </c>
      <c r="D126" s="339">
        <v>242</v>
      </c>
      <c r="E126" s="339">
        <v>1</v>
      </c>
      <c r="F126" s="339">
        <v>3</v>
      </c>
      <c r="G126" s="339">
        <v>0</v>
      </c>
      <c r="H126" s="339">
        <v>0</v>
      </c>
      <c r="I126" s="339">
        <v>0</v>
      </c>
      <c r="J126" s="339">
        <v>0</v>
      </c>
      <c r="K126" s="339">
        <v>400</v>
      </c>
      <c r="L126" s="339">
        <v>0</v>
      </c>
      <c r="M126" s="339">
        <v>2</v>
      </c>
      <c r="N126">
        <v>402</v>
      </c>
      <c r="O126">
        <v>0</v>
      </c>
      <c r="P126">
        <f t="shared" si="1"/>
        <v>401</v>
      </c>
    </row>
    <row r="127" spans="1:16">
      <c r="A127">
        <v>121</v>
      </c>
      <c r="C127" s="339">
        <v>93</v>
      </c>
      <c r="D127" s="339">
        <v>457</v>
      </c>
      <c r="E127" s="339">
        <v>1</v>
      </c>
      <c r="F127" s="339">
        <v>4</v>
      </c>
      <c r="G127" s="339">
        <v>0</v>
      </c>
      <c r="H127" s="339">
        <v>1</v>
      </c>
      <c r="I127" s="339">
        <v>0</v>
      </c>
      <c r="J127" s="339">
        <v>1</v>
      </c>
      <c r="K127" s="339">
        <v>557</v>
      </c>
      <c r="L127" s="339">
        <v>0</v>
      </c>
      <c r="M127" s="339">
        <v>13</v>
      </c>
      <c r="N127">
        <v>570</v>
      </c>
      <c r="O127">
        <v>0</v>
      </c>
      <c r="P127">
        <f t="shared" si="1"/>
        <v>570</v>
      </c>
    </row>
    <row r="128" spans="1:16">
      <c r="A128">
        <v>122</v>
      </c>
      <c r="C128" s="339">
        <v>80</v>
      </c>
      <c r="D128" s="339">
        <v>426</v>
      </c>
      <c r="E128" s="339">
        <v>2</v>
      </c>
      <c r="F128" s="339">
        <v>4</v>
      </c>
      <c r="G128" s="339">
        <v>0</v>
      </c>
      <c r="H128" s="339">
        <v>0</v>
      </c>
      <c r="I128" s="339">
        <v>0</v>
      </c>
      <c r="J128" s="339">
        <v>0</v>
      </c>
      <c r="K128" s="339">
        <v>512</v>
      </c>
      <c r="L128" s="339">
        <v>0</v>
      </c>
      <c r="M128" s="339">
        <v>6</v>
      </c>
      <c r="N128">
        <v>518</v>
      </c>
      <c r="O128">
        <v>0</v>
      </c>
      <c r="P128">
        <f t="shared" si="1"/>
        <v>518</v>
      </c>
    </row>
    <row r="129" spans="1:16">
      <c r="A129">
        <v>123</v>
      </c>
      <c r="C129" s="339">
        <v>114</v>
      </c>
      <c r="D129" s="339">
        <v>787</v>
      </c>
      <c r="E129" s="339">
        <v>1</v>
      </c>
      <c r="F129" s="339">
        <v>4</v>
      </c>
      <c r="G129" s="339">
        <v>0</v>
      </c>
      <c r="H129" s="339">
        <v>0</v>
      </c>
      <c r="I129" s="339">
        <v>0</v>
      </c>
      <c r="J129" s="339">
        <v>0</v>
      </c>
      <c r="K129" s="339">
        <v>906</v>
      </c>
      <c r="L129" s="339">
        <v>0</v>
      </c>
      <c r="M129" s="339">
        <v>4</v>
      </c>
      <c r="N129">
        <v>910</v>
      </c>
      <c r="O129">
        <v>0</v>
      </c>
      <c r="P129">
        <f t="shared" si="1"/>
        <v>910</v>
      </c>
    </row>
    <row r="130" spans="1:16">
      <c r="A130">
        <v>124</v>
      </c>
      <c r="C130" s="339">
        <v>98</v>
      </c>
      <c r="D130" s="339">
        <v>514</v>
      </c>
      <c r="E130" s="339">
        <v>1</v>
      </c>
      <c r="F130" s="339">
        <v>9</v>
      </c>
      <c r="G130" s="339">
        <v>0</v>
      </c>
      <c r="H130" s="339">
        <v>0</v>
      </c>
      <c r="I130" s="339">
        <v>0</v>
      </c>
      <c r="J130" s="339">
        <v>1</v>
      </c>
      <c r="K130" s="339">
        <v>623</v>
      </c>
      <c r="L130" s="339">
        <v>0</v>
      </c>
      <c r="M130" s="339">
        <v>5</v>
      </c>
      <c r="N130">
        <v>628</v>
      </c>
      <c r="O130">
        <v>0</v>
      </c>
      <c r="P130">
        <f t="shared" si="1"/>
        <v>628</v>
      </c>
    </row>
    <row r="131" spans="1:16">
      <c r="A131">
        <v>125</v>
      </c>
      <c r="C131" s="339">
        <v>189</v>
      </c>
      <c r="D131" s="339">
        <v>293</v>
      </c>
      <c r="E131" s="339">
        <v>1</v>
      </c>
      <c r="F131" s="339">
        <v>5</v>
      </c>
      <c r="G131" s="339">
        <v>0</v>
      </c>
      <c r="H131" s="339">
        <v>0</v>
      </c>
      <c r="I131" s="339">
        <v>0</v>
      </c>
      <c r="J131" s="339">
        <v>0</v>
      </c>
      <c r="K131" s="339">
        <v>488</v>
      </c>
      <c r="L131" s="339">
        <v>0</v>
      </c>
      <c r="M131" s="339">
        <v>2</v>
      </c>
      <c r="N131">
        <v>490</v>
      </c>
      <c r="O131">
        <v>0</v>
      </c>
      <c r="P131">
        <f t="shared" si="1"/>
        <v>490</v>
      </c>
    </row>
    <row r="132" spans="1:16">
      <c r="A132">
        <v>126</v>
      </c>
      <c r="C132" s="339">
        <v>339</v>
      </c>
      <c r="D132" s="339">
        <v>188</v>
      </c>
      <c r="E132" s="339">
        <v>0</v>
      </c>
      <c r="F132" s="339">
        <v>1</v>
      </c>
      <c r="G132" s="339">
        <v>0</v>
      </c>
      <c r="H132" s="339">
        <v>0</v>
      </c>
      <c r="I132" s="339">
        <v>0</v>
      </c>
      <c r="J132" s="339">
        <v>0</v>
      </c>
      <c r="K132" s="339">
        <v>528</v>
      </c>
      <c r="L132" s="339">
        <v>0</v>
      </c>
      <c r="M132" s="339">
        <v>1</v>
      </c>
      <c r="N132">
        <v>529</v>
      </c>
      <c r="O132">
        <v>0</v>
      </c>
      <c r="P132">
        <f t="shared" si="1"/>
        <v>529</v>
      </c>
    </row>
    <row r="133" spans="1:16">
      <c r="A133">
        <v>127</v>
      </c>
      <c r="C133" s="339">
        <v>227</v>
      </c>
      <c r="D133" s="339">
        <v>268</v>
      </c>
      <c r="E133" s="339">
        <v>3</v>
      </c>
      <c r="F133" s="339">
        <v>2</v>
      </c>
      <c r="G133" s="339">
        <v>0</v>
      </c>
      <c r="H133" s="339">
        <v>1</v>
      </c>
      <c r="I133" s="339">
        <v>0</v>
      </c>
      <c r="J133" s="339">
        <v>0</v>
      </c>
      <c r="K133" s="339">
        <v>501</v>
      </c>
      <c r="L133" s="339">
        <v>0</v>
      </c>
      <c r="M133" s="339">
        <v>2</v>
      </c>
      <c r="N133">
        <v>503</v>
      </c>
      <c r="O133">
        <v>0</v>
      </c>
      <c r="P133">
        <f t="shared" si="1"/>
        <v>503</v>
      </c>
    </row>
    <row r="134" spans="1:16">
      <c r="A134">
        <v>128</v>
      </c>
      <c r="C134" s="339">
        <v>311</v>
      </c>
      <c r="D134" s="339">
        <v>275</v>
      </c>
      <c r="E134" s="339">
        <v>2</v>
      </c>
      <c r="F134" s="339">
        <v>4</v>
      </c>
      <c r="G134" s="339">
        <v>0</v>
      </c>
      <c r="H134" s="339">
        <v>0</v>
      </c>
      <c r="I134" s="339">
        <v>1</v>
      </c>
      <c r="J134" s="339">
        <v>0</v>
      </c>
      <c r="K134" s="339">
        <v>593</v>
      </c>
      <c r="L134" s="339">
        <v>0</v>
      </c>
      <c r="M134" s="339">
        <v>6</v>
      </c>
      <c r="N134">
        <v>599</v>
      </c>
      <c r="O134">
        <v>0</v>
      </c>
      <c r="P134">
        <f t="shared" si="1"/>
        <v>599</v>
      </c>
    </row>
    <row r="135" spans="1:16">
      <c r="A135">
        <v>129</v>
      </c>
      <c r="C135" s="339">
        <v>365</v>
      </c>
      <c r="D135" s="339">
        <v>179</v>
      </c>
      <c r="E135" s="339">
        <v>2</v>
      </c>
      <c r="F135" s="339">
        <v>2</v>
      </c>
      <c r="G135" s="339">
        <v>0</v>
      </c>
      <c r="H135" s="339">
        <v>1</v>
      </c>
      <c r="I135" s="339">
        <v>0</v>
      </c>
      <c r="J135" s="339">
        <v>0</v>
      </c>
      <c r="K135" s="339">
        <v>549</v>
      </c>
      <c r="L135" s="339">
        <v>0</v>
      </c>
      <c r="M135" s="339">
        <v>5</v>
      </c>
      <c r="N135">
        <v>534</v>
      </c>
      <c r="O135">
        <v>0</v>
      </c>
      <c r="P135">
        <f t="shared" ref="P135:P198" si="2">C135+D135+E135+F135+G135+H135+I135+J135+M135</f>
        <v>554</v>
      </c>
    </row>
    <row r="136" spans="1:16">
      <c r="A136">
        <v>130</v>
      </c>
      <c r="C136" s="339">
        <v>357</v>
      </c>
      <c r="D136" s="339">
        <v>111</v>
      </c>
      <c r="E136" s="339">
        <v>4</v>
      </c>
      <c r="F136" s="339">
        <v>6</v>
      </c>
      <c r="G136" s="339">
        <v>0</v>
      </c>
      <c r="H136" s="339">
        <v>1</v>
      </c>
      <c r="I136" s="339">
        <v>0</v>
      </c>
      <c r="J136" s="339">
        <v>0</v>
      </c>
      <c r="K136" s="339">
        <v>479</v>
      </c>
      <c r="L136" s="339">
        <v>0</v>
      </c>
      <c r="M136" s="339">
        <v>0</v>
      </c>
      <c r="N136">
        <v>479</v>
      </c>
      <c r="O136">
        <v>0</v>
      </c>
      <c r="P136">
        <f t="shared" si="2"/>
        <v>479</v>
      </c>
    </row>
    <row r="137" spans="1:16">
      <c r="A137">
        <v>131</v>
      </c>
      <c r="C137" s="339">
        <v>206</v>
      </c>
      <c r="D137" s="339">
        <v>273</v>
      </c>
      <c r="E137" s="339">
        <v>1</v>
      </c>
      <c r="F137" s="339">
        <v>2</v>
      </c>
      <c r="G137" s="339">
        <v>0</v>
      </c>
      <c r="H137" s="339">
        <v>1</v>
      </c>
      <c r="I137" s="339">
        <v>0</v>
      </c>
      <c r="J137" s="339">
        <v>0</v>
      </c>
      <c r="K137" s="339">
        <v>483</v>
      </c>
      <c r="L137" s="339">
        <v>0</v>
      </c>
      <c r="M137" s="339">
        <v>2</v>
      </c>
      <c r="N137">
        <v>485</v>
      </c>
      <c r="O137">
        <v>0</v>
      </c>
      <c r="P137">
        <f t="shared" si="2"/>
        <v>485</v>
      </c>
    </row>
    <row r="138" spans="1:16">
      <c r="A138">
        <v>132</v>
      </c>
      <c r="C138" s="339">
        <v>447</v>
      </c>
      <c r="D138" s="339">
        <v>315</v>
      </c>
      <c r="E138" s="339">
        <v>2</v>
      </c>
      <c r="F138" s="339">
        <v>3</v>
      </c>
      <c r="G138" s="339">
        <v>0</v>
      </c>
      <c r="H138" s="339">
        <v>1</v>
      </c>
      <c r="I138" s="339">
        <v>0</v>
      </c>
      <c r="J138" s="339">
        <v>1</v>
      </c>
      <c r="K138" s="339">
        <v>769</v>
      </c>
      <c r="L138" s="339">
        <v>0</v>
      </c>
      <c r="M138" s="339">
        <v>5</v>
      </c>
      <c r="N138">
        <v>774</v>
      </c>
      <c r="O138">
        <v>0</v>
      </c>
      <c r="P138">
        <f t="shared" si="2"/>
        <v>774</v>
      </c>
    </row>
    <row r="139" spans="1:16">
      <c r="A139">
        <v>133</v>
      </c>
      <c r="C139" s="339">
        <v>302</v>
      </c>
      <c r="D139" s="339">
        <v>96</v>
      </c>
      <c r="E139" s="339">
        <v>0</v>
      </c>
      <c r="F139" s="339">
        <v>8</v>
      </c>
      <c r="G139" s="339">
        <v>2</v>
      </c>
      <c r="H139" s="339">
        <v>0</v>
      </c>
      <c r="I139" s="339">
        <v>0</v>
      </c>
      <c r="J139" s="339">
        <v>0</v>
      </c>
      <c r="K139" s="339">
        <v>408</v>
      </c>
      <c r="L139" s="339">
        <v>0</v>
      </c>
      <c r="M139" s="339">
        <v>3</v>
      </c>
      <c r="N139">
        <v>411</v>
      </c>
      <c r="O139">
        <v>0</v>
      </c>
      <c r="P139">
        <f t="shared" si="2"/>
        <v>411</v>
      </c>
    </row>
    <row r="140" spans="1:16">
      <c r="A140">
        <v>134</v>
      </c>
      <c r="C140" s="339">
        <v>329</v>
      </c>
      <c r="D140" s="339">
        <v>190</v>
      </c>
      <c r="E140" s="339">
        <v>0</v>
      </c>
      <c r="F140" s="339">
        <v>3</v>
      </c>
      <c r="G140" s="339">
        <v>0</v>
      </c>
      <c r="H140" s="339">
        <v>2</v>
      </c>
      <c r="I140" s="339">
        <v>0</v>
      </c>
      <c r="J140" s="339">
        <v>0</v>
      </c>
      <c r="K140" s="339">
        <v>524</v>
      </c>
      <c r="L140" s="339">
        <v>0</v>
      </c>
      <c r="M140" s="339">
        <v>4</v>
      </c>
      <c r="N140">
        <v>528</v>
      </c>
      <c r="O140">
        <v>0</v>
      </c>
      <c r="P140">
        <f t="shared" si="2"/>
        <v>528</v>
      </c>
    </row>
    <row r="141" spans="1:16">
      <c r="A141">
        <v>135</v>
      </c>
      <c r="C141" s="339">
        <v>365</v>
      </c>
      <c r="D141" s="339">
        <v>327</v>
      </c>
      <c r="E141" s="339">
        <v>1</v>
      </c>
      <c r="F141" s="339">
        <v>2</v>
      </c>
      <c r="G141" s="339">
        <v>0</v>
      </c>
      <c r="H141" s="339">
        <v>1</v>
      </c>
      <c r="I141" s="339">
        <v>0</v>
      </c>
      <c r="J141" s="339">
        <v>0</v>
      </c>
      <c r="K141" s="339">
        <v>696</v>
      </c>
      <c r="L141" s="339">
        <v>0</v>
      </c>
      <c r="M141" s="339">
        <v>4</v>
      </c>
      <c r="N141">
        <v>700</v>
      </c>
      <c r="O141">
        <v>0</v>
      </c>
      <c r="P141">
        <f t="shared" si="2"/>
        <v>700</v>
      </c>
    </row>
    <row r="142" spans="1:16">
      <c r="A142">
        <v>136</v>
      </c>
      <c r="C142" s="339">
        <v>383</v>
      </c>
      <c r="D142" s="339">
        <v>262</v>
      </c>
      <c r="E142" s="339">
        <v>0</v>
      </c>
      <c r="F142" s="339">
        <v>5</v>
      </c>
      <c r="G142" s="339">
        <v>0</v>
      </c>
      <c r="H142" s="339">
        <v>0</v>
      </c>
      <c r="I142" s="339">
        <v>0</v>
      </c>
      <c r="J142" s="339">
        <v>1</v>
      </c>
      <c r="K142" s="339">
        <v>651</v>
      </c>
      <c r="L142" s="339">
        <v>0</v>
      </c>
      <c r="M142" s="339">
        <v>4</v>
      </c>
      <c r="N142">
        <v>665</v>
      </c>
      <c r="O142">
        <v>0</v>
      </c>
      <c r="P142">
        <f t="shared" si="2"/>
        <v>655</v>
      </c>
    </row>
    <row r="143" spans="1:16">
      <c r="A143">
        <v>137</v>
      </c>
      <c r="C143" s="339">
        <v>154</v>
      </c>
      <c r="D143" s="339">
        <v>571</v>
      </c>
      <c r="E143" s="339">
        <v>1</v>
      </c>
      <c r="F143" s="339">
        <v>0</v>
      </c>
      <c r="G143" s="339">
        <v>0</v>
      </c>
      <c r="H143" s="339">
        <v>2</v>
      </c>
      <c r="I143" s="339">
        <v>1</v>
      </c>
      <c r="J143" s="339">
        <v>1</v>
      </c>
      <c r="K143" s="339">
        <v>730</v>
      </c>
      <c r="L143" s="339">
        <v>0</v>
      </c>
      <c r="M143" s="339">
        <v>8</v>
      </c>
      <c r="N143">
        <v>738</v>
      </c>
      <c r="O143">
        <v>0</v>
      </c>
      <c r="P143">
        <f t="shared" si="2"/>
        <v>738</v>
      </c>
    </row>
    <row r="144" spans="1:16">
      <c r="A144">
        <v>138</v>
      </c>
      <c r="C144" s="339">
        <v>243</v>
      </c>
      <c r="D144" s="339">
        <v>404</v>
      </c>
      <c r="E144" s="339">
        <v>2</v>
      </c>
      <c r="F144" s="339">
        <v>4</v>
      </c>
      <c r="G144" s="339">
        <v>0</v>
      </c>
      <c r="H144" s="339">
        <v>0</v>
      </c>
      <c r="I144" s="339">
        <v>2</v>
      </c>
      <c r="J144" s="339">
        <v>1</v>
      </c>
      <c r="K144" s="339">
        <v>656</v>
      </c>
      <c r="L144" s="339">
        <v>0</v>
      </c>
      <c r="M144" s="339">
        <v>3</v>
      </c>
      <c r="N144">
        <v>659</v>
      </c>
      <c r="O144">
        <v>0</v>
      </c>
      <c r="P144">
        <f t="shared" si="2"/>
        <v>659</v>
      </c>
    </row>
    <row r="145" spans="1:16">
      <c r="A145">
        <v>139</v>
      </c>
      <c r="C145" s="339">
        <v>285</v>
      </c>
      <c r="D145" s="339">
        <v>85</v>
      </c>
      <c r="E145" s="339">
        <v>1</v>
      </c>
      <c r="F145" s="339">
        <v>5</v>
      </c>
      <c r="G145" s="339">
        <v>0</v>
      </c>
      <c r="H145" s="339">
        <v>0</v>
      </c>
      <c r="I145" s="339">
        <v>0</v>
      </c>
      <c r="J145" s="339">
        <v>0</v>
      </c>
      <c r="K145" s="339">
        <v>376</v>
      </c>
      <c r="L145" s="339">
        <v>0</v>
      </c>
      <c r="M145" s="339">
        <v>0</v>
      </c>
      <c r="N145">
        <v>376</v>
      </c>
      <c r="O145">
        <v>0</v>
      </c>
      <c r="P145">
        <f t="shared" si="2"/>
        <v>376</v>
      </c>
    </row>
    <row r="146" spans="1:16">
      <c r="A146">
        <v>140</v>
      </c>
      <c r="C146" s="339">
        <v>311</v>
      </c>
      <c r="D146" s="339">
        <v>341</v>
      </c>
      <c r="E146" s="339">
        <v>0</v>
      </c>
      <c r="F146" s="339">
        <v>5</v>
      </c>
      <c r="G146" s="339">
        <v>0</v>
      </c>
      <c r="H146" s="339">
        <v>0</v>
      </c>
      <c r="I146" s="339">
        <v>0</v>
      </c>
      <c r="J146" s="339">
        <v>0</v>
      </c>
      <c r="K146" s="339">
        <v>657</v>
      </c>
      <c r="L146" s="339">
        <v>0</v>
      </c>
      <c r="M146" s="339">
        <v>6</v>
      </c>
      <c r="N146">
        <v>663</v>
      </c>
      <c r="O146">
        <v>0</v>
      </c>
      <c r="P146">
        <f t="shared" si="2"/>
        <v>663</v>
      </c>
    </row>
    <row r="147" spans="1:16">
      <c r="A147">
        <v>141</v>
      </c>
      <c r="C147" s="339">
        <v>68</v>
      </c>
      <c r="D147" s="339">
        <v>252</v>
      </c>
      <c r="E147" s="339">
        <v>1</v>
      </c>
      <c r="F147" s="339">
        <v>1</v>
      </c>
      <c r="G147" s="339">
        <v>0</v>
      </c>
      <c r="H147" s="339">
        <v>0</v>
      </c>
      <c r="I147" s="339">
        <v>0</v>
      </c>
      <c r="J147" s="339">
        <v>0</v>
      </c>
      <c r="K147" s="339">
        <v>322</v>
      </c>
      <c r="L147" s="339">
        <v>0</v>
      </c>
      <c r="M147" s="339">
        <v>2</v>
      </c>
      <c r="N147">
        <v>324</v>
      </c>
      <c r="O147">
        <v>0</v>
      </c>
      <c r="P147">
        <f t="shared" si="2"/>
        <v>324</v>
      </c>
    </row>
    <row r="148" spans="1:16">
      <c r="A148">
        <v>142</v>
      </c>
      <c r="C148" s="339">
        <v>455</v>
      </c>
      <c r="D148" s="339">
        <v>142</v>
      </c>
      <c r="E148" s="339">
        <v>1</v>
      </c>
      <c r="F148" s="339">
        <v>2</v>
      </c>
      <c r="G148" s="339">
        <v>0</v>
      </c>
      <c r="H148" s="339">
        <v>0</v>
      </c>
      <c r="I148" s="339">
        <v>0</v>
      </c>
      <c r="J148" s="339">
        <v>0</v>
      </c>
      <c r="K148" s="339">
        <v>600</v>
      </c>
      <c r="L148" s="339">
        <v>0</v>
      </c>
      <c r="M148" s="339">
        <v>1</v>
      </c>
      <c r="N148">
        <v>601</v>
      </c>
      <c r="O148">
        <v>0</v>
      </c>
      <c r="P148">
        <f t="shared" si="2"/>
        <v>601</v>
      </c>
    </row>
    <row r="149" spans="1:16">
      <c r="A149">
        <v>143</v>
      </c>
      <c r="C149" s="339">
        <v>103</v>
      </c>
      <c r="D149" s="339">
        <v>95</v>
      </c>
      <c r="E149" s="339">
        <v>1</v>
      </c>
      <c r="F149" s="339">
        <v>2</v>
      </c>
      <c r="G149" s="339">
        <v>0</v>
      </c>
      <c r="H149" s="339">
        <v>0</v>
      </c>
      <c r="I149" s="339">
        <v>1</v>
      </c>
      <c r="J149" s="339">
        <v>0</v>
      </c>
      <c r="K149" s="339">
        <v>202</v>
      </c>
      <c r="L149" s="339">
        <v>0</v>
      </c>
      <c r="M149" s="339">
        <v>2</v>
      </c>
      <c r="N149">
        <v>204</v>
      </c>
      <c r="O149">
        <v>0</v>
      </c>
      <c r="P149">
        <f t="shared" si="2"/>
        <v>204</v>
      </c>
    </row>
    <row r="150" spans="1:16">
      <c r="A150">
        <v>144</v>
      </c>
      <c r="C150" s="339">
        <v>364</v>
      </c>
      <c r="D150" s="339">
        <v>481</v>
      </c>
      <c r="E150" s="339">
        <v>3</v>
      </c>
      <c r="F150" s="339">
        <v>4</v>
      </c>
      <c r="G150" s="339">
        <v>0</v>
      </c>
      <c r="H150" s="339">
        <v>0</v>
      </c>
      <c r="I150" s="339">
        <v>0</v>
      </c>
      <c r="J150" s="339">
        <v>1</v>
      </c>
      <c r="K150" s="339">
        <v>853</v>
      </c>
      <c r="L150" s="339">
        <v>0</v>
      </c>
      <c r="M150" s="339">
        <v>4</v>
      </c>
      <c r="N150">
        <v>857</v>
      </c>
      <c r="O150">
        <v>0</v>
      </c>
      <c r="P150">
        <f t="shared" si="2"/>
        <v>857</v>
      </c>
    </row>
    <row r="151" spans="1:16">
      <c r="A151">
        <v>145</v>
      </c>
      <c r="C151" s="339">
        <v>342</v>
      </c>
      <c r="D151" s="339">
        <v>273</v>
      </c>
      <c r="E151" s="339">
        <v>3</v>
      </c>
      <c r="F151" s="339">
        <v>0</v>
      </c>
      <c r="G151" s="339">
        <v>0</v>
      </c>
      <c r="H151" s="339">
        <v>0</v>
      </c>
      <c r="I151" s="339">
        <v>1</v>
      </c>
      <c r="J151" s="339">
        <v>0</v>
      </c>
      <c r="K151" s="339">
        <v>619</v>
      </c>
      <c r="L151" s="339">
        <v>0</v>
      </c>
      <c r="M151" s="339">
        <v>0</v>
      </c>
      <c r="N151">
        <v>619</v>
      </c>
      <c r="O151">
        <v>0</v>
      </c>
      <c r="P151">
        <f t="shared" si="2"/>
        <v>619</v>
      </c>
    </row>
    <row r="152" spans="1:16">
      <c r="A152">
        <v>146</v>
      </c>
      <c r="C152" s="339">
        <v>377</v>
      </c>
      <c r="D152" s="339">
        <v>374</v>
      </c>
      <c r="E152" s="339">
        <v>3</v>
      </c>
      <c r="F152" s="339">
        <v>2</v>
      </c>
      <c r="G152" s="339">
        <v>0</v>
      </c>
      <c r="H152" s="339">
        <v>1</v>
      </c>
      <c r="I152" s="339">
        <v>2</v>
      </c>
      <c r="J152" s="339">
        <v>0</v>
      </c>
      <c r="K152" s="339">
        <v>759</v>
      </c>
      <c r="L152" s="339">
        <v>0</v>
      </c>
      <c r="M152" s="339">
        <v>6</v>
      </c>
      <c r="N152">
        <v>765</v>
      </c>
      <c r="O152">
        <v>0</v>
      </c>
      <c r="P152">
        <f t="shared" si="2"/>
        <v>765</v>
      </c>
    </row>
    <row r="153" spans="1:16">
      <c r="A153">
        <v>147</v>
      </c>
      <c r="C153" s="339">
        <v>449</v>
      </c>
      <c r="D153" s="339">
        <v>196</v>
      </c>
      <c r="E153" s="339">
        <v>2</v>
      </c>
      <c r="F153" s="339">
        <v>0</v>
      </c>
      <c r="G153" s="339">
        <v>1</v>
      </c>
      <c r="H153" s="339">
        <v>0</v>
      </c>
      <c r="I153" s="339">
        <v>1</v>
      </c>
      <c r="J153" s="339">
        <v>0</v>
      </c>
      <c r="K153" s="339">
        <v>649</v>
      </c>
      <c r="L153" s="339">
        <v>0</v>
      </c>
      <c r="M153" s="339">
        <v>4</v>
      </c>
      <c r="N153">
        <v>653</v>
      </c>
      <c r="O153">
        <v>0</v>
      </c>
      <c r="P153">
        <f t="shared" si="2"/>
        <v>653</v>
      </c>
    </row>
    <row r="154" spans="1:16">
      <c r="A154">
        <v>148</v>
      </c>
      <c r="C154" s="339">
        <v>637</v>
      </c>
      <c r="D154" s="339">
        <v>128</v>
      </c>
      <c r="E154" s="339">
        <v>4</v>
      </c>
      <c r="F154" s="339">
        <v>4</v>
      </c>
      <c r="G154" s="339">
        <v>0</v>
      </c>
      <c r="H154" s="339">
        <v>0</v>
      </c>
      <c r="I154" s="339">
        <v>0</v>
      </c>
      <c r="J154" s="339">
        <v>0</v>
      </c>
      <c r="K154" s="339">
        <v>773</v>
      </c>
      <c r="L154" s="339">
        <v>0</v>
      </c>
      <c r="M154" s="339">
        <v>2</v>
      </c>
      <c r="N154">
        <v>775</v>
      </c>
      <c r="O154">
        <v>0</v>
      </c>
      <c r="P154">
        <f t="shared" si="2"/>
        <v>775</v>
      </c>
    </row>
    <row r="155" spans="1:16">
      <c r="A155">
        <v>149</v>
      </c>
      <c r="C155" s="339">
        <v>308</v>
      </c>
      <c r="D155" s="339">
        <v>310</v>
      </c>
      <c r="E155" s="339">
        <v>3</v>
      </c>
      <c r="F155" s="339">
        <v>0</v>
      </c>
      <c r="G155" s="339">
        <v>0</v>
      </c>
      <c r="H155" s="339">
        <v>0</v>
      </c>
      <c r="I155" s="339">
        <v>1</v>
      </c>
      <c r="J155" s="339">
        <v>0</v>
      </c>
      <c r="K155" s="339">
        <v>622</v>
      </c>
      <c r="L155" s="339">
        <v>0</v>
      </c>
      <c r="M155" s="339">
        <v>3</v>
      </c>
      <c r="N155">
        <v>625</v>
      </c>
      <c r="O155">
        <v>0</v>
      </c>
      <c r="P155">
        <f t="shared" si="2"/>
        <v>625</v>
      </c>
    </row>
    <row r="156" spans="1:16">
      <c r="A156">
        <v>150</v>
      </c>
      <c r="C156" s="339">
        <v>171</v>
      </c>
      <c r="D156" s="339">
        <v>447</v>
      </c>
      <c r="E156" s="339">
        <v>1</v>
      </c>
      <c r="F156" s="339">
        <v>0</v>
      </c>
      <c r="G156" s="339">
        <v>0</v>
      </c>
      <c r="H156" s="339">
        <v>0</v>
      </c>
      <c r="I156" s="339">
        <v>3</v>
      </c>
      <c r="J156" s="339">
        <v>0</v>
      </c>
      <c r="K156" s="339">
        <v>622</v>
      </c>
      <c r="L156" s="339">
        <v>0</v>
      </c>
      <c r="M156" s="339">
        <v>8</v>
      </c>
      <c r="N156">
        <v>630</v>
      </c>
      <c r="O156">
        <v>0</v>
      </c>
      <c r="P156">
        <f t="shared" si="2"/>
        <v>630</v>
      </c>
    </row>
    <row r="157" spans="1:16">
      <c r="A157">
        <v>151</v>
      </c>
      <c r="C157" s="339">
        <v>149</v>
      </c>
      <c r="D157" s="339">
        <v>438</v>
      </c>
      <c r="E157" s="339">
        <v>2</v>
      </c>
      <c r="F157" s="339">
        <v>2</v>
      </c>
      <c r="G157" s="339">
        <v>0</v>
      </c>
      <c r="H157" s="339">
        <v>1</v>
      </c>
      <c r="I157" s="339">
        <v>0</v>
      </c>
      <c r="J157" s="339">
        <v>0</v>
      </c>
      <c r="K157" s="339">
        <v>592</v>
      </c>
      <c r="L157" s="339">
        <v>0</v>
      </c>
      <c r="M157" s="339">
        <v>3</v>
      </c>
      <c r="N157">
        <v>595</v>
      </c>
      <c r="O157">
        <v>0</v>
      </c>
      <c r="P157">
        <f t="shared" si="2"/>
        <v>595</v>
      </c>
    </row>
    <row r="158" spans="1:16">
      <c r="A158">
        <v>152</v>
      </c>
      <c r="C158" s="339">
        <v>182</v>
      </c>
      <c r="D158" s="339">
        <v>268</v>
      </c>
      <c r="E158" s="339">
        <v>0</v>
      </c>
      <c r="F158" s="339">
        <v>0</v>
      </c>
      <c r="G158" s="339">
        <v>0</v>
      </c>
      <c r="H158" s="339">
        <v>1</v>
      </c>
      <c r="I158" s="339">
        <v>0</v>
      </c>
      <c r="J158" s="339">
        <v>0</v>
      </c>
      <c r="K158" s="339">
        <v>451</v>
      </c>
      <c r="L158" s="339">
        <v>0</v>
      </c>
      <c r="M158" s="339">
        <v>2</v>
      </c>
      <c r="N158">
        <v>453</v>
      </c>
      <c r="O158">
        <v>0</v>
      </c>
      <c r="P158">
        <f t="shared" si="2"/>
        <v>453</v>
      </c>
    </row>
    <row r="159" spans="1:16">
      <c r="A159">
        <v>153</v>
      </c>
      <c r="C159" s="339">
        <v>189</v>
      </c>
      <c r="D159" s="339">
        <v>397</v>
      </c>
      <c r="E159" s="339">
        <v>1</v>
      </c>
      <c r="F159" s="339">
        <v>3</v>
      </c>
      <c r="G159" s="339">
        <v>0</v>
      </c>
      <c r="H159" s="339">
        <v>0</v>
      </c>
      <c r="I159" s="339">
        <v>0</v>
      </c>
      <c r="J159" s="339">
        <v>1</v>
      </c>
      <c r="K159" s="339">
        <v>591</v>
      </c>
      <c r="L159" s="339">
        <v>0</v>
      </c>
      <c r="M159" s="339">
        <v>4</v>
      </c>
      <c r="N159">
        <v>595</v>
      </c>
      <c r="O159">
        <v>0</v>
      </c>
      <c r="P159">
        <f t="shared" si="2"/>
        <v>595</v>
      </c>
    </row>
    <row r="160" spans="1:16">
      <c r="A160">
        <v>154</v>
      </c>
      <c r="C160" s="339">
        <v>312</v>
      </c>
      <c r="D160" s="339">
        <v>208</v>
      </c>
      <c r="E160" s="339">
        <v>0</v>
      </c>
      <c r="F160" s="339">
        <v>5</v>
      </c>
      <c r="G160" s="339">
        <v>0</v>
      </c>
      <c r="H160" s="339">
        <v>0</v>
      </c>
      <c r="I160" s="339">
        <v>0</v>
      </c>
      <c r="J160" s="339">
        <v>0</v>
      </c>
      <c r="K160" s="339">
        <v>525</v>
      </c>
      <c r="L160" s="339">
        <v>0</v>
      </c>
      <c r="M160" s="339">
        <v>1</v>
      </c>
      <c r="N160">
        <v>526</v>
      </c>
      <c r="O160">
        <v>0</v>
      </c>
      <c r="P160">
        <f t="shared" si="2"/>
        <v>526</v>
      </c>
    </row>
    <row r="161" spans="1:16">
      <c r="A161">
        <v>155</v>
      </c>
      <c r="C161" s="339">
        <v>177</v>
      </c>
      <c r="D161" s="339">
        <v>186</v>
      </c>
      <c r="E161" s="339">
        <v>2</v>
      </c>
      <c r="F161" s="339">
        <v>2</v>
      </c>
      <c r="G161" s="339">
        <v>2</v>
      </c>
      <c r="H161" s="339">
        <v>1</v>
      </c>
      <c r="I161" s="339">
        <v>7</v>
      </c>
      <c r="J161" s="339">
        <v>5</v>
      </c>
      <c r="K161" s="339">
        <v>382</v>
      </c>
      <c r="L161" s="339">
        <v>0</v>
      </c>
      <c r="M161" s="339">
        <v>10</v>
      </c>
      <c r="N161">
        <v>392</v>
      </c>
      <c r="O161">
        <v>0</v>
      </c>
      <c r="P161">
        <f t="shared" si="2"/>
        <v>392</v>
      </c>
    </row>
    <row r="162" spans="1:16">
      <c r="A162">
        <v>156</v>
      </c>
      <c r="C162" s="339">
        <v>315</v>
      </c>
      <c r="D162" s="339">
        <v>214</v>
      </c>
      <c r="E162" s="339">
        <v>1</v>
      </c>
      <c r="F162" s="339">
        <v>3</v>
      </c>
      <c r="G162" s="339">
        <v>0</v>
      </c>
      <c r="H162" s="339">
        <v>0</v>
      </c>
      <c r="I162" s="339">
        <v>1</v>
      </c>
      <c r="J162" s="339">
        <v>0</v>
      </c>
      <c r="K162" s="339">
        <v>534</v>
      </c>
      <c r="L162" s="339">
        <v>0</v>
      </c>
      <c r="M162" s="339">
        <v>4</v>
      </c>
      <c r="N162">
        <v>538</v>
      </c>
      <c r="O162">
        <v>0</v>
      </c>
      <c r="P162">
        <f t="shared" si="2"/>
        <v>538</v>
      </c>
    </row>
    <row r="163" spans="1:16">
      <c r="A163">
        <v>157</v>
      </c>
      <c r="C163" s="339">
        <v>259</v>
      </c>
      <c r="D163" s="339">
        <v>440</v>
      </c>
      <c r="E163" s="339">
        <v>3</v>
      </c>
      <c r="F163" s="339">
        <v>2</v>
      </c>
      <c r="G163" s="339">
        <v>1</v>
      </c>
      <c r="H163" s="339">
        <v>2</v>
      </c>
      <c r="I163" s="339">
        <v>4</v>
      </c>
      <c r="J163" s="339">
        <v>1</v>
      </c>
      <c r="K163" s="339">
        <v>712</v>
      </c>
      <c r="L163" s="339">
        <v>0</v>
      </c>
      <c r="M163" s="339">
        <v>1</v>
      </c>
      <c r="N163">
        <v>713</v>
      </c>
      <c r="O163">
        <v>0</v>
      </c>
      <c r="P163">
        <f t="shared" si="2"/>
        <v>713</v>
      </c>
    </row>
    <row r="164" spans="1:16">
      <c r="A164">
        <v>158</v>
      </c>
      <c r="C164" s="339">
        <v>329</v>
      </c>
      <c r="D164" s="339">
        <v>48</v>
      </c>
      <c r="E164" s="339">
        <v>1</v>
      </c>
      <c r="F164" s="339">
        <v>1</v>
      </c>
      <c r="G164" s="339">
        <v>0</v>
      </c>
      <c r="H164" s="339">
        <v>0</v>
      </c>
      <c r="I164" s="339">
        <v>0</v>
      </c>
      <c r="J164" s="339">
        <v>0</v>
      </c>
      <c r="K164" s="339">
        <v>379</v>
      </c>
      <c r="L164" s="339">
        <v>0</v>
      </c>
      <c r="M164" s="339">
        <v>5</v>
      </c>
      <c r="N164">
        <v>384</v>
      </c>
      <c r="O164">
        <v>0</v>
      </c>
      <c r="P164">
        <f t="shared" si="2"/>
        <v>384</v>
      </c>
    </row>
    <row r="165" spans="1:16">
      <c r="A165">
        <v>159</v>
      </c>
      <c r="C165" s="339">
        <v>478</v>
      </c>
      <c r="D165" s="339">
        <v>41</v>
      </c>
      <c r="E165" s="339">
        <v>0</v>
      </c>
      <c r="F165" s="339">
        <v>1</v>
      </c>
      <c r="G165" s="339">
        <v>1</v>
      </c>
      <c r="H165" s="339">
        <v>0</v>
      </c>
      <c r="I165" s="339">
        <v>0</v>
      </c>
      <c r="J165" s="339">
        <v>0</v>
      </c>
      <c r="K165" s="339">
        <v>521</v>
      </c>
      <c r="L165" s="339">
        <v>0</v>
      </c>
      <c r="M165" s="339">
        <v>3</v>
      </c>
      <c r="N165">
        <v>524</v>
      </c>
      <c r="O165">
        <v>0</v>
      </c>
      <c r="P165">
        <f t="shared" si="2"/>
        <v>524</v>
      </c>
    </row>
    <row r="166" spans="1:16">
      <c r="A166">
        <v>160</v>
      </c>
      <c r="C166" s="339">
        <v>436</v>
      </c>
      <c r="D166" s="339">
        <v>68</v>
      </c>
      <c r="E166" s="339">
        <v>0</v>
      </c>
      <c r="F166" s="339">
        <v>2</v>
      </c>
      <c r="G166" s="339">
        <v>0</v>
      </c>
      <c r="H166" s="339">
        <v>0</v>
      </c>
      <c r="I166" s="339">
        <v>0</v>
      </c>
      <c r="J166" s="339">
        <v>0</v>
      </c>
      <c r="K166" s="339">
        <v>506</v>
      </c>
      <c r="L166" s="339">
        <v>0</v>
      </c>
      <c r="M166" s="339">
        <v>0</v>
      </c>
      <c r="N166">
        <v>506</v>
      </c>
      <c r="O166">
        <v>0</v>
      </c>
      <c r="P166">
        <f t="shared" si="2"/>
        <v>506</v>
      </c>
    </row>
    <row r="167" spans="1:16">
      <c r="A167">
        <v>161</v>
      </c>
      <c r="C167" s="339">
        <v>413</v>
      </c>
      <c r="D167" s="339">
        <v>47</v>
      </c>
      <c r="E167" s="339">
        <v>3</v>
      </c>
      <c r="F167" s="339">
        <v>3</v>
      </c>
      <c r="G167" s="339">
        <v>0</v>
      </c>
      <c r="H167" s="339">
        <v>3</v>
      </c>
      <c r="I167" s="339">
        <v>0</v>
      </c>
      <c r="J167" s="339">
        <v>0</v>
      </c>
      <c r="K167" s="339">
        <v>469</v>
      </c>
      <c r="L167" s="339">
        <v>0</v>
      </c>
      <c r="M167" s="339">
        <v>2</v>
      </c>
      <c r="N167">
        <v>471</v>
      </c>
      <c r="O167">
        <v>0</v>
      </c>
      <c r="P167">
        <f t="shared" si="2"/>
        <v>471</v>
      </c>
    </row>
    <row r="168" spans="1:16">
      <c r="A168">
        <v>162</v>
      </c>
      <c r="C168" s="339">
        <v>431</v>
      </c>
      <c r="D168" s="339">
        <v>118</v>
      </c>
      <c r="E168" s="339">
        <v>7</v>
      </c>
      <c r="F168" s="339">
        <v>1</v>
      </c>
      <c r="G168" s="339">
        <v>0</v>
      </c>
      <c r="H168" s="339">
        <v>0</v>
      </c>
      <c r="I168" s="339">
        <v>0</v>
      </c>
      <c r="J168" s="339">
        <v>0</v>
      </c>
      <c r="K168" s="339">
        <v>557</v>
      </c>
      <c r="L168" s="339">
        <v>0</v>
      </c>
      <c r="M168" s="339">
        <v>4</v>
      </c>
      <c r="N168">
        <v>561</v>
      </c>
      <c r="O168">
        <v>0</v>
      </c>
      <c r="P168">
        <f t="shared" si="2"/>
        <v>561</v>
      </c>
    </row>
    <row r="169" spans="1:16">
      <c r="A169">
        <v>163</v>
      </c>
      <c r="C169" s="339">
        <v>492</v>
      </c>
      <c r="D169" s="339">
        <v>151</v>
      </c>
      <c r="E169" s="339">
        <v>5</v>
      </c>
      <c r="F169" s="339">
        <v>5</v>
      </c>
      <c r="G169" s="339">
        <v>0</v>
      </c>
      <c r="H169" s="339">
        <v>0</v>
      </c>
      <c r="I169" s="339">
        <v>0</v>
      </c>
      <c r="J169" s="339">
        <v>0</v>
      </c>
      <c r="K169" s="339">
        <v>653</v>
      </c>
      <c r="L169" s="339">
        <v>0</v>
      </c>
      <c r="M169" s="339">
        <v>5</v>
      </c>
      <c r="N169">
        <v>658</v>
      </c>
      <c r="O169">
        <v>0</v>
      </c>
      <c r="P169">
        <f t="shared" si="2"/>
        <v>658</v>
      </c>
    </row>
    <row r="170" spans="1:16">
      <c r="A170">
        <v>164</v>
      </c>
      <c r="C170" s="339">
        <v>492</v>
      </c>
      <c r="D170" s="339">
        <v>251</v>
      </c>
      <c r="E170" s="339">
        <v>1</v>
      </c>
      <c r="F170" s="339">
        <v>4</v>
      </c>
      <c r="G170" s="339">
        <v>0</v>
      </c>
      <c r="H170" s="339">
        <v>1</v>
      </c>
      <c r="I170" s="339">
        <v>0</v>
      </c>
      <c r="J170" s="339">
        <v>2</v>
      </c>
      <c r="K170" s="339">
        <v>751</v>
      </c>
      <c r="L170" s="339">
        <v>0</v>
      </c>
      <c r="M170" s="339">
        <v>6</v>
      </c>
      <c r="N170">
        <v>757</v>
      </c>
      <c r="O170">
        <v>0</v>
      </c>
      <c r="P170">
        <f t="shared" si="2"/>
        <v>757</v>
      </c>
    </row>
    <row r="171" spans="1:16">
      <c r="A171">
        <v>165</v>
      </c>
      <c r="C171" s="339">
        <v>458</v>
      </c>
      <c r="D171" s="339">
        <v>208</v>
      </c>
      <c r="E171" s="339">
        <v>1</v>
      </c>
      <c r="F171" s="339">
        <v>5</v>
      </c>
      <c r="G171" s="339">
        <v>0</v>
      </c>
      <c r="H171" s="339">
        <v>0</v>
      </c>
      <c r="I171" s="339">
        <v>0</v>
      </c>
      <c r="J171" s="339">
        <v>1</v>
      </c>
      <c r="K171" s="339">
        <v>673</v>
      </c>
      <c r="L171" s="339">
        <v>0</v>
      </c>
      <c r="M171" s="339">
        <v>9</v>
      </c>
      <c r="N171">
        <v>682</v>
      </c>
      <c r="O171">
        <v>0</v>
      </c>
      <c r="P171">
        <f t="shared" si="2"/>
        <v>682</v>
      </c>
    </row>
    <row r="172" spans="1:16">
      <c r="A172">
        <v>166</v>
      </c>
      <c r="C172" s="339">
        <v>411</v>
      </c>
      <c r="D172" s="339">
        <v>178</v>
      </c>
      <c r="E172" s="339">
        <v>2</v>
      </c>
      <c r="F172" s="339">
        <v>2</v>
      </c>
      <c r="G172" s="339">
        <v>0</v>
      </c>
      <c r="H172" s="339">
        <v>1</v>
      </c>
      <c r="I172" s="339">
        <v>1</v>
      </c>
      <c r="J172" s="339">
        <v>0</v>
      </c>
      <c r="K172" s="339">
        <v>595</v>
      </c>
      <c r="L172" s="339">
        <v>0</v>
      </c>
      <c r="M172" s="339">
        <v>3</v>
      </c>
      <c r="N172">
        <v>598</v>
      </c>
      <c r="O172">
        <v>0</v>
      </c>
      <c r="P172">
        <f t="shared" si="2"/>
        <v>598</v>
      </c>
    </row>
    <row r="173" spans="1:16">
      <c r="A173">
        <v>167</v>
      </c>
      <c r="C173" s="339">
        <v>306</v>
      </c>
      <c r="D173" s="339">
        <v>99</v>
      </c>
      <c r="E173" s="339">
        <v>3</v>
      </c>
      <c r="F173" s="339">
        <v>0</v>
      </c>
      <c r="G173" s="339">
        <v>0</v>
      </c>
      <c r="H173" s="339">
        <v>0</v>
      </c>
      <c r="I173" s="339">
        <v>0</v>
      </c>
      <c r="J173" s="339">
        <v>0</v>
      </c>
      <c r="K173" s="339">
        <v>408</v>
      </c>
      <c r="L173" s="339">
        <v>0</v>
      </c>
      <c r="M173" s="339">
        <v>2</v>
      </c>
      <c r="N173">
        <v>410</v>
      </c>
      <c r="O173">
        <v>0</v>
      </c>
      <c r="P173">
        <f t="shared" si="2"/>
        <v>410</v>
      </c>
    </row>
    <row r="174" spans="1:16">
      <c r="A174">
        <v>168</v>
      </c>
      <c r="C174" s="339">
        <v>299</v>
      </c>
      <c r="D174" s="339">
        <v>179</v>
      </c>
      <c r="E174" s="339">
        <v>2</v>
      </c>
      <c r="F174" s="339">
        <v>1</v>
      </c>
      <c r="G174" s="339">
        <v>0</v>
      </c>
      <c r="H174" s="339">
        <v>4</v>
      </c>
      <c r="I174" s="339">
        <v>0</v>
      </c>
      <c r="J174" s="339">
        <v>0</v>
      </c>
      <c r="K174" s="339">
        <v>485</v>
      </c>
      <c r="L174" s="339">
        <v>0</v>
      </c>
      <c r="M174" s="339">
        <v>6</v>
      </c>
      <c r="N174">
        <v>491</v>
      </c>
      <c r="O174">
        <v>0</v>
      </c>
      <c r="P174">
        <f t="shared" si="2"/>
        <v>491</v>
      </c>
    </row>
    <row r="175" spans="1:16">
      <c r="A175">
        <v>169</v>
      </c>
      <c r="C175" s="339">
        <v>206</v>
      </c>
      <c r="D175" s="339">
        <v>211</v>
      </c>
      <c r="E175" s="339">
        <v>1</v>
      </c>
      <c r="F175" s="339">
        <v>5</v>
      </c>
      <c r="G175" s="339">
        <v>1</v>
      </c>
      <c r="H175" s="339">
        <v>3</v>
      </c>
      <c r="I175" s="339">
        <v>0</v>
      </c>
      <c r="J175" s="339">
        <v>0</v>
      </c>
      <c r="K175" s="339">
        <v>427</v>
      </c>
      <c r="L175" s="339">
        <v>0</v>
      </c>
      <c r="M175" s="339">
        <v>1</v>
      </c>
      <c r="N175">
        <v>428</v>
      </c>
      <c r="O175">
        <v>0</v>
      </c>
      <c r="P175">
        <f t="shared" si="2"/>
        <v>428</v>
      </c>
    </row>
    <row r="176" spans="1:16">
      <c r="A176">
        <v>170</v>
      </c>
      <c r="C176" s="339">
        <v>183</v>
      </c>
      <c r="D176" s="339">
        <v>290</v>
      </c>
      <c r="E176" s="339">
        <v>0</v>
      </c>
      <c r="F176" s="339">
        <v>1</v>
      </c>
      <c r="G176" s="339">
        <v>0</v>
      </c>
      <c r="H176" s="339">
        <v>1</v>
      </c>
      <c r="I176" s="339">
        <v>1</v>
      </c>
      <c r="J176" s="339">
        <v>0</v>
      </c>
      <c r="K176" s="339">
        <v>476</v>
      </c>
      <c r="L176" s="339">
        <v>0</v>
      </c>
      <c r="M176" s="339">
        <v>4</v>
      </c>
      <c r="N176">
        <v>480</v>
      </c>
      <c r="O176">
        <v>0</v>
      </c>
      <c r="P176">
        <f t="shared" si="2"/>
        <v>480</v>
      </c>
    </row>
    <row r="177" spans="1:16">
      <c r="A177">
        <v>171</v>
      </c>
      <c r="C177" s="339">
        <v>108</v>
      </c>
      <c r="D177" s="339">
        <v>232</v>
      </c>
      <c r="E177" s="339">
        <v>1</v>
      </c>
      <c r="F177" s="339">
        <v>0</v>
      </c>
      <c r="G177" s="339">
        <v>0</v>
      </c>
      <c r="H177" s="339">
        <v>3</v>
      </c>
      <c r="I177" s="339">
        <v>0</v>
      </c>
      <c r="J177" s="339">
        <v>1</v>
      </c>
      <c r="K177" s="339">
        <v>345</v>
      </c>
      <c r="L177" s="339">
        <v>0</v>
      </c>
      <c r="M177" s="339">
        <v>3</v>
      </c>
      <c r="N177">
        <v>348</v>
      </c>
      <c r="O177">
        <v>0</v>
      </c>
      <c r="P177">
        <f t="shared" si="2"/>
        <v>348</v>
      </c>
    </row>
    <row r="178" spans="1:16">
      <c r="A178">
        <v>172</v>
      </c>
      <c r="C178" s="339">
        <v>272</v>
      </c>
      <c r="D178" s="339">
        <v>254</v>
      </c>
      <c r="E178" s="339">
        <v>0</v>
      </c>
      <c r="F178" s="339">
        <v>9</v>
      </c>
      <c r="G178" s="339">
        <v>0</v>
      </c>
      <c r="H178" s="339">
        <v>1</v>
      </c>
      <c r="I178" s="339">
        <v>0</v>
      </c>
      <c r="J178" s="339">
        <v>1</v>
      </c>
      <c r="K178" s="339">
        <v>537</v>
      </c>
      <c r="L178" s="339">
        <v>0</v>
      </c>
      <c r="M178" s="339">
        <v>3</v>
      </c>
      <c r="N178">
        <v>540</v>
      </c>
      <c r="O178">
        <v>0</v>
      </c>
      <c r="P178">
        <f t="shared" si="2"/>
        <v>540</v>
      </c>
    </row>
    <row r="179" spans="1:16">
      <c r="A179">
        <v>173</v>
      </c>
      <c r="C179" s="339">
        <v>253</v>
      </c>
      <c r="D179" s="339">
        <v>153</v>
      </c>
      <c r="E179" s="339">
        <v>0</v>
      </c>
      <c r="F179" s="339">
        <v>2</v>
      </c>
      <c r="G179" s="339">
        <v>0</v>
      </c>
      <c r="H179" s="339">
        <v>0</v>
      </c>
      <c r="I179" s="339">
        <v>0</v>
      </c>
      <c r="J179" s="339">
        <v>1</v>
      </c>
      <c r="K179" s="339">
        <v>409</v>
      </c>
      <c r="L179" s="339">
        <v>0</v>
      </c>
      <c r="M179" s="339">
        <v>2</v>
      </c>
      <c r="N179">
        <v>411</v>
      </c>
      <c r="O179">
        <v>0</v>
      </c>
      <c r="P179">
        <f t="shared" si="2"/>
        <v>411</v>
      </c>
    </row>
    <row r="180" spans="1:16">
      <c r="A180">
        <v>174</v>
      </c>
      <c r="C180" s="339">
        <v>363</v>
      </c>
      <c r="D180" s="339">
        <v>500</v>
      </c>
      <c r="E180" s="339">
        <v>3</v>
      </c>
      <c r="F180" s="339">
        <v>2</v>
      </c>
      <c r="G180" s="339">
        <v>0</v>
      </c>
      <c r="H180" s="339">
        <v>2</v>
      </c>
      <c r="I180" s="339">
        <v>1</v>
      </c>
      <c r="J180" s="339">
        <v>0</v>
      </c>
      <c r="K180" s="339">
        <v>871</v>
      </c>
      <c r="L180" s="339">
        <v>0</v>
      </c>
      <c r="M180" s="339">
        <v>2</v>
      </c>
      <c r="N180">
        <v>873</v>
      </c>
      <c r="O180">
        <v>0</v>
      </c>
      <c r="P180">
        <f t="shared" si="2"/>
        <v>873</v>
      </c>
    </row>
    <row r="181" spans="1:16">
      <c r="A181">
        <v>175</v>
      </c>
      <c r="C181" s="339">
        <v>248</v>
      </c>
      <c r="D181" s="339">
        <v>447</v>
      </c>
      <c r="E181" s="339">
        <v>4</v>
      </c>
      <c r="F181" s="339">
        <v>3</v>
      </c>
      <c r="G181" s="339">
        <v>0</v>
      </c>
      <c r="H181" s="339">
        <v>0</v>
      </c>
      <c r="I181" s="339">
        <v>1</v>
      </c>
      <c r="J181" s="339">
        <v>0</v>
      </c>
      <c r="K181" s="339">
        <v>703</v>
      </c>
      <c r="L181" s="339">
        <v>0</v>
      </c>
      <c r="M181" s="339">
        <v>10</v>
      </c>
      <c r="N181">
        <v>713</v>
      </c>
      <c r="O181">
        <v>0</v>
      </c>
      <c r="P181">
        <f t="shared" si="2"/>
        <v>713</v>
      </c>
    </row>
    <row r="182" spans="1:16">
      <c r="A182">
        <v>176</v>
      </c>
      <c r="C182" s="339">
        <v>325</v>
      </c>
      <c r="D182" s="339">
        <v>624</v>
      </c>
      <c r="E182" s="339">
        <v>1</v>
      </c>
      <c r="F182" s="339">
        <v>4</v>
      </c>
      <c r="G182" s="339">
        <v>0</v>
      </c>
      <c r="H182" s="339">
        <v>0</v>
      </c>
      <c r="I182" s="339">
        <v>0</v>
      </c>
      <c r="J182" s="339">
        <v>1</v>
      </c>
      <c r="K182" s="339">
        <v>955</v>
      </c>
      <c r="L182" s="339">
        <v>0</v>
      </c>
      <c r="M182" s="339">
        <v>8</v>
      </c>
      <c r="N182">
        <v>963</v>
      </c>
      <c r="O182">
        <v>0</v>
      </c>
      <c r="P182">
        <f t="shared" si="2"/>
        <v>963</v>
      </c>
    </row>
    <row r="183" spans="1:16">
      <c r="A183">
        <v>177</v>
      </c>
      <c r="C183" s="339">
        <v>315</v>
      </c>
      <c r="D183" s="339">
        <v>245</v>
      </c>
      <c r="E183" s="339">
        <v>1</v>
      </c>
      <c r="F183" s="339">
        <v>1</v>
      </c>
      <c r="G183" s="339">
        <v>0</v>
      </c>
      <c r="H183" s="339">
        <v>1</v>
      </c>
      <c r="I183" s="339">
        <v>0</v>
      </c>
      <c r="J183" s="339">
        <v>0</v>
      </c>
      <c r="K183" s="339">
        <v>563</v>
      </c>
      <c r="L183" s="339">
        <v>0</v>
      </c>
      <c r="M183" s="339">
        <v>4</v>
      </c>
      <c r="N183">
        <v>567</v>
      </c>
      <c r="O183">
        <v>0</v>
      </c>
      <c r="P183">
        <f t="shared" si="2"/>
        <v>567</v>
      </c>
    </row>
    <row r="184" spans="1:16">
      <c r="A184">
        <v>178</v>
      </c>
      <c r="C184" s="339">
        <v>199</v>
      </c>
      <c r="D184" s="339">
        <v>534</v>
      </c>
      <c r="E184" s="339">
        <v>2</v>
      </c>
      <c r="F184" s="339">
        <v>5</v>
      </c>
      <c r="G184" s="339">
        <v>0</v>
      </c>
      <c r="H184" s="339">
        <v>1</v>
      </c>
      <c r="I184" s="339">
        <v>0</v>
      </c>
      <c r="J184" s="339">
        <v>0</v>
      </c>
      <c r="K184" s="339">
        <v>741</v>
      </c>
      <c r="L184" s="339">
        <v>0</v>
      </c>
      <c r="M184" s="339">
        <v>6</v>
      </c>
      <c r="N184">
        <v>747</v>
      </c>
      <c r="O184">
        <v>0</v>
      </c>
      <c r="P184">
        <f t="shared" si="2"/>
        <v>747</v>
      </c>
    </row>
    <row r="185" spans="1:16">
      <c r="A185">
        <v>179</v>
      </c>
      <c r="C185" s="339">
        <v>420</v>
      </c>
      <c r="D185" s="339">
        <v>296</v>
      </c>
      <c r="E185" s="339">
        <v>0</v>
      </c>
      <c r="F185" s="339">
        <v>2</v>
      </c>
      <c r="G185" s="339">
        <v>1</v>
      </c>
      <c r="H185" s="339">
        <v>1</v>
      </c>
      <c r="I185" s="339">
        <v>0</v>
      </c>
      <c r="J185" s="339">
        <v>1</v>
      </c>
      <c r="K185" s="339">
        <v>721</v>
      </c>
      <c r="L185" s="339">
        <v>0</v>
      </c>
      <c r="M185" s="339">
        <v>8</v>
      </c>
      <c r="N185">
        <v>729</v>
      </c>
      <c r="O185">
        <v>0</v>
      </c>
      <c r="P185">
        <f t="shared" si="2"/>
        <v>729</v>
      </c>
    </row>
    <row r="186" spans="1:16">
      <c r="A186">
        <v>180</v>
      </c>
      <c r="C186" s="339">
        <v>165</v>
      </c>
      <c r="D186" s="339">
        <v>348</v>
      </c>
      <c r="E186" s="339">
        <v>2</v>
      </c>
      <c r="F186" s="339">
        <v>0</v>
      </c>
      <c r="G186" s="339">
        <v>1</v>
      </c>
      <c r="H186" s="339">
        <v>2</v>
      </c>
      <c r="I186" s="339">
        <v>0</v>
      </c>
      <c r="J186" s="339">
        <v>1</v>
      </c>
      <c r="K186" s="339">
        <v>519</v>
      </c>
      <c r="L186" s="339">
        <v>0</v>
      </c>
      <c r="M186" s="339">
        <v>5</v>
      </c>
      <c r="N186">
        <v>524</v>
      </c>
      <c r="O186">
        <v>0</v>
      </c>
      <c r="P186">
        <f t="shared" si="2"/>
        <v>524</v>
      </c>
    </row>
    <row r="187" spans="1:16">
      <c r="A187">
        <v>181</v>
      </c>
      <c r="C187" s="339">
        <v>133</v>
      </c>
      <c r="D187" s="339">
        <v>418</v>
      </c>
      <c r="E187" s="339">
        <v>1</v>
      </c>
      <c r="F187" s="339">
        <v>2</v>
      </c>
      <c r="G187" s="339">
        <v>1</v>
      </c>
      <c r="H187" s="339">
        <v>1</v>
      </c>
      <c r="I187" s="339">
        <v>1</v>
      </c>
      <c r="J187" s="339">
        <v>1</v>
      </c>
      <c r="K187" s="339">
        <v>558</v>
      </c>
      <c r="L187" s="339">
        <v>0</v>
      </c>
      <c r="M187" s="339">
        <v>4</v>
      </c>
      <c r="N187">
        <v>562</v>
      </c>
      <c r="O187">
        <v>0</v>
      </c>
      <c r="P187">
        <f t="shared" si="2"/>
        <v>562</v>
      </c>
    </row>
    <row r="188" spans="1:16">
      <c r="A188">
        <v>182</v>
      </c>
      <c r="C188" s="339">
        <v>154</v>
      </c>
      <c r="D188" s="339">
        <v>377</v>
      </c>
      <c r="E188" s="339">
        <v>2</v>
      </c>
      <c r="F188" s="339">
        <v>3</v>
      </c>
      <c r="G188" s="339">
        <v>0</v>
      </c>
      <c r="H188" s="339">
        <v>0</v>
      </c>
      <c r="I188" s="339">
        <v>0</v>
      </c>
      <c r="J188" s="339">
        <v>0</v>
      </c>
      <c r="K188" s="339">
        <v>536</v>
      </c>
      <c r="L188" s="339">
        <v>0</v>
      </c>
      <c r="M188" s="339">
        <v>2</v>
      </c>
      <c r="N188">
        <v>538</v>
      </c>
      <c r="O188">
        <v>0</v>
      </c>
      <c r="P188">
        <f t="shared" si="2"/>
        <v>538</v>
      </c>
    </row>
    <row r="189" spans="1:16">
      <c r="A189">
        <v>183</v>
      </c>
      <c r="C189" s="339">
        <v>297</v>
      </c>
      <c r="D189" s="339">
        <v>511</v>
      </c>
      <c r="E189" s="339">
        <v>2</v>
      </c>
      <c r="F189" s="339">
        <v>3</v>
      </c>
      <c r="G189" s="339">
        <v>0</v>
      </c>
      <c r="H189" s="339">
        <v>0</v>
      </c>
      <c r="I189" s="339">
        <v>0</v>
      </c>
      <c r="J189" s="339">
        <v>1</v>
      </c>
      <c r="K189" s="339">
        <v>814</v>
      </c>
      <c r="L189" s="339">
        <v>0</v>
      </c>
      <c r="M189" s="339">
        <v>7</v>
      </c>
      <c r="N189">
        <v>821</v>
      </c>
      <c r="O189">
        <v>0</v>
      </c>
      <c r="P189">
        <f t="shared" si="2"/>
        <v>821</v>
      </c>
    </row>
    <row r="190" spans="1:16">
      <c r="A190">
        <v>184</v>
      </c>
      <c r="C190" s="339">
        <v>128</v>
      </c>
      <c r="D190" s="339">
        <v>402</v>
      </c>
      <c r="E190" s="339">
        <v>2</v>
      </c>
      <c r="F190" s="339">
        <v>7</v>
      </c>
      <c r="G190" s="339">
        <v>1</v>
      </c>
      <c r="H190" s="339">
        <v>0</v>
      </c>
      <c r="I190" s="339">
        <v>0</v>
      </c>
      <c r="J190" s="339">
        <v>3</v>
      </c>
      <c r="K190" s="339">
        <v>543</v>
      </c>
      <c r="L190" s="339">
        <v>0</v>
      </c>
      <c r="M190" s="339">
        <v>2</v>
      </c>
      <c r="N190">
        <v>548</v>
      </c>
      <c r="O190">
        <v>0</v>
      </c>
      <c r="P190">
        <f t="shared" si="2"/>
        <v>545</v>
      </c>
    </row>
    <row r="191" spans="1:16">
      <c r="A191">
        <v>185</v>
      </c>
      <c r="C191" s="339">
        <v>148</v>
      </c>
      <c r="D191" s="339">
        <v>174</v>
      </c>
      <c r="E191" s="339">
        <v>1</v>
      </c>
      <c r="F191" s="339">
        <v>1</v>
      </c>
      <c r="G191" s="339">
        <v>0</v>
      </c>
      <c r="H191" s="339">
        <v>0</v>
      </c>
      <c r="I191" s="339">
        <v>0</v>
      </c>
      <c r="J191" s="339">
        <v>0</v>
      </c>
      <c r="K191" s="339">
        <v>324</v>
      </c>
      <c r="L191" s="339">
        <v>0</v>
      </c>
      <c r="M191" s="339">
        <v>5</v>
      </c>
      <c r="N191">
        <v>326</v>
      </c>
      <c r="O191">
        <v>0</v>
      </c>
      <c r="P191">
        <f t="shared" si="2"/>
        <v>329</v>
      </c>
    </row>
    <row r="192" spans="1:16">
      <c r="A192">
        <v>186</v>
      </c>
      <c r="C192" s="339">
        <v>162</v>
      </c>
      <c r="D192" s="339">
        <v>450</v>
      </c>
      <c r="E192" s="339">
        <v>0</v>
      </c>
      <c r="F192" s="339">
        <v>4</v>
      </c>
      <c r="G192" s="339">
        <v>0</v>
      </c>
      <c r="H192" s="339">
        <v>0</v>
      </c>
      <c r="I192" s="339">
        <v>2</v>
      </c>
      <c r="J192" s="339">
        <v>3</v>
      </c>
      <c r="K192" s="339">
        <v>622</v>
      </c>
      <c r="L192" s="339">
        <v>0</v>
      </c>
      <c r="M192" s="339">
        <v>7</v>
      </c>
      <c r="N192">
        <v>627</v>
      </c>
      <c r="O192">
        <v>0</v>
      </c>
      <c r="P192">
        <f t="shared" si="2"/>
        <v>628</v>
      </c>
    </row>
    <row r="193" spans="1:16">
      <c r="A193">
        <v>187</v>
      </c>
      <c r="C193" s="339">
        <v>135</v>
      </c>
      <c r="D193" s="339">
        <v>583</v>
      </c>
      <c r="E193" s="339">
        <v>3</v>
      </c>
      <c r="F193" s="339">
        <v>7</v>
      </c>
      <c r="G193" s="339">
        <v>0</v>
      </c>
      <c r="H193" s="339">
        <v>0</v>
      </c>
      <c r="I193" s="339">
        <v>0</v>
      </c>
      <c r="J193" s="339">
        <v>1</v>
      </c>
      <c r="K193" s="339">
        <v>729</v>
      </c>
      <c r="L193" s="339">
        <v>0</v>
      </c>
      <c r="M193" s="339">
        <v>4</v>
      </c>
      <c r="N193">
        <v>736</v>
      </c>
      <c r="O193">
        <v>0</v>
      </c>
      <c r="P193">
        <f t="shared" si="2"/>
        <v>733</v>
      </c>
    </row>
    <row r="194" spans="1:16">
      <c r="A194">
        <v>188</v>
      </c>
      <c r="C194" s="339">
        <v>250</v>
      </c>
      <c r="D194" s="339">
        <v>476</v>
      </c>
      <c r="E194" s="339">
        <v>2</v>
      </c>
      <c r="F194" s="339">
        <v>0</v>
      </c>
      <c r="G194" s="339">
        <v>0</v>
      </c>
      <c r="H194" s="339">
        <v>0</v>
      </c>
      <c r="I194" s="339">
        <v>0</v>
      </c>
      <c r="J194" s="339">
        <v>1</v>
      </c>
      <c r="K194" s="339">
        <v>729</v>
      </c>
      <c r="L194" s="339">
        <v>0</v>
      </c>
      <c r="M194" s="339">
        <v>4</v>
      </c>
      <c r="N194">
        <v>733</v>
      </c>
      <c r="O194">
        <v>0</v>
      </c>
      <c r="P194">
        <f t="shared" si="2"/>
        <v>733</v>
      </c>
    </row>
    <row r="195" spans="1:16">
      <c r="A195">
        <v>189</v>
      </c>
      <c r="C195" s="339">
        <v>250</v>
      </c>
      <c r="D195" s="339">
        <v>282</v>
      </c>
      <c r="E195" s="339">
        <v>0</v>
      </c>
      <c r="F195" s="339">
        <v>1</v>
      </c>
      <c r="G195" s="339">
        <v>0</v>
      </c>
      <c r="H195" s="339">
        <v>0</v>
      </c>
      <c r="I195" s="339">
        <v>1</v>
      </c>
      <c r="J195" s="339">
        <v>0</v>
      </c>
      <c r="K195" s="339">
        <v>534</v>
      </c>
      <c r="L195" s="339">
        <v>0</v>
      </c>
      <c r="M195" s="339">
        <v>2</v>
      </c>
      <c r="N195">
        <v>538</v>
      </c>
      <c r="O195">
        <v>0</v>
      </c>
      <c r="P195">
        <f t="shared" si="2"/>
        <v>536</v>
      </c>
    </row>
    <row r="196" spans="1:16">
      <c r="A196">
        <v>190</v>
      </c>
      <c r="C196" s="339">
        <v>241</v>
      </c>
      <c r="D196" s="339">
        <v>251</v>
      </c>
      <c r="E196" s="339">
        <v>1</v>
      </c>
      <c r="F196" s="339">
        <v>0</v>
      </c>
      <c r="G196" s="339">
        <v>1</v>
      </c>
      <c r="H196" s="339">
        <v>0</v>
      </c>
      <c r="I196" s="339">
        <v>0</v>
      </c>
      <c r="J196" s="339">
        <v>0</v>
      </c>
      <c r="K196" s="339">
        <v>494</v>
      </c>
      <c r="L196" s="339">
        <v>0</v>
      </c>
      <c r="M196" s="339">
        <v>2</v>
      </c>
      <c r="N196" s="339">
        <v>496</v>
      </c>
      <c r="O196">
        <v>0</v>
      </c>
      <c r="P196">
        <f t="shared" si="2"/>
        <v>496</v>
      </c>
    </row>
    <row r="197" spans="1:16">
      <c r="A197">
        <v>191</v>
      </c>
      <c r="C197" s="339">
        <v>418</v>
      </c>
      <c r="D197" s="339">
        <v>376</v>
      </c>
      <c r="E197" s="339">
        <v>6</v>
      </c>
      <c r="F197" s="339">
        <v>4</v>
      </c>
      <c r="G197" s="339">
        <v>1</v>
      </c>
      <c r="H197" s="339">
        <v>2</v>
      </c>
      <c r="I197" s="339">
        <v>1</v>
      </c>
      <c r="J197" s="339">
        <v>1</v>
      </c>
      <c r="K197" s="339">
        <v>809</v>
      </c>
      <c r="L197" s="339">
        <v>0</v>
      </c>
      <c r="M197" s="339">
        <v>6</v>
      </c>
      <c r="N197" s="339">
        <v>815</v>
      </c>
      <c r="O197">
        <v>0</v>
      </c>
      <c r="P197">
        <f t="shared" si="2"/>
        <v>815</v>
      </c>
    </row>
    <row r="198" spans="1:16">
      <c r="A198">
        <v>192</v>
      </c>
      <c r="C198" s="339">
        <v>330</v>
      </c>
      <c r="D198" s="339">
        <v>337</v>
      </c>
      <c r="E198" s="339">
        <v>2</v>
      </c>
      <c r="F198" s="339">
        <v>1</v>
      </c>
      <c r="G198" s="339">
        <v>1</v>
      </c>
      <c r="H198" s="339">
        <v>0</v>
      </c>
      <c r="I198" s="339">
        <v>2</v>
      </c>
      <c r="J198" s="339">
        <v>0</v>
      </c>
      <c r="K198" s="339">
        <v>673</v>
      </c>
      <c r="L198" s="339">
        <v>0</v>
      </c>
      <c r="M198" s="339">
        <v>5</v>
      </c>
      <c r="N198" s="339">
        <v>678</v>
      </c>
      <c r="O198">
        <v>0</v>
      </c>
      <c r="P198">
        <f t="shared" si="2"/>
        <v>678</v>
      </c>
    </row>
    <row r="199" spans="1:16">
      <c r="A199">
        <v>193</v>
      </c>
      <c r="C199" s="339">
        <v>108</v>
      </c>
      <c r="D199" s="339">
        <v>477</v>
      </c>
      <c r="E199" s="339">
        <v>2</v>
      </c>
      <c r="F199" s="339">
        <v>0</v>
      </c>
      <c r="G199" s="339">
        <v>1</v>
      </c>
      <c r="H199" s="339">
        <v>1</v>
      </c>
      <c r="I199" s="339">
        <v>3</v>
      </c>
      <c r="J199" s="339">
        <v>3</v>
      </c>
      <c r="K199" s="339">
        <v>595</v>
      </c>
      <c r="L199" s="339">
        <v>0</v>
      </c>
      <c r="M199" s="339">
        <v>7</v>
      </c>
      <c r="N199">
        <v>602</v>
      </c>
      <c r="O199">
        <v>0</v>
      </c>
      <c r="P199">
        <f t="shared" ref="P199:P250" si="3">C199+D199+E199+F199+G199+H199+I199+J199+M199</f>
        <v>602</v>
      </c>
    </row>
    <row r="200" spans="1:16">
      <c r="A200">
        <v>194</v>
      </c>
      <c r="C200" s="339">
        <v>95</v>
      </c>
      <c r="D200" s="339">
        <v>405</v>
      </c>
      <c r="E200" s="339">
        <v>4</v>
      </c>
      <c r="F200" s="339">
        <v>0</v>
      </c>
      <c r="G200" s="339">
        <v>0</v>
      </c>
      <c r="H200" s="339">
        <v>1</v>
      </c>
      <c r="I200" s="339">
        <v>1</v>
      </c>
      <c r="J200" s="339">
        <v>1</v>
      </c>
      <c r="K200" s="339">
        <v>507</v>
      </c>
      <c r="L200" s="339">
        <v>0</v>
      </c>
      <c r="M200" s="339">
        <v>1</v>
      </c>
      <c r="N200">
        <v>508</v>
      </c>
      <c r="O200">
        <v>0</v>
      </c>
      <c r="P200">
        <f t="shared" si="3"/>
        <v>508</v>
      </c>
    </row>
    <row r="201" spans="1:16">
      <c r="A201">
        <v>195</v>
      </c>
      <c r="C201" s="339">
        <v>399</v>
      </c>
      <c r="D201" s="339">
        <v>460</v>
      </c>
      <c r="E201" s="339">
        <v>5</v>
      </c>
      <c r="F201" s="339">
        <v>0</v>
      </c>
      <c r="G201" s="339">
        <v>1</v>
      </c>
      <c r="H201" s="339">
        <v>0</v>
      </c>
      <c r="I201" s="339">
        <v>2</v>
      </c>
      <c r="J201" s="339">
        <v>2</v>
      </c>
      <c r="K201" s="339">
        <v>869</v>
      </c>
      <c r="L201" s="339">
        <v>0</v>
      </c>
      <c r="M201" s="339">
        <v>9</v>
      </c>
      <c r="N201">
        <v>878</v>
      </c>
      <c r="O201">
        <v>0</v>
      </c>
      <c r="P201">
        <f t="shared" si="3"/>
        <v>878</v>
      </c>
    </row>
    <row r="202" spans="1:16">
      <c r="A202">
        <v>196</v>
      </c>
      <c r="C202" s="339">
        <v>932</v>
      </c>
      <c r="D202" s="339">
        <v>58</v>
      </c>
      <c r="E202" s="339">
        <v>11</v>
      </c>
      <c r="F202" s="339">
        <v>1</v>
      </c>
      <c r="G202" s="339">
        <v>1</v>
      </c>
      <c r="H202" s="339">
        <v>0</v>
      </c>
      <c r="I202" s="339">
        <v>1</v>
      </c>
      <c r="J202" s="339">
        <v>0</v>
      </c>
      <c r="K202" s="339">
        <v>1004</v>
      </c>
      <c r="L202" s="339">
        <v>0</v>
      </c>
      <c r="M202" s="339">
        <v>3</v>
      </c>
      <c r="N202">
        <v>1007</v>
      </c>
      <c r="O202">
        <v>0</v>
      </c>
      <c r="P202">
        <f t="shared" si="3"/>
        <v>1007</v>
      </c>
    </row>
    <row r="203" spans="1:16">
      <c r="A203">
        <v>197</v>
      </c>
      <c r="C203" s="339">
        <v>360</v>
      </c>
      <c r="D203" s="339">
        <v>543</v>
      </c>
      <c r="E203" s="339">
        <v>1</v>
      </c>
      <c r="F203" s="339">
        <v>1</v>
      </c>
      <c r="G203" s="339">
        <v>0</v>
      </c>
      <c r="H203" s="339">
        <v>0</v>
      </c>
      <c r="I203" s="339">
        <v>2</v>
      </c>
      <c r="J203" s="339">
        <v>1</v>
      </c>
      <c r="K203" s="339">
        <v>908</v>
      </c>
      <c r="L203" s="339">
        <v>0</v>
      </c>
      <c r="M203" s="339">
        <v>9</v>
      </c>
      <c r="N203" s="339">
        <v>917</v>
      </c>
      <c r="O203">
        <v>0</v>
      </c>
      <c r="P203">
        <f t="shared" si="3"/>
        <v>917</v>
      </c>
    </row>
    <row r="204" spans="1:16">
      <c r="A204">
        <v>198</v>
      </c>
      <c r="C204" s="339">
        <v>554</v>
      </c>
      <c r="D204" s="339">
        <v>16</v>
      </c>
      <c r="E204" s="339">
        <v>16</v>
      </c>
      <c r="F204" s="339">
        <v>0</v>
      </c>
      <c r="G204" s="339">
        <v>0</v>
      </c>
      <c r="H204" s="339">
        <v>0</v>
      </c>
      <c r="I204" s="339">
        <v>1</v>
      </c>
      <c r="J204" s="339">
        <v>1</v>
      </c>
      <c r="K204" s="339">
        <v>588</v>
      </c>
      <c r="L204" s="339">
        <v>0</v>
      </c>
      <c r="M204" s="339">
        <v>2</v>
      </c>
      <c r="N204">
        <v>590</v>
      </c>
      <c r="O204">
        <v>0</v>
      </c>
      <c r="P204">
        <f t="shared" si="3"/>
        <v>590</v>
      </c>
    </row>
    <row r="205" spans="1:16">
      <c r="A205">
        <v>199</v>
      </c>
      <c r="C205" s="339">
        <v>435</v>
      </c>
      <c r="D205" s="339">
        <v>30</v>
      </c>
      <c r="E205" s="339">
        <v>7</v>
      </c>
      <c r="F205" s="339">
        <v>0</v>
      </c>
      <c r="G205" s="339">
        <v>0</v>
      </c>
      <c r="H205" s="339">
        <v>0</v>
      </c>
      <c r="I205" s="339">
        <v>2</v>
      </c>
      <c r="J205" s="339">
        <v>0</v>
      </c>
      <c r="K205" s="339">
        <v>474</v>
      </c>
      <c r="L205" s="339">
        <v>0</v>
      </c>
      <c r="M205" s="339">
        <v>4</v>
      </c>
      <c r="N205">
        <v>478</v>
      </c>
      <c r="O205">
        <v>0</v>
      </c>
      <c r="P205">
        <f t="shared" si="3"/>
        <v>478</v>
      </c>
    </row>
    <row r="206" spans="1:16">
      <c r="A206">
        <v>200</v>
      </c>
      <c r="C206" s="339">
        <v>245</v>
      </c>
      <c r="D206" s="339">
        <v>361</v>
      </c>
      <c r="E206" s="339">
        <v>7</v>
      </c>
      <c r="F206" s="339">
        <v>1</v>
      </c>
      <c r="G206" s="339">
        <v>0</v>
      </c>
      <c r="H206" s="339">
        <v>0</v>
      </c>
      <c r="I206" s="339">
        <v>1</v>
      </c>
      <c r="J206" s="339">
        <v>1</v>
      </c>
      <c r="K206" s="339">
        <v>616</v>
      </c>
      <c r="L206" s="339">
        <v>0</v>
      </c>
      <c r="M206" s="339">
        <v>3</v>
      </c>
      <c r="N206">
        <v>619</v>
      </c>
      <c r="O206">
        <v>0</v>
      </c>
      <c r="P206">
        <f t="shared" si="3"/>
        <v>619</v>
      </c>
    </row>
    <row r="207" spans="1:16">
      <c r="A207">
        <v>201</v>
      </c>
      <c r="C207" s="339">
        <v>717</v>
      </c>
      <c r="D207" s="339">
        <v>66</v>
      </c>
      <c r="E207" s="339">
        <v>6</v>
      </c>
      <c r="F207" s="339">
        <v>0</v>
      </c>
      <c r="G207" s="339">
        <v>0</v>
      </c>
      <c r="H207" s="339">
        <v>0</v>
      </c>
      <c r="I207" s="339">
        <v>1</v>
      </c>
      <c r="J207" s="339">
        <v>1</v>
      </c>
      <c r="K207" s="339">
        <v>791</v>
      </c>
      <c r="L207" s="339">
        <v>0</v>
      </c>
      <c r="M207" s="339">
        <v>7</v>
      </c>
      <c r="N207">
        <v>798</v>
      </c>
      <c r="O207">
        <v>0</v>
      </c>
      <c r="P207">
        <f t="shared" si="3"/>
        <v>798</v>
      </c>
    </row>
    <row r="208" spans="1:16">
      <c r="A208">
        <v>202</v>
      </c>
      <c r="C208" s="339">
        <v>574</v>
      </c>
      <c r="D208" s="339">
        <v>251</v>
      </c>
      <c r="E208" s="339">
        <v>6</v>
      </c>
      <c r="F208" s="339">
        <v>2</v>
      </c>
      <c r="G208" s="339">
        <v>1</v>
      </c>
      <c r="H208" s="339">
        <v>1</v>
      </c>
      <c r="I208" s="339">
        <v>1</v>
      </c>
      <c r="J208" s="339">
        <v>1</v>
      </c>
      <c r="K208" s="339">
        <v>837</v>
      </c>
      <c r="L208" s="339">
        <v>0</v>
      </c>
      <c r="M208" s="339">
        <v>1</v>
      </c>
      <c r="N208">
        <v>838</v>
      </c>
      <c r="O208">
        <v>0</v>
      </c>
      <c r="P208">
        <f t="shared" si="3"/>
        <v>838</v>
      </c>
    </row>
    <row r="209" spans="1:16">
      <c r="A209">
        <v>203</v>
      </c>
      <c r="C209" s="339">
        <v>740</v>
      </c>
      <c r="D209" s="339">
        <v>260</v>
      </c>
      <c r="E209" s="339">
        <v>38</v>
      </c>
      <c r="F209" s="339">
        <v>1</v>
      </c>
      <c r="G209" s="339">
        <v>0</v>
      </c>
      <c r="H209" s="339">
        <v>2</v>
      </c>
      <c r="I209" s="339">
        <v>0</v>
      </c>
      <c r="J209" s="339">
        <v>1</v>
      </c>
      <c r="K209" s="339">
        <v>1042</v>
      </c>
      <c r="L209" s="339">
        <v>0</v>
      </c>
      <c r="M209" s="339">
        <v>1</v>
      </c>
      <c r="N209">
        <v>1043</v>
      </c>
      <c r="O209">
        <v>0</v>
      </c>
      <c r="P209">
        <f t="shared" si="3"/>
        <v>1043</v>
      </c>
    </row>
    <row r="210" spans="1:16">
      <c r="A210">
        <v>204</v>
      </c>
      <c r="C210" s="339">
        <v>141</v>
      </c>
      <c r="D210" s="339">
        <v>527</v>
      </c>
      <c r="E210" s="339">
        <v>1</v>
      </c>
      <c r="F210" s="339">
        <v>0</v>
      </c>
      <c r="G210" s="339">
        <v>0</v>
      </c>
      <c r="H210" s="339">
        <v>1</v>
      </c>
      <c r="I210" s="339">
        <v>0</v>
      </c>
      <c r="J210" s="339">
        <v>3</v>
      </c>
      <c r="K210" s="339">
        <v>673</v>
      </c>
      <c r="L210" s="339">
        <v>0</v>
      </c>
      <c r="M210" s="339">
        <v>7</v>
      </c>
      <c r="N210">
        <v>680</v>
      </c>
      <c r="O210">
        <v>0</v>
      </c>
      <c r="P210">
        <f t="shared" si="3"/>
        <v>680</v>
      </c>
    </row>
    <row r="211" spans="1:16">
      <c r="A211">
        <v>205</v>
      </c>
      <c r="C211" s="339">
        <v>320</v>
      </c>
      <c r="D211" s="339">
        <v>350</v>
      </c>
      <c r="E211" s="339">
        <v>13</v>
      </c>
      <c r="F211" s="339">
        <v>0</v>
      </c>
      <c r="G211" s="339">
        <v>0</v>
      </c>
      <c r="H211" s="339">
        <v>1</v>
      </c>
      <c r="I211" s="339">
        <v>4</v>
      </c>
      <c r="J211" s="339">
        <v>1</v>
      </c>
      <c r="K211" s="339">
        <v>689</v>
      </c>
      <c r="L211" s="339">
        <v>0</v>
      </c>
      <c r="M211" s="339">
        <v>3</v>
      </c>
      <c r="N211">
        <v>692</v>
      </c>
      <c r="O211">
        <v>0</v>
      </c>
      <c r="P211">
        <f t="shared" si="3"/>
        <v>692</v>
      </c>
    </row>
    <row r="212" spans="1:16">
      <c r="A212">
        <v>206</v>
      </c>
      <c r="C212" s="339">
        <v>254</v>
      </c>
      <c r="D212" s="339">
        <v>215</v>
      </c>
      <c r="E212" s="339">
        <v>26</v>
      </c>
      <c r="F212" s="339">
        <v>0</v>
      </c>
      <c r="G212" s="339">
        <v>0</v>
      </c>
      <c r="H212" s="339">
        <v>0</v>
      </c>
      <c r="I212" s="339">
        <v>0</v>
      </c>
      <c r="J212" s="339">
        <v>1</v>
      </c>
      <c r="K212" s="339">
        <v>496</v>
      </c>
      <c r="L212" s="339">
        <v>0</v>
      </c>
      <c r="M212" s="339">
        <v>2</v>
      </c>
      <c r="N212">
        <v>498</v>
      </c>
      <c r="O212">
        <v>0</v>
      </c>
      <c r="P212">
        <f t="shared" si="3"/>
        <v>498</v>
      </c>
    </row>
    <row r="213" spans="1:16">
      <c r="A213">
        <v>207</v>
      </c>
      <c r="C213" s="339">
        <v>275</v>
      </c>
      <c r="D213" s="339">
        <v>556</v>
      </c>
      <c r="E213" s="339">
        <v>3</v>
      </c>
      <c r="F213" s="339">
        <v>0</v>
      </c>
      <c r="G213" s="339">
        <v>0</v>
      </c>
      <c r="H213" s="339">
        <v>0</v>
      </c>
      <c r="I213" s="339">
        <v>0</v>
      </c>
      <c r="J213" s="339">
        <v>1</v>
      </c>
      <c r="K213" s="339">
        <v>835</v>
      </c>
      <c r="L213" s="339">
        <v>0</v>
      </c>
      <c r="M213" s="339">
        <v>7</v>
      </c>
      <c r="N213">
        <v>842</v>
      </c>
      <c r="O213">
        <v>0</v>
      </c>
      <c r="P213">
        <f t="shared" si="3"/>
        <v>842</v>
      </c>
    </row>
    <row r="214" spans="1:16">
      <c r="A214">
        <v>208</v>
      </c>
      <c r="C214" s="339">
        <v>141</v>
      </c>
      <c r="D214" s="339">
        <v>181</v>
      </c>
      <c r="E214" s="339">
        <v>1</v>
      </c>
      <c r="F214" s="339">
        <v>1</v>
      </c>
      <c r="G214" s="339">
        <v>0</v>
      </c>
      <c r="H214" s="339">
        <v>0</v>
      </c>
      <c r="I214" s="339">
        <v>0</v>
      </c>
      <c r="J214" s="339">
        <v>0</v>
      </c>
      <c r="K214" s="339">
        <v>324</v>
      </c>
      <c r="L214" s="339">
        <v>0</v>
      </c>
      <c r="M214" s="339">
        <v>0</v>
      </c>
      <c r="N214">
        <v>324</v>
      </c>
      <c r="O214">
        <v>0</v>
      </c>
      <c r="P214">
        <f t="shared" si="3"/>
        <v>324</v>
      </c>
    </row>
    <row r="215" spans="1:16">
      <c r="A215">
        <v>209</v>
      </c>
      <c r="C215" s="339">
        <v>218</v>
      </c>
      <c r="D215" s="339">
        <v>361</v>
      </c>
      <c r="E215" s="339">
        <v>1</v>
      </c>
      <c r="F215" s="339">
        <v>4</v>
      </c>
      <c r="G215" s="339">
        <v>0</v>
      </c>
      <c r="H215" s="339">
        <v>0</v>
      </c>
      <c r="I215" s="339">
        <v>0</v>
      </c>
      <c r="J215" s="339">
        <v>0</v>
      </c>
      <c r="K215" s="339">
        <v>584</v>
      </c>
      <c r="L215" s="339">
        <v>0</v>
      </c>
      <c r="M215" s="339">
        <v>2</v>
      </c>
      <c r="N215">
        <v>586</v>
      </c>
      <c r="O215">
        <v>0</v>
      </c>
      <c r="P215">
        <f t="shared" si="3"/>
        <v>586</v>
      </c>
    </row>
    <row r="216" spans="1:16">
      <c r="A216">
        <v>210</v>
      </c>
      <c r="C216" s="339">
        <v>153</v>
      </c>
      <c r="D216" s="339">
        <v>300</v>
      </c>
      <c r="E216" s="339">
        <v>5</v>
      </c>
      <c r="F216" s="339">
        <v>2</v>
      </c>
      <c r="G216" s="339">
        <v>0</v>
      </c>
      <c r="H216" s="339">
        <v>0</v>
      </c>
      <c r="I216" s="339">
        <v>0</v>
      </c>
      <c r="J216" s="339">
        <v>1</v>
      </c>
      <c r="K216" s="339">
        <v>461</v>
      </c>
      <c r="L216" s="339">
        <v>0</v>
      </c>
      <c r="M216" s="339">
        <v>1</v>
      </c>
      <c r="N216">
        <v>462</v>
      </c>
      <c r="O216">
        <v>0</v>
      </c>
      <c r="P216">
        <f t="shared" si="3"/>
        <v>462</v>
      </c>
    </row>
    <row r="217" spans="1:16">
      <c r="A217">
        <v>211</v>
      </c>
      <c r="C217" s="339">
        <v>257</v>
      </c>
      <c r="D217" s="339">
        <v>381</v>
      </c>
      <c r="E217" s="339">
        <v>2</v>
      </c>
      <c r="F217" s="339">
        <v>0</v>
      </c>
      <c r="G217" s="339">
        <v>0</v>
      </c>
      <c r="H217" s="339">
        <v>0</v>
      </c>
      <c r="I217" s="339">
        <v>0</v>
      </c>
      <c r="J217" s="339">
        <v>0</v>
      </c>
      <c r="K217" s="339">
        <v>640</v>
      </c>
      <c r="L217" s="339">
        <v>0</v>
      </c>
      <c r="M217" s="339">
        <v>3</v>
      </c>
      <c r="N217">
        <v>643</v>
      </c>
      <c r="O217">
        <v>0</v>
      </c>
      <c r="P217">
        <f t="shared" si="3"/>
        <v>643</v>
      </c>
    </row>
    <row r="218" spans="1:16">
      <c r="A218">
        <v>212</v>
      </c>
      <c r="C218" s="339">
        <v>163</v>
      </c>
      <c r="D218" s="339">
        <v>276</v>
      </c>
      <c r="E218" s="339">
        <v>0</v>
      </c>
      <c r="F218" s="339">
        <v>0</v>
      </c>
      <c r="G218" s="339">
        <v>0</v>
      </c>
      <c r="H218" s="339">
        <v>1</v>
      </c>
      <c r="I218" s="339">
        <v>1</v>
      </c>
      <c r="J218" s="339">
        <v>1</v>
      </c>
      <c r="K218" s="339">
        <v>442</v>
      </c>
      <c r="L218" s="339">
        <v>0</v>
      </c>
      <c r="M218" s="339">
        <v>2</v>
      </c>
      <c r="N218">
        <v>444</v>
      </c>
      <c r="O218">
        <v>0</v>
      </c>
      <c r="P218">
        <f t="shared" si="3"/>
        <v>444</v>
      </c>
    </row>
    <row r="219" spans="1:16">
      <c r="A219">
        <v>213</v>
      </c>
      <c r="C219" s="339">
        <v>141</v>
      </c>
      <c r="D219" s="339">
        <v>470</v>
      </c>
      <c r="E219" s="339">
        <v>0</v>
      </c>
      <c r="F219" s="339">
        <v>1</v>
      </c>
      <c r="G219" s="339">
        <v>0</v>
      </c>
      <c r="H219" s="339">
        <v>1</v>
      </c>
      <c r="I219" s="339">
        <v>1</v>
      </c>
      <c r="J219" s="339">
        <v>1</v>
      </c>
      <c r="K219" s="339">
        <v>615</v>
      </c>
      <c r="L219" s="339">
        <v>0</v>
      </c>
      <c r="M219" s="339">
        <v>8</v>
      </c>
      <c r="N219">
        <v>623</v>
      </c>
      <c r="O219">
        <v>0</v>
      </c>
      <c r="P219">
        <f t="shared" si="3"/>
        <v>623</v>
      </c>
    </row>
    <row r="220" spans="1:16">
      <c r="A220">
        <v>214</v>
      </c>
      <c r="C220" s="339">
        <v>154</v>
      </c>
      <c r="D220" s="339">
        <v>243</v>
      </c>
      <c r="E220" s="339">
        <v>0</v>
      </c>
      <c r="F220" s="339">
        <v>0</v>
      </c>
      <c r="G220" s="339">
        <v>0</v>
      </c>
      <c r="H220" s="339">
        <v>0</v>
      </c>
      <c r="I220" s="339">
        <v>0</v>
      </c>
      <c r="J220" s="339">
        <v>0</v>
      </c>
      <c r="K220" s="339">
        <v>397</v>
      </c>
      <c r="L220" s="339">
        <v>0</v>
      </c>
      <c r="M220" s="339">
        <v>0</v>
      </c>
      <c r="N220">
        <v>397</v>
      </c>
      <c r="O220">
        <v>0</v>
      </c>
      <c r="P220">
        <f t="shared" si="3"/>
        <v>397</v>
      </c>
    </row>
    <row r="221" spans="1:16">
      <c r="A221">
        <v>215</v>
      </c>
      <c r="C221" s="339">
        <v>91</v>
      </c>
      <c r="D221" s="339">
        <v>309</v>
      </c>
      <c r="E221" s="339">
        <v>2</v>
      </c>
      <c r="F221" s="339">
        <v>0</v>
      </c>
      <c r="G221" s="339">
        <v>1</v>
      </c>
      <c r="H221" s="339">
        <v>0</v>
      </c>
      <c r="I221" s="339">
        <v>0</v>
      </c>
      <c r="J221" s="339">
        <v>1</v>
      </c>
      <c r="K221" s="339">
        <v>404</v>
      </c>
      <c r="L221" s="339">
        <v>0</v>
      </c>
      <c r="M221" s="339">
        <v>6</v>
      </c>
      <c r="N221">
        <v>410</v>
      </c>
      <c r="O221">
        <v>0</v>
      </c>
      <c r="P221">
        <f t="shared" si="3"/>
        <v>410</v>
      </c>
    </row>
    <row r="222" spans="1:16">
      <c r="A222">
        <v>216</v>
      </c>
      <c r="C222" s="339">
        <v>218</v>
      </c>
      <c r="D222" s="339">
        <v>534</v>
      </c>
      <c r="E222" s="339">
        <v>2</v>
      </c>
      <c r="F222" s="339">
        <v>0</v>
      </c>
      <c r="G222" s="339">
        <v>0</v>
      </c>
      <c r="H222" s="339">
        <v>0</v>
      </c>
      <c r="I222" s="339">
        <v>2</v>
      </c>
      <c r="J222" s="339">
        <v>1</v>
      </c>
      <c r="K222" s="339">
        <v>757</v>
      </c>
      <c r="L222" s="339">
        <v>0</v>
      </c>
      <c r="M222" s="339">
        <v>6</v>
      </c>
      <c r="N222">
        <v>763</v>
      </c>
      <c r="O222">
        <v>0</v>
      </c>
      <c r="P222">
        <f t="shared" si="3"/>
        <v>763</v>
      </c>
    </row>
    <row r="223" spans="1:16">
      <c r="A223">
        <v>217</v>
      </c>
      <c r="C223" s="339">
        <v>175</v>
      </c>
      <c r="D223" s="339">
        <v>420</v>
      </c>
      <c r="E223" s="339">
        <v>3</v>
      </c>
      <c r="F223" s="339">
        <v>0</v>
      </c>
      <c r="G223" s="339">
        <v>0</v>
      </c>
      <c r="H223" s="339">
        <v>1</v>
      </c>
      <c r="I223" s="339">
        <v>0</v>
      </c>
      <c r="J223" s="339">
        <v>0</v>
      </c>
      <c r="K223" s="339">
        <v>599</v>
      </c>
      <c r="L223" s="339">
        <v>0</v>
      </c>
      <c r="M223" s="339">
        <v>8</v>
      </c>
      <c r="N223">
        <v>607</v>
      </c>
      <c r="O223">
        <v>0</v>
      </c>
      <c r="P223">
        <f t="shared" si="3"/>
        <v>607</v>
      </c>
    </row>
    <row r="224" spans="1:16">
      <c r="A224">
        <v>218</v>
      </c>
      <c r="C224" s="339">
        <v>233</v>
      </c>
      <c r="D224" s="339">
        <v>332</v>
      </c>
      <c r="E224" s="339">
        <v>4</v>
      </c>
      <c r="F224" s="339">
        <v>4</v>
      </c>
      <c r="G224" s="339">
        <v>1</v>
      </c>
      <c r="H224" s="339">
        <v>1</v>
      </c>
      <c r="I224" s="339">
        <v>1</v>
      </c>
      <c r="J224" s="339">
        <v>2</v>
      </c>
      <c r="K224" s="339">
        <v>578</v>
      </c>
      <c r="L224" s="339">
        <v>0</v>
      </c>
      <c r="M224" s="339">
        <v>5</v>
      </c>
      <c r="N224">
        <v>583</v>
      </c>
      <c r="O224">
        <v>0</v>
      </c>
      <c r="P224">
        <f t="shared" si="3"/>
        <v>583</v>
      </c>
    </row>
    <row r="225" spans="1:16">
      <c r="A225">
        <v>219</v>
      </c>
      <c r="C225" s="339">
        <v>197</v>
      </c>
      <c r="D225" s="339">
        <v>291</v>
      </c>
      <c r="E225" s="339">
        <v>5</v>
      </c>
      <c r="F225" s="339">
        <v>2</v>
      </c>
      <c r="G225" s="339">
        <v>1</v>
      </c>
      <c r="H225" s="339">
        <v>0</v>
      </c>
      <c r="I225" s="339">
        <v>0</v>
      </c>
      <c r="J225" s="339">
        <v>0</v>
      </c>
      <c r="K225" s="339">
        <v>496</v>
      </c>
      <c r="L225" s="339">
        <v>0</v>
      </c>
      <c r="M225" s="339">
        <v>3</v>
      </c>
      <c r="N225">
        <v>499</v>
      </c>
      <c r="O225">
        <v>0</v>
      </c>
      <c r="P225">
        <f t="shared" si="3"/>
        <v>499</v>
      </c>
    </row>
    <row r="226" spans="1:16">
      <c r="A226">
        <v>220</v>
      </c>
      <c r="C226" s="339">
        <v>275</v>
      </c>
      <c r="D226" s="339">
        <v>119</v>
      </c>
      <c r="E226" s="339">
        <v>0</v>
      </c>
      <c r="F226" s="339">
        <v>1</v>
      </c>
      <c r="G226" s="339">
        <v>1</v>
      </c>
      <c r="H226" s="339">
        <v>0</v>
      </c>
      <c r="I226" s="339">
        <v>1</v>
      </c>
      <c r="J226" s="339">
        <v>0</v>
      </c>
      <c r="K226" s="339">
        <v>397</v>
      </c>
      <c r="L226" s="339">
        <v>0</v>
      </c>
      <c r="M226" s="339">
        <v>3</v>
      </c>
      <c r="N226">
        <v>400</v>
      </c>
      <c r="O226">
        <v>0</v>
      </c>
      <c r="P226">
        <f t="shared" si="3"/>
        <v>400</v>
      </c>
    </row>
    <row r="227" spans="1:16">
      <c r="A227">
        <v>221</v>
      </c>
      <c r="C227" s="339">
        <v>320</v>
      </c>
      <c r="D227" s="339">
        <v>275</v>
      </c>
      <c r="E227" s="339">
        <v>4</v>
      </c>
      <c r="F227" s="339">
        <v>1</v>
      </c>
      <c r="G227" s="339">
        <v>0</v>
      </c>
      <c r="H227" s="339">
        <v>0</v>
      </c>
      <c r="I227" s="339">
        <v>1</v>
      </c>
      <c r="J227" s="339">
        <v>0</v>
      </c>
      <c r="K227" s="339">
        <v>601</v>
      </c>
      <c r="L227" s="339">
        <v>0</v>
      </c>
      <c r="M227" s="339">
        <v>2</v>
      </c>
      <c r="N227">
        <v>603</v>
      </c>
      <c r="O227">
        <v>0</v>
      </c>
      <c r="P227">
        <f t="shared" si="3"/>
        <v>603</v>
      </c>
    </row>
    <row r="228" spans="1:16">
      <c r="A228">
        <v>222</v>
      </c>
      <c r="C228" s="339">
        <v>332</v>
      </c>
      <c r="D228" s="339">
        <v>330</v>
      </c>
      <c r="E228" s="339">
        <v>2</v>
      </c>
      <c r="F228" s="339">
        <v>5</v>
      </c>
      <c r="G228" s="339">
        <v>0</v>
      </c>
      <c r="H228" s="339">
        <v>1</v>
      </c>
      <c r="I228" s="339">
        <v>2</v>
      </c>
      <c r="J228" s="339">
        <v>0</v>
      </c>
      <c r="K228" s="339">
        <v>672</v>
      </c>
      <c r="L228" s="339">
        <v>0</v>
      </c>
      <c r="M228" s="339">
        <v>3</v>
      </c>
      <c r="N228">
        <v>675</v>
      </c>
      <c r="O228">
        <v>0</v>
      </c>
      <c r="P228">
        <f t="shared" si="3"/>
        <v>675</v>
      </c>
    </row>
    <row r="229" spans="1:16">
      <c r="A229">
        <v>223</v>
      </c>
      <c r="C229" s="339">
        <v>280</v>
      </c>
      <c r="D229" s="339">
        <v>252</v>
      </c>
      <c r="E229" s="339">
        <v>1</v>
      </c>
      <c r="F229" s="339">
        <v>1</v>
      </c>
      <c r="G229" s="339">
        <v>0</v>
      </c>
      <c r="H229" s="339">
        <v>0</v>
      </c>
      <c r="I229" s="339">
        <v>0</v>
      </c>
      <c r="J229" s="339">
        <v>0</v>
      </c>
      <c r="K229" s="339">
        <v>534</v>
      </c>
      <c r="L229" s="339">
        <v>0</v>
      </c>
      <c r="M229" s="339">
        <v>4</v>
      </c>
      <c r="N229">
        <v>538</v>
      </c>
      <c r="O229">
        <v>0</v>
      </c>
      <c r="P229">
        <f t="shared" si="3"/>
        <v>538</v>
      </c>
    </row>
    <row r="230" spans="1:16">
      <c r="A230">
        <v>224</v>
      </c>
      <c r="C230" s="339">
        <v>283</v>
      </c>
      <c r="D230" s="339">
        <v>361</v>
      </c>
      <c r="E230" s="339">
        <v>4</v>
      </c>
      <c r="F230" s="339">
        <v>0</v>
      </c>
      <c r="G230" s="339">
        <v>0</v>
      </c>
      <c r="H230" s="339">
        <v>0</v>
      </c>
      <c r="I230" s="339">
        <v>1</v>
      </c>
      <c r="J230" s="339">
        <v>0</v>
      </c>
      <c r="K230" s="339">
        <v>649</v>
      </c>
      <c r="L230" s="339">
        <v>0</v>
      </c>
      <c r="M230" s="339">
        <v>4</v>
      </c>
      <c r="N230">
        <v>653</v>
      </c>
      <c r="O230">
        <v>0</v>
      </c>
      <c r="P230">
        <f t="shared" si="3"/>
        <v>653</v>
      </c>
    </row>
    <row r="231" spans="1:16">
      <c r="A231">
        <v>225</v>
      </c>
      <c r="C231" s="339">
        <v>381</v>
      </c>
      <c r="D231" s="339">
        <v>428</v>
      </c>
      <c r="E231" s="339">
        <v>3</v>
      </c>
      <c r="F231" s="339">
        <v>4</v>
      </c>
      <c r="G231" s="339">
        <v>0</v>
      </c>
      <c r="H231" s="339">
        <v>1</v>
      </c>
      <c r="I231" s="339">
        <v>0</v>
      </c>
      <c r="J231" s="339">
        <v>3</v>
      </c>
      <c r="K231" s="339">
        <v>820</v>
      </c>
      <c r="L231" s="339">
        <v>0</v>
      </c>
      <c r="M231" s="339">
        <v>7</v>
      </c>
      <c r="N231">
        <v>827</v>
      </c>
      <c r="O231">
        <v>0</v>
      </c>
      <c r="P231">
        <f t="shared" si="3"/>
        <v>827</v>
      </c>
    </row>
    <row r="232" spans="1:16">
      <c r="A232">
        <v>226</v>
      </c>
      <c r="C232" s="339">
        <v>238</v>
      </c>
      <c r="D232" s="339">
        <v>560</v>
      </c>
      <c r="E232" s="339">
        <v>4</v>
      </c>
      <c r="F232" s="339">
        <v>2</v>
      </c>
      <c r="G232" s="339">
        <v>0</v>
      </c>
      <c r="H232" s="339">
        <v>0</v>
      </c>
      <c r="I232" s="339">
        <v>4</v>
      </c>
      <c r="J232" s="339">
        <v>2</v>
      </c>
      <c r="K232" s="339">
        <v>810</v>
      </c>
      <c r="L232" s="339">
        <v>0</v>
      </c>
      <c r="M232" s="339">
        <v>7</v>
      </c>
      <c r="N232">
        <v>817</v>
      </c>
      <c r="O232">
        <v>0</v>
      </c>
      <c r="P232">
        <f t="shared" si="3"/>
        <v>817</v>
      </c>
    </row>
    <row r="233" spans="1:16">
      <c r="A233">
        <v>227</v>
      </c>
      <c r="C233" s="339">
        <v>245</v>
      </c>
      <c r="D233" s="339">
        <v>360</v>
      </c>
      <c r="E233" s="339">
        <v>0</v>
      </c>
      <c r="F233" s="339">
        <v>3</v>
      </c>
      <c r="G233" s="339">
        <v>0</v>
      </c>
      <c r="H233" s="339">
        <v>0</v>
      </c>
      <c r="I233" s="339">
        <v>0</v>
      </c>
      <c r="J233" s="339">
        <v>0</v>
      </c>
      <c r="K233" s="339">
        <v>608</v>
      </c>
      <c r="L233" s="339">
        <v>0</v>
      </c>
      <c r="M233" s="339">
        <v>7</v>
      </c>
      <c r="N233">
        <v>615</v>
      </c>
      <c r="O233">
        <v>0</v>
      </c>
      <c r="P233">
        <f t="shared" si="3"/>
        <v>615</v>
      </c>
    </row>
    <row r="234" spans="1:16">
      <c r="A234">
        <v>228</v>
      </c>
      <c r="C234" s="339">
        <v>227</v>
      </c>
      <c r="D234" s="339">
        <v>451</v>
      </c>
      <c r="E234" s="339">
        <v>4</v>
      </c>
      <c r="F234" s="339">
        <v>3</v>
      </c>
      <c r="G234" s="339">
        <v>1</v>
      </c>
      <c r="H234" s="339">
        <v>0</v>
      </c>
      <c r="I234" s="339">
        <v>1</v>
      </c>
      <c r="J234" s="339">
        <v>0</v>
      </c>
      <c r="K234" s="339">
        <v>687</v>
      </c>
      <c r="L234" s="339">
        <v>0</v>
      </c>
      <c r="M234" s="339">
        <v>4</v>
      </c>
      <c r="N234">
        <v>691</v>
      </c>
      <c r="O234">
        <v>0</v>
      </c>
      <c r="P234">
        <f t="shared" si="3"/>
        <v>691</v>
      </c>
    </row>
    <row r="235" spans="1:16">
      <c r="A235">
        <v>229</v>
      </c>
      <c r="C235" s="339">
        <v>470</v>
      </c>
      <c r="D235" s="339">
        <v>313</v>
      </c>
      <c r="E235" s="339">
        <v>1</v>
      </c>
      <c r="F235" s="339">
        <v>1</v>
      </c>
      <c r="G235" s="339">
        <v>0</v>
      </c>
      <c r="H235" s="339">
        <v>0</v>
      </c>
      <c r="I235" s="339">
        <v>2</v>
      </c>
      <c r="J235" s="339">
        <v>0</v>
      </c>
      <c r="K235" s="339">
        <v>787</v>
      </c>
      <c r="L235" s="339">
        <v>0</v>
      </c>
      <c r="M235" s="339">
        <v>3</v>
      </c>
      <c r="N235">
        <v>790</v>
      </c>
      <c r="O235">
        <v>0</v>
      </c>
      <c r="P235">
        <f t="shared" si="3"/>
        <v>790</v>
      </c>
    </row>
    <row r="236" spans="1:16">
      <c r="A236">
        <v>230</v>
      </c>
      <c r="C236" s="339">
        <v>147</v>
      </c>
      <c r="D236" s="339">
        <v>501</v>
      </c>
      <c r="E236" s="339">
        <v>2</v>
      </c>
      <c r="F236" s="339">
        <v>0</v>
      </c>
      <c r="G236" s="339">
        <v>0</v>
      </c>
      <c r="H236" s="339">
        <v>2</v>
      </c>
      <c r="I236" s="339">
        <v>1</v>
      </c>
      <c r="J236" s="339">
        <v>0</v>
      </c>
      <c r="K236" s="339">
        <v>653</v>
      </c>
      <c r="L236" s="339">
        <v>0</v>
      </c>
      <c r="M236" s="339">
        <v>1</v>
      </c>
      <c r="N236">
        <v>654</v>
      </c>
      <c r="O236">
        <v>0</v>
      </c>
      <c r="P236">
        <f t="shared" si="3"/>
        <v>654</v>
      </c>
    </row>
    <row r="237" spans="1:16">
      <c r="A237">
        <v>231</v>
      </c>
      <c r="C237" s="339">
        <v>182</v>
      </c>
      <c r="D237" s="339">
        <v>154</v>
      </c>
      <c r="E237" s="339">
        <v>0</v>
      </c>
      <c r="F237" s="339">
        <v>2</v>
      </c>
      <c r="G237" s="339">
        <v>1</v>
      </c>
      <c r="H237" s="339">
        <v>0</v>
      </c>
      <c r="I237" s="339">
        <v>0</v>
      </c>
      <c r="J237" s="339">
        <v>0</v>
      </c>
      <c r="K237" s="339">
        <v>339</v>
      </c>
      <c r="L237" s="339">
        <v>0</v>
      </c>
      <c r="M237" s="339">
        <v>1</v>
      </c>
      <c r="N237">
        <v>340</v>
      </c>
      <c r="O237">
        <v>0</v>
      </c>
      <c r="P237">
        <f t="shared" si="3"/>
        <v>340</v>
      </c>
    </row>
    <row r="238" spans="1:16">
      <c r="A238">
        <v>232</v>
      </c>
      <c r="C238" s="339">
        <v>310</v>
      </c>
      <c r="D238" s="339">
        <v>471</v>
      </c>
      <c r="E238" s="339">
        <v>2</v>
      </c>
      <c r="F238" s="339">
        <v>0</v>
      </c>
      <c r="G238" s="339">
        <v>0</v>
      </c>
      <c r="H238" s="339">
        <v>0</v>
      </c>
      <c r="I238" s="339">
        <v>1</v>
      </c>
      <c r="J238" s="339">
        <v>0</v>
      </c>
      <c r="K238" s="339">
        <v>784</v>
      </c>
      <c r="L238" s="339">
        <v>0</v>
      </c>
      <c r="M238" s="339">
        <v>5</v>
      </c>
      <c r="N238">
        <v>789</v>
      </c>
      <c r="O238">
        <v>0</v>
      </c>
      <c r="P238">
        <f t="shared" si="3"/>
        <v>789</v>
      </c>
    </row>
    <row r="239" spans="1:16">
      <c r="A239">
        <v>233</v>
      </c>
      <c r="C239" s="339">
        <v>362</v>
      </c>
      <c r="D239" s="339">
        <v>472</v>
      </c>
      <c r="E239" s="339">
        <v>3</v>
      </c>
      <c r="F239" s="339">
        <v>4</v>
      </c>
      <c r="G239" s="339">
        <v>0</v>
      </c>
      <c r="H239" s="339">
        <v>1</v>
      </c>
      <c r="I239" s="339">
        <v>0</v>
      </c>
      <c r="J239" s="339">
        <v>0</v>
      </c>
      <c r="K239" s="339">
        <v>842</v>
      </c>
      <c r="L239" s="339">
        <v>0</v>
      </c>
      <c r="M239" s="339">
        <v>5</v>
      </c>
      <c r="N239">
        <v>847</v>
      </c>
      <c r="O239">
        <v>0</v>
      </c>
      <c r="P239">
        <f t="shared" si="3"/>
        <v>847</v>
      </c>
    </row>
    <row r="240" spans="1:16">
      <c r="A240">
        <v>234</v>
      </c>
      <c r="C240" s="339">
        <v>248</v>
      </c>
      <c r="D240" s="339">
        <v>335</v>
      </c>
      <c r="E240" s="339">
        <v>1</v>
      </c>
      <c r="F240" s="339">
        <v>2</v>
      </c>
      <c r="G240" s="339">
        <v>0</v>
      </c>
      <c r="H240" s="339">
        <v>1</v>
      </c>
      <c r="I240" s="339">
        <v>0</v>
      </c>
      <c r="J240" s="339">
        <v>0</v>
      </c>
      <c r="K240" s="339">
        <v>587</v>
      </c>
      <c r="L240" s="339">
        <v>0</v>
      </c>
      <c r="M240" s="339">
        <v>5</v>
      </c>
      <c r="N240">
        <v>592</v>
      </c>
      <c r="O240">
        <v>0</v>
      </c>
      <c r="P240">
        <f t="shared" si="3"/>
        <v>592</v>
      </c>
    </row>
    <row r="241" spans="1:16">
      <c r="A241">
        <v>235</v>
      </c>
      <c r="C241" s="339">
        <v>151</v>
      </c>
      <c r="D241" s="339">
        <v>497</v>
      </c>
      <c r="E241" s="339">
        <v>2</v>
      </c>
      <c r="F241" s="339">
        <v>1</v>
      </c>
      <c r="G241" s="339">
        <v>0</v>
      </c>
      <c r="H241" s="339">
        <v>0</v>
      </c>
      <c r="I241" s="339">
        <v>2</v>
      </c>
      <c r="J241" s="339">
        <v>1</v>
      </c>
      <c r="K241" s="339">
        <v>654</v>
      </c>
      <c r="L241" s="339">
        <v>0</v>
      </c>
      <c r="M241" s="339">
        <v>2</v>
      </c>
      <c r="N241">
        <v>656</v>
      </c>
      <c r="O241">
        <v>0</v>
      </c>
      <c r="P241">
        <f t="shared" si="3"/>
        <v>656</v>
      </c>
    </row>
    <row r="242" spans="1:16">
      <c r="A242">
        <v>236</v>
      </c>
      <c r="C242" s="339">
        <v>184</v>
      </c>
      <c r="D242" s="339">
        <v>466</v>
      </c>
      <c r="E242" s="339">
        <v>0</v>
      </c>
      <c r="F242" s="339">
        <v>0</v>
      </c>
      <c r="G242" s="339">
        <v>0</v>
      </c>
      <c r="H242" s="339">
        <v>0</v>
      </c>
      <c r="I242" s="339">
        <v>0</v>
      </c>
      <c r="J242" s="339">
        <v>0</v>
      </c>
      <c r="K242" s="339">
        <v>650</v>
      </c>
      <c r="L242" s="339">
        <v>0</v>
      </c>
      <c r="M242" s="339">
        <v>1</v>
      </c>
      <c r="N242">
        <v>651</v>
      </c>
      <c r="O242">
        <v>0</v>
      </c>
      <c r="P242">
        <f t="shared" si="3"/>
        <v>651</v>
      </c>
    </row>
    <row r="243" spans="1:16">
      <c r="A243">
        <v>237</v>
      </c>
      <c r="C243" s="339">
        <v>229</v>
      </c>
      <c r="D243" s="339">
        <v>594</v>
      </c>
      <c r="E243" s="339">
        <v>4</v>
      </c>
      <c r="F243" s="339">
        <v>5</v>
      </c>
      <c r="G243" s="339">
        <v>0</v>
      </c>
      <c r="H243" s="339">
        <v>0</v>
      </c>
      <c r="I243" s="339">
        <v>0</v>
      </c>
      <c r="J243" s="339">
        <v>1</v>
      </c>
      <c r="K243" s="339">
        <v>833</v>
      </c>
      <c r="L243" s="339">
        <v>0</v>
      </c>
      <c r="M243" s="339">
        <v>11</v>
      </c>
      <c r="N243">
        <v>844</v>
      </c>
      <c r="O243">
        <v>0</v>
      </c>
      <c r="P243">
        <f t="shared" si="3"/>
        <v>844</v>
      </c>
    </row>
    <row r="244" spans="1:16">
      <c r="A244">
        <v>238</v>
      </c>
      <c r="C244" s="339">
        <v>337</v>
      </c>
      <c r="D244" s="339">
        <v>499</v>
      </c>
      <c r="E244" s="339">
        <v>0</v>
      </c>
      <c r="F244" s="339">
        <v>4</v>
      </c>
      <c r="G244" s="339">
        <v>0</v>
      </c>
      <c r="H244" s="339">
        <v>1</v>
      </c>
      <c r="I244" s="339">
        <v>0</v>
      </c>
      <c r="J244" s="339">
        <v>2</v>
      </c>
      <c r="K244" s="339">
        <v>843</v>
      </c>
      <c r="L244" s="339">
        <v>0</v>
      </c>
      <c r="M244" s="339">
        <v>4</v>
      </c>
      <c r="N244">
        <v>847</v>
      </c>
      <c r="O244">
        <v>0</v>
      </c>
      <c r="P244">
        <f t="shared" si="3"/>
        <v>847</v>
      </c>
    </row>
    <row r="245" spans="1:16">
      <c r="A245">
        <v>239</v>
      </c>
      <c r="C245" s="339">
        <v>290</v>
      </c>
      <c r="D245" s="339">
        <v>447</v>
      </c>
      <c r="E245" s="339">
        <v>2</v>
      </c>
      <c r="F245" s="339">
        <v>2</v>
      </c>
      <c r="G245" s="339">
        <v>0</v>
      </c>
      <c r="H245" s="339">
        <v>0</v>
      </c>
      <c r="I245" s="339">
        <v>0</v>
      </c>
      <c r="J245" s="339">
        <v>0</v>
      </c>
      <c r="K245" s="339">
        <v>741</v>
      </c>
      <c r="L245" s="339">
        <v>0</v>
      </c>
      <c r="M245" s="339">
        <v>4</v>
      </c>
      <c r="N245">
        <v>745</v>
      </c>
      <c r="O245">
        <v>0</v>
      </c>
      <c r="P245">
        <f t="shared" si="3"/>
        <v>745</v>
      </c>
    </row>
    <row r="246" spans="1:16">
      <c r="A246">
        <v>240</v>
      </c>
      <c r="C246" s="339">
        <v>384</v>
      </c>
      <c r="D246" s="339">
        <v>421</v>
      </c>
      <c r="E246" s="339">
        <v>1</v>
      </c>
      <c r="F246" s="339">
        <v>0</v>
      </c>
      <c r="G246" s="339">
        <v>0</v>
      </c>
      <c r="H246" s="339">
        <v>1</v>
      </c>
      <c r="I246" s="339">
        <v>1</v>
      </c>
      <c r="J246" s="339">
        <v>0</v>
      </c>
      <c r="K246" s="339">
        <v>808</v>
      </c>
      <c r="L246" s="339">
        <v>0</v>
      </c>
      <c r="M246" s="339">
        <v>3</v>
      </c>
      <c r="N246">
        <v>811</v>
      </c>
      <c r="O246">
        <v>0</v>
      </c>
      <c r="P246">
        <f t="shared" si="3"/>
        <v>811</v>
      </c>
    </row>
    <row r="247" spans="1:16">
      <c r="A247">
        <v>241</v>
      </c>
      <c r="C247" s="339">
        <v>443</v>
      </c>
      <c r="D247" s="339">
        <v>196</v>
      </c>
      <c r="E247" s="339">
        <v>3</v>
      </c>
      <c r="F247" s="339">
        <v>0</v>
      </c>
      <c r="G247" s="339">
        <v>3</v>
      </c>
      <c r="H247" s="339">
        <v>2</v>
      </c>
      <c r="I247" s="339">
        <v>1</v>
      </c>
      <c r="J247" s="339">
        <v>0</v>
      </c>
      <c r="K247" s="339">
        <v>648</v>
      </c>
      <c r="L247" s="339">
        <v>0</v>
      </c>
      <c r="M247" s="339">
        <v>1</v>
      </c>
      <c r="N247">
        <v>649</v>
      </c>
      <c r="O247">
        <v>0</v>
      </c>
      <c r="P247">
        <f t="shared" si="3"/>
        <v>649</v>
      </c>
    </row>
    <row r="248" spans="1:16">
      <c r="A248">
        <v>242</v>
      </c>
      <c r="C248" s="339">
        <v>481</v>
      </c>
      <c r="D248" s="339">
        <v>174</v>
      </c>
      <c r="E248" s="339">
        <v>0</v>
      </c>
      <c r="F248" s="339">
        <v>0</v>
      </c>
      <c r="G248" s="339">
        <v>0</v>
      </c>
      <c r="H248" s="339">
        <v>1</v>
      </c>
      <c r="I248" s="339">
        <v>1</v>
      </c>
      <c r="J248" s="339">
        <v>0</v>
      </c>
      <c r="K248" s="339">
        <v>657</v>
      </c>
      <c r="L248" s="339">
        <v>0</v>
      </c>
      <c r="M248" s="339">
        <v>1</v>
      </c>
      <c r="N248">
        <v>658</v>
      </c>
      <c r="O248">
        <v>0</v>
      </c>
      <c r="P248">
        <f t="shared" si="3"/>
        <v>658</v>
      </c>
    </row>
    <row r="249" spans="1:16">
      <c r="A249">
        <v>243</v>
      </c>
      <c r="C249" s="339">
        <v>254</v>
      </c>
      <c r="D249" s="339">
        <v>397</v>
      </c>
      <c r="E249" s="339">
        <v>3</v>
      </c>
      <c r="F249" s="339">
        <v>5</v>
      </c>
      <c r="G249" s="339">
        <v>1</v>
      </c>
      <c r="H249" s="339">
        <v>0</v>
      </c>
      <c r="I249" s="339">
        <v>0</v>
      </c>
      <c r="J249" s="339">
        <v>1</v>
      </c>
      <c r="K249" s="339">
        <v>661</v>
      </c>
      <c r="L249" s="339">
        <v>0</v>
      </c>
      <c r="M249" s="339">
        <v>5</v>
      </c>
      <c r="N249">
        <v>666</v>
      </c>
      <c r="O249">
        <v>0</v>
      </c>
      <c r="P249">
        <f t="shared" si="3"/>
        <v>666</v>
      </c>
    </row>
    <row r="250" spans="1:16">
      <c r="A250">
        <v>244</v>
      </c>
      <c r="C250" s="339">
        <v>424</v>
      </c>
      <c r="D250" s="339">
        <v>73</v>
      </c>
      <c r="E250" s="339">
        <v>0</v>
      </c>
      <c r="F250" s="339">
        <v>0</v>
      </c>
      <c r="G250" s="339">
        <v>0</v>
      </c>
      <c r="H250" s="339">
        <v>0</v>
      </c>
      <c r="I250" s="339">
        <v>1</v>
      </c>
      <c r="J250" s="339">
        <v>0</v>
      </c>
      <c r="K250" s="339">
        <v>498</v>
      </c>
      <c r="L250" s="339">
        <v>0</v>
      </c>
      <c r="M250" s="339">
        <v>0</v>
      </c>
      <c r="N250">
        <v>498</v>
      </c>
      <c r="O250">
        <v>0</v>
      </c>
      <c r="P250">
        <f t="shared" si="3"/>
        <v>498</v>
      </c>
    </row>
    <row r="251" spans="11:16">
      <c r="K251">
        <f>SUM(K7:K250)</f>
        <v>162394</v>
      </c>
      <c r="N251">
        <f>SUM(N7:N250)</f>
        <v>159414</v>
      </c>
      <c r="P251">
        <f>SUM(P7:P250)</f>
        <v>159420</v>
      </c>
    </row>
  </sheetData>
  <mergeCells count="17">
    <mergeCell ref="C3:C6"/>
    <mergeCell ref="D3:D6"/>
    <mergeCell ref="E3:E6"/>
    <mergeCell ref="F3:F6"/>
    <mergeCell ref="G3:G6"/>
    <mergeCell ref="H3:H6"/>
    <mergeCell ref="I3:I6"/>
    <mergeCell ref="J3:J6"/>
    <mergeCell ref="K1:K6"/>
    <mergeCell ref="L1:L6"/>
    <mergeCell ref="M1:M6"/>
    <mergeCell ref="N1:N6"/>
    <mergeCell ref="O1:O6"/>
    <mergeCell ref="P3:P6"/>
    <mergeCell ref="Q3:Q6"/>
    <mergeCell ref="A1:B6"/>
    <mergeCell ref="C1:J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54"/>
  <sheetViews>
    <sheetView zoomScale="62" zoomScaleNormal="62" workbookViewId="0">
      <selection activeCell="B21" sqref="B21"/>
    </sheetView>
  </sheetViews>
  <sheetFormatPr defaultColWidth="9" defaultRowHeight="14.5"/>
  <cols>
    <col min="1" max="1" width="16.1363636363636" customWidth="1"/>
    <col min="2" max="3" width="17.8545454545455" customWidth="1"/>
    <col min="4" max="4" width="9.13636363636364" customWidth="1"/>
    <col min="5" max="5" width="16.5727272727273" customWidth="1"/>
    <col min="6" max="6" width="11.2818181818182" customWidth="1"/>
    <col min="7" max="7" width="14.7090909090909" customWidth="1"/>
    <col min="8" max="8" width="12.7090909090909" customWidth="1"/>
    <col min="9" max="9" width="12.5727272727273" customWidth="1"/>
    <col min="10" max="10" width="11.1363636363636" customWidth="1"/>
    <col min="11" max="11" width="11.5727272727273" customWidth="1"/>
    <col min="18" max="18" width="13.7090909090909" customWidth="1"/>
    <col min="21" max="21" width="15.1363636363636" customWidth="1"/>
  </cols>
  <sheetData>
    <row r="1" spans="1:24">
      <c r="A1" s="695" t="s">
        <v>16</v>
      </c>
      <c r="B1" s="695" t="s">
        <v>0</v>
      </c>
      <c r="C1" s="695" t="s">
        <v>15</v>
      </c>
      <c r="D1" s="695" t="s">
        <v>1</v>
      </c>
      <c r="E1" s="695"/>
      <c r="F1" s="695"/>
      <c r="G1" s="695"/>
      <c r="H1" s="695"/>
      <c r="I1" s="695"/>
      <c r="J1" s="695"/>
      <c r="K1" s="695"/>
      <c r="L1" s="695" t="s">
        <v>2</v>
      </c>
      <c r="M1" s="695" t="s">
        <v>3</v>
      </c>
      <c r="N1" s="695" t="s">
        <v>4</v>
      </c>
      <c r="O1" s="695" t="s">
        <v>5</v>
      </c>
      <c r="P1" s="695" t="s">
        <v>17</v>
      </c>
      <c r="Q1" s="265" t="s">
        <v>18</v>
      </c>
      <c r="R1" s="695" t="s">
        <v>19</v>
      </c>
      <c r="S1" s="265" t="s">
        <v>20</v>
      </c>
      <c r="T1" s="265" t="s">
        <v>21</v>
      </c>
      <c r="U1" s="695" t="s">
        <v>22</v>
      </c>
      <c r="V1" s="265" t="s">
        <v>23</v>
      </c>
      <c r="W1" s="265" t="s">
        <v>24</v>
      </c>
      <c r="X1" s="695" t="s">
        <v>25</v>
      </c>
    </row>
    <row r="2" spans="1:24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  <c r="O2" s="695"/>
      <c r="P2" s="695"/>
      <c r="Q2" s="265"/>
      <c r="R2" s="695"/>
      <c r="S2" s="265"/>
      <c r="T2" s="265"/>
      <c r="U2" s="695"/>
      <c r="V2" s="265"/>
      <c r="W2" s="265"/>
      <c r="X2" s="695"/>
    </row>
    <row r="3" spans="1:24">
      <c r="A3" s="695"/>
      <c r="B3" s="695"/>
      <c r="C3" s="695"/>
      <c r="D3" s="695" t="s">
        <v>7</v>
      </c>
      <c r="E3" s="695" t="s">
        <v>8</v>
      </c>
      <c r="F3" s="695" t="s">
        <v>9</v>
      </c>
      <c r="G3" s="695" t="s">
        <v>10</v>
      </c>
      <c r="H3" s="695" t="s">
        <v>11</v>
      </c>
      <c r="I3" s="695" t="s">
        <v>12</v>
      </c>
      <c r="J3" s="695" t="s">
        <v>9</v>
      </c>
      <c r="K3" s="695" t="s">
        <v>13</v>
      </c>
      <c r="L3" s="695"/>
      <c r="M3" s="695"/>
      <c r="N3" s="695"/>
      <c r="O3" s="695"/>
      <c r="P3" s="695"/>
      <c r="Q3" s="265"/>
      <c r="R3" s="695"/>
      <c r="S3" s="265"/>
      <c r="T3" s="265"/>
      <c r="U3" s="695"/>
      <c r="V3" s="265"/>
      <c r="W3" s="265"/>
      <c r="X3" s="695"/>
    </row>
    <row r="4" spans="1:25">
      <c r="A4" s="695"/>
      <c r="B4" s="695"/>
      <c r="C4" s="695"/>
      <c r="D4" s="695"/>
      <c r="E4" s="695"/>
      <c r="F4" s="695"/>
      <c r="G4" s="695"/>
      <c r="H4" s="695"/>
      <c r="I4" s="695"/>
      <c r="J4" s="695"/>
      <c r="K4" s="695"/>
      <c r="L4" s="695"/>
      <c r="M4" s="695"/>
      <c r="N4" s="695"/>
      <c r="O4" s="695"/>
      <c r="P4" s="695"/>
      <c r="Q4" s="265"/>
      <c r="R4" s="695"/>
      <c r="S4" s="265"/>
      <c r="T4" s="265"/>
      <c r="U4" s="695"/>
      <c r="V4" s="265"/>
      <c r="W4" s="265"/>
      <c r="X4" s="695"/>
      <c r="Y4" s="265" t="s">
        <v>26</v>
      </c>
    </row>
    <row r="5" spans="1:25">
      <c r="A5" s="695"/>
      <c r="B5" s="695"/>
      <c r="C5" s="695"/>
      <c r="D5" s="695"/>
      <c r="E5" s="695"/>
      <c r="F5" s="695"/>
      <c r="G5" s="695"/>
      <c r="H5" s="695"/>
      <c r="I5" s="695"/>
      <c r="J5" s="695"/>
      <c r="K5" s="695"/>
      <c r="L5" s="695"/>
      <c r="M5" s="695"/>
      <c r="N5" s="695"/>
      <c r="O5" s="695"/>
      <c r="P5" s="695"/>
      <c r="Q5" s="265"/>
      <c r="R5" s="695"/>
      <c r="S5" s="265"/>
      <c r="T5" s="265"/>
      <c r="U5" s="695"/>
      <c r="V5" s="265"/>
      <c r="W5" s="265"/>
      <c r="X5" s="695"/>
      <c r="Y5" s="265"/>
    </row>
    <row r="6" spans="1:25">
      <c r="A6" s="695"/>
      <c r="B6" s="695"/>
      <c r="C6" s="695"/>
      <c r="D6" s="695"/>
      <c r="E6" s="695"/>
      <c r="F6" s="695"/>
      <c r="G6" s="695"/>
      <c r="H6" s="695"/>
      <c r="I6" s="695"/>
      <c r="J6" s="695"/>
      <c r="K6" s="695"/>
      <c r="L6" s="695"/>
      <c r="M6" s="695"/>
      <c r="N6" s="695"/>
      <c r="O6" s="695"/>
      <c r="P6" s="695"/>
      <c r="Q6" s="265"/>
      <c r="R6" s="695"/>
      <c r="S6" s="265"/>
      <c r="T6" s="265"/>
      <c r="U6" s="695"/>
      <c r="V6" s="265"/>
      <c r="W6" s="265"/>
      <c r="X6" s="695"/>
      <c r="Y6" s="265"/>
    </row>
    <row r="7" spans="1:25">
      <c r="A7" t="s">
        <v>27</v>
      </c>
      <c r="B7">
        <v>44</v>
      </c>
      <c r="C7">
        <v>1158</v>
      </c>
      <c r="D7">
        <v>182</v>
      </c>
      <c r="E7">
        <v>600</v>
      </c>
      <c r="F7">
        <v>3</v>
      </c>
      <c r="G7">
        <v>1</v>
      </c>
      <c r="H7">
        <v>1</v>
      </c>
      <c r="I7">
        <v>0</v>
      </c>
      <c r="J7">
        <v>5</v>
      </c>
      <c r="K7">
        <v>2</v>
      </c>
      <c r="L7">
        <v>794</v>
      </c>
      <c r="M7">
        <v>0</v>
      </c>
      <c r="N7">
        <v>5</v>
      </c>
      <c r="O7">
        <f>D7+E7+F7+G7+H7+I7+J7+K7+N7</f>
        <v>799</v>
      </c>
      <c r="P7">
        <f>(O7/C7)*100</f>
        <v>68.9982728842833</v>
      </c>
      <c r="Q7">
        <f>(E7/O7)*100</f>
        <v>75.0938673341677</v>
      </c>
      <c r="R7">
        <f>(D7/O7)*100</f>
        <v>22.7784730913642</v>
      </c>
      <c r="S7">
        <f>(F7/O7)*100</f>
        <v>0.375469336670839</v>
      </c>
      <c r="T7">
        <f>(G7/O7)*100</f>
        <v>0.125156445556946</v>
      </c>
      <c r="U7">
        <f>((H7+I7+J7+K7)/O7)*100</f>
        <v>1.00125156445557</v>
      </c>
      <c r="V7">
        <f>(N7/O7)*100</f>
        <v>0.625782227784731</v>
      </c>
      <c r="W7">
        <f>Q7+R7+S7+T7+U7+V7</f>
        <v>100</v>
      </c>
      <c r="X7">
        <v>66.75</v>
      </c>
      <c r="Y7">
        <f>P7-X7</f>
        <v>2.24827288428325</v>
      </c>
    </row>
    <row r="8" spans="2:25">
      <c r="B8">
        <v>189</v>
      </c>
      <c r="C8">
        <v>830</v>
      </c>
      <c r="D8">
        <v>250</v>
      </c>
      <c r="E8">
        <v>282</v>
      </c>
      <c r="F8">
        <v>0</v>
      </c>
      <c r="G8">
        <v>1</v>
      </c>
      <c r="H8">
        <v>0</v>
      </c>
      <c r="I8">
        <v>0</v>
      </c>
      <c r="J8">
        <v>1</v>
      </c>
      <c r="K8">
        <v>0</v>
      </c>
      <c r="L8">
        <v>534</v>
      </c>
      <c r="M8">
        <v>0</v>
      </c>
      <c r="N8">
        <v>2</v>
      </c>
      <c r="O8">
        <f t="shared" ref="O8:O46" si="0">D8+E8+F8+G8+H8+I8+J8+K8+N8</f>
        <v>536</v>
      </c>
      <c r="P8">
        <f t="shared" ref="P8:P71" si="1">(O8/C8)*100</f>
        <v>64.578313253012</v>
      </c>
      <c r="Q8">
        <f t="shared" ref="Q8:Q46" si="2">(E8/O8)*100</f>
        <v>52.6119402985075</v>
      </c>
      <c r="R8">
        <f t="shared" ref="R8:R46" si="3">(D8/O8)*100</f>
        <v>46.6417910447761</v>
      </c>
      <c r="S8">
        <f t="shared" ref="S8:S46" si="4">(F8/O8)*100</f>
        <v>0</v>
      </c>
      <c r="T8">
        <f t="shared" ref="T8:T46" si="5">(G8/O8)*100</f>
        <v>0.186567164179104</v>
      </c>
      <c r="U8">
        <f t="shared" ref="U8:U46" si="6">((H8+I8+J8+K8)/O8)*100</f>
        <v>0.186567164179104</v>
      </c>
      <c r="V8">
        <f t="shared" ref="V8:V46" si="7">(N8/O8)*100</f>
        <v>0.373134328358209</v>
      </c>
      <c r="W8">
        <f t="shared" ref="W8:W71" si="8">Q8+R8+S8+T8+U8+V8</f>
        <v>100</v>
      </c>
      <c r="X8">
        <v>62.77</v>
      </c>
      <c r="Y8">
        <f t="shared" ref="Y8:Y71" si="9">P8-X8</f>
        <v>1.80831325301204</v>
      </c>
    </row>
    <row r="9" spans="2:25">
      <c r="B9">
        <v>191</v>
      </c>
      <c r="C9">
        <v>1339</v>
      </c>
      <c r="D9">
        <v>418</v>
      </c>
      <c r="E9">
        <v>376</v>
      </c>
      <c r="F9">
        <v>6</v>
      </c>
      <c r="G9">
        <v>4</v>
      </c>
      <c r="H9">
        <v>1</v>
      </c>
      <c r="I9">
        <v>2</v>
      </c>
      <c r="J9">
        <v>1</v>
      </c>
      <c r="K9">
        <v>1</v>
      </c>
      <c r="L9">
        <v>809</v>
      </c>
      <c r="M9">
        <v>0</v>
      </c>
      <c r="N9">
        <v>6</v>
      </c>
      <c r="O9">
        <v>815</v>
      </c>
      <c r="P9">
        <f t="shared" si="1"/>
        <v>60.8663181478715</v>
      </c>
      <c r="Q9">
        <f t="shared" si="2"/>
        <v>46.1349693251534</v>
      </c>
      <c r="R9">
        <f t="shared" si="3"/>
        <v>51.2883435582822</v>
      </c>
      <c r="S9">
        <f t="shared" si="4"/>
        <v>0.736196319018405</v>
      </c>
      <c r="T9">
        <f t="shared" si="5"/>
        <v>0.49079754601227</v>
      </c>
      <c r="U9">
        <f t="shared" si="6"/>
        <v>0.613496932515337</v>
      </c>
      <c r="V9">
        <f t="shared" si="7"/>
        <v>0.736196319018405</v>
      </c>
      <c r="W9">
        <f t="shared" si="8"/>
        <v>100</v>
      </c>
      <c r="X9">
        <v>54</v>
      </c>
      <c r="Y9">
        <f t="shared" si="9"/>
        <v>6.86631814787155</v>
      </c>
    </row>
    <row r="10" spans="2:25">
      <c r="B10">
        <v>190</v>
      </c>
      <c r="C10">
        <v>774</v>
      </c>
      <c r="D10">
        <v>241</v>
      </c>
      <c r="E10">
        <v>251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494</v>
      </c>
      <c r="M10">
        <v>0</v>
      </c>
      <c r="N10">
        <v>2</v>
      </c>
      <c r="O10">
        <v>496</v>
      </c>
      <c r="P10">
        <f t="shared" si="1"/>
        <v>64.0826873385013</v>
      </c>
      <c r="Q10">
        <f t="shared" si="2"/>
        <v>50.6048387096774</v>
      </c>
      <c r="R10">
        <f t="shared" si="3"/>
        <v>48.5887096774194</v>
      </c>
      <c r="S10">
        <f t="shared" si="4"/>
        <v>0.201612903225806</v>
      </c>
      <c r="T10">
        <f t="shared" si="5"/>
        <v>0</v>
      </c>
      <c r="U10">
        <f t="shared" si="6"/>
        <v>0.201612903225806</v>
      </c>
      <c r="V10">
        <f t="shared" si="7"/>
        <v>0.403225806451613</v>
      </c>
      <c r="W10">
        <f t="shared" si="8"/>
        <v>100</v>
      </c>
      <c r="X10">
        <v>63.7</v>
      </c>
      <c r="Y10">
        <f t="shared" si="9"/>
        <v>0.382687338501285</v>
      </c>
    </row>
    <row r="11" spans="2:25">
      <c r="B11">
        <v>192</v>
      </c>
      <c r="C11">
        <v>1034</v>
      </c>
      <c r="D11">
        <v>330</v>
      </c>
      <c r="E11">
        <v>337</v>
      </c>
      <c r="F11">
        <v>2</v>
      </c>
      <c r="G11">
        <v>1</v>
      </c>
      <c r="H11">
        <v>1</v>
      </c>
      <c r="I11">
        <v>0</v>
      </c>
      <c r="J11">
        <v>2</v>
      </c>
      <c r="K11">
        <v>0</v>
      </c>
      <c r="L11">
        <v>673</v>
      </c>
      <c r="M11">
        <v>0</v>
      </c>
      <c r="N11">
        <v>5</v>
      </c>
      <c r="O11">
        <v>678</v>
      </c>
      <c r="P11">
        <f t="shared" si="1"/>
        <v>65.5705996131528</v>
      </c>
      <c r="Q11">
        <f t="shared" si="2"/>
        <v>49.7050147492625</v>
      </c>
      <c r="R11">
        <f t="shared" si="3"/>
        <v>48.6725663716814</v>
      </c>
      <c r="S11">
        <f t="shared" si="4"/>
        <v>0.294985250737463</v>
      </c>
      <c r="T11">
        <f t="shared" si="5"/>
        <v>0.147492625368732</v>
      </c>
      <c r="U11">
        <f t="shared" si="6"/>
        <v>0.442477876106195</v>
      </c>
      <c r="V11">
        <f t="shared" si="7"/>
        <v>0.737463126843658</v>
      </c>
      <c r="W11">
        <f t="shared" si="8"/>
        <v>100</v>
      </c>
      <c r="X11">
        <v>51.74</v>
      </c>
      <c r="Y11">
        <f t="shared" si="9"/>
        <v>13.8305996131528</v>
      </c>
    </row>
    <row r="12" spans="2:25">
      <c r="B12">
        <v>197</v>
      </c>
      <c r="C12">
        <v>1294</v>
      </c>
      <c r="D12">
        <v>360</v>
      </c>
      <c r="E12">
        <v>543</v>
      </c>
      <c r="F12">
        <v>1</v>
      </c>
      <c r="G12">
        <v>1</v>
      </c>
      <c r="H12">
        <v>0</v>
      </c>
      <c r="I12">
        <v>0</v>
      </c>
      <c r="J12">
        <v>2</v>
      </c>
      <c r="K12">
        <v>1</v>
      </c>
      <c r="L12">
        <v>908</v>
      </c>
      <c r="M12">
        <v>0</v>
      </c>
      <c r="N12">
        <v>9</v>
      </c>
      <c r="O12">
        <v>917</v>
      </c>
      <c r="P12">
        <f t="shared" si="1"/>
        <v>70.8655332302937</v>
      </c>
      <c r="Q12">
        <f t="shared" si="2"/>
        <v>59.2148309705562</v>
      </c>
      <c r="R12">
        <f t="shared" si="3"/>
        <v>39.2584514721919</v>
      </c>
      <c r="S12">
        <f t="shared" si="4"/>
        <v>0.109051254089422</v>
      </c>
      <c r="T12">
        <f t="shared" si="5"/>
        <v>0.109051254089422</v>
      </c>
      <c r="U12">
        <f t="shared" si="6"/>
        <v>0.327153762268266</v>
      </c>
      <c r="V12">
        <f t="shared" si="7"/>
        <v>0.981461286804798</v>
      </c>
      <c r="W12">
        <f t="shared" si="8"/>
        <v>100</v>
      </c>
      <c r="X12">
        <v>68.62</v>
      </c>
      <c r="Y12">
        <f t="shared" si="9"/>
        <v>2.24553323029366</v>
      </c>
    </row>
    <row r="13" spans="2:25">
      <c r="B13">
        <v>45</v>
      </c>
      <c r="C13">
        <v>704</v>
      </c>
      <c r="D13">
        <v>171</v>
      </c>
      <c r="E13">
        <v>350</v>
      </c>
      <c r="F13">
        <v>1</v>
      </c>
      <c r="G13">
        <v>0</v>
      </c>
      <c r="H13">
        <v>0</v>
      </c>
      <c r="I13">
        <v>0</v>
      </c>
      <c r="J13">
        <v>0</v>
      </c>
      <c r="K13">
        <v>2</v>
      </c>
      <c r="L13">
        <v>524</v>
      </c>
      <c r="M13">
        <v>0</v>
      </c>
      <c r="N13">
        <v>2</v>
      </c>
      <c r="O13">
        <f t="shared" si="0"/>
        <v>526</v>
      </c>
      <c r="P13">
        <f t="shared" si="1"/>
        <v>74.7159090909091</v>
      </c>
      <c r="Q13">
        <f t="shared" si="2"/>
        <v>66.5399239543726</v>
      </c>
      <c r="R13">
        <f t="shared" si="3"/>
        <v>32.5095057034221</v>
      </c>
      <c r="S13">
        <f t="shared" si="4"/>
        <v>0.190114068441065</v>
      </c>
      <c r="T13">
        <f t="shared" si="5"/>
        <v>0</v>
      </c>
      <c r="U13">
        <f t="shared" si="6"/>
        <v>0.380228136882129</v>
      </c>
      <c r="V13">
        <f t="shared" si="7"/>
        <v>0.380228136882129</v>
      </c>
      <c r="W13">
        <f t="shared" si="8"/>
        <v>100</v>
      </c>
      <c r="X13">
        <v>76.56</v>
      </c>
      <c r="Y13">
        <f t="shared" si="9"/>
        <v>-1.84409090909091</v>
      </c>
    </row>
    <row r="14" spans="1:25">
      <c r="A14" t="s">
        <v>28</v>
      </c>
      <c r="B14">
        <v>188</v>
      </c>
      <c r="C14">
        <v>1077</v>
      </c>
      <c r="D14">
        <v>250</v>
      </c>
      <c r="E14">
        <v>476</v>
      </c>
      <c r="F14">
        <v>2</v>
      </c>
      <c r="G14">
        <v>0</v>
      </c>
      <c r="H14">
        <v>0</v>
      </c>
      <c r="I14">
        <v>0</v>
      </c>
      <c r="J14">
        <v>0</v>
      </c>
      <c r="K14">
        <v>1</v>
      </c>
      <c r="L14">
        <v>729</v>
      </c>
      <c r="M14">
        <v>0</v>
      </c>
      <c r="N14">
        <v>4</v>
      </c>
      <c r="O14">
        <f t="shared" si="0"/>
        <v>733</v>
      </c>
      <c r="P14">
        <f t="shared" si="1"/>
        <v>68.0594243268338</v>
      </c>
      <c r="Q14">
        <f t="shared" si="2"/>
        <v>64.9386084583902</v>
      </c>
      <c r="R14">
        <f t="shared" si="3"/>
        <v>34.106412005457</v>
      </c>
      <c r="S14">
        <f t="shared" si="4"/>
        <v>0.272851296043656</v>
      </c>
      <c r="T14">
        <f t="shared" si="5"/>
        <v>0</v>
      </c>
      <c r="U14">
        <f t="shared" si="6"/>
        <v>0.136425648021828</v>
      </c>
      <c r="V14">
        <f t="shared" si="7"/>
        <v>0.545702592087312</v>
      </c>
      <c r="W14">
        <f t="shared" si="8"/>
        <v>100</v>
      </c>
      <c r="X14">
        <v>66.11</v>
      </c>
      <c r="Y14">
        <f t="shared" si="9"/>
        <v>1.94942432683379</v>
      </c>
    </row>
    <row r="15" spans="2:25">
      <c r="B15">
        <v>187</v>
      </c>
      <c r="C15">
        <v>1008</v>
      </c>
      <c r="D15">
        <v>135</v>
      </c>
      <c r="E15">
        <v>583</v>
      </c>
      <c r="F15">
        <v>3</v>
      </c>
      <c r="G15">
        <v>7</v>
      </c>
      <c r="H15">
        <v>0</v>
      </c>
      <c r="I15">
        <v>0</v>
      </c>
      <c r="J15">
        <v>0</v>
      </c>
      <c r="K15">
        <v>1</v>
      </c>
      <c r="L15">
        <v>729</v>
      </c>
      <c r="M15">
        <v>0</v>
      </c>
      <c r="N15">
        <v>4</v>
      </c>
      <c r="O15">
        <f t="shared" si="0"/>
        <v>733</v>
      </c>
      <c r="P15">
        <f t="shared" si="1"/>
        <v>72.718253968254</v>
      </c>
      <c r="Q15">
        <f t="shared" si="2"/>
        <v>79.5361527967258</v>
      </c>
      <c r="R15">
        <f t="shared" si="3"/>
        <v>18.4174624829468</v>
      </c>
      <c r="S15">
        <f t="shared" si="4"/>
        <v>0.409276944065484</v>
      </c>
      <c r="T15">
        <f t="shared" si="5"/>
        <v>0.954979536152797</v>
      </c>
      <c r="U15">
        <f t="shared" si="6"/>
        <v>0.136425648021828</v>
      </c>
      <c r="V15">
        <f t="shared" si="7"/>
        <v>0.545702592087312</v>
      </c>
      <c r="W15">
        <f t="shared" si="8"/>
        <v>100</v>
      </c>
      <c r="X15">
        <v>69.84</v>
      </c>
      <c r="Y15">
        <f t="shared" si="9"/>
        <v>2.87825396825396</v>
      </c>
    </row>
    <row r="16" spans="2:25">
      <c r="B16">
        <v>186</v>
      </c>
      <c r="C16">
        <v>823</v>
      </c>
      <c r="D16">
        <v>162</v>
      </c>
      <c r="E16">
        <v>450</v>
      </c>
      <c r="F16">
        <v>0</v>
      </c>
      <c r="G16">
        <v>4</v>
      </c>
      <c r="H16">
        <v>0</v>
      </c>
      <c r="I16">
        <v>0</v>
      </c>
      <c r="J16">
        <v>2</v>
      </c>
      <c r="K16">
        <v>3</v>
      </c>
      <c r="L16">
        <v>622</v>
      </c>
      <c r="M16">
        <v>0</v>
      </c>
      <c r="N16">
        <v>7</v>
      </c>
      <c r="O16">
        <f t="shared" si="0"/>
        <v>628</v>
      </c>
      <c r="P16">
        <f t="shared" si="1"/>
        <v>76.3061968408262</v>
      </c>
      <c r="Q16">
        <f t="shared" si="2"/>
        <v>71.656050955414</v>
      </c>
      <c r="R16">
        <f t="shared" si="3"/>
        <v>25.796178343949</v>
      </c>
      <c r="S16">
        <f t="shared" si="4"/>
        <v>0</v>
      </c>
      <c r="T16">
        <f t="shared" si="5"/>
        <v>0.636942675159236</v>
      </c>
      <c r="U16">
        <f t="shared" si="6"/>
        <v>0.796178343949045</v>
      </c>
      <c r="V16">
        <f t="shared" si="7"/>
        <v>1.11464968152866</v>
      </c>
      <c r="W16">
        <f t="shared" si="8"/>
        <v>100</v>
      </c>
      <c r="X16">
        <v>73.15</v>
      </c>
      <c r="Y16">
        <f t="shared" si="9"/>
        <v>3.15619684082624</v>
      </c>
    </row>
    <row r="17" spans="2:25">
      <c r="B17">
        <v>185</v>
      </c>
      <c r="C17">
        <v>523</v>
      </c>
      <c r="D17">
        <v>148</v>
      </c>
      <c r="E17">
        <v>174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324</v>
      </c>
      <c r="M17">
        <v>0</v>
      </c>
      <c r="N17">
        <v>5</v>
      </c>
      <c r="O17">
        <f t="shared" si="0"/>
        <v>329</v>
      </c>
      <c r="P17">
        <f t="shared" si="1"/>
        <v>62.906309751434</v>
      </c>
      <c r="Q17">
        <f t="shared" si="2"/>
        <v>52.887537993921</v>
      </c>
      <c r="R17">
        <f t="shared" si="3"/>
        <v>44.9848024316109</v>
      </c>
      <c r="S17">
        <f t="shared" si="4"/>
        <v>0.303951367781155</v>
      </c>
      <c r="T17">
        <f t="shared" si="5"/>
        <v>0.303951367781155</v>
      </c>
      <c r="U17">
        <f t="shared" si="6"/>
        <v>0</v>
      </c>
      <c r="V17">
        <f t="shared" si="7"/>
        <v>1.51975683890578</v>
      </c>
      <c r="W17">
        <f t="shared" si="8"/>
        <v>100</v>
      </c>
      <c r="X17">
        <v>58.13</v>
      </c>
      <c r="Y17">
        <f t="shared" si="9"/>
        <v>4.77630975143403</v>
      </c>
    </row>
    <row r="18" spans="2:25">
      <c r="B18">
        <v>184</v>
      </c>
      <c r="C18">
        <v>841</v>
      </c>
      <c r="D18">
        <v>128</v>
      </c>
      <c r="E18">
        <v>402</v>
      </c>
      <c r="F18">
        <v>2</v>
      </c>
      <c r="G18">
        <v>7</v>
      </c>
      <c r="H18">
        <v>1</v>
      </c>
      <c r="I18">
        <v>0</v>
      </c>
      <c r="J18">
        <v>0</v>
      </c>
      <c r="K18">
        <v>3</v>
      </c>
      <c r="L18">
        <v>543</v>
      </c>
      <c r="M18">
        <v>0</v>
      </c>
      <c r="N18">
        <v>2</v>
      </c>
      <c r="O18">
        <f t="shared" si="0"/>
        <v>545</v>
      </c>
      <c r="P18">
        <f t="shared" si="1"/>
        <v>64.8038049940547</v>
      </c>
      <c r="Q18">
        <f t="shared" si="2"/>
        <v>73.7614678899083</v>
      </c>
      <c r="R18">
        <f t="shared" si="3"/>
        <v>23.4862385321101</v>
      </c>
      <c r="S18">
        <f t="shared" si="4"/>
        <v>0.36697247706422</v>
      </c>
      <c r="T18">
        <f t="shared" si="5"/>
        <v>1.28440366972477</v>
      </c>
      <c r="U18">
        <f t="shared" si="6"/>
        <v>0.73394495412844</v>
      </c>
      <c r="V18">
        <f t="shared" si="7"/>
        <v>0.36697247706422</v>
      </c>
      <c r="W18">
        <f t="shared" si="8"/>
        <v>100</v>
      </c>
      <c r="X18">
        <v>62.9</v>
      </c>
      <c r="Y18">
        <f t="shared" si="9"/>
        <v>1.90380499405469</v>
      </c>
    </row>
    <row r="19" spans="2:25">
      <c r="B19">
        <v>209</v>
      </c>
      <c r="C19">
        <v>777</v>
      </c>
      <c r="D19">
        <v>218</v>
      </c>
      <c r="E19">
        <v>361</v>
      </c>
      <c r="F19">
        <v>1</v>
      </c>
      <c r="G19">
        <v>4</v>
      </c>
      <c r="H19">
        <v>0</v>
      </c>
      <c r="I19">
        <v>0</v>
      </c>
      <c r="J19">
        <v>0</v>
      </c>
      <c r="K19">
        <v>0</v>
      </c>
      <c r="L19">
        <v>584</v>
      </c>
      <c r="M19">
        <v>0</v>
      </c>
      <c r="N19">
        <v>2</v>
      </c>
      <c r="O19">
        <f t="shared" si="0"/>
        <v>586</v>
      </c>
      <c r="P19">
        <f t="shared" si="1"/>
        <v>75.4182754182754</v>
      </c>
      <c r="Q19">
        <f t="shared" si="2"/>
        <v>61.6040955631399</v>
      </c>
      <c r="R19">
        <f t="shared" si="3"/>
        <v>37.2013651877133</v>
      </c>
      <c r="S19">
        <f t="shared" si="4"/>
        <v>0.170648464163823</v>
      </c>
      <c r="T19">
        <f t="shared" si="5"/>
        <v>0.68259385665529</v>
      </c>
      <c r="U19">
        <f t="shared" si="6"/>
        <v>0</v>
      </c>
      <c r="V19">
        <f t="shared" si="7"/>
        <v>0.341296928327645</v>
      </c>
      <c r="W19">
        <f t="shared" si="8"/>
        <v>100</v>
      </c>
      <c r="X19">
        <v>66.28</v>
      </c>
      <c r="Y19">
        <f t="shared" si="9"/>
        <v>9.13827541827541</v>
      </c>
    </row>
    <row r="20" spans="2:25">
      <c r="B20">
        <v>210</v>
      </c>
      <c r="C20">
        <v>663</v>
      </c>
      <c r="D20">
        <v>153</v>
      </c>
      <c r="E20">
        <v>300</v>
      </c>
      <c r="F20">
        <v>5</v>
      </c>
      <c r="G20">
        <v>2</v>
      </c>
      <c r="H20">
        <v>0</v>
      </c>
      <c r="I20">
        <v>0</v>
      </c>
      <c r="J20">
        <v>0</v>
      </c>
      <c r="K20">
        <v>1</v>
      </c>
      <c r="L20">
        <v>461</v>
      </c>
      <c r="M20">
        <v>0</v>
      </c>
      <c r="N20">
        <v>1</v>
      </c>
      <c r="O20">
        <f t="shared" si="0"/>
        <v>462</v>
      </c>
      <c r="P20">
        <f t="shared" si="1"/>
        <v>69.683257918552</v>
      </c>
      <c r="Q20">
        <f t="shared" si="2"/>
        <v>64.9350649350649</v>
      </c>
      <c r="R20">
        <f t="shared" si="3"/>
        <v>33.1168831168831</v>
      </c>
      <c r="S20">
        <f t="shared" si="4"/>
        <v>1.08225108225108</v>
      </c>
      <c r="T20">
        <f t="shared" si="5"/>
        <v>0.432900432900433</v>
      </c>
      <c r="U20">
        <f t="shared" si="6"/>
        <v>0.216450216450216</v>
      </c>
      <c r="V20">
        <f t="shared" si="7"/>
        <v>0.216450216450216</v>
      </c>
      <c r="W20">
        <f t="shared" si="8"/>
        <v>100</v>
      </c>
      <c r="X20">
        <v>68.33</v>
      </c>
      <c r="Y20">
        <f t="shared" si="9"/>
        <v>1.35325791855203</v>
      </c>
    </row>
    <row r="21" spans="1:25">
      <c r="A21" t="s">
        <v>29</v>
      </c>
      <c r="B21">
        <v>152</v>
      </c>
      <c r="C21">
        <v>694</v>
      </c>
      <c r="D21">
        <v>182</v>
      </c>
      <c r="E21">
        <v>268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451</v>
      </c>
      <c r="M21">
        <v>0</v>
      </c>
      <c r="N21">
        <v>2</v>
      </c>
      <c r="O21">
        <f t="shared" si="0"/>
        <v>453</v>
      </c>
      <c r="P21">
        <f t="shared" si="1"/>
        <v>65.2737752161383</v>
      </c>
      <c r="Q21">
        <f t="shared" si="2"/>
        <v>59.1611479028698</v>
      </c>
      <c r="R21">
        <f t="shared" si="3"/>
        <v>40.1766004415011</v>
      </c>
      <c r="S21">
        <f t="shared" si="4"/>
        <v>0</v>
      </c>
      <c r="T21">
        <f t="shared" si="5"/>
        <v>0</v>
      </c>
      <c r="U21">
        <f t="shared" si="6"/>
        <v>0.22075055187638</v>
      </c>
      <c r="V21">
        <f t="shared" si="7"/>
        <v>0.441501103752759</v>
      </c>
      <c r="W21">
        <f t="shared" si="8"/>
        <v>100</v>
      </c>
      <c r="X21">
        <v>61.38</v>
      </c>
      <c r="Y21">
        <f t="shared" si="9"/>
        <v>3.89377521613833</v>
      </c>
    </row>
    <row r="22" spans="2:25">
      <c r="B22">
        <v>151</v>
      </c>
      <c r="C22">
        <v>967</v>
      </c>
      <c r="D22">
        <v>149</v>
      </c>
      <c r="E22">
        <v>438</v>
      </c>
      <c r="F22">
        <v>2</v>
      </c>
      <c r="G22">
        <v>2</v>
      </c>
      <c r="H22">
        <v>0</v>
      </c>
      <c r="I22">
        <v>1</v>
      </c>
      <c r="J22">
        <v>0</v>
      </c>
      <c r="K22">
        <v>0</v>
      </c>
      <c r="L22">
        <v>592</v>
      </c>
      <c r="M22">
        <v>0</v>
      </c>
      <c r="N22">
        <v>3</v>
      </c>
      <c r="O22">
        <f t="shared" si="0"/>
        <v>595</v>
      </c>
      <c r="P22">
        <f t="shared" si="1"/>
        <v>61.5305067218201</v>
      </c>
      <c r="Q22">
        <f t="shared" si="2"/>
        <v>73.6134453781513</v>
      </c>
      <c r="R22">
        <f t="shared" si="3"/>
        <v>25.0420168067227</v>
      </c>
      <c r="S22">
        <f t="shared" si="4"/>
        <v>0.336134453781513</v>
      </c>
      <c r="T22">
        <f t="shared" si="5"/>
        <v>0.336134453781513</v>
      </c>
      <c r="U22">
        <f t="shared" si="6"/>
        <v>0.168067226890756</v>
      </c>
      <c r="V22">
        <f t="shared" si="7"/>
        <v>0.504201680672269</v>
      </c>
      <c r="W22">
        <f t="shared" si="8"/>
        <v>100</v>
      </c>
      <c r="X22">
        <v>59.05</v>
      </c>
      <c r="Y22">
        <f t="shared" si="9"/>
        <v>2.48050672182007</v>
      </c>
    </row>
    <row r="23" spans="2:25">
      <c r="B23">
        <v>242</v>
      </c>
      <c r="C23">
        <v>1008</v>
      </c>
      <c r="D23">
        <v>481</v>
      </c>
      <c r="E23">
        <v>174</v>
      </c>
      <c r="F23">
        <v>0</v>
      </c>
      <c r="G23">
        <v>0</v>
      </c>
      <c r="H23">
        <v>0</v>
      </c>
      <c r="I23">
        <v>1</v>
      </c>
      <c r="J23">
        <v>1</v>
      </c>
      <c r="K23">
        <v>0</v>
      </c>
      <c r="L23">
        <v>657</v>
      </c>
      <c r="M23">
        <v>0</v>
      </c>
      <c r="N23">
        <v>1</v>
      </c>
      <c r="O23">
        <f t="shared" si="0"/>
        <v>658</v>
      </c>
      <c r="P23">
        <f t="shared" si="1"/>
        <v>65.2777777777778</v>
      </c>
      <c r="Q23">
        <f t="shared" si="2"/>
        <v>26.4437689969605</v>
      </c>
      <c r="R23">
        <f t="shared" si="3"/>
        <v>73.1003039513678</v>
      </c>
      <c r="S23">
        <f t="shared" si="4"/>
        <v>0</v>
      </c>
      <c r="T23">
        <f t="shared" si="5"/>
        <v>0</v>
      </c>
      <c r="U23">
        <f t="shared" si="6"/>
        <v>0.303951367781155</v>
      </c>
      <c r="V23">
        <f t="shared" si="7"/>
        <v>0.151975683890578</v>
      </c>
      <c r="W23">
        <f t="shared" si="8"/>
        <v>100</v>
      </c>
      <c r="X23">
        <v>64.48</v>
      </c>
      <c r="Y23">
        <f t="shared" si="9"/>
        <v>0.797777777777782</v>
      </c>
    </row>
    <row r="24" spans="2:25">
      <c r="B24">
        <v>243</v>
      </c>
      <c r="C24">
        <v>964</v>
      </c>
      <c r="D24">
        <v>254</v>
      </c>
      <c r="E24">
        <v>397</v>
      </c>
      <c r="F24">
        <v>3</v>
      </c>
      <c r="G24">
        <v>5</v>
      </c>
      <c r="H24">
        <v>1</v>
      </c>
      <c r="I24">
        <v>0</v>
      </c>
      <c r="J24">
        <v>0</v>
      </c>
      <c r="K24">
        <v>1</v>
      </c>
      <c r="L24">
        <v>661</v>
      </c>
      <c r="M24">
        <v>0</v>
      </c>
      <c r="N24">
        <v>5</v>
      </c>
      <c r="O24">
        <f t="shared" si="0"/>
        <v>666</v>
      </c>
      <c r="P24">
        <f t="shared" si="1"/>
        <v>69.0871369294606</v>
      </c>
      <c r="Q24">
        <f t="shared" si="2"/>
        <v>59.6096096096096</v>
      </c>
      <c r="R24">
        <f t="shared" si="3"/>
        <v>38.1381381381381</v>
      </c>
      <c r="S24">
        <f t="shared" si="4"/>
        <v>0.45045045045045</v>
      </c>
      <c r="T24">
        <f t="shared" si="5"/>
        <v>0.750750750750751</v>
      </c>
      <c r="U24">
        <f t="shared" si="6"/>
        <v>0.3003003003003</v>
      </c>
      <c r="V24">
        <f t="shared" si="7"/>
        <v>0.750750750750751</v>
      </c>
      <c r="W24">
        <f t="shared" si="8"/>
        <v>100</v>
      </c>
      <c r="X24">
        <v>66.7</v>
      </c>
      <c r="Y24">
        <f t="shared" si="9"/>
        <v>2.38713692946058</v>
      </c>
    </row>
    <row r="25" spans="2:25">
      <c r="B25">
        <v>221</v>
      </c>
      <c r="C25">
        <v>1018</v>
      </c>
      <c r="D25">
        <v>320</v>
      </c>
      <c r="E25">
        <v>275</v>
      </c>
      <c r="F25">
        <v>4</v>
      </c>
      <c r="G25">
        <v>1</v>
      </c>
      <c r="H25">
        <v>0</v>
      </c>
      <c r="I25">
        <v>0</v>
      </c>
      <c r="J25">
        <v>1</v>
      </c>
      <c r="K25">
        <v>0</v>
      </c>
      <c r="L25">
        <v>601</v>
      </c>
      <c r="M25">
        <v>0</v>
      </c>
      <c r="N25">
        <v>2</v>
      </c>
      <c r="O25">
        <f t="shared" si="0"/>
        <v>603</v>
      </c>
      <c r="P25">
        <f t="shared" si="1"/>
        <v>59.2337917485265</v>
      </c>
      <c r="Q25">
        <f t="shared" si="2"/>
        <v>45.6053067993366</v>
      </c>
      <c r="R25">
        <f t="shared" si="3"/>
        <v>53.0679933665008</v>
      </c>
      <c r="S25">
        <f t="shared" si="4"/>
        <v>0.66334991708126</v>
      </c>
      <c r="T25">
        <f t="shared" si="5"/>
        <v>0.165837479270315</v>
      </c>
      <c r="U25">
        <f t="shared" si="6"/>
        <v>0.165837479270315</v>
      </c>
      <c r="V25">
        <f t="shared" si="7"/>
        <v>0.33167495854063</v>
      </c>
      <c r="W25">
        <f t="shared" si="8"/>
        <v>100</v>
      </c>
      <c r="X25">
        <v>58.45</v>
      </c>
      <c r="Y25">
        <f t="shared" si="9"/>
        <v>0.783791748526518</v>
      </c>
    </row>
    <row r="26" spans="2:25">
      <c r="B26">
        <v>222</v>
      </c>
      <c r="C26">
        <v>1092</v>
      </c>
      <c r="D26">
        <v>332</v>
      </c>
      <c r="E26">
        <v>330</v>
      </c>
      <c r="F26">
        <v>2</v>
      </c>
      <c r="G26">
        <v>5</v>
      </c>
      <c r="H26">
        <v>0</v>
      </c>
      <c r="I26">
        <v>1</v>
      </c>
      <c r="J26">
        <v>2</v>
      </c>
      <c r="K26">
        <v>0</v>
      </c>
      <c r="L26">
        <v>672</v>
      </c>
      <c r="M26">
        <v>0</v>
      </c>
      <c r="N26">
        <v>3</v>
      </c>
      <c r="O26">
        <f t="shared" si="0"/>
        <v>675</v>
      </c>
      <c r="P26">
        <f t="shared" si="1"/>
        <v>61.8131868131868</v>
      </c>
      <c r="Q26">
        <f t="shared" si="2"/>
        <v>48.8888888888889</v>
      </c>
      <c r="R26">
        <f t="shared" si="3"/>
        <v>49.1851851851852</v>
      </c>
      <c r="S26">
        <f t="shared" si="4"/>
        <v>0.296296296296296</v>
      </c>
      <c r="T26">
        <f t="shared" si="5"/>
        <v>0.740740740740741</v>
      </c>
      <c r="U26">
        <f t="shared" si="6"/>
        <v>0.444444444444444</v>
      </c>
      <c r="V26">
        <f t="shared" si="7"/>
        <v>0.444444444444444</v>
      </c>
      <c r="W26">
        <f t="shared" si="8"/>
        <v>100</v>
      </c>
      <c r="X26">
        <v>61.17</v>
      </c>
      <c r="Y26">
        <f t="shared" si="9"/>
        <v>0.643186813186816</v>
      </c>
    </row>
    <row r="27" spans="2:25">
      <c r="B27">
        <v>153</v>
      </c>
      <c r="C27">
        <v>883</v>
      </c>
      <c r="D27">
        <v>189</v>
      </c>
      <c r="E27">
        <v>397</v>
      </c>
      <c r="F27">
        <v>1</v>
      </c>
      <c r="G27">
        <v>3</v>
      </c>
      <c r="H27">
        <v>0</v>
      </c>
      <c r="I27">
        <v>0</v>
      </c>
      <c r="J27">
        <v>0</v>
      </c>
      <c r="K27">
        <v>1</v>
      </c>
      <c r="L27">
        <v>591</v>
      </c>
      <c r="M27">
        <v>0</v>
      </c>
      <c r="N27">
        <v>4</v>
      </c>
      <c r="O27">
        <f t="shared" si="0"/>
        <v>595</v>
      </c>
      <c r="P27">
        <f t="shared" si="1"/>
        <v>67.3839184597961</v>
      </c>
      <c r="Q27">
        <f t="shared" si="2"/>
        <v>66.7226890756302</v>
      </c>
      <c r="R27">
        <f t="shared" si="3"/>
        <v>31.7647058823529</v>
      </c>
      <c r="S27">
        <f t="shared" si="4"/>
        <v>0.168067226890756</v>
      </c>
      <c r="T27">
        <f t="shared" si="5"/>
        <v>0.504201680672269</v>
      </c>
      <c r="U27">
        <f t="shared" si="6"/>
        <v>0.168067226890756</v>
      </c>
      <c r="V27">
        <f t="shared" si="7"/>
        <v>0.672268907563025</v>
      </c>
      <c r="W27">
        <f t="shared" si="8"/>
        <v>100</v>
      </c>
      <c r="X27">
        <v>64.89</v>
      </c>
      <c r="Y27">
        <f t="shared" si="9"/>
        <v>2.49391845979615</v>
      </c>
    </row>
    <row r="28" spans="1:25">
      <c r="A28" t="s">
        <v>30</v>
      </c>
      <c r="B28">
        <v>202</v>
      </c>
      <c r="C28">
        <v>1128</v>
      </c>
      <c r="D28">
        <v>574</v>
      </c>
      <c r="E28">
        <v>251</v>
      </c>
      <c r="F28">
        <v>6</v>
      </c>
      <c r="G28">
        <v>2</v>
      </c>
      <c r="H28">
        <v>1</v>
      </c>
      <c r="I28">
        <v>1</v>
      </c>
      <c r="J28">
        <v>1</v>
      </c>
      <c r="K28">
        <v>1</v>
      </c>
      <c r="L28">
        <v>837</v>
      </c>
      <c r="M28">
        <v>0</v>
      </c>
      <c r="N28">
        <v>1</v>
      </c>
      <c r="O28">
        <f t="shared" si="0"/>
        <v>838</v>
      </c>
      <c r="P28">
        <f t="shared" si="1"/>
        <v>74.290780141844</v>
      </c>
      <c r="Q28">
        <f t="shared" si="2"/>
        <v>29.9522673031026</v>
      </c>
      <c r="R28">
        <f t="shared" si="3"/>
        <v>68.4964200477327</v>
      </c>
      <c r="S28">
        <f t="shared" si="4"/>
        <v>0.715990453460621</v>
      </c>
      <c r="T28">
        <f t="shared" si="5"/>
        <v>0.238663484486874</v>
      </c>
      <c r="U28">
        <f t="shared" si="6"/>
        <v>0.477326968973747</v>
      </c>
      <c r="V28">
        <f t="shared" si="7"/>
        <v>0.119331742243437</v>
      </c>
      <c r="W28">
        <f t="shared" si="8"/>
        <v>100</v>
      </c>
      <c r="X28">
        <v>65.51</v>
      </c>
      <c r="Y28">
        <f t="shared" si="9"/>
        <v>8.78078014184396</v>
      </c>
    </row>
    <row r="29" spans="2:25">
      <c r="B29">
        <v>201</v>
      </c>
      <c r="C29">
        <v>1223</v>
      </c>
      <c r="D29">
        <v>717</v>
      </c>
      <c r="E29">
        <v>66</v>
      </c>
      <c r="F29">
        <v>6</v>
      </c>
      <c r="G29">
        <v>0</v>
      </c>
      <c r="H29">
        <v>0</v>
      </c>
      <c r="I29">
        <v>0</v>
      </c>
      <c r="J29">
        <v>1</v>
      </c>
      <c r="K29">
        <v>1</v>
      </c>
      <c r="L29">
        <v>791</v>
      </c>
      <c r="M29">
        <v>0</v>
      </c>
      <c r="N29">
        <v>7</v>
      </c>
      <c r="O29">
        <f t="shared" si="0"/>
        <v>798</v>
      </c>
      <c r="P29">
        <f t="shared" si="1"/>
        <v>65.2493867538839</v>
      </c>
      <c r="Q29">
        <f t="shared" si="2"/>
        <v>8.27067669172932</v>
      </c>
      <c r="R29">
        <f t="shared" si="3"/>
        <v>89.8496240601504</v>
      </c>
      <c r="S29">
        <f t="shared" si="4"/>
        <v>0.75187969924812</v>
      </c>
      <c r="T29">
        <f t="shared" si="5"/>
        <v>0</v>
      </c>
      <c r="U29">
        <f t="shared" si="6"/>
        <v>0.25062656641604</v>
      </c>
      <c r="V29">
        <f t="shared" si="7"/>
        <v>0.87719298245614</v>
      </c>
      <c r="W29">
        <f t="shared" si="8"/>
        <v>100</v>
      </c>
      <c r="X29">
        <v>30.25</v>
      </c>
      <c r="Y29">
        <f t="shared" si="9"/>
        <v>34.9993867538839</v>
      </c>
    </row>
    <row r="30" spans="2:25">
      <c r="B30">
        <v>203</v>
      </c>
      <c r="C30">
        <v>1423</v>
      </c>
      <c r="D30">
        <v>740</v>
      </c>
      <c r="E30">
        <v>260</v>
      </c>
      <c r="F30">
        <v>38</v>
      </c>
      <c r="G30">
        <v>1</v>
      </c>
      <c r="H30">
        <v>0</v>
      </c>
      <c r="I30">
        <v>2</v>
      </c>
      <c r="J30">
        <v>0</v>
      </c>
      <c r="K30">
        <v>1</v>
      </c>
      <c r="L30">
        <v>1042</v>
      </c>
      <c r="M30">
        <v>0</v>
      </c>
      <c r="N30">
        <v>1</v>
      </c>
      <c r="O30">
        <f t="shared" si="0"/>
        <v>1043</v>
      </c>
      <c r="P30">
        <f t="shared" si="1"/>
        <v>73.2958538299367</v>
      </c>
      <c r="Q30">
        <f t="shared" si="2"/>
        <v>24.928092042186</v>
      </c>
      <c r="R30">
        <f t="shared" si="3"/>
        <v>70.9491850431448</v>
      </c>
      <c r="S30">
        <f t="shared" si="4"/>
        <v>3.64333652924257</v>
      </c>
      <c r="T30">
        <f t="shared" si="5"/>
        <v>0.0958772770853308</v>
      </c>
      <c r="U30">
        <f t="shared" si="6"/>
        <v>0.287631831255992</v>
      </c>
      <c r="V30">
        <f t="shared" si="7"/>
        <v>0.0958772770853308</v>
      </c>
      <c r="W30">
        <f t="shared" si="8"/>
        <v>100</v>
      </c>
      <c r="X30">
        <v>68.66</v>
      </c>
      <c r="Y30">
        <f t="shared" si="9"/>
        <v>4.63585382993675</v>
      </c>
    </row>
    <row r="31" spans="2:25">
      <c r="B31">
        <v>204</v>
      </c>
      <c r="C31">
        <v>933</v>
      </c>
      <c r="D31">
        <v>141</v>
      </c>
      <c r="E31">
        <v>527</v>
      </c>
      <c r="F31">
        <v>1</v>
      </c>
      <c r="G31">
        <v>0</v>
      </c>
      <c r="H31">
        <v>0</v>
      </c>
      <c r="I31">
        <v>1</v>
      </c>
      <c r="J31">
        <v>0</v>
      </c>
      <c r="K31">
        <v>3</v>
      </c>
      <c r="L31">
        <v>673</v>
      </c>
      <c r="M31">
        <v>0</v>
      </c>
      <c r="N31">
        <v>7</v>
      </c>
      <c r="O31">
        <f t="shared" si="0"/>
        <v>680</v>
      </c>
      <c r="P31">
        <f t="shared" si="1"/>
        <v>72.8831725616292</v>
      </c>
      <c r="Q31">
        <f t="shared" si="2"/>
        <v>77.5</v>
      </c>
      <c r="R31">
        <f t="shared" si="3"/>
        <v>20.7352941176471</v>
      </c>
      <c r="S31">
        <f t="shared" si="4"/>
        <v>0.147058823529412</v>
      </c>
      <c r="T31">
        <f t="shared" si="5"/>
        <v>0</v>
      </c>
      <c r="U31">
        <f t="shared" si="6"/>
        <v>0.588235294117647</v>
      </c>
      <c r="V31">
        <f t="shared" si="7"/>
        <v>1.02941176470588</v>
      </c>
      <c r="W31">
        <f t="shared" si="8"/>
        <v>100</v>
      </c>
      <c r="X31">
        <v>23.04</v>
      </c>
      <c r="Y31">
        <f t="shared" si="9"/>
        <v>49.8431725616292</v>
      </c>
    </row>
    <row r="32" spans="2:25">
      <c r="B32">
        <v>206</v>
      </c>
      <c r="C32">
        <v>721</v>
      </c>
      <c r="D32">
        <v>254</v>
      </c>
      <c r="E32">
        <v>215</v>
      </c>
      <c r="F32">
        <v>26</v>
      </c>
      <c r="G32">
        <v>0</v>
      </c>
      <c r="H32">
        <v>0</v>
      </c>
      <c r="I32">
        <v>0</v>
      </c>
      <c r="J32">
        <v>0</v>
      </c>
      <c r="K32">
        <v>1</v>
      </c>
      <c r="L32">
        <v>496</v>
      </c>
      <c r="M32">
        <v>0</v>
      </c>
      <c r="N32">
        <v>2</v>
      </c>
      <c r="O32">
        <f t="shared" si="0"/>
        <v>498</v>
      </c>
      <c r="P32">
        <f t="shared" si="1"/>
        <v>69.0707350901526</v>
      </c>
      <c r="Q32">
        <f t="shared" si="2"/>
        <v>43.1726907630522</v>
      </c>
      <c r="R32">
        <f t="shared" si="3"/>
        <v>51.004016064257</v>
      </c>
      <c r="S32">
        <f t="shared" si="4"/>
        <v>5.22088353413655</v>
      </c>
      <c r="T32">
        <f t="shared" si="5"/>
        <v>0</v>
      </c>
      <c r="U32">
        <f t="shared" si="6"/>
        <v>0.200803212851406</v>
      </c>
      <c r="V32">
        <f t="shared" si="7"/>
        <v>0.401606425702811</v>
      </c>
      <c r="W32">
        <f t="shared" si="8"/>
        <v>100</v>
      </c>
      <c r="X32">
        <v>58.95</v>
      </c>
      <c r="Y32">
        <f t="shared" si="9"/>
        <v>10.1207350901526</v>
      </c>
    </row>
    <row r="33" spans="2:25">
      <c r="B33">
        <v>205</v>
      </c>
      <c r="C33">
        <v>1015</v>
      </c>
      <c r="D33">
        <v>320</v>
      </c>
      <c r="E33">
        <v>350</v>
      </c>
      <c r="F33">
        <v>13</v>
      </c>
      <c r="G33">
        <v>0</v>
      </c>
      <c r="H33">
        <v>0</v>
      </c>
      <c r="I33">
        <v>1</v>
      </c>
      <c r="J33">
        <v>4</v>
      </c>
      <c r="K33">
        <v>1</v>
      </c>
      <c r="L33">
        <v>689</v>
      </c>
      <c r="M33">
        <v>0</v>
      </c>
      <c r="N33">
        <v>3</v>
      </c>
      <c r="O33">
        <f t="shared" si="0"/>
        <v>692</v>
      </c>
      <c r="P33">
        <f t="shared" si="1"/>
        <v>68.1773399014778</v>
      </c>
      <c r="Q33">
        <f t="shared" si="2"/>
        <v>50.5780346820809</v>
      </c>
      <c r="R33">
        <f t="shared" si="3"/>
        <v>46.242774566474</v>
      </c>
      <c r="S33">
        <f t="shared" si="4"/>
        <v>1.87861271676301</v>
      </c>
      <c r="T33">
        <f t="shared" si="5"/>
        <v>0</v>
      </c>
      <c r="U33">
        <f t="shared" si="6"/>
        <v>0.867052023121387</v>
      </c>
      <c r="V33">
        <f t="shared" si="7"/>
        <v>0.433526011560694</v>
      </c>
      <c r="W33">
        <f t="shared" si="8"/>
        <v>100</v>
      </c>
      <c r="X33">
        <v>63.05</v>
      </c>
      <c r="Y33">
        <f t="shared" si="9"/>
        <v>5.12733990147784</v>
      </c>
    </row>
    <row r="34" spans="2:25">
      <c r="B34">
        <v>207</v>
      </c>
      <c r="C34">
        <v>1230</v>
      </c>
      <c r="D34">
        <v>275</v>
      </c>
      <c r="E34">
        <v>556</v>
      </c>
      <c r="F34">
        <v>3</v>
      </c>
      <c r="G34">
        <v>0</v>
      </c>
      <c r="H34">
        <v>0</v>
      </c>
      <c r="I34">
        <v>0</v>
      </c>
      <c r="J34">
        <v>0</v>
      </c>
      <c r="K34">
        <v>1</v>
      </c>
      <c r="L34">
        <v>835</v>
      </c>
      <c r="M34">
        <v>0</v>
      </c>
      <c r="N34">
        <v>7</v>
      </c>
      <c r="O34">
        <f t="shared" si="0"/>
        <v>842</v>
      </c>
      <c r="P34">
        <f t="shared" si="1"/>
        <v>68.4552845528455</v>
      </c>
      <c r="Q34">
        <f t="shared" si="2"/>
        <v>66.0332541567696</v>
      </c>
      <c r="R34">
        <f t="shared" si="3"/>
        <v>32.6603325415677</v>
      </c>
      <c r="S34">
        <f t="shared" si="4"/>
        <v>0.356294536817102</v>
      </c>
      <c r="T34">
        <f t="shared" si="5"/>
        <v>0</v>
      </c>
      <c r="U34">
        <f t="shared" si="6"/>
        <v>0.118764845605701</v>
      </c>
      <c r="V34">
        <f t="shared" si="7"/>
        <v>0.831353919239905</v>
      </c>
      <c r="W34">
        <f t="shared" si="8"/>
        <v>100</v>
      </c>
      <c r="X34">
        <v>63.01</v>
      </c>
      <c r="Y34">
        <f t="shared" si="9"/>
        <v>5.44528455284553</v>
      </c>
    </row>
    <row r="35" spans="2:25">
      <c r="B35">
        <v>208</v>
      </c>
      <c r="C35">
        <v>500</v>
      </c>
      <c r="D35">
        <v>141</v>
      </c>
      <c r="E35">
        <v>181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324</v>
      </c>
      <c r="M35">
        <v>0</v>
      </c>
      <c r="N35">
        <v>0</v>
      </c>
      <c r="O35">
        <f t="shared" si="0"/>
        <v>324</v>
      </c>
      <c r="P35">
        <f t="shared" si="1"/>
        <v>64.8</v>
      </c>
      <c r="Q35">
        <f t="shared" si="2"/>
        <v>55.8641975308642</v>
      </c>
      <c r="R35">
        <f t="shared" si="3"/>
        <v>43.5185185185185</v>
      </c>
      <c r="S35">
        <f t="shared" si="4"/>
        <v>0.308641975308642</v>
      </c>
      <c r="T35">
        <f t="shared" si="5"/>
        <v>0.308641975308642</v>
      </c>
      <c r="U35">
        <f t="shared" si="6"/>
        <v>0</v>
      </c>
      <c r="V35">
        <f t="shared" si="7"/>
        <v>0</v>
      </c>
      <c r="W35">
        <f t="shared" si="8"/>
        <v>100</v>
      </c>
      <c r="X35">
        <v>63.4</v>
      </c>
      <c r="Y35">
        <f t="shared" si="9"/>
        <v>1.4</v>
      </c>
    </row>
    <row r="36" spans="1:25">
      <c r="A36" t="s">
        <v>31</v>
      </c>
      <c r="B36">
        <v>15</v>
      </c>
      <c r="C36">
        <v>489</v>
      </c>
      <c r="D36">
        <v>119</v>
      </c>
      <c r="E36">
        <v>168</v>
      </c>
      <c r="F36">
        <v>1</v>
      </c>
      <c r="G36">
        <v>2</v>
      </c>
      <c r="H36">
        <v>0</v>
      </c>
      <c r="I36">
        <v>2</v>
      </c>
      <c r="J36">
        <v>1</v>
      </c>
      <c r="K36">
        <v>0</v>
      </c>
      <c r="L36">
        <v>293</v>
      </c>
      <c r="M36">
        <v>0</v>
      </c>
      <c r="N36">
        <v>1</v>
      </c>
      <c r="O36">
        <f t="shared" si="0"/>
        <v>294</v>
      </c>
      <c r="P36">
        <f t="shared" si="1"/>
        <v>60.1226993865031</v>
      </c>
      <c r="Q36">
        <f t="shared" si="2"/>
        <v>57.1428571428571</v>
      </c>
      <c r="R36">
        <f t="shared" si="3"/>
        <v>40.4761904761905</v>
      </c>
      <c r="S36">
        <f t="shared" si="4"/>
        <v>0.340136054421769</v>
      </c>
      <c r="T36">
        <f t="shared" si="5"/>
        <v>0.680272108843537</v>
      </c>
      <c r="U36">
        <f t="shared" si="6"/>
        <v>1.02040816326531</v>
      </c>
      <c r="V36">
        <f t="shared" si="7"/>
        <v>0.340136054421769</v>
      </c>
      <c r="W36">
        <f t="shared" si="8"/>
        <v>100</v>
      </c>
      <c r="X36">
        <v>52.56</v>
      </c>
      <c r="Y36">
        <f t="shared" si="9"/>
        <v>7.56269938650306</v>
      </c>
    </row>
    <row r="37" spans="2:25">
      <c r="B37">
        <v>16</v>
      </c>
      <c r="C37">
        <v>1042</v>
      </c>
      <c r="D37">
        <v>192</v>
      </c>
      <c r="E37">
        <v>439</v>
      </c>
      <c r="F37">
        <v>2</v>
      </c>
      <c r="G37">
        <v>3</v>
      </c>
      <c r="H37">
        <v>1</v>
      </c>
      <c r="I37">
        <v>0</v>
      </c>
      <c r="J37">
        <v>0</v>
      </c>
      <c r="K37">
        <v>0</v>
      </c>
      <c r="L37">
        <v>637</v>
      </c>
      <c r="M37">
        <v>0</v>
      </c>
      <c r="N37">
        <v>9</v>
      </c>
      <c r="O37">
        <f t="shared" si="0"/>
        <v>646</v>
      </c>
      <c r="P37">
        <f t="shared" si="1"/>
        <v>61.9961612284069</v>
      </c>
      <c r="Q37">
        <f t="shared" si="2"/>
        <v>67.9566563467492</v>
      </c>
      <c r="R37">
        <f t="shared" si="3"/>
        <v>29.7213622291022</v>
      </c>
      <c r="S37">
        <f t="shared" si="4"/>
        <v>0.309597523219814</v>
      </c>
      <c r="T37">
        <f t="shared" si="5"/>
        <v>0.464396284829721</v>
      </c>
      <c r="U37">
        <f t="shared" si="6"/>
        <v>0.154798761609907</v>
      </c>
      <c r="V37">
        <f t="shared" si="7"/>
        <v>1.39318885448916</v>
      </c>
      <c r="W37">
        <f t="shared" si="8"/>
        <v>100</v>
      </c>
      <c r="X37">
        <v>57.97</v>
      </c>
      <c r="Y37">
        <f t="shared" si="9"/>
        <v>4.02616122840691</v>
      </c>
    </row>
    <row r="38" spans="2:25">
      <c r="B38">
        <v>18</v>
      </c>
      <c r="C38">
        <v>1159</v>
      </c>
      <c r="D38">
        <v>293</v>
      </c>
      <c r="E38">
        <v>392</v>
      </c>
      <c r="F38">
        <v>1</v>
      </c>
      <c r="G38">
        <v>2</v>
      </c>
      <c r="H38">
        <v>1</v>
      </c>
      <c r="I38">
        <v>2</v>
      </c>
      <c r="J38">
        <v>0</v>
      </c>
      <c r="K38">
        <v>0</v>
      </c>
      <c r="L38">
        <v>691</v>
      </c>
      <c r="M38">
        <v>0</v>
      </c>
      <c r="N38">
        <v>5</v>
      </c>
      <c r="O38">
        <f t="shared" si="0"/>
        <v>696</v>
      </c>
      <c r="P38">
        <f t="shared" si="1"/>
        <v>60.0517687661777</v>
      </c>
      <c r="Q38">
        <f t="shared" si="2"/>
        <v>56.3218390804598</v>
      </c>
      <c r="R38">
        <f t="shared" si="3"/>
        <v>42.0977011494253</v>
      </c>
      <c r="S38">
        <f t="shared" si="4"/>
        <v>0.14367816091954</v>
      </c>
      <c r="T38">
        <f t="shared" si="5"/>
        <v>0.28735632183908</v>
      </c>
      <c r="U38">
        <f t="shared" si="6"/>
        <v>0.431034482758621</v>
      </c>
      <c r="V38">
        <f t="shared" si="7"/>
        <v>0.718390804597701</v>
      </c>
      <c r="W38">
        <f t="shared" si="8"/>
        <v>100</v>
      </c>
      <c r="X38">
        <v>56.34</v>
      </c>
      <c r="Y38">
        <f t="shared" si="9"/>
        <v>3.71176876617773</v>
      </c>
    </row>
    <row r="39" spans="2:25">
      <c r="B39">
        <v>19</v>
      </c>
      <c r="C39">
        <v>1142</v>
      </c>
      <c r="D39">
        <v>269</v>
      </c>
      <c r="E39">
        <v>472</v>
      </c>
      <c r="F39">
        <v>1</v>
      </c>
      <c r="G39">
        <v>2</v>
      </c>
      <c r="H39">
        <v>0</v>
      </c>
      <c r="I39">
        <v>0</v>
      </c>
      <c r="J39">
        <v>2</v>
      </c>
      <c r="K39">
        <v>0</v>
      </c>
      <c r="L39">
        <v>746</v>
      </c>
      <c r="M39">
        <v>0</v>
      </c>
      <c r="N39">
        <v>11</v>
      </c>
      <c r="O39">
        <f t="shared" si="0"/>
        <v>757</v>
      </c>
      <c r="P39">
        <f t="shared" si="1"/>
        <v>66.2872154115587</v>
      </c>
      <c r="Q39">
        <f t="shared" si="2"/>
        <v>62.3513870541612</v>
      </c>
      <c r="R39">
        <f t="shared" si="3"/>
        <v>35.5350066050198</v>
      </c>
      <c r="S39">
        <f t="shared" si="4"/>
        <v>0.132100396301189</v>
      </c>
      <c r="T39">
        <f t="shared" si="5"/>
        <v>0.264200792602378</v>
      </c>
      <c r="U39">
        <f t="shared" si="6"/>
        <v>0.264200792602378</v>
      </c>
      <c r="V39">
        <f t="shared" si="7"/>
        <v>1.45310435931308</v>
      </c>
      <c r="W39">
        <f t="shared" si="8"/>
        <v>100</v>
      </c>
      <c r="X39">
        <v>58.49</v>
      </c>
      <c r="Y39">
        <f t="shared" si="9"/>
        <v>7.79721541155866</v>
      </c>
    </row>
    <row r="40" spans="2:25">
      <c r="B40">
        <v>23</v>
      </c>
      <c r="C40">
        <v>1102</v>
      </c>
      <c r="D40" s="696">
        <v>270</v>
      </c>
      <c r="E40" s="696">
        <v>458</v>
      </c>
      <c r="F40" s="696">
        <v>0</v>
      </c>
      <c r="G40" s="696">
        <v>5</v>
      </c>
      <c r="H40" s="696">
        <v>0</v>
      </c>
      <c r="I40" s="696">
        <v>0</v>
      </c>
      <c r="J40" s="696">
        <v>0</v>
      </c>
      <c r="K40" s="696">
        <v>0</v>
      </c>
      <c r="L40" s="696">
        <v>733</v>
      </c>
      <c r="M40" s="696">
        <v>0</v>
      </c>
      <c r="N40" s="696">
        <v>7</v>
      </c>
      <c r="O40">
        <f t="shared" si="0"/>
        <v>740</v>
      </c>
      <c r="P40">
        <f t="shared" si="1"/>
        <v>67.1506352087114</v>
      </c>
      <c r="Q40">
        <f t="shared" si="2"/>
        <v>61.8918918918919</v>
      </c>
      <c r="R40">
        <f t="shared" si="3"/>
        <v>36.4864864864865</v>
      </c>
      <c r="S40">
        <f t="shared" si="4"/>
        <v>0</v>
      </c>
      <c r="T40">
        <f t="shared" si="5"/>
        <v>0.675675675675676</v>
      </c>
      <c r="U40">
        <f t="shared" si="6"/>
        <v>0</v>
      </c>
      <c r="V40">
        <f t="shared" si="7"/>
        <v>0.945945945945946</v>
      </c>
      <c r="W40">
        <f t="shared" si="8"/>
        <v>100</v>
      </c>
      <c r="X40">
        <v>65.52</v>
      </c>
      <c r="Y40">
        <f t="shared" si="9"/>
        <v>1.63063520871144</v>
      </c>
    </row>
    <row r="41" spans="2:25">
      <c r="B41">
        <v>21</v>
      </c>
      <c r="C41">
        <v>896</v>
      </c>
      <c r="D41">
        <v>222</v>
      </c>
      <c r="E41">
        <v>284</v>
      </c>
      <c r="F41">
        <v>4</v>
      </c>
      <c r="G41">
        <v>6</v>
      </c>
      <c r="H41">
        <v>0</v>
      </c>
      <c r="I41">
        <v>0</v>
      </c>
      <c r="J41">
        <v>1</v>
      </c>
      <c r="K41">
        <v>0</v>
      </c>
      <c r="L41">
        <v>517</v>
      </c>
      <c r="M41">
        <v>0</v>
      </c>
      <c r="N41">
        <v>6</v>
      </c>
      <c r="O41">
        <f t="shared" si="0"/>
        <v>523</v>
      </c>
      <c r="P41">
        <f t="shared" si="1"/>
        <v>58.3705357142857</v>
      </c>
      <c r="Q41">
        <f t="shared" si="2"/>
        <v>54.302103250478</v>
      </c>
      <c r="R41">
        <f t="shared" si="3"/>
        <v>42.4474187380497</v>
      </c>
      <c r="S41">
        <f t="shared" si="4"/>
        <v>0.764818355640535</v>
      </c>
      <c r="T41">
        <f t="shared" si="5"/>
        <v>1.1472275334608</v>
      </c>
      <c r="U41">
        <f t="shared" si="6"/>
        <v>0.191204588910134</v>
      </c>
      <c r="V41">
        <f t="shared" si="7"/>
        <v>1.1472275334608</v>
      </c>
      <c r="W41">
        <f t="shared" si="8"/>
        <v>100</v>
      </c>
      <c r="X41">
        <v>58.26</v>
      </c>
      <c r="Y41">
        <f t="shared" si="9"/>
        <v>0.11053571428571</v>
      </c>
    </row>
    <row r="42" spans="2:25">
      <c r="B42">
        <v>20</v>
      </c>
      <c r="C42">
        <v>1386</v>
      </c>
      <c r="D42">
        <v>325</v>
      </c>
      <c r="E42">
        <v>439</v>
      </c>
      <c r="F42">
        <v>5</v>
      </c>
      <c r="G42">
        <v>1</v>
      </c>
      <c r="H42">
        <v>0</v>
      </c>
      <c r="I42">
        <v>0</v>
      </c>
      <c r="J42">
        <v>3</v>
      </c>
      <c r="K42">
        <v>1</v>
      </c>
      <c r="L42">
        <v>774</v>
      </c>
      <c r="M42">
        <v>0</v>
      </c>
      <c r="N42">
        <v>8</v>
      </c>
      <c r="O42">
        <f t="shared" si="0"/>
        <v>782</v>
      </c>
      <c r="P42">
        <f t="shared" si="1"/>
        <v>56.4213564213564</v>
      </c>
      <c r="Q42">
        <f t="shared" si="2"/>
        <v>56.1381074168798</v>
      </c>
      <c r="R42">
        <f t="shared" si="3"/>
        <v>41.5601023017903</v>
      </c>
      <c r="S42">
        <f t="shared" si="4"/>
        <v>0.639386189258312</v>
      </c>
      <c r="T42">
        <f t="shared" si="5"/>
        <v>0.127877237851662</v>
      </c>
      <c r="U42">
        <f t="shared" si="6"/>
        <v>0.51150895140665</v>
      </c>
      <c r="V42">
        <f t="shared" si="7"/>
        <v>1.0230179028133</v>
      </c>
      <c r="W42">
        <f t="shared" si="8"/>
        <v>100</v>
      </c>
      <c r="X42">
        <v>55.34</v>
      </c>
      <c r="Y42">
        <f t="shared" si="9"/>
        <v>1.08135642135641</v>
      </c>
    </row>
    <row r="43" spans="1:25">
      <c r="A43" t="s">
        <v>32</v>
      </c>
      <c r="B43">
        <v>162</v>
      </c>
      <c r="C43">
        <v>1088</v>
      </c>
      <c r="D43">
        <v>431</v>
      </c>
      <c r="E43">
        <v>118</v>
      </c>
      <c r="F43">
        <v>7</v>
      </c>
      <c r="G43">
        <v>1</v>
      </c>
      <c r="H43">
        <v>0</v>
      </c>
      <c r="I43">
        <v>0</v>
      </c>
      <c r="J43">
        <v>0</v>
      </c>
      <c r="K43">
        <v>0</v>
      </c>
      <c r="L43">
        <v>557</v>
      </c>
      <c r="M43">
        <v>0</v>
      </c>
      <c r="N43">
        <v>4</v>
      </c>
      <c r="O43">
        <f t="shared" si="0"/>
        <v>561</v>
      </c>
      <c r="P43">
        <f t="shared" si="1"/>
        <v>51.5625</v>
      </c>
      <c r="Q43">
        <f t="shared" si="2"/>
        <v>21.0338680926916</v>
      </c>
      <c r="R43">
        <f t="shared" si="3"/>
        <v>76.8270944741533</v>
      </c>
      <c r="S43">
        <f t="shared" si="4"/>
        <v>1.24777183600713</v>
      </c>
      <c r="T43">
        <f t="shared" si="5"/>
        <v>0.17825311942959</v>
      </c>
      <c r="U43">
        <f t="shared" si="6"/>
        <v>0</v>
      </c>
      <c r="V43">
        <f t="shared" si="7"/>
        <v>0.71301247771836</v>
      </c>
      <c r="W43">
        <f t="shared" si="8"/>
        <v>100</v>
      </c>
      <c r="X43">
        <v>0</v>
      </c>
      <c r="Y43">
        <f t="shared" si="9"/>
        <v>51.5625</v>
      </c>
    </row>
    <row r="44" spans="2:25">
      <c r="B44">
        <v>163</v>
      </c>
      <c r="C44">
        <v>1123</v>
      </c>
      <c r="D44">
        <v>492</v>
      </c>
      <c r="E44">
        <v>151</v>
      </c>
      <c r="F44">
        <v>5</v>
      </c>
      <c r="G44">
        <v>5</v>
      </c>
      <c r="H44">
        <v>0</v>
      </c>
      <c r="I44">
        <v>0</v>
      </c>
      <c r="J44">
        <v>0</v>
      </c>
      <c r="K44">
        <v>0</v>
      </c>
      <c r="L44">
        <v>653</v>
      </c>
      <c r="M44">
        <v>0</v>
      </c>
      <c r="N44">
        <v>5</v>
      </c>
      <c r="O44">
        <f t="shared" si="0"/>
        <v>658</v>
      </c>
      <c r="P44">
        <f t="shared" si="1"/>
        <v>58.593054318789</v>
      </c>
      <c r="Q44">
        <f t="shared" si="2"/>
        <v>22.9483282674772</v>
      </c>
      <c r="R44">
        <f t="shared" si="3"/>
        <v>74.7720364741641</v>
      </c>
      <c r="S44">
        <f t="shared" si="4"/>
        <v>0.759878419452888</v>
      </c>
      <c r="T44">
        <f t="shared" si="5"/>
        <v>0.759878419452888</v>
      </c>
      <c r="U44">
        <f t="shared" si="6"/>
        <v>0</v>
      </c>
      <c r="V44">
        <f t="shared" si="7"/>
        <v>0.759878419452888</v>
      </c>
      <c r="W44">
        <f t="shared" si="8"/>
        <v>100</v>
      </c>
      <c r="X44">
        <v>45.24</v>
      </c>
      <c r="Y44">
        <f t="shared" si="9"/>
        <v>13.353054318789</v>
      </c>
    </row>
    <row r="45" spans="2:25">
      <c r="B45">
        <v>134</v>
      </c>
      <c r="C45">
        <v>809</v>
      </c>
      <c r="D45">
        <v>329</v>
      </c>
      <c r="E45">
        <v>190</v>
      </c>
      <c r="F45">
        <v>0</v>
      </c>
      <c r="G45">
        <v>3</v>
      </c>
      <c r="H45">
        <v>0</v>
      </c>
      <c r="I45">
        <v>2</v>
      </c>
      <c r="J45">
        <v>0</v>
      </c>
      <c r="K45">
        <v>0</v>
      </c>
      <c r="L45">
        <v>524</v>
      </c>
      <c r="M45">
        <v>0</v>
      </c>
      <c r="N45">
        <v>4</v>
      </c>
      <c r="O45">
        <f t="shared" si="0"/>
        <v>528</v>
      </c>
      <c r="P45">
        <f t="shared" si="1"/>
        <v>65.265760197775</v>
      </c>
      <c r="Q45">
        <f t="shared" si="2"/>
        <v>35.9848484848485</v>
      </c>
      <c r="R45">
        <f t="shared" si="3"/>
        <v>62.3106060606061</v>
      </c>
      <c r="S45">
        <f t="shared" si="4"/>
        <v>0</v>
      </c>
      <c r="T45">
        <f t="shared" si="5"/>
        <v>0.568181818181818</v>
      </c>
      <c r="U45">
        <f t="shared" si="6"/>
        <v>0.378787878787879</v>
      </c>
      <c r="V45">
        <f t="shared" si="7"/>
        <v>0.757575757575758</v>
      </c>
      <c r="W45">
        <f t="shared" si="8"/>
        <v>100</v>
      </c>
      <c r="X45">
        <v>56.49</v>
      </c>
      <c r="Y45">
        <f t="shared" si="9"/>
        <v>8.77576019777504</v>
      </c>
    </row>
    <row r="46" spans="2:25">
      <c r="B46">
        <v>136</v>
      </c>
      <c r="C46">
        <v>1154</v>
      </c>
      <c r="D46">
        <v>383</v>
      </c>
      <c r="E46">
        <v>262</v>
      </c>
      <c r="F46">
        <v>0</v>
      </c>
      <c r="G46">
        <v>5</v>
      </c>
      <c r="H46">
        <v>0</v>
      </c>
      <c r="I46">
        <v>0</v>
      </c>
      <c r="J46">
        <v>0</v>
      </c>
      <c r="K46">
        <v>1</v>
      </c>
      <c r="L46">
        <v>651</v>
      </c>
      <c r="M46">
        <v>0</v>
      </c>
      <c r="N46">
        <v>4</v>
      </c>
      <c r="O46">
        <f t="shared" si="0"/>
        <v>655</v>
      </c>
      <c r="P46">
        <f t="shared" si="1"/>
        <v>56.7590987868284</v>
      </c>
      <c r="Q46">
        <f t="shared" si="2"/>
        <v>40</v>
      </c>
      <c r="R46">
        <f t="shared" si="3"/>
        <v>58.4732824427481</v>
      </c>
      <c r="S46">
        <f t="shared" si="4"/>
        <v>0</v>
      </c>
      <c r="T46">
        <f t="shared" si="5"/>
        <v>0.763358778625954</v>
      </c>
      <c r="U46">
        <f t="shared" si="6"/>
        <v>0.152671755725191</v>
      </c>
      <c r="V46">
        <f t="shared" si="7"/>
        <v>0.610687022900763</v>
      </c>
      <c r="W46">
        <f t="shared" si="8"/>
        <v>100</v>
      </c>
      <c r="X46">
        <v>53.12</v>
      </c>
      <c r="Y46">
        <f t="shared" si="9"/>
        <v>3.63909878682843</v>
      </c>
    </row>
    <row r="47" spans="2:25">
      <c r="B47">
        <v>129</v>
      </c>
      <c r="C47">
        <v>922</v>
      </c>
      <c r="D47">
        <v>365</v>
      </c>
      <c r="E47">
        <v>179</v>
      </c>
      <c r="F47">
        <v>2</v>
      </c>
      <c r="G47">
        <v>2</v>
      </c>
      <c r="H47">
        <v>0</v>
      </c>
      <c r="I47">
        <v>1</v>
      </c>
      <c r="J47">
        <v>0</v>
      </c>
      <c r="K47">
        <v>0</v>
      </c>
      <c r="L47">
        <v>549</v>
      </c>
      <c r="M47">
        <v>0</v>
      </c>
      <c r="N47">
        <v>5</v>
      </c>
      <c r="O47">
        <f t="shared" ref="O47:O110" si="10">D47+E47+F47+G47+H47+I47+J47+K47+N47</f>
        <v>554</v>
      </c>
      <c r="P47">
        <f t="shared" si="1"/>
        <v>60.0867678958785</v>
      </c>
      <c r="Q47">
        <f t="shared" ref="Q47:Q110" si="11">(E47/O47)*100</f>
        <v>32.3104693140794</v>
      </c>
      <c r="R47">
        <f t="shared" ref="R47:R110" si="12">(D47/O47)*100</f>
        <v>65.884476534296</v>
      </c>
      <c r="S47">
        <f t="shared" ref="S47:S110" si="13">(F47/O47)*100</f>
        <v>0.36101083032491</v>
      </c>
      <c r="T47">
        <f t="shared" ref="T47:T110" si="14">(G47/O47)*100</f>
        <v>0.36101083032491</v>
      </c>
      <c r="U47">
        <f t="shared" ref="U47:U110" si="15">((H47+I47+J47+K47)/O47)*100</f>
        <v>0.180505415162455</v>
      </c>
      <c r="V47">
        <f t="shared" ref="V47:V110" si="16">(N47/O47)*100</f>
        <v>0.902527075812274</v>
      </c>
      <c r="W47">
        <f t="shared" si="8"/>
        <v>100</v>
      </c>
      <c r="X47">
        <v>58.46</v>
      </c>
      <c r="Y47">
        <f t="shared" si="9"/>
        <v>1.62676789587852</v>
      </c>
    </row>
    <row r="48" spans="2:25">
      <c r="B48">
        <v>167</v>
      </c>
      <c r="C48">
        <v>836</v>
      </c>
      <c r="D48">
        <v>306</v>
      </c>
      <c r="E48">
        <v>99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408</v>
      </c>
      <c r="M48">
        <v>0</v>
      </c>
      <c r="N48">
        <v>2</v>
      </c>
      <c r="O48">
        <f t="shared" si="10"/>
        <v>410</v>
      </c>
      <c r="P48">
        <f t="shared" si="1"/>
        <v>49.0430622009569</v>
      </c>
      <c r="Q48">
        <f t="shared" si="11"/>
        <v>24.1463414634146</v>
      </c>
      <c r="R48">
        <f t="shared" si="12"/>
        <v>74.6341463414634</v>
      </c>
      <c r="S48">
        <f t="shared" si="13"/>
        <v>0.731707317073171</v>
      </c>
      <c r="T48">
        <f t="shared" si="14"/>
        <v>0</v>
      </c>
      <c r="U48">
        <f t="shared" si="15"/>
        <v>0</v>
      </c>
      <c r="V48">
        <f t="shared" si="16"/>
        <v>0.48780487804878</v>
      </c>
      <c r="W48">
        <f t="shared" si="8"/>
        <v>100</v>
      </c>
      <c r="X48">
        <v>47.73</v>
      </c>
      <c r="Y48">
        <f t="shared" si="9"/>
        <v>1.31306220095694</v>
      </c>
    </row>
    <row r="49" spans="1:25">
      <c r="A49" t="s">
        <v>33</v>
      </c>
      <c r="B49">
        <v>94</v>
      </c>
      <c r="C49">
        <v>721</v>
      </c>
      <c r="D49">
        <v>66</v>
      </c>
      <c r="E49">
        <v>483</v>
      </c>
      <c r="F49">
        <v>3</v>
      </c>
      <c r="G49">
        <v>1</v>
      </c>
      <c r="H49">
        <v>0</v>
      </c>
      <c r="I49">
        <v>0</v>
      </c>
      <c r="J49">
        <v>1</v>
      </c>
      <c r="K49">
        <v>1</v>
      </c>
      <c r="L49">
        <v>555</v>
      </c>
      <c r="M49">
        <v>0</v>
      </c>
      <c r="N49">
        <v>2</v>
      </c>
      <c r="O49">
        <f t="shared" si="10"/>
        <v>557</v>
      </c>
      <c r="P49">
        <f t="shared" si="1"/>
        <v>77.253814147018</v>
      </c>
      <c r="Q49">
        <f t="shared" si="11"/>
        <v>86.7145421903052</v>
      </c>
      <c r="R49">
        <f t="shared" si="12"/>
        <v>11.8491921005386</v>
      </c>
      <c r="S49">
        <f t="shared" si="13"/>
        <v>0.538599640933573</v>
      </c>
      <c r="T49">
        <f t="shared" si="14"/>
        <v>0.179533213644524</v>
      </c>
      <c r="U49">
        <f t="shared" si="15"/>
        <v>0.359066427289048</v>
      </c>
      <c r="V49">
        <f t="shared" si="16"/>
        <v>0.359066427289048</v>
      </c>
      <c r="W49">
        <f t="shared" si="8"/>
        <v>100</v>
      </c>
      <c r="X49">
        <v>0</v>
      </c>
      <c r="Y49">
        <f t="shared" si="9"/>
        <v>77.253814147018</v>
      </c>
    </row>
    <row r="50" spans="2:25">
      <c r="B50">
        <v>95</v>
      </c>
      <c r="C50">
        <v>1313</v>
      </c>
      <c r="D50">
        <v>735</v>
      </c>
      <c r="E50">
        <v>130</v>
      </c>
      <c r="F50">
        <v>18</v>
      </c>
      <c r="G50">
        <v>0</v>
      </c>
      <c r="H50">
        <v>0</v>
      </c>
      <c r="I50">
        <v>0</v>
      </c>
      <c r="J50">
        <v>0</v>
      </c>
      <c r="K50">
        <v>1</v>
      </c>
      <c r="L50">
        <v>884</v>
      </c>
      <c r="M50">
        <v>0</v>
      </c>
      <c r="N50">
        <v>4</v>
      </c>
      <c r="O50">
        <f t="shared" si="10"/>
        <v>888</v>
      </c>
      <c r="P50">
        <f t="shared" si="1"/>
        <v>67.6313785224676</v>
      </c>
      <c r="Q50">
        <f t="shared" si="11"/>
        <v>14.6396396396396</v>
      </c>
      <c r="R50">
        <f t="shared" si="12"/>
        <v>82.7702702702703</v>
      </c>
      <c r="S50">
        <f t="shared" si="13"/>
        <v>2.02702702702703</v>
      </c>
      <c r="T50">
        <f t="shared" si="14"/>
        <v>0</v>
      </c>
      <c r="U50">
        <f t="shared" si="15"/>
        <v>0.112612612612613</v>
      </c>
      <c r="V50">
        <f t="shared" si="16"/>
        <v>0.45045045045045</v>
      </c>
      <c r="W50">
        <f t="shared" si="8"/>
        <v>100</v>
      </c>
      <c r="X50">
        <v>0</v>
      </c>
      <c r="Y50">
        <f t="shared" si="9"/>
        <v>67.6313785224676</v>
      </c>
    </row>
    <row r="51" spans="2:25">
      <c r="B51">
        <v>96</v>
      </c>
      <c r="C51">
        <v>1112</v>
      </c>
      <c r="D51">
        <v>687</v>
      </c>
      <c r="E51">
        <v>56</v>
      </c>
      <c r="F51">
        <v>17</v>
      </c>
      <c r="G51">
        <v>1</v>
      </c>
      <c r="H51">
        <v>0</v>
      </c>
      <c r="I51">
        <v>0</v>
      </c>
      <c r="J51">
        <v>0</v>
      </c>
      <c r="K51">
        <v>0</v>
      </c>
      <c r="L51">
        <v>761</v>
      </c>
      <c r="M51">
        <v>0</v>
      </c>
      <c r="N51">
        <v>4</v>
      </c>
      <c r="O51">
        <f t="shared" si="10"/>
        <v>765</v>
      </c>
      <c r="P51">
        <f t="shared" si="1"/>
        <v>68.794964028777</v>
      </c>
      <c r="Q51">
        <f t="shared" si="11"/>
        <v>7.3202614379085</v>
      </c>
      <c r="R51">
        <f t="shared" si="12"/>
        <v>89.8039215686275</v>
      </c>
      <c r="S51">
        <f t="shared" si="13"/>
        <v>2.22222222222222</v>
      </c>
      <c r="T51">
        <f t="shared" si="14"/>
        <v>0.130718954248366</v>
      </c>
      <c r="U51">
        <f t="shared" si="15"/>
        <v>0</v>
      </c>
      <c r="V51">
        <f t="shared" si="16"/>
        <v>0.522875816993464</v>
      </c>
      <c r="W51">
        <f t="shared" si="8"/>
        <v>100</v>
      </c>
      <c r="X51">
        <v>0</v>
      </c>
      <c r="Y51">
        <f t="shared" si="9"/>
        <v>68.794964028777</v>
      </c>
    </row>
    <row r="52" spans="2:25">
      <c r="B52">
        <v>99</v>
      </c>
      <c r="C52">
        <v>1399</v>
      </c>
      <c r="D52">
        <v>868</v>
      </c>
      <c r="E52">
        <v>50</v>
      </c>
      <c r="F52">
        <v>14</v>
      </c>
      <c r="G52">
        <v>1</v>
      </c>
      <c r="H52">
        <v>0</v>
      </c>
      <c r="I52">
        <v>0</v>
      </c>
      <c r="J52">
        <v>2</v>
      </c>
      <c r="K52">
        <v>2</v>
      </c>
      <c r="L52">
        <v>937</v>
      </c>
      <c r="M52">
        <v>0</v>
      </c>
      <c r="N52">
        <v>9</v>
      </c>
      <c r="O52">
        <f t="shared" si="10"/>
        <v>946</v>
      </c>
      <c r="P52">
        <f t="shared" si="1"/>
        <v>67.6197283774124</v>
      </c>
      <c r="Q52">
        <f t="shared" si="11"/>
        <v>5.28541226215645</v>
      </c>
      <c r="R52">
        <f t="shared" si="12"/>
        <v>91.7547568710359</v>
      </c>
      <c r="S52">
        <f t="shared" si="13"/>
        <v>1.47991543340381</v>
      </c>
      <c r="T52">
        <f t="shared" si="14"/>
        <v>0.105708245243129</v>
      </c>
      <c r="U52">
        <f t="shared" si="15"/>
        <v>0.422832980972516</v>
      </c>
      <c r="V52">
        <f t="shared" si="16"/>
        <v>0.951374207188161</v>
      </c>
      <c r="W52">
        <f t="shared" si="8"/>
        <v>100</v>
      </c>
      <c r="X52">
        <v>0</v>
      </c>
      <c r="Y52">
        <f t="shared" si="9"/>
        <v>67.6197283774124</v>
      </c>
    </row>
    <row r="53" spans="2:25">
      <c r="B53">
        <v>97</v>
      </c>
      <c r="C53">
        <v>777</v>
      </c>
      <c r="D53">
        <v>505</v>
      </c>
      <c r="E53">
        <v>25</v>
      </c>
      <c r="F53">
        <v>7</v>
      </c>
      <c r="G53">
        <v>1</v>
      </c>
      <c r="H53">
        <v>0</v>
      </c>
      <c r="I53">
        <v>0</v>
      </c>
      <c r="J53">
        <v>1</v>
      </c>
      <c r="K53">
        <v>0</v>
      </c>
      <c r="L53">
        <v>539</v>
      </c>
      <c r="M53">
        <v>0</v>
      </c>
      <c r="N53">
        <v>7</v>
      </c>
      <c r="O53">
        <f t="shared" si="10"/>
        <v>546</v>
      </c>
      <c r="P53">
        <f t="shared" si="1"/>
        <v>70.2702702702703</v>
      </c>
      <c r="Q53">
        <f t="shared" si="11"/>
        <v>4.57875457875458</v>
      </c>
      <c r="R53">
        <f t="shared" si="12"/>
        <v>92.4908424908425</v>
      </c>
      <c r="S53">
        <f t="shared" si="13"/>
        <v>1.28205128205128</v>
      </c>
      <c r="T53">
        <f t="shared" si="14"/>
        <v>0.183150183150183</v>
      </c>
      <c r="U53">
        <f t="shared" si="15"/>
        <v>0.183150183150183</v>
      </c>
      <c r="V53">
        <f t="shared" si="16"/>
        <v>1.28205128205128</v>
      </c>
      <c r="W53">
        <f t="shared" si="8"/>
        <v>100</v>
      </c>
      <c r="X53">
        <v>0</v>
      </c>
      <c r="Y53">
        <f t="shared" si="9"/>
        <v>70.2702702702703</v>
      </c>
    </row>
    <row r="54" spans="2:25">
      <c r="B54">
        <v>100</v>
      </c>
      <c r="C54">
        <v>1285</v>
      </c>
      <c r="D54">
        <v>727</v>
      </c>
      <c r="E54">
        <v>65</v>
      </c>
      <c r="F54">
        <v>29</v>
      </c>
      <c r="G54">
        <v>4</v>
      </c>
      <c r="H54">
        <v>0</v>
      </c>
      <c r="I54">
        <v>0</v>
      </c>
      <c r="J54">
        <v>1</v>
      </c>
      <c r="K54">
        <v>0</v>
      </c>
      <c r="L54">
        <v>826</v>
      </c>
      <c r="M54">
        <v>0</v>
      </c>
      <c r="N54">
        <v>2</v>
      </c>
      <c r="O54">
        <f t="shared" si="10"/>
        <v>828</v>
      </c>
      <c r="P54">
        <f t="shared" si="1"/>
        <v>64.4357976653696</v>
      </c>
      <c r="Q54">
        <f t="shared" si="11"/>
        <v>7.85024154589372</v>
      </c>
      <c r="R54">
        <f t="shared" si="12"/>
        <v>87.8019323671498</v>
      </c>
      <c r="S54">
        <f t="shared" si="13"/>
        <v>3.5024154589372</v>
      </c>
      <c r="T54">
        <f t="shared" si="14"/>
        <v>0.483091787439614</v>
      </c>
      <c r="U54">
        <f t="shared" si="15"/>
        <v>0.120772946859903</v>
      </c>
      <c r="V54">
        <f t="shared" si="16"/>
        <v>0.241545893719807</v>
      </c>
      <c r="W54">
        <f t="shared" si="8"/>
        <v>100</v>
      </c>
      <c r="X54">
        <v>0</v>
      </c>
      <c r="Y54">
        <f t="shared" si="9"/>
        <v>64.4357976653696</v>
      </c>
    </row>
    <row r="55" spans="2:25">
      <c r="B55">
        <v>98</v>
      </c>
      <c r="C55">
        <v>1230</v>
      </c>
      <c r="D55">
        <v>667</v>
      </c>
      <c r="E55">
        <v>96</v>
      </c>
      <c r="F55">
        <v>18</v>
      </c>
      <c r="G55">
        <v>1</v>
      </c>
      <c r="H55">
        <v>0</v>
      </c>
      <c r="I55">
        <v>0</v>
      </c>
      <c r="J55">
        <v>1</v>
      </c>
      <c r="K55">
        <v>0</v>
      </c>
      <c r="L55">
        <v>783</v>
      </c>
      <c r="M55">
        <v>0</v>
      </c>
      <c r="N55">
        <v>5</v>
      </c>
      <c r="O55">
        <f t="shared" si="10"/>
        <v>788</v>
      </c>
      <c r="P55">
        <f t="shared" si="1"/>
        <v>64.0650406504065</v>
      </c>
      <c r="Q55">
        <f t="shared" si="11"/>
        <v>12.1827411167513</v>
      </c>
      <c r="R55">
        <f t="shared" si="12"/>
        <v>84.6446700507614</v>
      </c>
      <c r="S55">
        <f t="shared" si="13"/>
        <v>2.28426395939086</v>
      </c>
      <c r="T55">
        <f t="shared" si="14"/>
        <v>0.126903553299492</v>
      </c>
      <c r="U55">
        <f t="shared" si="15"/>
        <v>0.126903553299492</v>
      </c>
      <c r="V55">
        <f t="shared" si="16"/>
        <v>0.634517766497462</v>
      </c>
      <c r="W55">
        <f t="shared" si="8"/>
        <v>100</v>
      </c>
      <c r="X55">
        <v>0</v>
      </c>
      <c r="Y55">
        <f t="shared" si="9"/>
        <v>64.0650406504065</v>
      </c>
    </row>
    <row r="56" spans="2:25">
      <c r="B56">
        <v>101</v>
      </c>
      <c r="C56">
        <v>1029</v>
      </c>
      <c r="D56">
        <v>103</v>
      </c>
      <c r="E56">
        <v>695</v>
      </c>
      <c r="F56">
        <v>2</v>
      </c>
      <c r="G56">
        <v>2</v>
      </c>
      <c r="H56">
        <v>0</v>
      </c>
      <c r="I56">
        <v>1</v>
      </c>
      <c r="J56">
        <v>1</v>
      </c>
      <c r="K56">
        <v>4</v>
      </c>
      <c r="L56">
        <v>808</v>
      </c>
      <c r="M56">
        <v>0</v>
      </c>
      <c r="N56">
        <v>0</v>
      </c>
      <c r="O56">
        <f t="shared" si="10"/>
        <v>808</v>
      </c>
      <c r="P56">
        <f t="shared" si="1"/>
        <v>78.5228377065112</v>
      </c>
      <c r="Q56">
        <f t="shared" si="11"/>
        <v>86.0148514851485</v>
      </c>
      <c r="R56">
        <f t="shared" si="12"/>
        <v>12.7475247524752</v>
      </c>
      <c r="S56">
        <f t="shared" si="13"/>
        <v>0.247524752475248</v>
      </c>
      <c r="T56">
        <f t="shared" si="14"/>
        <v>0.247524752475248</v>
      </c>
      <c r="U56">
        <f t="shared" si="15"/>
        <v>0.742574257425743</v>
      </c>
      <c r="V56">
        <f t="shared" si="16"/>
        <v>0</v>
      </c>
      <c r="W56">
        <f t="shared" si="8"/>
        <v>100</v>
      </c>
      <c r="X56">
        <v>50.53</v>
      </c>
      <c r="Y56">
        <f t="shared" si="9"/>
        <v>27.9928377065112</v>
      </c>
    </row>
    <row r="57" spans="2:25">
      <c r="B57">
        <v>103</v>
      </c>
      <c r="C57">
        <v>1249</v>
      </c>
      <c r="D57">
        <v>136</v>
      </c>
      <c r="E57">
        <v>858</v>
      </c>
      <c r="F57">
        <v>1</v>
      </c>
      <c r="G57">
        <v>0</v>
      </c>
      <c r="H57">
        <v>1</v>
      </c>
      <c r="I57">
        <v>1</v>
      </c>
      <c r="J57">
        <v>1</v>
      </c>
      <c r="K57">
        <v>1</v>
      </c>
      <c r="L57">
        <v>999</v>
      </c>
      <c r="M57">
        <v>0</v>
      </c>
      <c r="N57">
        <v>8</v>
      </c>
      <c r="O57">
        <f t="shared" si="10"/>
        <v>1007</v>
      </c>
      <c r="P57">
        <f t="shared" si="1"/>
        <v>80.6244995996798</v>
      </c>
      <c r="Q57">
        <f t="shared" si="11"/>
        <v>85.2035749751738</v>
      </c>
      <c r="R57">
        <f t="shared" si="12"/>
        <v>13.5054617676266</v>
      </c>
      <c r="S57">
        <f t="shared" si="13"/>
        <v>0.099304865938431</v>
      </c>
      <c r="T57">
        <f t="shared" si="14"/>
        <v>0</v>
      </c>
      <c r="U57">
        <f t="shared" si="15"/>
        <v>0.397219463753724</v>
      </c>
      <c r="V57">
        <f t="shared" si="16"/>
        <v>0.794438927507448</v>
      </c>
      <c r="W57">
        <f t="shared" si="8"/>
        <v>100</v>
      </c>
      <c r="X57">
        <v>0</v>
      </c>
      <c r="Y57">
        <f t="shared" si="9"/>
        <v>80.6244995996798</v>
      </c>
    </row>
    <row r="58" spans="2:25">
      <c r="B58">
        <v>102</v>
      </c>
      <c r="C58">
        <v>571</v>
      </c>
      <c r="D58">
        <v>200</v>
      </c>
      <c r="E58">
        <v>235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435</v>
      </c>
      <c r="M58">
        <v>0</v>
      </c>
      <c r="N58">
        <v>1</v>
      </c>
      <c r="O58">
        <f t="shared" si="10"/>
        <v>436</v>
      </c>
      <c r="P58">
        <f t="shared" si="1"/>
        <v>76.3572679509632</v>
      </c>
      <c r="Q58">
        <f t="shared" si="11"/>
        <v>53.8990825688073</v>
      </c>
      <c r="R58">
        <f t="shared" si="12"/>
        <v>45.8715596330275</v>
      </c>
      <c r="S58">
        <f t="shared" si="13"/>
        <v>0</v>
      </c>
      <c r="T58">
        <f t="shared" si="14"/>
        <v>0</v>
      </c>
      <c r="U58">
        <f t="shared" si="15"/>
        <v>0</v>
      </c>
      <c r="V58">
        <f t="shared" si="16"/>
        <v>0.229357798165138</v>
      </c>
      <c r="W58">
        <f t="shared" si="8"/>
        <v>100</v>
      </c>
      <c r="X58">
        <v>35.2</v>
      </c>
      <c r="Y58">
        <f t="shared" si="9"/>
        <v>41.1572679509632</v>
      </c>
    </row>
    <row r="59" spans="1:25">
      <c r="A59" t="s">
        <v>34</v>
      </c>
      <c r="B59">
        <v>237</v>
      </c>
      <c r="C59">
        <v>1302</v>
      </c>
      <c r="D59">
        <v>229</v>
      </c>
      <c r="E59">
        <v>594</v>
      </c>
      <c r="F59">
        <v>4</v>
      </c>
      <c r="G59">
        <v>5</v>
      </c>
      <c r="H59">
        <v>0</v>
      </c>
      <c r="I59">
        <v>0</v>
      </c>
      <c r="J59">
        <v>0</v>
      </c>
      <c r="K59">
        <v>1</v>
      </c>
      <c r="L59">
        <v>833</v>
      </c>
      <c r="M59">
        <v>0</v>
      </c>
      <c r="N59">
        <v>11</v>
      </c>
      <c r="O59">
        <f t="shared" si="10"/>
        <v>844</v>
      </c>
      <c r="P59">
        <f t="shared" si="1"/>
        <v>64.8233486943164</v>
      </c>
      <c r="Q59">
        <f t="shared" si="11"/>
        <v>70.3791469194313</v>
      </c>
      <c r="R59">
        <f t="shared" si="12"/>
        <v>27.1327014218009</v>
      </c>
      <c r="S59">
        <f t="shared" si="13"/>
        <v>0.4739336492891</v>
      </c>
      <c r="T59">
        <f t="shared" si="14"/>
        <v>0.592417061611374</v>
      </c>
      <c r="U59">
        <f t="shared" si="15"/>
        <v>0.118483412322275</v>
      </c>
      <c r="V59">
        <f t="shared" si="16"/>
        <v>1.30331753554502</v>
      </c>
      <c r="W59">
        <f t="shared" si="8"/>
        <v>100</v>
      </c>
      <c r="X59">
        <v>59.29</v>
      </c>
      <c r="Y59">
        <f t="shared" si="9"/>
        <v>5.53334869431644</v>
      </c>
    </row>
    <row r="60" spans="2:25">
      <c r="B60">
        <v>238</v>
      </c>
      <c r="C60">
        <v>1274</v>
      </c>
      <c r="D60">
        <v>337</v>
      </c>
      <c r="E60">
        <v>499</v>
      </c>
      <c r="F60">
        <v>0</v>
      </c>
      <c r="G60">
        <v>4</v>
      </c>
      <c r="H60">
        <v>0</v>
      </c>
      <c r="I60">
        <v>1</v>
      </c>
      <c r="J60">
        <v>0</v>
      </c>
      <c r="K60">
        <v>2</v>
      </c>
      <c r="L60">
        <v>843</v>
      </c>
      <c r="M60">
        <v>0</v>
      </c>
      <c r="N60">
        <v>4</v>
      </c>
      <c r="O60">
        <f t="shared" si="10"/>
        <v>847</v>
      </c>
      <c r="P60">
        <f t="shared" si="1"/>
        <v>66.4835164835165</v>
      </c>
      <c r="Q60">
        <f t="shared" si="11"/>
        <v>58.913813459268</v>
      </c>
      <c r="R60">
        <f t="shared" si="12"/>
        <v>39.7874852420307</v>
      </c>
      <c r="S60">
        <f t="shared" si="13"/>
        <v>0</v>
      </c>
      <c r="T60">
        <f t="shared" si="14"/>
        <v>0.472255017709563</v>
      </c>
      <c r="U60">
        <f t="shared" si="15"/>
        <v>0.354191263282172</v>
      </c>
      <c r="V60">
        <f t="shared" si="16"/>
        <v>0.472255017709563</v>
      </c>
      <c r="W60">
        <f t="shared" si="8"/>
        <v>100</v>
      </c>
      <c r="X60">
        <v>55.34</v>
      </c>
      <c r="Y60">
        <f t="shared" si="9"/>
        <v>11.1435164835165</v>
      </c>
    </row>
    <row r="61" spans="2:25">
      <c r="B61">
        <v>236</v>
      </c>
      <c r="C61">
        <v>1002</v>
      </c>
      <c r="D61">
        <v>184</v>
      </c>
      <c r="E61">
        <v>466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650</v>
      </c>
      <c r="M61">
        <v>0</v>
      </c>
      <c r="N61">
        <v>1</v>
      </c>
      <c r="O61">
        <f t="shared" si="10"/>
        <v>651</v>
      </c>
      <c r="P61">
        <f t="shared" si="1"/>
        <v>64.9700598802395</v>
      </c>
      <c r="Q61">
        <f t="shared" si="11"/>
        <v>71.5821812596006</v>
      </c>
      <c r="R61">
        <f t="shared" si="12"/>
        <v>28.2642089093702</v>
      </c>
      <c r="S61">
        <f t="shared" si="13"/>
        <v>0</v>
      </c>
      <c r="T61">
        <f t="shared" si="14"/>
        <v>0</v>
      </c>
      <c r="U61">
        <f t="shared" si="15"/>
        <v>0</v>
      </c>
      <c r="V61">
        <f t="shared" si="16"/>
        <v>0.153609831029186</v>
      </c>
      <c r="W61">
        <f t="shared" si="8"/>
        <v>100</v>
      </c>
      <c r="X61">
        <v>56.49</v>
      </c>
      <c r="Y61">
        <f t="shared" si="9"/>
        <v>8.48005988023952</v>
      </c>
    </row>
    <row r="62" spans="2:25">
      <c r="B62">
        <v>230</v>
      </c>
      <c r="C62">
        <v>954</v>
      </c>
      <c r="D62">
        <v>147</v>
      </c>
      <c r="E62">
        <v>501</v>
      </c>
      <c r="F62">
        <v>2</v>
      </c>
      <c r="G62">
        <v>0</v>
      </c>
      <c r="H62">
        <v>0</v>
      </c>
      <c r="I62">
        <v>2</v>
      </c>
      <c r="J62">
        <v>1</v>
      </c>
      <c r="K62">
        <v>0</v>
      </c>
      <c r="L62">
        <v>653</v>
      </c>
      <c r="M62">
        <v>0</v>
      </c>
      <c r="N62">
        <v>1</v>
      </c>
      <c r="O62">
        <f t="shared" si="10"/>
        <v>654</v>
      </c>
      <c r="P62">
        <f t="shared" si="1"/>
        <v>68.5534591194968</v>
      </c>
      <c r="Q62">
        <f t="shared" si="11"/>
        <v>76.605504587156</v>
      </c>
      <c r="R62">
        <f t="shared" si="12"/>
        <v>22.4770642201835</v>
      </c>
      <c r="S62">
        <f t="shared" si="13"/>
        <v>0.305810397553517</v>
      </c>
      <c r="T62">
        <f t="shared" si="14"/>
        <v>0</v>
      </c>
      <c r="U62">
        <f t="shared" si="15"/>
        <v>0.458715596330275</v>
      </c>
      <c r="V62">
        <f t="shared" si="16"/>
        <v>0.152905198776758</v>
      </c>
      <c r="W62">
        <f t="shared" si="8"/>
        <v>100</v>
      </c>
      <c r="X62">
        <v>66.77</v>
      </c>
      <c r="Y62">
        <f t="shared" si="9"/>
        <v>1.78345911949685</v>
      </c>
    </row>
    <row r="63" spans="2:25">
      <c r="B63">
        <v>231</v>
      </c>
      <c r="C63">
        <v>617</v>
      </c>
      <c r="D63">
        <v>182</v>
      </c>
      <c r="E63">
        <v>154</v>
      </c>
      <c r="F63">
        <v>0</v>
      </c>
      <c r="G63">
        <v>2</v>
      </c>
      <c r="H63">
        <v>1</v>
      </c>
      <c r="I63">
        <v>0</v>
      </c>
      <c r="J63">
        <v>0</v>
      </c>
      <c r="K63">
        <v>0</v>
      </c>
      <c r="L63">
        <v>339</v>
      </c>
      <c r="M63">
        <v>0</v>
      </c>
      <c r="N63">
        <v>1</v>
      </c>
      <c r="O63">
        <f t="shared" si="10"/>
        <v>340</v>
      </c>
      <c r="P63">
        <f t="shared" si="1"/>
        <v>55.1053484602917</v>
      </c>
      <c r="Q63">
        <f t="shared" si="11"/>
        <v>45.2941176470588</v>
      </c>
      <c r="R63">
        <f t="shared" si="12"/>
        <v>53.5294117647059</v>
      </c>
      <c r="S63">
        <f t="shared" si="13"/>
        <v>0</v>
      </c>
      <c r="T63">
        <f t="shared" si="14"/>
        <v>0.588235294117647</v>
      </c>
      <c r="U63">
        <f t="shared" si="15"/>
        <v>0.294117647058824</v>
      </c>
      <c r="V63">
        <f t="shared" si="16"/>
        <v>0.294117647058824</v>
      </c>
      <c r="W63">
        <f t="shared" si="8"/>
        <v>100</v>
      </c>
      <c r="X63">
        <v>49.59</v>
      </c>
      <c r="Y63">
        <f t="shared" si="9"/>
        <v>5.51534846029173</v>
      </c>
    </row>
    <row r="64" spans="2:25">
      <c r="B64">
        <v>225</v>
      </c>
      <c r="C64">
        <v>1140</v>
      </c>
      <c r="D64">
        <v>381</v>
      </c>
      <c r="E64">
        <v>428</v>
      </c>
      <c r="F64">
        <v>3</v>
      </c>
      <c r="G64">
        <v>4</v>
      </c>
      <c r="H64">
        <v>0</v>
      </c>
      <c r="I64">
        <v>1</v>
      </c>
      <c r="J64">
        <v>0</v>
      </c>
      <c r="K64">
        <v>3</v>
      </c>
      <c r="L64">
        <v>820</v>
      </c>
      <c r="M64">
        <v>0</v>
      </c>
      <c r="N64">
        <v>7</v>
      </c>
      <c r="O64">
        <f t="shared" si="10"/>
        <v>827</v>
      </c>
      <c r="P64">
        <f t="shared" si="1"/>
        <v>72.5438596491228</v>
      </c>
      <c r="Q64">
        <f t="shared" si="11"/>
        <v>51.7533252720677</v>
      </c>
      <c r="R64">
        <f t="shared" si="12"/>
        <v>46.0701330108827</v>
      </c>
      <c r="S64">
        <f t="shared" si="13"/>
        <v>0.362756952841596</v>
      </c>
      <c r="T64">
        <f t="shared" si="14"/>
        <v>0.483675937122128</v>
      </c>
      <c r="U64">
        <f t="shared" si="15"/>
        <v>0.483675937122128</v>
      </c>
      <c r="V64">
        <f t="shared" si="16"/>
        <v>0.846432889963724</v>
      </c>
      <c r="W64">
        <f t="shared" si="8"/>
        <v>100</v>
      </c>
      <c r="X64">
        <v>72.28</v>
      </c>
      <c r="Y64">
        <f t="shared" si="9"/>
        <v>0.263859649122807</v>
      </c>
    </row>
    <row r="65" spans="1:25">
      <c r="A65" t="s">
        <v>35</v>
      </c>
      <c r="B65">
        <v>93</v>
      </c>
      <c r="C65">
        <v>805</v>
      </c>
      <c r="D65">
        <v>243</v>
      </c>
      <c r="E65">
        <v>381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625</v>
      </c>
      <c r="M65">
        <v>0</v>
      </c>
      <c r="N65">
        <v>2</v>
      </c>
      <c r="O65">
        <f t="shared" si="10"/>
        <v>627</v>
      </c>
      <c r="P65">
        <f t="shared" si="1"/>
        <v>77.888198757764</v>
      </c>
      <c r="Q65">
        <f t="shared" si="11"/>
        <v>60.7655502392344</v>
      </c>
      <c r="R65">
        <f t="shared" si="12"/>
        <v>38.755980861244</v>
      </c>
      <c r="S65">
        <f t="shared" si="13"/>
        <v>0</v>
      </c>
      <c r="T65">
        <f t="shared" si="14"/>
        <v>0</v>
      </c>
      <c r="U65">
        <f t="shared" si="15"/>
        <v>0.159489633173844</v>
      </c>
      <c r="V65">
        <f t="shared" si="16"/>
        <v>0.318979266347687</v>
      </c>
      <c r="W65">
        <f t="shared" si="8"/>
        <v>100</v>
      </c>
      <c r="X65">
        <v>38.14</v>
      </c>
      <c r="Y65">
        <f t="shared" si="9"/>
        <v>39.748198757764</v>
      </c>
    </row>
    <row r="66" spans="2:25">
      <c r="B66">
        <v>92</v>
      </c>
      <c r="C66">
        <v>561</v>
      </c>
      <c r="D66">
        <v>76</v>
      </c>
      <c r="E66">
        <v>357</v>
      </c>
      <c r="F66">
        <v>0</v>
      </c>
      <c r="G66">
        <v>1</v>
      </c>
      <c r="H66">
        <v>0</v>
      </c>
      <c r="I66">
        <v>0</v>
      </c>
      <c r="J66">
        <v>0</v>
      </c>
      <c r="K66">
        <v>2</v>
      </c>
      <c r="L66">
        <v>436</v>
      </c>
      <c r="M66">
        <v>0</v>
      </c>
      <c r="N66">
        <v>3</v>
      </c>
      <c r="O66">
        <f t="shared" si="10"/>
        <v>439</v>
      </c>
      <c r="P66">
        <f t="shared" si="1"/>
        <v>78.25311942959</v>
      </c>
      <c r="Q66">
        <f t="shared" si="11"/>
        <v>81.3211845102506</v>
      </c>
      <c r="R66">
        <f t="shared" si="12"/>
        <v>17.3120728929385</v>
      </c>
      <c r="S66">
        <f t="shared" si="13"/>
        <v>0</v>
      </c>
      <c r="T66">
        <f t="shared" si="14"/>
        <v>0.227790432801822</v>
      </c>
      <c r="U66">
        <f t="shared" si="15"/>
        <v>0.455580865603645</v>
      </c>
      <c r="V66">
        <f t="shared" si="16"/>
        <v>0.683371298405467</v>
      </c>
      <c r="W66">
        <f t="shared" si="8"/>
        <v>100</v>
      </c>
      <c r="X66">
        <v>23.71</v>
      </c>
      <c r="Y66">
        <f t="shared" si="9"/>
        <v>54.54311942959</v>
      </c>
    </row>
    <row r="67" spans="2:25">
      <c r="B67">
        <v>91</v>
      </c>
      <c r="C67">
        <v>1152</v>
      </c>
      <c r="D67">
        <v>157</v>
      </c>
      <c r="E67">
        <v>621</v>
      </c>
      <c r="F67">
        <v>1</v>
      </c>
      <c r="G67">
        <v>3</v>
      </c>
      <c r="H67">
        <v>0</v>
      </c>
      <c r="I67">
        <v>0</v>
      </c>
      <c r="J67">
        <v>0</v>
      </c>
      <c r="K67">
        <v>3</v>
      </c>
      <c r="L67">
        <v>785</v>
      </c>
      <c r="M67">
        <v>0</v>
      </c>
      <c r="N67">
        <v>9</v>
      </c>
      <c r="O67">
        <f t="shared" si="10"/>
        <v>794</v>
      </c>
      <c r="P67">
        <f t="shared" si="1"/>
        <v>68.9236111111111</v>
      </c>
      <c r="Q67">
        <f t="shared" si="11"/>
        <v>78.2115869017632</v>
      </c>
      <c r="R67">
        <f t="shared" si="12"/>
        <v>19.7732997481108</v>
      </c>
      <c r="S67">
        <f t="shared" si="13"/>
        <v>0.125944584382872</v>
      </c>
      <c r="T67">
        <f t="shared" si="14"/>
        <v>0.377833753148615</v>
      </c>
      <c r="U67">
        <f t="shared" si="15"/>
        <v>0.377833753148615</v>
      </c>
      <c r="V67">
        <f t="shared" si="16"/>
        <v>1.13350125944584</v>
      </c>
      <c r="W67">
        <f t="shared" si="8"/>
        <v>100</v>
      </c>
      <c r="X67">
        <v>0</v>
      </c>
      <c r="Y67">
        <f t="shared" si="9"/>
        <v>68.9236111111111</v>
      </c>
    </row>
    <row r="68" spans="2:25">
      <c r="B68">
        <v>82</v>
      </c>
      <c r="C68">
        <v>1217</v>
      </c>
      <c r="D68">
        <v>139</v>
      </c>
      <c r="E68">
        <v>592</v>
      </c>
      <c r="F68">
        <v>5</v>
      </c>
      <c r="G68">
        <v>6</v>
      </c>
      <c r="H68">
        <v>0</v>
      </c>
      <c r="I68">
        <v>0</v>
      </c>
      <c r="J68">
        <v>5</v>
      </c>
      <c r="K68">
        <v>0</v>
      </c>
      <c r="L68">
        <v>747</v>
      </c>
      <c r="M68">
        <v>0</v>
      </c>
      <c r="N68">
        <v>7</v>
      </c>
      <c r="O68">
        <f t="shared" si="10"/>
        <v>754</v>
      </c>
      <c r="P68">
        <f t="shared" si="1"/>
        <v>61.9556285949055</v>
      </c>
      <c r="Q68">
        <f t="shared" si="11"/>
        <v>78.5145888594164</v>
      </c>
      <c r="R68">
        <f t="shared" si="12"/>
        <v>18.4350132625995</v>
      </c>
      <c r="S68">
        <f t="shared" si="13"/>
        <v>0.663129973474801</v>
      </c>
      <c r="T68">
        <f t="shared" si="14"/>
        <v>0.795755968169761</v>
      </c>
      <c r="U68">
        <f t="shared" si="15"/>
        <v>0.663129973474801</v>
      </c>
      <c r="V68">
        <f t="shared" si="16"/>
        <v>0.928381962864721</v>
      </c>
      <c r="W68">
        <f t="shared" si="8"/>
        <v>100</v>
      </c>
      <c r="X68">
        <v>48.48</v>
      </c>
      <c r="Y68">
        <f t="shared" si="9"/>
        <v>13.4756285949055</v>
      </c>
    </row>
    <row r="69" spans="2:25">
      <c r="B69">
        <v>79</v>
      </c>
      <c r="C69">
        <v>457</v>
      </c>
      <c r="D69">
        <v>115</v>
      </c>
      <c r="E69">
        <v>242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357</v>
      </c>
      <c r="M69">
        <v>0</v>
      </c>
      <c r="N69">
        <v>8</v>
      </c>
      <c r="O69">
        <f t="shared" si="10"/>
        <v>365</v>
      </c>
      <c r="P69">
        <f t="shared" si="1"/>
        <v>79.8687089715536</v>
      </c>
      <c r="Q69">
        <f t="shared" si="11"/>
        <v>66.3013698630137</v>
      </c>
      <c r="R69">
        <f t="shared" si="12"/>
        <v>31.5068493150685</v>
      </c>
      <c r="S69">
        <f t="shared" si="13"/>
        <v>0</v>
      </c>
      <c r="T69">
        <f t="shared" si="14"/>
        <v>0</v>
      </c>
      <c r="U69">
        <f t="shared" si="15"/>
        <v>0</v>
      </c>
      <c r="V69">
        <f t="shared" si="16"/>
        <v>2.19178082191781</v>
      </c>
      <c r="W69">
        <f t="shared" si="8"/>
        <v>100</v>
      </c>
      <c r="X69">
        <v>38.95</v>
      </c>
      <c r="Y69">
        <f t="shared" si="9"/>
        <v>40.9187089715536</v>
      </c>
    </row>
    <row r="70" spans="2:25">
      <c r="B70">
        <v>78</v>
      </c>
      <c r="C70">
        <v>858</v>
      </c>
      <c r="D70">
        <v>216</v>
      </c>
      <c r="E70">
        <v>382</v>
      </c>
      <c r="F70">
        <v>4</v>
      </c>
      <c r="G70">
        <v>5</v>
      </c>
      <c r="H70">
        <v>0</v>
      </c>
      <c r="I70">
        <v>0</v>
      </c>
      <c r="J70">
        <v>0</v>
      </c>
      <c r="K70">
        <v>1</v>
      </c>
      <c r="L70">
        <v>608</v>
      </c>
      <c r="M70">
        <v>0</v>
      </c>
      <c r="N70">
        <v>1</v>
      </c>
      <c r="O70">
        <f t="shared" si="10"/>
        <v>609</v>
      </c>
      <c r="P70">
        <f t="shared" si="1"/>
        <v>70.979020979021</v>
      </c>
      <c r="Q70">
        <f t="shared" si="11"/>
        <v>62.7257799671593</v>
      </c>
      <c r="R70">
        <f t="shared" si="12"/>
        <v>35.4679802955665</v>
      </c>
      <c r="S70">
        <f t="shared" si="13"/>
        <v>0.656814449917898</v>
      </c>
      <c r="T70">
        <f t="shared" si="14"/>
        <v>0.821018062397373</v>
      </c>
      <c r="U70">
        <f t="shared" si="15"/>
        <v>0.164203612479475</v>
      </c>
      <c r="V70">
        <f t="shared" si="16"/>
        <v>0.164203612479475</v>
      </c>
      <c r="W70">
        <f t="shared" si="8"/>
        <v>100</v>
      </c>
      <c r="X70">
        <v>65.27</v>
      </c>
      <c r="Y70">
        <f t="shared" si="9"/>
        <v>5.70902097902098</v>
      </c>
    </row>
    <row r="71" spans="1:25">
      <c r="A71" t="s">
        <v>36</v>
      </c>
      <c r="B71">
        <v>115</v>
      </c>
      <c r="C71">
        <v>712</v>
      </c>
      <c r="D71">
        <v>213</v>
      </c>
      <c r="E71">
        <v>241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456</v>
      </c>
      <c r="M71">
        <v>0</v>
      </c>
      <c r="N71">
        <v>3</v>
      </c>
      <c r="O71">
        <f t="shared" si="10"/>
        <v>460</v>
      </c>
      <c r="P71">
        <f t="shared" si="1"/>
        <v>64.6067415730337</v>
      </c>
      <c r="Q71">
        <f t="shared" si="11"/>
        <v>52.3913043478261</v>
      </c>
      <c r="R71">
        <f t="shared" si="12"/>
        <v>46.304347826087</v>
      </c>
      <c r="S71">
        <f t="shared" si="13"/>
        <v>0.217391304347826</v>
      </c>
      <c r="T71">
        <f t="shared" si="14"/>
        <v>0.217391304347826</v>
      </c>
      <c r="U71">
        <f t="shared" si="15"/>
        <v>0.217391304347826</v>
      </c>
      <c r="V71">
        <f t="shared" si="16"/>
        <v>0.652173913043478</v>
      </c>
      <c r="W71">
        <f t="shared" si="8"/>
        <v>100</v>
      </c>
      <c r="X71">
        <v>63.9</v>
      </c>
      <c r="Y71">
        <f t="shared" si="9"/>
        <v>0.706741573033717</v>
      </c>
    </row>
    <row r="72" spans="2:25">
      <c r="B72">
        <v>116</v>
      </c>
      <c r="C72">
        <v>1019</v>
      </c>
      <c r="D72">
        <v>565</v>
      </c>
      <c r="E72">
        <v>53</v>
      </c>
      <c r="F72">
        <v>11</v>
      </c>
      <c r="G72">
        <v>1</v>
      </c>
      <c r="H72">
        <v>1</v>
      </c>
      <c r="I72">
        <v>0</v>
      </c>
      <c r="J72">
        <v>0</v>
      </c>
      <c r="K72">
        <v>0</v>
      </c>
      <c r="L72">
        <v>631</v>
      </c>
      <c r="M72">
        <v>0</v>
      </c>
      <c r="N72">
        <v>6</v>
      </c>
      <c r="O72">
        <f t="shared" si="10"/>
        <v>637</v>
      </c>
      <c r="P72">
        <f t="shared" ref="P72:P135" si="17">(O72/C72)*100</f>
        <v>62.5122669283611</v>
      </c>
      <c r="Q72">
        <f t="shared" si="11"/>
        <v>8.32025117739403</v>
      </c>
      <c r="R72">
        <f t="shared" si="12"/>
        <v>88.6970172684458</v>
      </c>
      <c r="S72">
        <f t="shared" si="13"/>
        <v>1.72684458398744</v>
      </c>
      <c r="T72">
        <f t="shared" si="14"/>
        <v>0.156985871271586</v>
      </c>
      <c r="U72">
        <f t="shared" si="15"/>
        <v>0.156985871271586</v>
      </c>
      <c r="V72">
        <f t="shared" si="16"/>
        <v>0.941915227629513</v>
      </c>
      <c r="W72">
        <f t="shared" ref="W72:W135" si="18">Q72+R72+S72+T72+U72+V72</f>
        <v>100</v>
      </c>
      <c r="X72">
        <v>0</v>
      </c>
      <c r="Y72">
        <f t="shared" ref="Y72:Y135" si="19">P72-X72</f>
        <v>62.5122669283611</v>
      </c>
    </row>
    <row r="73" spans="2:25">
      <c r="B73">
        <v>117</v>
      </c>
      <c r="C73">
        <v>1308</v>
      </c>
      <c r="D73">
        <v>390</v>
      </c>
      <c r="E73">
        <v>415</v>
      </c>
      <c r="F73">
        <v>7</v>
      </c>
      <c r="G73">
        <v>2</v>
      </c>
      <c r="H73">
        <v>1</v>
      </c>
      <c r="I73">
        <v>0</v>
      </c>
      <c r="J73">
        <v>1</v>
      </c>
      <c r="K73">
        <v>1</v>
      </c>
      <c r="L73">
        <v>817</v>
      </c>
      <c r="M73">
        <v>0</v>
      </c>
      <c r="N73">
        <v>9</v>
      </c>
      <c r="O73">
        <f t="shared" si="10"/>
        <v>826</v>
      </c>
      <c r="P73">
        <f t="shared" si="17"/>
        <v>63.1498470948012</v>
      </c>
      <c r="Q73">
        <f t="shared" si="11"/>
        <v>50.2421307506053</v>
      </c>
      <c r="R73">
        <f t="shared" si="12"/>
        <v>47.2154963680387</v>
      </c>
      <c r="S73">
        <f t="shared" si="13"/>
        <v>0.847457627118644</v>
      </c>
      <c r="T73">
        <f t="shared" si="14"/>
        <v>0.242130750605327</v>
      </c>
      <c r="U73">
        <f t="shared" si="15"/>
        <v>0.36319612590799</v>
      </c>
      <c r="V73">
        <f t="shared" si="16"/>
        <v>1.08958837772397</v>
      </c>
      <c r="W73">
        <f t="shared" si="18"/>
        <v>100</v>
      </c>
      <c r="X73">
        <v>61.47</v>
      </c>
      <c r="Y73">
        <f t="shared" si="19"/>
        <v>1.67984709480123</v>
      </c>
    </row>
    <row r="74" spans="2:25">
      <c r="B74">
        <v>118</v>
      </c>
      <c r="C74">
        <v>883</v>
      </c>
      <c r="D74">
        <v>493</v>
      </c>
      <c r="E74">
        <v>104</v>
      </c>
      <c r="F74">
        <v>3</v>
      </c>
      <c r="G74">
        <v>0</v>
      </c>
      <c r="H74">
        <v>0</v>
      </c>
      <c r="I74">
        <v>0</v>
      </c>
      <c r="J74">
        <v>1</v>
      </c>
      <c r="K74">
        <v>0</v>
      </c>
      <c r="L74">
        <v>601</v>
      </c>
      <c r="M74">
        <v>0</v>
      </c>
      <c r="N74">
        <v>5</v>
      </c>
      <c r="O74">
        <f t="shared" si="10"/>
        <v>606</v>
      </c>
      <c r="P74">
        <f t="shared" si="17"/>
        <v>68.6296715741789</v>
      </c>
      <c r="Q74">
        <f t="shared" si="11"/>
        <v>17.1617161716172</v>
      </c>
      <c r="R74">
        <f t="shared" si="12"/>
        <v>81.3531353135314</v>
      </c>
      <c r="S74">
        <f t="shared" si="13"/>
        <v>0.495049504950495</v>
      </c>
      <c r="T74">
        <f t="shared" si="14"/>
        <v>0</v>
      </c>
      <c r="U74">
        <f t="shared" si="15"/>
        <v>0.165016501650165</v>
      </c>
      <c r="V74">
        <f t="shared" si="16"/>
        <v>0.825082508250825</v>
      </c>
      <c r="W74">
        <f t="shared" si="18"/>
        <v>100</v>
      </c>
      <c r="X74">
        <v>40.43</v>
      </c>
      <c r="Y74">
        <f t="shared" si="19"/>
        <v>28.1996715741789</v>
      </c>
    </row>
    <row r="75" spans="2:25">
      <c r="B75">
        <v>112</v>
      </c>
      <c r="C75">
        <v>628</v>
      </c>
      <c r="D75">
        <v>41</v>
      </c>
      <c r="E75">
        <v>331</v>
      </c>
      <c r="F75">
        <v>0</v>
      </c>
      <c r="G75">
        <v>2</v>
      </c>
      <c r="H75">
        <v>0</v>
      </c>
      <c r="I75">
        <v>0</v>
      </c>
      <c r="J75">
        <v>1</v>
      </c>
      <c r="K75">
        <v>0</v>
      </c>
      <c r="L75">
        <v>375</v>
      </c>
      <c r="M75">
        <v>0</v>
      </c>
      <c r="N75">
        <v>4</v>
      </c>
      <c r="O75">
        <f t="shared" si="10"/>
        <v>379</v>
      </c>
      <c r="P75">
        <f t="shared" si="17"/>
        <v>60.3503184713376</v>
      </c>
      <c r="Q75">
        <f t="shared" si="11"/>
        <v>87.335092348285</v>
      </c>
      <c r="R75">
        <f t="shared" si="12"/>
        <v>10.8179419525066</v>
      </c>
      <c r="S75">
        <f t="shared" si="13"/>
        <v>0</v>
      </c>
      <c r="T75">
        <f t="shared" si="14"/>
        <v>0.527704485488127</v>
      </c>
      <c r="U75">
        <f t="shared" si="15"/>
        <v>0.263852242744063</v>
      </c>
      <c r="V75">
        <f t="shared" si="16"/>
        <v>1.05540897097625</v>
      </c>
      <c r="W75">
        <f t="shared" si="18"/>
        <v>100</v>
      </c>
      <c r="X75">
        <v>60.03</v>
      </c>
      <c r="Y75">
        <f t="shared" si="19"/>
        <v>0.320318471337579</v>
      </c>
    </row>
    <row r="76" spans="2:25">
      <c r="B76">
        <v>119</v>
      </c>
      <c r="C76">
        <v>1080</v>
      </c>
      <c r="D76">
        <v>627</v>
      </c>
      <c r="E76">
        <v>6</v>
      </c>
      <c r="F76">
        <v>7</v>
      </c>
      <c r="G76">
        <v>5</v>
      </c>
      <c r="H76">
        <v>0</v>
      </c>
      <c r="I76">
        <v>0</v>
      </c>
      <c r="J76">
        <v>1</v>
      </c>
      <c r="K76">
        <v>0</v>
      </c>
      <c r="L76">
        <v>646</v>
      </c>
      <c r="M76">
        <v>0</v>
      </c>
      <c r="N76">
        <v>8</v>
      </c>
      <c r="O76">
        <f t="shared" si="10"/>
        <v>654</v>
      </c>
      <c r="P76">
        <f t="shared" si="17"/>
        <v>60.5555555555556</v>
      </c>
      <c r="Q76">
        <f t="shared" si="11"/>
        <v>0.917431192660551</v>
      </c>
      <c r="R76">
        <f t="shared" si="12"/>
        <v>95.8715596330275</v>
      </c>
      <c r="S76">
        <f t="shared" si="13"/>
        <v>1.07033639143731</v>
      </c>
      <c r="T76">
        <f t="shared" si="14"/>
        <v>0.764525993883792</v>
      </c>
      <c r="U76">
        <f t="shared" si="15"/>
        <v>0.152905198776758</v>
      </c>
      <c r="V76">
        <f t="shared" si="16"/>
        <v>1.22324159021407</v>
      </c>
      <c r="W76">
        <f t="shared" si="18"/>
        <v>100</v>
      </c>
      <c r="X76">
        <v>0</v>
      </c>
      <c r="Y76">
        <f t="shared" si="19"/>
        <v>60.5555555555556</v>
      </c>
    </row>
    <row r="77" spans="1:25">
      <c r="A77" t="s">
        <v>37</v>
      </c>
      <c r="B77">
        <v>120</v>
      </c>
      <c r="C77">
        <v>724</v>
      </c>
      <c r="D77">
        <v>153</v>
      </c>
      <c r="E77">
        <v>242</v>
      </c>
      <c r="F77">
        <v>1</v>
      </c>
      <c r="G77">
        <v>3</v>
      </c>
      <c r="H77">
        <v>0</v>
      </c>
      <c r="I77">
        <v>0</v>
      </c>
      <c r="J77">
        <v>0</v>
      </c>
      <c r="K77">
        <v>0</v>
      </c>
      <c r="L77">
        <v>400</v>
      </c>
      <c r="M77">
        <v>0</v>
      </c>
      <c r="N77">
        <v>2</v>
      </c>
      <c r="O77">
        <f t="shared" si="10"/>
        <v>401</v>
      </c>
      <c r="P77">
        <f t="shared" si="17"/>
        <v>55.3867403314917</v>
      </c>
      <c r="Q77">
        <f t="shared" si="11"/>
        <v>60.3491271820449</v>
      </c>
      <c r="R77">
        <f t="shared" si="12"/>
        <v>38.1546134663342</v>
      </c>
      <c r="S77">
        <f t="shared" si="13"/>
        <v>0.249376558603491</v>
      </c>
      <c r="T77">
        <f t="shared" si="14"/>
        <v>0.748129675810474</v>
      </c>
      <c r="U77">
        <f t="shared" si="15"/>
        <v>0</v>
      </c>
      <c r="V77">
        <f t="shared" si="16"/>
        <v>0.498753117206983</v>
      </c>
      <c r="W77">
        <f t="shared" si="18"/>
        <v>100</v>
      </c>
      <c r="X77">
        <v>55.25</v>
      </c>
      <c r="Y77">
        <f t="shared" si="19"/>
        <v>0.136740331491715</v>
      </c>
    </row>
    <row r="78" spans="2:25">
      <c r="B78">
        <v>121</v>
      </c>
      <c r="C78">
        <v>947</v>
      </c>
      <c r="D78">
        <v>93</v>
      </c>
      <c r="E78">
        <v>457</v>
      </c>
      <c r="F78">
        <v>1</v>
      </c>
      <c r="G78">
        <v>4</v>
      </c>
      <c r="H78">
        <v>0</v>
      </c>
      <c r="I78">
        <v>1</v>
      </c>
      <c r="J78">
        <v>0</v>
      </c>
      <c r="K78">
        <v>1</v>
      </c>
      <c r="L78">
        <v>557</v>
      </c>
      <c r="M78">
        <v>0</v>
      </c>
      <c r="N78">
        <v>13</v>
      </c>
      <c r="O78">
        <f t="shared" si="10"/>
        <v>570</v>
      </c>
      <c r="P78">
        <f t="shared" si="17"/>
        <v>60.1900739176346</v>
      </c>
      <c r="Q78">
        <f t="shared" si="11"/>
        <v>80.1754385964912</v>
      </c>
      <c r="R78">
        <f t="shared" si="12"/>
        <v>16.3157894736842</v>
      </c>
      <c r="S78">
        <f t="shared" si="13"/>
        <v>0.175438596491228</v>
      </c>
      <c r="T78">
        <f t="shared" si="14"/>
        <v>0.701754385964912</v>
      </c>
      <c r="U78">
        <f t="shared" si="15"/>
        <v>0.350877192982456</v>
      </c>
      <c r="V78">
        <f t="shared" si="16"/>
        <v>2.28070175438596</v>
      </c>
      <c r="W78">
        <f t="shared" si="18"/>
        <v>100</v>
      </c>
      <c r="X78">
        <v>60.19</v>
      </c>
      <c r="Y78">
        <f t="shared" si="19"/>
        <v>7.39176346371551e-5</v>
      </c>
    </row>
    <row r="79" spans="2:25">
      <c r="B79">
        <v>124</v>
      </c>
      <c r="C79">
        <v>962</v>
      </c>
      <c r="D79">
        <v>98</v>
      </c>
      <c r="E79">
        <v>514</v>
      </c>
      <c r="F79">
        <v>1</v>
      </c>
      <c r="G79">
        <v>9</v>
      </c>
      <c r="H79">
        <v>0</v>
      </c>
      <c r="I79">
        <v>0</v>
      </c>
      <c r="J79">
        <v>0</v>
      </c>
      <c r="K79">
        <v>1</v>
      </c>
      <c r="L79">
        <v>623</v>
      </c>
      <c r="M79">
        <v>0</v>
      </c>
      <c r="N79">
        <v>5</v>
      </c>
      <c r="O79">
        <f t="shared" si="10"/>
        <v>628</v>
      </c>
      <c r="P79">
        <f t="shared" si="17"/>
        <v>65.2806652806653</v>
      </c>
      <c r="Q79">
        <f t="shared" si="11"/>
        <v>81.8471337579618</v>
      </c>
      <c r="R79">
        <f t="shared" si="12"/>
        <v>15.6050955414013</v>
      </c>
      <c r="S79">
        <f t="shared" si="13"/>
        <v>0.159235668789809</v>
      </c>
      <c r="T79">
        <f t="shared" si="14"/>
        <v>1.43312101910828</v>
      </c>
      <c r="U79">
        <f t="shared" si="15"/>
        <v>0.159235668789809</v>
      </c>
      <c r="V79">
        <f t="shared" si="16"/>
        <v>0.796178343949045</v>
      </c>
      <c r="W79">
        <f t="shared" si="18"/>
        <v>100</v>
      </c>
      <c r="X79">
        <v>57.48</v>
      </c>
      <c r="Y79">
        <f t="shared" si="19"/>
        <v>7.80066528066529</v>
      </c>
    </row>
    <row r="80" spans="2:25">
      <c r="B80">
        <v>123</v>
      </c>
      <c r="C80">
        <v>1436</v>
      </c>
      <c r="D80">
        <v>114</v>
      </c>
      <c r="E80">
        <v>787</v>
      </c>
      <c r="F80">
        <v>1</v>
      </c>
      <c r="G80">
        <v>4</v>
      </c>
      <c r="H80">
        <v>0</v>
      </c>
      <c r="I80">
        <v>0</v>
      </c>
      <c r="J80">
        <v>0</v>
      </c>
      <c r="K80">
        <v>0</v>
      </c>
      <c r="L80">
        <v>906</v>
      </c>
      <c r="M80">
        <v>0</v>
      </c>
      <c r="N80">
        <v>4</v>
      </c>
      <c r="O80">
        <f t="shared" si="10"/>
        <v>910</v>
      </c>
      <c r="P80">
        <f t="shared" si="17"/>
        <v>63.3704735376045</v>
      </c>
      <c r="Q80">
        <f t="shared" si="11"/>
        <v>86.4835164835165</v>
      </c>
      <c r="R80">
        <f t="shared" si="12"/>
        <v>12.5274725274725</v>
      </c>
      <c r="S80">
        <f t="shared" si="13"/>
        <v>0.10989010989011</v>
      </c>
      <c r="T80">
        <f t="shared" si="14"/>
        <v>0.43956043956044</v>
      </c>
      <c r="U80">
        <f t="shared" si="15"/>
        <v>0</v>
      </c>
      <c r="V80">
        <f t="shared" si="16"/>
        <v>0.43956043956044</v>
      </c>
      <c r="W80">
        <f t="shared" si="18"/>
        <v>100</v>
      </c>
      <c r="X80">
        <v>56.69</v>
      </c>
      <c r="Y80">
        <f t="shared" si="19"/>
        <v>6.68047353760446</v>
      </c>
    </row>
    <row r="81" spans="2:25">
      <c r="B81">
        <v>122</v>
      </c>
      <c r="C81">
        <v>739</v>
      </c>
      <c r="D81" s="334">
        <v>80</v>
      </c>
      <c r="E81" s="334">
        <v>426</v>
      </c>
      <c r="F81" s="334">
        <v>2</v>
      </c>
      <c r="G81" s="334">
        <v>4</v>
      </c>
      <c r="H81" s="334">
        <v>0</v>
      </c>
      <c r="I81" s="334">
        <v>0</v>
      </c>
      <c r="J81" s="334">
        <v>0</v>
      </c>
      <c r="K81" s="334">
        <v>0</v>
      </c>
      <c r="L81" s="334">
        <v>512</v>
      </c>
      <c r="M81" s="334">
        <v>0</v>
      </c>
      <c r="N81" s="334">
        <v>6</v>
      </c>
      <c r="O81">
        <f t="shared" si="10"/>
        <v>518</v>
      </c>
      <c r="P81">
        <f t="shared" si="17"/>
        <v>70.0947225981055</v>
      </c>
      <c r="Q81">
        <f t="shared" si="11"/>
        <v>82.2393822393822</v>
      </c>
      <c r="R81">
        <f t="shared" si="12"/>
        <v>15.4440154440154</v>
      </c>
      <c r="S81">
        <f t="shared" si="13"/>
        <v>0.386100386100386</v>
      </c>
      <c r="T81">
        <f t="shared" si="14"/>
        <v>0.772200772200772</v>
      </c>
      <c r="U81">
        <f t="shared" si="15"/>
        <v>0</v>
      </c>
      <c r="V81">
        <f t="shared" si="16"/>
        <v>1.15830115830116</v>
      </c>
      <c r="W81">
        <f t="shared" si="18"/>
        <v>100</v>
      </c>
      <c r="X81">
        <v>68.06</v>
      </c>
      <c r="Y81">
        <f t="shared" si="19"/>
        <v>2.03472259810555</v>
      </c>
    </row>
    <row r="82" spans="1:25">
      <c r="A82" t="s">
        <v>38</v>
      </c>
      <c r="B82">
        <v>150</v>
      </c>
      <c r="C82">
        <v>965</v>
      </c>
      <c r="D82">
        <v>171</v>
      </c>
      <c r="E82">
        <v>447</v>
      </c>
      <c r="F82">
        <v>1</v>
      </c>
      <c r="G82">
        <v>0</v>
      </c>
      <c r="H82">
        <v>0</v>
      </c>
      <c r="I82">
        <v>0</v>
      </c>
      <c r="J82">
        <v>3</v>
      </c>
      <c r="K82">
        <v>0</v>
      </c>
      <c r="L82">
        <v>622</v>
      </c>
      <c r="M82">
        <v>0</v>
      </c>
      <c r="N82">
        <v>8</v>
      </c>
      <c r="O82">
        <f t="shared" si="10"/>
        <v>630</v>
      </c>
      <c r="P82">
        <f t="shared" si="17"/>
        <v>65.2849740932643</v>
      </c>
      <c r="Q82">
        <f t="shared" si="11"/>
        <v>70.9523809523809</v>
      </c>
      <c r="R82">
        <f t="shared" si="12"/>
        <v>27.1428571428571</v>
      </c>
      <c r="S82">
        <f t="shared" si="13"/>
        <v>0.158730158730159</v>
      </c>
      <c r="T82">
        <f t="shared" si="14"/>
        <v>0</v>
      </c>
      <c r="U82">
        <f t="shared" si="15"/>
        <v>0.476190476190476</v>
      </c>
      <c r="V82">
        <f t="shared" si="16"/>
        <v>1.26984126984127</v>
      </c>
      <c r="W82">
        <f t="shared" si="18"/>
        <v>100</v>
      </c>
      <c r="X82">
        <v>57.31</v>
      </c>
      <c r="Y82">
        <f t="shared" si="19"/>
        <v>7.97497409326425</v>
      </c>
    </row>
    <row r="83" spans="2:25">
      <c r="B83">
        <v>137</v>
      </c>
      <c r="C83">
        <v>1035</v>
      </c>
      <c r="D83">
        <v>154</v>
      </c>
      <c r="E83">
        <v>571</v>
      </c>
      <c r="F83">
        <v>1</v>
      </c>
      <c r="G83">
        <v>0</v>
      </c>
      <c r="H83">
        <v>0</v>
      </c>
      <c r="I83">
        <v>2</v>
      </c>
      <c r="J83">
        <v>1</v>
      </c>
      <c r="K83">
        <v>1</v>
      </c>
      <c r="L83">
        <v>730</v>
      </c>
      <c r="M83">
        <v>0</v>
      </c>
      <c r="N83">
        <v>8</v>
      </c>
      <c r="O83">
        <f t="shared" si="10"/>
        <v>738</v>
      </c>
      <c r="P83">
        <f t="shared" si="17"/>
        <v>71.304347826087</v>
      </c>
      <c r="Q83">
        <f t="shared" si="11"/>
        <v>77.3712737127371</v>
      </c>
      <c r="R83">
        <f t="shared" si="12"/>
        <v>20.8672086720867</v>
      </c>
      <c r="S83">
        <f t="shared" si="13"/>
        <v>0.13550135501355</v>
      </c>
      <c r="T83">
        <f t="shared" si="14"/>
        <v>0</v>
      </c>
      <c r="U83">
        <f t="shared" si="15"/>
        <v>0.5420054200542</v>
      </c>
      <c r="V83">
        <f t="shared" si="16"/>
        <v>1.0840108401084</v>
      </c>
      <c r="W83">
        <f t="shared" si="18"/>
        <v>100</v>
      </c>
      <c r="X83">
        <v>67.44</v>
      </c>
      <c r="Y83">
        <f t="shared" si="19"/>
        <v>3.86434782608696</v>
      </c>
    </row>
    <row r="84" spans="2:25">
      <c r="B84">
        <v>145</v>
      </c>
      <c r="C84">
        <v>1020</v>
      </c>
      <c r="D84">
        <v>342</v>
      </c>
      <c r="E84">
        <v>273</v>
      </c>
      <c r="F84">
        <v>3</v>
      </c>
      <c r="G84">
        <v>0</v>
      </c>
      <c r="H84">
        <v>0</v>
      </c>
      <c r="I84">
        <v>0</v>
      </c>
      <c r="J84">
        <v>1</v>
      </c>
      <c r="K84">
        <v>0</v>
      </c>
      <c r="L84">
        <v>619</v>
      </c>
      <c r="M84">
        <v>0</v>
      </c>
      <c r="N84">
        <v>0</v>
      </c>
      <c r="O84">
        <f t="shared" si="10"/>
        <v>619</v>
      </c>
      <c r="P84">
        <f t="shared" si="17"/>
        <v>60.6862745098039</v>
      </c>
      <c r="Q84">
        <f t="shared" si="11"/>
        <v>44.1033925686591</v>
      </c>
      <c r="R84">
        <f t="shared" si="12"/>
        <v>55.2504038772213</v>
      </c>
      <c r="S84">
        <f t="shared" si="13"/>
        <v>0.484652665589661</v>
      </c>
      <c r="T84">
        <f t="shared" si="14"/>
        <v>0</v>
      </c>
      <c r="U84">
        <f t="shared" si="15"/>
        <v>0.161550888529887</v>
      </c>
      <c r="V84">
        <f t="shared" si="16"/>
        <v>0</v>
      </c>
      <c r="W84">
        <f t="shared" si="18"/>
        <v>100</v>
      </c>
      <c r="X84">
        <v>36.08</v>
      </c>
      <c r="Y84">
        <f t="shared" si="19"/>
        <v>24.6062745098039</v>
      </c>
    </row>
    <row r="85" spans="2:25">
      <c r="B85">
        <v>146</v>
      </c>
      <c r="C85">
        <v>1362</v>
      </c>
      <c r="D85">
        <v>377</v>
      </c>
      <c r="E85">
        <v>374</v>
      </c>
      <c r="F85">
        <v>3</v>
      </c>
      <c r="G85">
        <v>2</v>
      </c>
      <c r="H85">
        <v>0</v>
      </c>
      <c r="I85">
        <v>1</v>
      </c>
      <c r="J85">
        <v>2</v>
      </c>
      <c r="K85">
        <v>0</v>
      </c>
      <c r="L85">
        <v>759</v>
      </c>
      <c r="M85">
        <v>0</v>
      </c>
      <c r="N85">
        <v>6</v>
      </c>
      <c r="O85">
        <f t="shared" si="10"/>
        <v>765</v>
      </c>
      <c r="P85">
        <f t="shared" si="17"/>
        <v>56.1674008810573</v>
      </c>
      <c r="Q85">
        <f t="shared" si="11"/>
        <v>48.8888888888889</v>
      </c>
      <c r="R85">
        <f t="shared" si="12"/>
        <v>49.281045751634</v>
      </c>
      <c r="S85">
        <f t="shared" si="13"/>
        <v>0.392156862745098</v>
      </c>
      <c r="T85">
        <f t="shared" si="14"/>
        <v>0.261437908496732</v>
      </c>
      <c r="U85">
        <f t="shared" si="15"/>
        <v>0.392156862745098</v>
      </c>
      <c r="V85">
        <f t="shared" si="16"/>
        <v>0.784313725490196</v>
      </c>
      <c r="W85">
        <f t="shared" si="18"/>
        <v>100</v>
      </c>
      <c r="X85">
        <v>49.19</v>
      </c>
      <c r="Y85">
        <f t="shared" si="19"/>
        <v>6.97740088105728</v>
      </c>
    </row>
    <row r="86" spans="2:25">
      <c r="B86">
        <v>141</v>
      </c>
      <c r="C86">
        <v>688</v>
      </c>
      <c r="D86">
        <v>68</v>
      </c>
      <c r="E86">
        <v>252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322</v>
      </c>
      <c r="M86">
        <v>0</v>
      </c>
      <c r="N86">
        <v>2</v>
      </c>
      <c r="O86">
        <f t="shared" si="10"/>
        <v>324</v>
      </c>
      <c r="P86">
        <f t="shared" si="17"/>
        <v>47.093023255814</v>
      </c>
      <c r="Q86">
        <f t="shared" si="11"/>
        <v>77.7777777777778</v>
      </c>
      <c r="R86">
        <f t="shared" si="12"/>
        <v>20.9876543209877</v>
      </c>
      <c r="S86">
        <f t="shared" si="13"/>
        <v>0.308641975308642</v>
      </c>
      <c r="T86">
        <f t="shared" si="14"/>
        <v>0.308641975308642</v>
      </c>
      <c r="U86">
        <f t="shared" si="15"/>
        <v>0</v>
      </c>
      <c r="V86">
        <f t="shared" si="16"/>
        <v>0.617283950617284</v>
      </c>
      <c r="W86">
        <f t="shared" si="18"/>
        <v>100</v>
      </c>
      <c r="X86">
        <v>42.59</v>
      </c>
      <c r="Y86">
        <f t="shared" si="19"/>
        <v>4.50302325581395</v>
      </c>
    </row>
    <row r="87" spans="1:25">
      <c r="A87" t="s">
        <v>39</v>
      </c>
      <c r="B87">
        <v>143</v>
      </c>
      <c r="C87">
        <v>436</v>
      </c>
      <c r="D87">
        <v>103</v>
      </c>
      <c r="E87">
        <v>95</v>
      </c>
      <c r="F87">
        <v>1</v>
      </c>
      <c r="G87">
        <v>2</v>
      </c>
      <c r="H87">
        <v>0</v>
      </c>
      <c r="I87">
        <v>0</v>
      </c>
      <c r="J87">
        <v>1</v>
      </c>
      <c r="K87">
        <v>0</v>
      </c>
      <c r="L87">
        <v>202</v>
      </c>
      <c r="M87">
        <v>0</v>
      </c>
      <c r="N87">
        <v>2</v>
      </c>
      <c r="O87">
        <f t="shared" si="10"/>
        <v>204</v>
      </c>
      <c r="P87">
        <f t="shared" si="17"/>
        <v>46.7889908256881</v>
      </c>
      <c r="Q87">
        <f t="shared" si="11"/>
        <v>46.5686274509804</v>
      </c>
      <c r="R87">
        <f t="shared" si="12"/>
        <v>50.4901960784314</v>
      </c>
      <c r="S87">
        <f t="shared" si="13"/>
        <v>0.490196078431373</v>
      </c>
      <c r="T87">
        <f t="shared" si="14"/>
        <v>0.980392156862745</v>
      </c>
      <c r="U87">
        <f t="shared" si="15"/>
        <v>0.490196078431373</v>
      </c>
      <c r="V87">
        <f t="shared" si="16"/>
        <v>0.980392156862745</v>
      </c>
      <c r="W87">
        <f t="shared" si="18"/>
        <v>100</v>
      </c>
      <c r="X87">
        <v>38.53</v>
      </c>
      <c r="Y87">
        <f t="shared" si="19"/>
        <v>8.25899082568807</v>
      </c>
    </row>
    <row r="88" spans="2:25">
      <c r="B88">
        <v>127</v>
      </c>
      <c r="C88">
        <v>961</v>
      </c>
      <c r="D88">
        <v>227</v>
      </c>
      <c r="E88">
        <v>268</v>
      </c>
      <c r="F88">
        <v>3</v>
      </c>
      <c r="G88">
        <v>2</v>
      </c>
      <c r="H88">
        <v>0</v>
      </c>
      <c r="I88">
        <v>1</v>
      </c>
      <c r="J88">
        <v>0</v>
      </c>
      <c r="K88">
        <v>0</v>
      </c>
      <c r="L88">
        <v>501</v>
      </c>
      <c r="M88">
        <v>0</v>
      </c>
      <c r="N88">
        <v>2</v>
      </c>
      <c r="O88">
        <f t="shared" si="10"/>
        <v>503</v>
      </c>
      <c r="P88">
        <f t="shared" si="17"/>
        <v>52.3413111342352</v>
      </c>
      <c r="Q88">
        <f t="shared" si="11"/>
        <v>53.2803180914513</v>
      </c>
      <c r="R88">
        <f t="shared" si="12"/>
        <v>45.1292246520875</v>
      </c>
      <c r="S88">
        <f t="shared" si="13"/>
        <v>0.596421471172962</v>
      </c>
      <c r="T88">
        <f t="shared" si="14"/>
        <v>0.397614314115308</v>
      </c>
      <c r="U88">
        <f t="shared" si="15"/>
        <v>0.198807157057654</v>
      </c>
      <c r="V88">
        <f t="shared" si="16"/>
        <v>0.397614314115308</v>
      </c>
      <c r="W88">
        <f t="shared" si="18"/>
        <v>100</v>
      </c>
      <c r="X88">
        <v>48.28</v>
      </c>
      <c r="Y88">
        <f t="shared" si="19"/>
        <v>4.06131113423517</v>
      </c>
    </row>
    <row r="89" spans="2:25">
      <c r="B89">
        <v>126</v>
      </c>
      <c r="C89">
        <v>1216</v>
      </c>
      <c r="D89">
        <v>339</v>
      </c>
      <c r="E89">
        <v>188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528</v>
      </c>
      <c r="M89">
        <v>0</v>
      </c>
      <c r="N89">
        <v>1</v>
      </c>
      <c r="O89">
        <f t="shared" si="10"/>
        <v>529</v>
      </c>
      <c r="P89">
        <f t="shared" si="17"/>
        <v>43.5032894736842</v>
      </c>
      <c r="Q89">
        <f t="shared" si="11"/>
        <v>35.538752362949</v>
      </c>
      <c r="R89">
        <f t="shared" si="12"/>
        <v>64.0831758034027</v>
      </c>
      <c r="S89">
        <f t="shared" si="13"/>
        <v>0</v>
      </c>
      <c r="T89">
        <f t="shared" si="14"/>
        <v>0.189035916824197</v>
      </c>
      <c r="U89">
        <f t="shared" si="15"/>
        <v>0</v>
      </c>
      <c r="V89">
        <f t="shared" si="16"/>
        <v>0.189035916824197</v>
      </c>
      <c r="W89">
        <f t="shared" si="18"/>
        <v>100</v>
      </c>
      <c r="X89">
        <v>39.72</v>
      </c>
      <c r="Y89">
        <f t="shared" si="19"/>
        <v>3.78328947368421</v>
      </c>
    </row>
    <row r="90" spans="2:25">
      <c r="B90">
        <v>125</v>
      </c>
      <c r="C90">
        <v>993</v>
      </c>
      <c r="D90">
        <v>189</v>
      </c>
      <c r="E90">
        <v>293</v>
      </c>
      <c r="F90">
        <v>1</v>
      </c>
      <c r="G90">
        <v>5</v>
      </c>
      <c r="H90">
        <v>0</v>
      </c>
      <c r="I90">
        <v>0</v>
      </c>
      <c r="J90">
        <v>0</v>
      </c>
      <c r="K90">
        <v>0</v>
      </c>
      <c r="L90">
        <v>488</v>
      </c>
      <c r="M90">
        <v>0</v>
      </c>
      <c r="N90">
        <v>2</v>
      </c>
      <c r="O90">
        <f t="shared" si="10"/>
        <v>490</v>
      </c>
      <c r="P90">
        <f t="shared" si="17"/>
        <v>49.3454179254783</v>
      </c>
      <c r="Q90">
        <f t="shared" si="11"/>
        <v>59.7959183673469</v>
      </c>
      <c r="R90">
        <f t="shared" si="12"/>
        <v>38.5714285714286</v>
      </c>
      <c r="S90">
        <f t="shared" si="13"/>
        <v>0.204081632653061</v>
      </c>
      <c r="T90">
        <f t="shared" si="14"/>
        <v>1.02040816326531</v>
      </c>
      <c r="U90">
        <f t="shared" si="15"/>
        <v>0</v>
      </c>
      <c r="V90">
        <f t="shared" si="16"/>
        <v>0.408163265306122</v>
      </c>
      <c r="W90">
        <f t="shared" si="18"/>
        <v>100</v>
      </c>
      <c r="X90">
        <v>20.75</v>
      </c>
      <c r="Y90">
        <f t="shared" si="19"/>
        <v>28.5954179254783</v>
      </c>
    </row>
    <row r="91" spans="2:25">
      <c r="B91">
        <v>142</v>
      </c>
      <c r="C91">
        <v>1160</v>
      </c>
      <c r="D91">
        <v>455</v>
      </c>
      <c r="E91">
        <v>142</v>
      </c>
      <c r="F91">
        <v>1</v>
      </c>
      <c r="G91">
        <v>2</v>
      </c>
      <c r="H91">
        <v>0</v>
      </c>
      <c r="I91">
        <v>0</v>
      </c>
      <c r="J91">
        <v>0</v>
      </c>
      <c r="K91">
        <v>0</v>
      </c>
      <c r="L91">
        <v>600</v>
      </c>
      <c r="M91">
        <v>0</v>
      </c>
      <c r="N91">
        <v>1</v>
      </c>
      <c r="O91">
        <f t="shared" si="10"/>
        <v>601</v>
      </c>
      <c r="P91">
        <f t="shared" si="17"/>
        <v>51.8103448275862</v>
      </c>
      <c r="Q91">
        <f t="shared" si="11"/>
        <v>23.6272878535774</v>
      </c>
      <c r="R91">
        <f t="shared" si="12"/>
        <v>75.7071547420965</v>
      </c>
      <c r="S91">
        <f t="shared" si="13"/>
        <v>0.166389351081531</v>
      </c>
      <c r="T91">
        <f t="shared" si="14"/>
        <v>0.332778702163062</v>
      </c>
      <c r="U91">
        <f t="shared" si="15"/>
        <v>0</v>
      </c>
      <c r="V91">
        <f t="shared" si="16"/>
        <v>0.166389351081531</v>
      </c>
      <c r="W91">
        <f t="shared" si="18"/>
        <v>100</v>
      </c>
      <c r="X91">
        <v>46.9</v>
      </c>
      <c r="Y91">
        <f t="shared" si="19"/>
        <v>4.91034482758621</v>
      </c>
    </row>
    <row r="92" ht="29" spans="1:25">
      <c r="A92" s="697" t="s">
        <v>40</v>
      </c>
      <c r="B92">
        <v>4</v>
      </c>
      <c r="C92">
        <v>1301</v>
      </c>
      <c r="D92">
        <v>205</v>
      </c>
      <c r="E92">
        <v>736</v>
      </c>
      <c r="F92">
        <v>0</v>
      </c>
      <c r="G92">
        <v>9</v>
      </c>
      <c r="H92">
        <v>1</v>
      </c>
      <c r="I92">
        <v>0</v>
      </c>
      <c r="J92">
        <v>3</v>
      </c>
      <c r="K92">
        <v>2</v>
      </c>
      <c r="L92">
        <v>956</v>
      </c>
      <c r="M92">
        <v>0</v>
      </c>
      <c r="N92">
        <v>13</v>
      </c>
      <c r="O92">
        <f t="shared" si="10"/>
        <v>969</v>
      </c>
      <c r="P92">
        <f t="shared" si="17"/>
        <v>74.4811683320523</v>
      </c>
      <c r="Q92">
        <f t="shared" si="11"/>
        <v>75.9545923632611</v>
      </c>
      <c r="R92">
        <f t="shared" si="12"/>
        <v>21.155830753354</v>
      </c>
      <c r="S92">
        <f t="shared" si="13"/>
        <v>0</v>
      </c>
      <c r="T92">
        <f t="shared" si="14"/>
        <v>0.928792569659443</v>
      </c>
      <c r="U92">
        <f t="shared" si="15"/>
        <v>0.619195046439629</v>
      </c>
      <c r="V92">
        <f t="shared" si="16"/>
        <v>1.34158926728586</v>
      </c>
      <c r="W92">
        <f t="shared" si="18"/>
        <v>100</v>
      </c>
      <c r="X92">
        <v>72.33</v>
      </c>
      <c r="Y92">
        <f t="shared" si="19"/>
        <v>2.15116833205228</v>
      </c>
    </row>
    <row r="93" spans="2:25">
      <c r="B93">
        <v>90</v>
      </c>
      <c r="C93">
        <v>1323</v>
      </c>
      <c r="D93">
        <v>250</v>
      </c>
      <c r="E93">
        <v>554</v>
      </c>
      <c r="F93">
        <v>3</v>
      </c>
      <c r="G93">
        <v>5</v>
      </c>
      <c r="H93">
        <v>2</v>
      </c>
      <c r="I93">
        <v>1</v>
      </c>
      <c r="J93">
        <v>0</v>
      </c>
      <c r="K93">
        <v>0</v>
      </c>
      <c r="L93">
        <v>815</v>
      </c>
      <c r="M93">
        <v>0</v>
      </c>
      <c r="N93">
        <v>4</v>
      </c>
      <c r="O93">
        <f t="shared" si="10"/>
        <v>819</v>
      </c>
      <c r="P93">
        <f t="shared" si="17"/>
        <v>61.9047619047619</v>
      </c>
      <c r="Q93">
        <f t="shared" si="11"/>
        <v>67.6434676434676</v>
      </c>
      <c r="R93">
        <f t="shared" si="12"/>
        <v>30.5250305250305</v>
      </c>
      <c r="S93">
        <f t="shared" si="13"/>
        <v>0.366300366300366</v>
      </c>
      <c r="T93">
        <f t="shared" si="14"/>
        <v>0.610500610500611</v>
      </c>
      <c r="U93">
        <f t="shared" si="15"/>
        <v>0.366300366300366</v>
      </c>
      <c r="V93">
        <f t="shared" si="16"/>
        <v>0.488400488400488</v>
      </c>
      <c r="W93">
        <f t="shared" si="18"/>
        <v>100</v>
      </c>
      <c r="X93">
        <v>57.14</v>
      </c>
      <c r="Y93">
        <f t="shared" si="19"/>
        <v>4.7647619047619</v>
      </c>
    </row>
    <row r="94" spans="2:25">
      <c r="B94">
        <v>89</v>
      </c>
      <c r="C94">
        <v>872</v>
      </c>
      <c r="D94">
        <v>116</v>
      </c>
      <c r="E94">
        <v>405</v>
      </c>
      <c r="F94">
        <v>1</v>
      </c>
      <c r="G94">
        <v>3</v>
      </c>
      <c r="H94">
        <v>1</v>
      </c>
      <c r="I94">
        <v>0</v>
      </c>
      <c r="J94">
        <v>0</v>
      </c>
      <c r="K94">
        <v>0</v>
      </c>
      <c r="L94">
        <v>526</v>
      </c>
      <c r="M94">
        <v>0</v>
      </c>
      <c r="N94">
        <v>1</v>
      </c>
      <c r="O94">
        <f t="shared" si="10"/>
        <v>527</v>
      </c>
      <c r="P94">
        <f t="shared" si="17"/>
        <v>60.4357798165138</v>
      </c>
      <c r="Q94">
        <f t="shared" si="11"/>
        <v>76.8500948766603</v>
      </c>
      <c r="R94">
        <f t="shared" si="12"/>
        <v>22.011385199241</v>
      </c>
      <c r="S94">
        <f t="shared" si="13"/>
        <v>0.189753320683112</v>
      </c>
      <c r="T94">
        <f t="shared" si="14"/>
        <v>0.569259962049336</v>
      </c>
      <c r="U94">
        <f t="shared" si="15"/>
        <v>0.189753320683112</v>
      </c>
      <c r="V94">
        <f t="shared" si="16"/>
        <v>0.189753320683112</v>
      </c>
      <c r="W94">
        <f t="shared" si="18"/>
        <v>100</v>
      </c>
      <c r="X94">
        <v>52.64</v>
      </c>
      <c r="Y94">
        <f t="shared" si="19"/>
        <v>7.79577981651376</v>
      </c>
    </row>
    <row r="95" spans="2:25">
      <c r="B95">
        <v>86</v>
      </c>
      <c r="C95">
        <v>495</v>
      </c>
      <c r="D95">
        <v>94</v>
      </c>
      <c r="E95">
        <v>229</v>
      </c>
      <c r="F95">
        <v>1</v>
      </c>
      <c r="G95">
        <v>2</v>
      </c>
      <c r="H95">
        <v>0</v>
      </c>
      <c r="I95">
        <v>0</v>
      </c>
      <c r="J95">
        <v>2</v>
      </c>
      <c r="K95">
        <v>1</v>
      </c>
      <c r="L95">
        <v>329</v>
      </c>
      <c r="M95">
        <v>0</v>
      </c>
      <c r="N95">
        <v>1</v>
      </c>
      <c r="O95">
        <f t="shared" si="10"/>
        <v>330</v>
      </c>
      <c r="P95">
        <f t="shared" si="17"/>
        <v>66.6666666666667</v>
      </c>
      <c r="Q95">
        <f t="shared" si="11"/>
        <v>69.3939393939394</v>
      </c>
      <c r="R95">
        <f t="shared" si="12"/>
        <v>28.4848484848485</v>
      </c>
      <c r="S95">
        <f t="shared" si="13"/>
        <v>0.303030303030303</v>
      </c>
      <c r="T95">
        <f t="shared" si="14"/>
        <v>0.606060606060606</v>
      </c>
      <c r="U95">
        <f t="shared" si="15"/>
        <v>0.909090909090909</v>
      </c>
      <c r="V95">
        <f t="shared" si="16"/>
        <v>0.303030303030303</v>
      </c>
      <c r="W95">
        <f t="shared" si="18"/>
        <v>100</v>
      </c>
      <c r="X95">
        <v>58.79</v>
      </c>
      <c r="Y95">
        <f t="shared" si="19"/>
        <v>7.87666666666666</v>
      </c>
    </row>
    <row r="96" spans="2:25">
      <c r="B96">
        <v>85</v>
      </c>
      <c r="C96">
        <v>1287</v>
      </c>
      <c r="D96">
        <v>248</v>
      </c>
      <c r="E96">
        <v>575</v>
      </c>
      <c r="F96">
        <v>4</v>
      </c>
      <c r="G96">
        <v>4</v>
      </c>
      <c r="H96">
        <v>0</v>
      </c>
      <c r="I96">
        <v>0</v>
      </c>
      <c r="J96">
        <v>0</v>
      </c>
      <c r="K96">
        <v>0</v>
      </c>
      <c r="L96">
        <v>831</v>
      </c>
      <c r="M96">
        <v>0</v>
      </c>
      <c r="N96">
        <v>9</v>
      </c>
      <c r="O96">
        <f t="shared" si="10"/>
        <v>840</v>
      </c>
      <c r="P96">
        <f t="shared" si="17"/>
        <v>65.2680652680653</v>
      </c>
      <c r="Q96">
        <f t="shared" si="11"/>
        <v>68.4523809523809</v>
      </c>
      <c r="R96">
        <f t="shared" si="12"/>
        <v>29.5238095238095</v>
      </c>
      <c r="S96">
        <f t="shared" si="13"/>
        <v>0.476190476190476</v>
      </c>
      <c r="T96">
        <f t="shared" si="14"/>
        <v>0.476190476190476</v>
      </c>
      <c r="U96">
        <f t="shared" si="15"/>
        <v>0</v>
      </c>
      <c r="V96">
        <f t="shared" si="16"/>
        <v>1.07142857142857</v>
      </c>
      <c r="W96">
        <f t="shared" si="18"/>
        <v>100</v>
      </c>
      <c r="X96">
        <v>62.47</v>
      </c>
      <c r="Y96">
        <f t="shared" si="19"/>
        <v>2.79806526806527</v>
      </c>
    </row>
    <row r="97" spans="2:25">
      <c r="B97">
        <v>87</v>
      </c>
      <c r="C97">
        <v>961</v>
      </c>
      <c r="D97">
        <v>202</v>
      </c>
      <c r="E97">
        <v>456</v>
      </c>
      <c r="F97">
        <v>2</v>
      </c>
      <c r="G97">
        <v>0</v>
      </c>
      <c r="H97">
        <v>0</v>
      </c>
      <c r="I97">
        <v>0</v>
      </c>
      <c r="J97">
        <v>0</v>
      </c>
      <c r="K97">
        <v>1</v>
      </c>
      <c r="L97">
        <v>661</v>
      </c>
      <c r="M97">
        <v>0</v>
      </c>
      <c r="N97">
        <v>6</v>
      </c>
      <c r="O97">
        <f t="shared" si="10"/>
        <v>667</v>
      </c>
      <c r="P97">
        <f t="shared" si="17"/>
        <v>69.4068678459938</v>
      </c>
      <c r="Q97">
        <f t="shared" si="11"/>
        <v>68.3658170914543</v>
      </c>
      <c r="R97">
        <f t="shared" si="12"/>
        <v>30.2848575712144</v>
      </c>
      <c r="S97">
        <f t="shared" si="13"/>
        <v>0.299850074962519</v>
      </c>
      <c r="T97">
        <f t="shared" si="14"/>
        <v>0</v>
      </c>
      <c r="U97">
        <f t="shared" si="15"/>
        <v>0.149925037481259</v>
      </c>
      <c r="V97">
        <f t="shared" si="16"/>
        <v>0.899550224887556</v>
      </c>
      <c r="W97">
        <f t="shared" si="18"/>
        <v>100</v>
      </c>
      <c r="X97">
        <v>60.77</v>
      </c>
      <c r="Y97">
        <f t="shared" si="19"/>
        <v>8.63686784599376</v>
      </c>
    </row>
    <row r="98" spans="2:25">
      <c r="B98">
        <v>88</v>
      </c>
      <c r="C98">
        <v>1275</v>
      </c>
      <c r="D98">
        <v>186</v>
      </c>
      <c r="E98">
        <v>651</v>
      </c>
      <c r="F98">
        <v>1</v>
      </c>
      <c r="G98">
        <v>3</v>
      </c>
      <c r="H98">
        <v>0</v>
      </c>
      <c r="I98">
        <v>0</v>
      </c>
      <c r="J98">
        <v>1</v>
      </c>
      <c r="K98">
        <v>1</v>
      </c>
      <c r="L98">
        <v>843</v>
      </c>
      <c r="M98">
        <v>0</v>
      </c>
      <c r="N98">
        <v>9</v>
      </c>
      <c r="O98">
        <f t="shared" si="10"/>
        <v>852</v>
      </c>
      <c r="P98">
        <f t="shared" si="17"/>
        <v>66.8235294117647</v>
      </c>
      <c r="Q98">
        <f t="shared" si="11"/>
        <v>76.4084507042253</v>
      </c>
      <c r="R98">
        <f t="shared" si="12"/>
        <v>21.830985915493</v>
      </c>
      <c r="S98">
        <f t="shared" si="13"/>
        <v>0.117370892018779</v>
      </c>
      <c r="T98">
        <f t="shared" si="14"/>
        <v>0.352112676056338</v>
      </c>
      <c r="U98">
        <f t="shared" si="15"/>
        <v>0.234741784037559</v>
      </c>
      <c r="V98">
        <f t="shared" si="16"/>
        <v>1.05633802816901</v>
      </c>
      <c r="W98">
        <f t="shared" si="18"/>
        <v>100</v>
      </c>
      <c r="X98">
        <v>60.78</v>
      </c>
      <c r="Y98">
        <f t="shared" si="19"/>
        <v>6.04352941176471</v>
      </c>
    </row>
    <row r="99" spans="2:25">
      <c r="B99">
        <v>10</v>
      </c>
      <c r="C99">
        <v>943</v>
      </c>
      <c r="D99">
        <v>128</v>
      </c>
      <c r="E99">
        <v>340</v>
      </c>
      <c r="F99">
        <v>4</v>
      </c>
      <c r="G99">
        <v>1</v>
      </c>
      <c r="H99">
        <v>0</v>
      </c>
      <c r="I99">
        <v>1</v>
      </c>
      <c r="J99">
        <v>1</v>
      </c>
      <c r="K99">
        <v>0</v>
      </c>
      <c r="L99">
        <v>475</v>
      </c>
      <c r="M99">
        <v>0</v>
      </c>
      <c r="N99">
        <v>4</v>
      </c>
      <c r="O99">
        <f t="shared" si="10"/>
        <v>479</v>
      </c>
      <c r="P99">
        <f t="shared" si="17"/>
        <v>50.7953340402969</v>
      </c>
      <c r="Q99">
        <f t="shared" si="11"/>
        <v>70.9812108559499</v>
      </c>
      <c r="R99">
        <f t="shared" si="12"/>
        <v>26.7223382045929</v>
      </c>
      <c r="S99">
        <f t="shared" si="13"/>
        <v>0.835073068893528</v>
      </c>
      <c r="T99">
        <f t="shared" si="14"/>
        <v>0.208768267223382</v>
      </c>
      <c r="U99">
        <f t="shared" si="15"/>
        <v>0.417536534446764</v>
      </c>
      <c r="V99">
        <f t="shared" si="16"/>
        <v>0.835073068893528</v>
      </c>
      <c r="W99">
        <f t="shared" si="18"/>
        <v>100</v>
      </c>
      <c r="X99">
        <v>50.8</v>
      </c>
      <c r="Y99">
        <f t="shared" si="19"/>
        <v>-0.00466595970307537</v>
      </c>
    </row>
    <row r="100" spans="1:25">
      <c r="A100" t="s">
        <v>41</v>
      </c>
      <c r="B100">
        <v>17</v>
      </c>
      <c r="C100">
        <v>1336</v>
      </c>
      <c r="D100">
        <v>333</v>
      </c>
      <c r="E100">
        <v>591</v>
      </c>
      <c r="F100">
        <v>3</v>
      </c>
      <c r="G100">
        <v>4</v>
      </c>
      <c r="H100">
        <v>0</v>
      </c>
      <c r="I100">
        <v>2</v>
      </c>
      <c r="J100">
        <v>2</v>
      </c>
      <c r="K100">
        <v>0</v>
      </c>
      <c r="L100">
        <v>935</v>
      </c>
      <c r="M100">
        <v>0</v>
      </c>
      <c r="N100">
        <v>17</v>
      </c>
      <c r="O100">
        <f t="shared" si="10"/>
        <v>952</v>
      </c>
      <c r="P100">
        <f t="shared" si="17"/>
        <v>71.2574850299401</v>
      </c>
      <c r="Q100">
        <f t="shared" si="11"/>
        <v>62.0798319327731</v>
      </c>
      <c r="R100">
        <f t="shared" si="12"/>
        <v>34.9789915966387</v>
      </c>
      <c r="S100">
        <f t="shared" si="13"/>
        <v>0.315126050420168</v>
      </c>
      <c r="T100">
        <f t="shared" si="14"/>
        <v>0.420168067226891</v>
      </c>
      <c r="U100">
        <f t="shared" si="15"/>
        <v>0.420168067226891</v>
      </c>
      <c r="V100">
        <f t="shared" si="16"/>
        <v>1.78571428571429</v>
      </c>
      <c r="W100">
        <f t="shared" si="18"/>
        <v>100</v>
      </c>
      <c r="X100">
        <v>66.32</v>
      </c>
      <c r="Y100">
        <f t="shared" si="19"/>
        <v>4.93748502994012</v>
      </c>
    </row>
    <row r="101" spans="2:25">
      <c r="B101">
        <v>11</v>
      </c>
      <c r="C101">
        <v>1345</v>
      </c>
      <c r="D101">
        <v>317</v>
      </c>
      <c r="E101">
        <v>567</v>
      </c>
      <c r="F101">
        <v>5</v>
      </c>
      <c r="G101">
        <v>2</v>
      </c>
      <c r="H101">
        <v>1</v>
      </c>
      <c r="I101">
        <v>0</v>
      </c>
      <c r="J101">
        <v>0</v>
      </c>
      <c r="K101">
        <v>0</v>
      </c>
      <c r="L101">
        <v>892</v>
      </c>
      <c r="M101">
        <v>0</v>
      </c>
      <c r="N101">
        <v>5</v>
      </c>
      <c r="O101">
        <f t="shared" si="10"/>
        <v>897</v>
      </c>
      <c r="P101">
        <f t="shared" si="17"/>
        <v>66.6914498141264</v>
      </c>
      <c r="Q101">
        <f t="shared" si="11"/>
        <v>63.2107023411371</v>
      </c>
      <c r="R101">
        <f t="shared" si="12"/>
        <v>35.340022296544</v>
      </c>
      <c r="S101">
        <f t="shared" si="13"/>
        <v>0.557413600891862</v>
      </c>
      <c r="T101">
        <f t="shared" si="14"/>
        <v>0.222965440356745</v>
      </c>
      <c r="U101">
        <f t="shared" si="15"/>
        <v>0.111482720178372</v>
      </c>
      <c r="V101">
        <f t="shared" si="16"/>
        <v>0.557413600891862</v>
      </c>
      <c r="W101">
        <f t="shared" si="18"/>
        <v>100</v>
      </c>
      <c r="X101">
        <v>63.94</v>
      </c>
      <c r="Y101">
        <f t="shared" si="19"/>
        <v>2.75144981412639</v>
      </c>
    </row>
    <row r="102" spans="2:25">
      <c r="B102">
        <v>12</v>
      </c>
      <c r="C102">
        <v>1023</v>
      </c>
      <c r="D102">
        <v>167</v>
      </c>
      <c r="E102">
        <v>343</v>
      </c>
      <c r="F102">
        <v>1</v>
      </c>
      <c r="G102">
        <v>5</v>
      </c>
      <c r="H102">
        <v>0</v>
      </c>
      <c r="I102">
        <v>0</v>
      </c>
      <c r="J102">
        <v>1</v>
      </c>
      <c r="K102">
        <v>1</v>
      </c>
      <c r="L102">
        <v>518</v>
      </c>
      <c r="M102">
        <v>0</v>
      </c>
      <c r="N102">
        <v>4</v>
      </c>
      <c r="O102">
        <f t="shared" si="10"/>
        <v>522</v>
      </c>
      <c r="P102">
        <f t="shared" si="17"/>
        <v>51.0263929618768</v>
      </c>
      <c r="Q102">
        <f t="shared" si="11"/>
        <v>65.7088122605364</v>
      </c>
      <c r="R102">
        <f t="shared" si="12"/>
        <v>31.992337164751</v>
      </c>
      <c r="S102">
        <f t="shared" si="13"/>
        <v>0.191570881226054</v>
      </c>
      <c r="T102">
        <f t="shared" si="14"/>
        <v>0.957854406130268</v>
      </c>
      <c r="U102">
        <f t="shared" si="15"/>
        <v>0.383141762452107</v>
      </c>
      <c r="V102">
        <f t="shared" si="16"/>
        <v>0.766283524904214</v>
      </c>
      <c r="W102">
        <f t="shared" si="18"/>
        <v>100</v>
      </c>
      <c r="X102">
        <v>46.24</v>
      </c>
      <c r="Y102">
        <f t="shared" si="19"/>
        <v>4.78639296187683</v>
      </c>
    </row>
    <row r="103" spans="2:25">
      <c r="B103">
        <v>8</v>
      </c>
      <c r="C103">
        <v>893</v>
      </c>
      <c r="D103">
        <v>161</v>
      </c>
      <c r="E103">
        <v>366</v>
      </c>
      <c r="F103">
        <v>1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530</v>
      </c>
      <c r="M103">
        <v>0</v>
      </c>
      <c r="N103">
        <v>8</v>
      </c>
      <c r="O103">
        <f t="shared" si="10"/>
        <v>538</v>
      </c>
      <c r="P103">
        <f t="shared" si="17"/>
        <v>60.2463605823068</v>
      </c>
      <c r="Q103">
        <f t="shared" si="11"/>
        <v>68.0297397769517</v>
      </c>
      <c r="R103">
        <f t="shared" si="12"/>
        <v>29.9256505576208</v>
      </c>
      <c r="S103">
        <f t="shared" si="13"/>
        <v>0.185873605947955</v>
      </c>
      <c r="T103">
        <f t="shared" si="14"/>
        <v>0.371747211895911</v>
      </c>
      <c r="U103">
        <f t="shared" si="15"/>
        <v>0</v>
      </c>
      <c r="V103">
        <f t="shared" si="16"/>
        <v>1.48698884758364</v>
      </c>
      <c r="W103">
        <f t="shared" si="18"/>
        <v>100</v>
      </c>
      <c r="X103">
        <v>59.8</v>
      </c>
      <c r="Y103">
        <f t="shared" si="19"/>
        <v>0.446360582306838</v>
      </c>
    </row>
    <row r="104" spans="2:25">
      <c r="B104">
        <v>9</v>
      </c>
      <c r="C104">
        <v>1047</v>
      </c>
      <c r="D104">
        <v>248</v>
      </c>
      <c r="E104">
        <v>392</v>
      </c>
      <c r="F104">
        <v>10</v>
      </c>
      <c r="G104">
        <v>4</v>
      </c>
      <c r="H104">
        <v>0</v>
      </c>
      <c r="I104">
        <v>1</v>
      </c>
      <c r="J104">
        <v>1</v>
      </c>
      <c r="K104">
        <v>0</v>
      </c>
      <c r="L104">
        <v>656</v>
      </c>
      <c r="M104">
        <v>0</v>
      </c>
      <c r="N104">
        <v>8</v>
      </c>
      <c r="O104">
        <f t="shared" si="10"/>
        <v>664</v>
      </c>
      <c r="P104">
        <f t="shared" si="17"/>
        <v>63.4192932187201</v>
      </c>
      <c r="Q104">
        <f t="shared" si="11"/>
        <v>59.0361445783133</v>
      </c>
      <c r="R104">
        <f t="shared" si="12"/>
        <v>37.3493975903614</v>
      </c>
      <c r="S104">
        <f t="shared" si="13"/>
        <v>1.50602409638554</v>
      </c>
      <c r="T104">
        <f t="shared" si="14"/>
        <v>0.602409638554217</v>
      </c>
      <c r="U104">
        <f t="shared" si="15"/>
        <v>0.301204819277108</v>
      </c>
      <c r="V104">
        <f t="shared" si="16"/>
        <v>1.20481927710843</v>
      </c>
      <c r="W104">
        <f t="shared" si="18"/>
        <v>100</v>
      </c>
      <c r="X104">
        <v>62.66</v>
      </c>
      <c r="Y104">
        <f t="shared" si="19"/>
        <v>0.759293218720153</v>
      </c>
    </row>
    <row r="105" spans="2:25">
      <c r="B105">
        <v>14</v>
      </c>
      <c r="C105">
        <v>893</v>
      </c>
      <c r="D105">
        <v>98</v>
      </c>
      <c r="E105">
        <v>273</v>
      </c>
      <c r="F105">
        <v>3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379</v>
      </c>
      <c r="M105">
        <v>0</v>
      </c>
      <c r="N105">
        <v>2</v>
      </c>
      <c r="O105">
        <f t="shared" si="10"/>
        <v>381</v>
      </c>
      <c r="P105">
        <f t="shared" si="17"/>
        <v>42.6651735722284</v>
      </c>
      <c r="Q105">
        <f t="shared" si="11"/>
        <v>71.6535433070866</v>
      </c>
      <c r="R105">
        <f t="shared" si="12"/>
        <v>25.7217847769029</v>
      </c>
      <c r="S105">
        <f t="shared" si="13"/>
        <v>0.78740157480315</v>
      </c>
      <c r="T105">
        <f t="shared" si="14"/>
        <v>1.31233595800525</v>
      </c>
      <c r="U105">
        <f t="shared" si="15"/>
        <v>0</v>
      </c>
      <c r="V105">
        <f t="shared" si="16"/>
        <v>0.5249343832021</v>
      </c>
      <c r="W105">
        <f t="shared" si="18"/>
        <v>100</v>
      </c>
      <c r="X105">
        <v>38.86</v>
      </c>
      <c r="Y105">
        <f t="shared" si="19"/>
        <v>3.80517357222844</v>
      </c>
    </row>
    <row r="106" spans="2:25">
      <c r="B106">
        <v>13</v>
      </c>
      <c r="C106">
        <v>967</v>
      </c>
      <c r="D106">
        <v>222</v>
      </c>
      <c r="E106">
        <v>391</v>
      </c>
      <c r="F106">
        <v>2</v>
      </c>
      <c r="G106">
        <v>1</v>
      </c>
      <c r="H106">
        <v>1</v>
      </c>
      <c r="I106">
        <v>2</v>
      </c>
      <c r="J106">
        <v>0</v>
      </c>
      <c r="K106">
        <v>0</v>
      </c>
      <c r="L106">
        <v>619</v>
      </c>
      <c r="M106">
        <v>0</v>
      </c>
      <c r="N106">
        <v>5</v>
      </c>
      <c r="O106">
        <f t="shared" si="10"/>
        <v>624</v>
      </c>
      <c r="P106">
        <f t="shared" si="17"/>
        <v>64.5294725956567</v>
      </c>
      <c r="Q106">
        <f t="shared" si="11"/>
        <v>62.6602564102564</v>
      </c>
      <c r="R106">
        <f t="shared" si="12"/>
        <v>35.5769230769231</v>
      </c>
      <c r="S106">
        <f t="shared" si="13"/>
        <v>0.32051282051282</v>
      </c>
      <c r="T106">
        <f t="shared" si="14"/>
        <v>0.16025641025641</v>
      </c>
      <c r="U106">
        <f t="shared" si="15"/>
        <v>0.480769230769231</v>
      </c>
      <c r="V106">
        <f t="shared" si="16"/>
        <v>0.801282051282051</v>
      </c>
      <c r="W106">
        <f t="shared" si="18"/>
        <v>100</v>
      </c>
      <c r="X106">
        <v>59.77</v>
      </c>
      <c r="Y106">
        <f t="shared" si="19"/>
        <v>4.75947259565667</v>
      </c>
    </row>
    <row r="107" spans="1:25">
      <c r="A107" t="s">
        <v>42</v>
      </c>
      <c r="B107">
        <v>5</v>
      </c>
      <c r="C107">
        <v>1170</v>
      </c>
      <c r="D107">
        <v>180</v>
      </c>
      <c r="E107">
        <v>598</v>
      </c>
      <c r="F107">
        <v>2</v>
      </c>
      <c r="G107">
        <v>1</v>
      </c>
      <c r="H107">
        <v>1</v>
      </c>
      <c r="I107">
        <v>2</v>
      </c>
      <c r="J107">
        <v>3</v>
      </c>
      <c r="K107">
        <v>1</v>
      </c>
      <c r="L107">
        <v>788</v>
      </c>
      <c r="M107">
        <v>0</v>
      </c>
      <c r="N107">
        <v>8</v>
      </c>
      <c r="O107">
        <f t="shared" si="10"/>
        <v>796</v>
      </c>
      <c r="P107">
        <f t="shared" si="17"/>
        <v>68.034188034188</v>
      </c>
      <c r="Q107">
        <f t="shared" si="11"/>
        <v>75.1256281407035</v>
      </c>
      <c r="R107">
        <f t="shared" si="12"/>
        <v>22.6130653266332</v>
      </c>
      <c r="S107">
        <f t="shared" si="13"/>
        <v>0.251256281407035</v>
      </c>
      <c r="T107">
        <f t="shared" si="14"/>
        <v>0.125628140703518</v>
      </c>
      <c r="U107">
        <f t="shared" si="15"/>
        <v>0.879396984924623</v>
      </c>
      <c r="V107">
        <f t="shared" si="16"/>
        <v>1.00502512562814</v>
      </c>
      <c r="W107">
        <f t="shared" si="18"/>
        <v>100</v>
      </c>
      <c r="X107">
        <v>67.95</v>
      </c>
      <c r="Y107">
        <f t="shared" si="19"/>
        <v>0.0841880341880312</v>
      </c>
    </row>
    <row r="108" spans="2:25">
      <c r="B108">
        <v>1</v>
      </c>
      <c r="C108">
        <v>1154</v>
      </c>
      <c r="D108">
        <v>273</v>
      </c>
      <c r="E108">
        <v>500</v>
      </c>
      <c r="F108">
        <v>1</v>
      </c>
      <c r="G108">
        <v>2</v>
      </c>
      <c r="H108">
        <v>1</v>
      </c>
      <c r="I108">
        <v>0</v>
      </c>
      <c r="J108">
        <v>1</v>
      </c>
      <c r="K108">
        <v>0</v>
      </c>
      <c r="L108">
        <v>778</v>
      </c>
      <c r="M108">
        <v>0</v>
      </c>
      <c r="N108">
        <v>6</v>
      </c>
      <c r="O108">
        <f t="shared" si="10"/>
        <v>784</v>
      </c>
      <c r="P108">
        <f t="shared" si="17"/>
        <v>67.9376083188908</v>
      </c>
      <c r="Q108">
        <f t="shared" si="11"/>
        <v>63.7755102040816</v>
      </c>
      <c r="R108">
        <f t="shared" si="12"/>
        <v>34.8214285714286</v>
      </c>
      <c r="S108">
        <f t="shared" si="13"/>
        <v>0.127551020408163</v>
      </c>
      <c r="T108">
        <f t="shared" si="14"/>
        <v>0.255102040816327</v>
      </c>
      <c r="U108">
        <f t="shared" si="15"/>
        <v>0.255102040816327</v>
      </c>
      <c r="V108">
        <f t="shared" si="16"/>
        <v>0.76530612244898</v>
      </c>
      <c r="W108">
        <f t="shared" si="18"/>
        <v>100</v>
      </c>
      <c r="X108">
        <v>68.2</v>
      </c>
      <c r="Y108">
        <f t="shared" si="19"/>
        <v>-0.262391681109179</v>
      </c>
    </row>
    <row r="109" spans="2:25">
      <c r="B109">
        <v>2</v>
      </c>
      <c r="C109">
        <v>1078</v>
      </c>
      <c r="D109">
        <v>208</v>
      </c>
      <c r="E109">
        <v>521</v>
      </c>
      <c r="F109">
        <v>2</v>
      </c>
      <c r="G109">
        <v>2</v>
      </c>
      <c r="H109">
        <v>0</v>
      </c>
      <c r="I109">
        <v>0</v>
      </c>
      <c r="J109">
        <v>3</v>
      </c>
      <c r="K109">
        <v>2</v>
      </c>
      <c r="L109">
        <v>738</v>
      </c>
      <c r="M109">
        <v>0</v>
      </c>
      <c r="N109">
        <v>4</v>
      </c>
      <c r="O109">
        <f t="shared" si="10"/>
        <v>742</v>
      </c>
      <c r="P109">
        <f t="shared" si="17"/>
        <v>68.8311688311688</v>
      </c>
      <c r="Q109">
        <f t="shared" si="11"/>
        <v>70.2156334231806</v>
      </c>
      <c r="R109">
        <f t="shared" si="12"/>
        <v>28.0323450134771</v>
      </c>
      <c r="S109">
        <f t="shared" si="13"/>
        <v>0.269541778975741</v>
      </c>
      <c r="T109">
        <f t="shared" si="14"/>
        <v>0.269541778975741</v>
      </c>
      <c r="U109">
        <f t="shared" si="15"/>
        <v>0.673854447439353</v>
      </c>
      <c r="V109">
        <f t="shared" si="16"/>
        <v>0.539083557951483</v>
      </c>
      <c r="W109">
        <f t="shared" si="18"/>
        <v>100</v>
      </c>
      <c r="X109">
        <v>62.8</v>
      </c>
      <c r="Y109">
        <f t="shared" si="19"/>
        <v>6.03116883116884</v>
      </c>
    </row>
    <row r="110" spans="2:25">
      <c r="B110">
        <v>3</v>
      </c>
      <c r="C110">
        <v>806</v>
      </c>
      <c r="D110">
        <v>191</v>
      </c>
      <c r="E110">
        <v>278</v>
      </c>
      <c r="F110">
        <v>2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473</v>
      </c>
      <c r="M110">
        <v>0</v>
      </c>
      <c r="N110">
        <v>5</v>
      </c>
      <c r="O110">
        <f t="shared" si="10"/>
        <v>478</v>
      </c>
      <c r="P110">
        <f t="shared" si="17"/>
        <v>59.3052109181141</v>
      </c>
      <c r="Q110">
        <f t="shared" si="11"/>
        <v>58.1589958158996</v>
      </c>
      <c r="R110">
        <f t="shared" si="12"/>
        <v>39.9581589958159</v>
      </c>
      <c r="S110">
        <f t="shared" si="13"/>
        <v>0.418410041841004</v>
      </c>
      <c r="T110">
        <f t="shared" si="14"/>
        <v>0</v>
      </c>
      <c r="U110">
        <f t="shared" si="15"/>
        <v>0.418410041841004</v>
      </c>
      <c r="V110">
        <f t="shared" si="16"/>
        <v>1.04602510460251</v>
      </c>
      <c r="W110">
        <f t="shared" si="18"/>
        <v>100</v>
      </c>
      <c r="X110">
        <v>60.17</v>
      </c>
      <c r="Y110">
        <f t="shared" si="19"/>
        <v>-0.864789081885853</v>
      </c>
    </row>
    <row r="111" spans="2:25">
      <c r="B111">
        <v>7</v>
      </c>
      <c r="C111">
        <v>779</v>
      </c>
      <c r="D111">
        <v>130</v>
      </c>
      <c r="E111">
        <v>375</v>
      </c>
      <c r="F111">
        <v>2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508</v>
      </c>
      <c r="M111">
        <v>0</v>
      </c>
      <c r="N111">
        <v>2</v>
      </c>
      <c r="O111">
        <f t="shared" ref="O111:O174" si="20">D111+E111+F111+G111+H111+I111+J111+K111+N111</f>
        <v>510</v>
      </c>
      <c r="P111">
        <f t="shared" si="17"/>
        <v>65.4685494223363</v>
      </c>
      <c r="Q111">
        <f t="shared" ref="Q111:Q174" si="21">(E111/O111)*100</f>
        <v>73.5294117647059</v>
      </c>
      <c r="R111">
        <f t="shared" ref="R111:R174" si="22">(D111/O111)*100</f>
        <v>25.4901960784314</v>
      </c>
      <c r="S111">
        <f t="shared" ref="S111:S174" si="23">(F111/O111)*100</f>
        <v>0.392156862745098</v>
      </c>
      <c r="T111">
        <f t="shared" ref="T111:T174" si="24">(G111/O111)*100</f>
        <v>0.196078431372549</v>
      </c>
      <c r="U111">
        <f t="shared" ref="U111:U174" si="25">((H111+I111+J111+K111)/O111)*100</f>
        <v>0</v>
      </c>
      <c r="V111">
        <f t="shared" ref="V111:V174" si="26">(N111/O111)*100</f>
        <v>0.392156862745098</v>
      </c>
      <c r="W111">
        <f t="shared" si="18"/>
        <v>100</v>
      </c>
      <c r="X111">
        <v>58.15</v>
      </c>
      <c r="Y111">
        <f t="shared" si="19"/>
        <v>7.31854942233634</v>
      </c>
    </row>
    <row r="112" spans="2:25">
      <c r="B112">
        <v>6</v>
      </c>
      <c r="C112">
        <v>1211</v>
      </c>
      <c r="D112">
        <v>388</v>
      </c>
      <c r="E112">
        <v>497</v>
      </c>
      <c r="F112">
        <v>5</v>
      </c>
      <c r="G112">
        <v>1</v>
      </c>
      <c r="H112">
        <v>0</v>
      </c>
      <c r="I112">
        <v>0</v>
      </c>
      <c r="J112">
        <v>1</v>
      </c>
      <c r="K112">
        <v>1</v>
      </c>
      <c r="L112">
        <v>893</v>
      </c>
      <c r="M112">
        <v>0</v>
      </c>
      <c r="N112">
        <v>10</v>
      </c>
      <c r="O112">
        <f t="shared" si="20"/>
        <v>903</v>
      </c>
      <c r="P112">
        <f t="shared" si="17"/>
        <v>74.5664739884393</v>
      </c>
      <c r="Q112">
        <f t="shared" si="21"/>
        <v>55.0387596899225</v>
      </c>
      <c r="R112">
        <f t="shared" si="22"/>
        <v>42.9678848283499</v>
      </c>
      <c r="S112">
        <f t="shared" si="23"/>
        <v>0.553709856035437</v>
      </c>
      <c r="T112">
        <f t="shared" si="24"/>
        <v>0.110741971207087</v>
      </c>
      <c r="U112">
        <f t="shared" si="25"/>
        <v>0.221483942414175</v>
      </c>
      <c r="V112">
        <f t="shared" si="26"/>
        <v>1.10741971207087</v>
      </c>
      <c r="W112">
        <f t="shared" si="18"/>
        <v>100</v>
      </c>
      <c r="X112">
        <v>72.17</v>
      </c>
      <c r="Y112">
        <f t="shared" si="19"/>
        <v>2.39647398843931</v>
      </c>
    </row>
    <row r="113" spans="1:25">
      <c r="A113" t="s">
        <v>43</v>
      </c>
      <c r="B113">
        <v>114</v>
      </c>
      <c r="C113">
        <v>826</v>
      </c>
      <c r="D113">
        <v>308</v>
      </c>
      <c r="E113">
        <v>214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523</v>
      </c>
      <c r="M113">
        <v>0</v>
      </c>
      <c r="N113">
        <v>4</v>
      </c>
      <c r="O113">
        <f t="shared" si="20"/>
        <v>527</v>
      </c>
      <c r="P113">
        <f t="shared" si="17"/>
        <v>63.8014527845036</v>
      </c>
      <c r="Q113">
        <f t="shared" si="21"/>
        <v>40.607210626186</v>
      </c>
      <c r="R113">
        <f t="shared" si="22"/>
        <v>58.4440227703985</v>
      </c>
      <c r="S113">
        <f t="shared" si="23"/>
        <v>0.189753320683112</v>
      </c>
      <c r="T113">
        <f t="shared" si="24"/>
        <v>0</v>
      </c>
      <c r="U113">
        <f t="shared" si="25"/>
        <v>0</v>
      </c>
      <c r="V113">
        <f t="shared" si="26"/>
        <v>0.759013282732448</v>
      </c>
      <c r="W113">
        <f t="shared" si="18"/>
        <v>100</v>
      </c>
      <c r="X113">
        <v>60.05</v>
      </c>
      <c r="Y113">
        <f t="shared" si="19"/>
        <v>3.75145278450363</v>
      </c>
    </row>
    <row r="114" spans="2:25">
      <c r="B114">
        <v>73</v>
      </c>
      <c r="C114">
        <v>872</v>
      </c>
      <c r="D114">
        <v>93</v>
      </c>
      <c r="E114">
        <v>442</v>
      </c>
      <c r="F114">
        <v>1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540</v>
      </c>
      <c r="M114">
        <v>0</v>
      </c>
      <c r="N114">
        <v>9</v>
      </c>
      <c r="O114">
        <f t="shared" si="20"/>
        <v>549</v>
      </c>
      <c r="P114">
        <f t="shared" si="17"/>
        <v>62.9587155963303</v>
      </c>
      <c r="Q114">
        <f t="shared" si="21"/>
        <v>80.5100182149363</v>
      </c>
      <c r="R114">
        <f t="shared" si="22"/>
        <v>16.9398907103825</v>
      </c>
      <c r="S114">
        <f t="shared" si="23"/>
        <v>0.182149362477231</v>
      </c>
      <c r="T114">
        <f t="shared" si="24"/>
        <v>0.728597449908925</v>
      </c>
      <c r="U114">
        <f t="shared" si="25"/>
        <v>0</v>
      </c>
      <c r="V114">
        <f t="shared" si="26"/>
        <v>1.63934426229508</v>
      </c>
      <c r="W114">
        <f t="shared" si="18"/>
        <v>100</v>
      </c>
      <c r="X114">
        <v>47.48</v>
      </c>
      <c r="Y114">
        <f t="shared" si="19"/>
        <v>15.4787155963303</v>
      </c>
    </row>
    <row r="115" spans="2:25">
      <c r="B115">
        <v>74</v>
      </c>
      <c r="C115">
        <v>1326</v>
      </c>
      <c r="D115">
        <v>100</v>
      </c>
      <c r="E115">
        <v>694</v>
      </c>
      <c r="F115">
        <v>5</v>
      </c>
      <c r="G115">
        <v>8</v>
      </c>
      <c r="H115">
        <v>1</v>
      </c>
      <c r="I115">
        <v>1</v>
      </c>
      <c r="J115">
        <v>0</v>
      </c>
      <c r="K115">
        <v>1</v>
      </c>
      <c r="L115">
        <v>810</v>
      </c>
      <c r="M115">
        <v>0</v>
      </c>
      <c r="N115">
        <v>8</v>
      </c>
      <c r="O115">
        <f t="shared" si="20"/>
        <v>818</v>
      </c>
      <c r="P115">
        <f t="shared" si="17"/>
        <v>61.6892911010558</v>
      </c>
      <c r="Q115">
        <f t="shared" si="21"/>
        <v>84.841075794621</v>
      </c>
      <c r="R115">
        <f t="shared" si="22"/>
        <v>12.2249388753056</v>
      </c>
      <c r="S115">
        <f t="shared" si="23"/>
        <v>0.611246943765281</v>
      </c>
      <c r="T115">
        <f t="shared" si="24"/>
        <v>0.97799511002445</v>
      </c>
      <c r="U115">
        <f t="shared" si="25"/>
        <v>0.366748166259169</v>
      </c>
      <c r="V115">
        <f t="shared" si="26"/>
        <v>0.97799511002445</v>
      </c>
      <c r="W115">
        <f t="shared" si="18"/>
        <v>100</v>
      </c>
      <c r="X115">
        <v>58.07</v>
      </c>
      <c r="Y115">
        <f t="shared" si="19"/>
        <v>3.61929110105581</v>
      </c>
    </row>
    <row r="116" spans="2:25">
      <c r="B116">
        <v>111</v>
      </c>
      <c r="C116">
        <v>731</v>
      </c>
      <c r="D116">
        <v>315</v>
      </c>
      <c r="E116">
        <v>145</v>
      </c>
      <c r="F116">
        <v>1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4622</v>
      </c>
      <c r="M116">
        <v>0</v>
      </c>
      <c r="N116">
        <v>2</v>
      </c>
      <c r="O116">
        <f t="shared" si="20"/>
        <v>464</v>
      </c>
      <c r="P116">
        <f t="shared" si="17"/>
        <v>63.4746922024624</v>
      </c>
      <c r="Q116">
        <f t="shared" si="21"/>
        <v>31.25</v>
      </c>
      <c r="R116">
        <f t="shared" si="22"/>
        <v>67.8879310344828</v>
      </c>
      <c r="S116">
        <f t="shared" si="23"/>
        <v>0.21551724137931</v>
      </c>
      <c r="T116">
        <f t="shared" si="24"/>
        <v>0</v>
      </c>
      <c r="U116">
        <f t="shared" si="25"/>
        <v>0.21551724137931</v>
      </c>
      <c r="V116">
        <f t="shared" si="26"/>
        <v>0.431034482758621</v>
      </c>
      <c r="W116">
        <f t="shared" si="18"/>
        <v>100</v>
      </c>
      <c r="X116">
        <v>61.01</v>
      </c>
      <c r="Y116">
        <f t="shared" si="19"/>
        <v>2.46469220246238</v>
      </c>
    </row>
    <row r="117" spans="2:25">
      <c r="B117">
        <v>108</v>
      </c>
      <c r="C117">
        <v>1257</v>
      </c>
      <c r="D117">
        <v>94</v>
      </c>
      <c r="E117">
        <v>638</v>
      </c>
      <c r="F117">
        <v>0</v>
      </c>
      <c r="G117">
        <v>1</v>
      </c>
      <c r="H117">
        <v>0</v>
      </c>
      <c r="I117">
        <v>0</v>
      </c>
      <c r="J117">
        <v>3</v>
      </c>
      <c r="K117">
        <v>0</v>
      </c>
      <c r="L117">
        <v>736</v>
      </c>
      <c r="M117">
        <v>0</v>
      </c>
      <c r="N117">
        <v>12</v>
      </c>
      <c r="O117">
        <f t="shared" si="20"/>
        <v>748</v>
      </c>
      <c r="P117">
        <f t="shared" si="17"/>
        <v>59.5067621320605</v>
      </c>
      <c r="Q117">
        <f t="shared" si="21"/>
        <v>85.2941176470588</v>
      </c>
      <c r="R117">
        <f t="shared" si="22"/>
        <v>12.5668449197861</v>
      </c>
      <c r="S117">
        <f t="shared" si="23"/>
        <v>0</v>
      </c>
      <c r="T117">
        <f t="shared" si="24"/>
        <v>0.133689839572192</v>
      </c>
      <c r="U117">
        <f t="shared" si="25"/>
        <v>0.401069518716578</v>
      </c>
      <c r="V117">
        <f t="shared" si="26"/>
        <v>1.60427807486631</v>
      </c>
      <c r="W117">
        <f t="shared" si="18"/>
        <v>100</v>
      </c>
      <c r="X117">
        <v>56.56</v>
      </c>
      <c r="Y117">
        <f t="shared" si="19"/>
        <v>2.94676213206046</v>
      </c>
    </row>
    <row r="118" spans="2:25">
      <c r="B118">
        <v>113</v>
      </c>
      <c r="C118">
        <v>1299</v>
      </c>
      <c r="D118">
        <v>78</v>
      </c>
      <c r="E118">
        <v>757</v>
      </c>
      <c r="F118">
        <v>2</v>
      </c>
      <c r="G118">
        <v>5</v>
      </c>
      <c r="H118">
        <v>0</v>
      </c>
      <c r="I118">
        <v>0</v>
      </c>
      <c r="J118">
        <v>0</v>
      </c>
      <c r="K118">
        <v>1</v>
      </c>
      <c r="L118">
        <v>843</v>
      </c>
      <c r="M118">
        <v>0</v>
      </c>
      <c r="N118">
        <v>9</v>
      </c>
      <c r="O118">
        <f t="shared" si="20"/>
        <v>852</v>
      </c>
      <c r="P118">
        <f t="shared" si="17"/>
        <v>65.5889145496536</v>
      </c>
      <c r="Q118">
        <f t="shared" si="21"/>
        <v>88.849765258216</v>
      </c>
      <c r="R118">
        <f t="shared" si="22"/>
        <v>9.15492957746479</v>
      </c>
      <c r="S118">
        <f t="shared" si="23"/>
        <v>0.234741784037559</v>
      </c>
      <c r="T118">
        <f t="shared" si="24"/>
        <v>0.586854460093897</v>
      </c>
      <c r="U118">
        <f t="shared" si="25"/>
        <v>0.117370892018779</v>
      </c>
      <c r="V118">
        <f t="shared" si="26"/>
        <v>1.05633802816901</v>
      </c>
      <c r="W118">
        <f t="shared" si="18"/>
        <v>100</v>
      </c>
      <c r="X118">
        <v>65.59</v>
      </c>
      <c r="Y118">
        <f t="shared" si="19"/>
        <v>-0.00108545034642304</v>
      </c>
    </row>
    <row r="119" spans="2:25">
      <c r="B119">
        <v>71</v>
      </c>
      <c r="C119">
        <v>1302</v>
      </c>
      <c r="D119">
        <v>80</v>
      </c>
      <c r="E119">
        <v>665</v>
      </c>
      <c r="F119">
        <v>3</v>
      </c>
      <c r="G119">
        <v>3</v>
      </c>
      <c r="H119">
        <v>0</v>
      </c>
      <c r="I119">
        <v>0</v>
      </c>
      <c r="J119">
        <v>0</v>
      </c>
      <c r="K119">
        <v>2</v>
      </c>
      <c r="L119">
        <v>753</v>
      </c>
      <c r="M119">
        <v>0</v>
      </c>
      <c r="N119">
        <v>7</v>
      </c>
      <c r="O119">
        <f t="shared" si="20"/>
        <v>760</v>
      </c>
      <c r="P119">
        <f t="shared" si="17"/>
        <v>58.3717357910906</v>
      </c>
      <c r="Q119">
        <f t="shared" si="21"/>
        <v>87.5</v>
      </c>
      <c r="R119">
        <f t="shared" si="22"/>
        <v>10.5263157894737</v>
      </c>
      <c r="S119">
        <f t="shared" si="23"/>
        <v>0.394736842105263</v>
      </c>
      <c r="T119">
        <f t="shared" si="24"/>
        <v>0.394736842105263</v>
      </c>
      <c r="U119">
        <f t="shared" si="25"/>
        <v>0.263157894736842</v>
      </c>
      <c r="V119">
        <f t="shared" si="26"/>
        <v>0.921052631578947</v>
      </c>
      <c r="W119">
        <f t="shared" si="18"/>
        <v>100</v>
      </c>
      <c r="X119">
        <v>56.53</v>
      </c>
      <c r="Y119">
        <f t="shared" si="19"/>
        <v>1.84173579109063</v>
      </c>
    </row>
    <row r="120" spans="1:25">
      <c r="A120" t="s">
        <v>44</v>
      </c>
      <c r="B120">
        <v>159</v>
      </c>
      <c r="C120">
        <v>783</v>
      </c>
      <c r="D120">
        <v>478</v>
      </c>
      <c r="E120">
        <v>41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521</v>
      </c>
      <c r="M120">
        <v>0</v>
      </c>
      <c r="N120">
        <v>3</v>
      </c>
      <c r="O120">
        <f t="shared" si="20"/>
        <v>524</v>
      </c>
      <c r="P120">
        <f t="shared" si="17"/>
        <v>66.9220945083014</v>
      </c>
      <c r="Q120">
        <f t="shared" si="21"/>
        <v>7.82442748091603</v>
      </c>
      <c r="R120">
        <f t="shared" si="22"/>
        <v>91.2213740458015</v>
      </c>
      <c r="S120">
        <f t="shared" si="23"/>
        <v>0</v>
      </c>
      <c r="T120">
        <f t="shared" si="24"/>
        <v>0.190839694656489</v>
      </c>
      <c r="U120">
        <f t="shared" si="25"/>
        <v>0.190839694656489</v>
      </c>
      <c r="V120">
        <f t="shared" si="26"/>
        <v>0.572519083969466</v>
      </c>
      <c r="W120">
        <f t="shared" si="18"/>
        <v>100</v>
      </c>
      <c r="X120">
        <v>64.62</v>
      </c>
      <c r="Y120">
        <f t="shared" si="19"/>
        <v>2.30209450830139</v>
      </c>
    </row>
    <row r="121" spans="2:25">
      <c r="B121">
        <v>161</v>
      </c>
      <c r="C121">
        <v>938</v>
      </c>
      <c r="D121">
        <v>413</v>
      </c>
      <c r="E121">
        <v>47</v>
      </c>
      <c r="F121">
        <v>3</v>
      </c>
      <c r="G121">
        <v>3</v>
      </c>
      <c r="H121">
        <v>0</v>
      </c>
      <c r="I121">
        <v>3</v>
      </c>
      <c r="J121">
        <v>0</v>
      </c>
      <c r="K121">
        <v>0</v>
      </c>
      <c r="L121">
        <v>469</v>
      </c>
      <c r="M121">
        <v>0</v>
      </c>
      <c r="N121">
        <v>2</v>
      </c>
      <c r="O121">
        <f t="shared" si="20"/>
        <v>471</v>
      </c>
      <c r="P121">
        <f t="shared" si="17"/>
        <v>50.2132196162047</v>
      </c>
      <c r="Q121">
        <f t="shared" si="21"/>
        <v>9.97876857749469</v>
      </c>
      <c r="R121">
        <f t="shared" si="22"/>
        <v>87.6857749469214</v>
      </c>
      <c r="S121">
        <f t="shared" si="23"/>
        <v>0.636942675159236</v>
      </c>
      <c r="T121">
        <f t="shared" si="24"/>
        <v>0.636942675159236</v>
      </c>
      <c r="U121">
        <f t="shared" si="25"/>
        <v>0.636942675159236</v>
      </c>
      <c r="V121">
        <f t="shared" si="26"/>
        <v>0.424628450106157</v>
      </c>
      <c r="W121">
        <f t="shared" si="18"/>
        <v>100</v>
      </c>
      <c r="X121">
        <v>49.68</v>
      </c>
      <c r="Y121">
        <f t="shared" si="19"/>
        <v>0.533219616204697</v>
      </c>
    </row>
    <row r="122" spans="2:25">
      <c r="B122">
        <v>160</v>
      </c>
      <c r="C122">
        <v>1165</v>
      </c>
      <c r="D122">
        <v>436</v>
      </c>
      <c r="E122">
        <v>68</v>
      </c>
      <c r="F122">
        <v>0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506</v>
      </c>
      <c r="M122">
        <v>0</v>
      </c>
      <c r="N122">
        <v>0</v>
      </c>
      <c r="O122">
        <f t="shared" si="20"/>
        <v>506</v>
      </c>
      <c r="P122">
        <f t="shared" si="17"/>
        <v>43.4334763948498</v>
      </c>
      <c r="Q122">
        <f t="shared" si="21"/>
        <v>13.4387351778656</v>
      </c>
      <c r="R122">
        <f t="shared" si="22"/>
        <v>86.1660079051383</v>
      </c>
      <c r="S122">
        <f t="shared" si="23"/>
        <v>0</v>
      </c>
      <c r="T122">
        <f t="shared" si="24"/>
        <v>0.395256916996047</v>
      </c>
      <c r="U122">
        <f t="shared" si="25"/>
        <v>0</v>
      </c>
      <c r="V122">
        <f t="shared" si="26"/>
        <v>0</v>
      </c>
      <c r="W122">
        <f t="shared" si="18"/>
        <v>100</v>
      </c>
      <c r="X122">
        <v>43.18</v>
      </c>
      <c r="Y122">
        <f t="shared" si="19"/>
        <v>0.253476394849784</v>
      </c>
    </row>
    <row r="123" spans="2:25">
      <c r="B123">
        <v>158</v>
      </c>
      <c r="C123">
        <v>515</v>
      </c>
      <c r="D123">
        <v>329</v>
      </c>
      <c r="E123">
        <v>48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379</v>
      </c>
      <c r="M123">
        <v>0</v>
      </c>
      <c r="N123">
        <v>5</v>
      </c>
      <c r="O123">
        <f t="shared" si="20"/>
        <v>384</v>
      </c>
      <c r="P123">
        <f t="shared" si="17"/>
        <v>74.5631067961165</v>
      </c>
      <c r="Q123">
        <f t="shared" si="21"/>
        <v>12.5</v>
      </c>
      <c r="R123">
        <f t="shared" si="22"/>
        <v>85.6770833333333</v>
      </c>
      <c r="S123">
        <f t="shared" si="23"/>
        <v>0.260416666666667</v>
      </c>
      <c r="T123">
        <f t="shared" si="24"/>
        <v>0.260416666666667</v>
      </c>
      <c r="U123">
        <f t="shared" si="25"/>
        <v>0</v>
      </c>
      <c r="V123">
        <f t="shared" si="26"/>
        <v>1.30208333333333</v>
      </c>
      <c r="W123">
        <f t="shared" si="18"/>
        <v>100</v>
      </c>
      <c r="X123">
        <v>72.62</v>
      </c>
      <c r="Y123">
        <f t="shared" si="19"/>
        <v>1.9431067961165</v>
      </c>
    </row>
    <row r="124" spans="2:25">
      <c r="B124">
        <v>168</v>
      </c>
      <c r="C124">
        <v>874</v>
      </c>
      <c r="D124">
        <v>299</v>
      </c>
      <c r="E124">
        <v>179</v>
      </c>
      <c r="F124">
        <v>2</v>
      </c>
      <c r="G124">
        <v>1</v>
      </c>
      <c r="H124">
        <v>0</v>
      </c>
      <c r="I124">
        <v>4</v>
      </c>
      <c r="J124">
        <v>0</v>
      </c>
      <c r="K124">
        <v>0</v>
      </c>
      <c r="L124">
        <v>485</v>
      </c>
      <c r="M124">
        <v>0</v>
      </c>
      <c r="N124">
        <v>6</v>
      </c>
      <c r="O124">
        <f t="shared" si="20"/>
        <v>491</v>
      </c>
      <c r="P124">
        <f t="shared" si="17"/>
        <v>56.1784897025172</v>
      </c>
      <c r="Q124">
        <f t="shared" si="21"/>
        <v>36.4562118126273</v>
      </c>
      <c r="R124">
        <f t="shared" si="22"/>
        <v>60.8961303462322</v>
      </c>
      <c r="S124">
        <f t="shared" si="23"/>
        <v>0.407331975560081</v>
      </c>
      <c r="T124">
        <f t="shared" si="24"/>
        <v>0.203665987780041</v>
      </c>
      <c r="U124">
        <f t="shared" si="25"/>
        <v>0.814663951120163</v>
      </c>
      <c r="V124">
        <f t="shared" si="26"/>
        <v>1.22199592668024</v>
      </c>
      <c r="W124">
        <f t="shared" si="18"/>
        <v>100</v>
      </c>
      <c r="X124">
        <v>55.49</v>
      </c>
      <c r="Y124">
        <f t="shared" si="19"/>
        <v>0.68848970251716</v>
      </c>
    </row>
    <row r="125" spans="2:25">
      <c r="B125">
        <v>169</v>
      </c>
      <c r="C125">
        <v>673</v>
      </c>
      <c r="D125">
        <v>206</v>
      </c>
      <c r="E125">
        <v>211</v>
      </c>
      <c r="F125">
        <v>1</v>
      </c>
      <c r="G125">
        <v>5</v>
      </c>
      <c r="H125">
        <v>1</v>
      </c>
      <c r="I125">
        <v>3</v>
      </c>
      <c r="J125">
        <v>0</v>
      </c>
      <c r="K125">
        <v>0</v>
      </c>
      <c r="L125">
        <v>427</v>
      </c>
      <c r="M125">
        <v>0</v>
      </c>
      <c r="N125">
        <v>1</v>
      </c>
      <c r="O125">
        <f t="shared" si="20"/>
        <v>428</v>
      </c>
      <c r="P125">
        <f t="shared" si="17"/>
        <v>63.5958395245171</v>
      </c>
      <c r="Q125">
        <f t="shared" si="21"/>
        <v>49.2990654205608</v>
      </c>
      <c r="R125">
        <f t="shared" si="22"/>
        <v>48.1308411214953</v>
      </c>
      <c r="S125">
        <f t="shared" si="23"/>
        <v>0.233644859813084</v>
      </c>
      <c r="T125">
        <f t="shared" si="24"/>
        <v>1.16822429906542</v>
      </c>
      <c r="U125">
        <f t="shared" si="25"/>
        <v>0.934579439252336</v>
      </c>
      <c r="V125">
        <f t="shared" si="26"/>
        <v>0.233644859813084</v>
      </c>
      <c r="W125">
        <f t="shared" si="18"/>
        <v>100</v>
      </c>
      <c r="X125">
        <v>62.56</v>
      </c>
      <c r="Y125">
        <f t="shared" si="19"/>
        <v>1.03583952451708</v>
      </c>
    </row>
    <row r="126" spans="2:25">
      <c r="B126">
        <v>171</v>
      </c>
      <c r="C126">
        <v>616</v>
      </c>
      <c r="D126">
        <v>108</v>
      </c>
      <c r="E126">
        <v>232</v>
      </c>
      <c r="F126">
        <v>1</v>
      </c>
      <c r="G126">
        <v>0</v>
      </c>
      <c r="H126">
        <v>0</v>
      </c>
      <c r="I126">
        <v>3</v>
      </c>
      <c r="J126">
        <v>0</v>
      </c>
      <c r="K126">
        <v>1</v>
      </c>
      <c r="L126">
        <v>345</v>
      </c>
      <c r="M126">
        <v>0</v>
      </c>
      <c r="N126">
        <v>3</v>
      </c>
      <c r="O126">
        <f t="shared" si="20"/>
        <v>348</v>
      </c>
      <c r="P126">
        <f t="shared" si="17"/>
        <v>56.4935064935065</v>
      </c>
      <c r="Q126">
        <f t="shared" si="21"/>
        <v>66.6666666666667</v>
      </c>
      <c r="R126">
        <f t="shared" si="22"/>
        <v>31.0344827586207</v>
      </c>
      <c r="S126">
        <f t="shared" si="23"/>
        <v>0.28735632183908</v>
      </c>
      <c r="T126">
        <f t="shared" si="24"/>
        <v>0</v>
      </c>
      <c r="U126">
        <f t="shared" si="25"/>
        <v>1.14942528735632</v>
      </c>
      <c r="V126">
        <f t="shared" si="26"/>
        <v>0.862068965517241</v>
      </c>
      <c r="W126">
        <f t="shared" si="18"/>
        <v>100</v>
      </c>
      <c r="X126">
        <v>55.84</v>
      </c>
      <c r="Y126">
        <f t="shared" si="19"/>
        <v>0.653506493506491</v>
      </c>
    </row>
    <row r="127" spans="2:25">
      <c r="B127">
        <v>170</v>
      </c>
      <c r="C127">
        <v>809</v>
      </c>
      <c r="D127">
        <v>183</v>
      </c>
      <c r="E127">
        <v>290</v>
      </c>
      <c r="F127">
        <v>0</v>
      </c>
      <c r="G127">
        <v>1</v>
      </c>
      <c r="H127">
        <v>0</v>
      </c>
      <c r="I127">
        <v>1</v>
      </c>
      <c r="J127">
        <v>1</v>
      </c>
      <c r="K127">
        <v>0</v>
      </c>
      <c r="L127">
        <v>476</v>
      </c>
      <c r="M127">
        <v>0</v>
      </c>
      <c r="N127">
        <v>4</v>
      </c>
      <c r="O127">
        <f t="shared" si="20"/>
        <v>480</v>
      </c>
      <c r="P127">
        <f t="shared" si="17"/>
        <v>59.3325092707046</v>
      </c>
      <c r="Q127">
        <f t="shared" si="21"/>
        <v>60.4166666666667</v>
      </c>
      <c r="R127">
        <f t="shared" si="22"/>
        <v>38.125</v>
      </c>
      <c r="S127">
        <f t="shared" si="23"/>
        <v>0</v>
      </c>
      <c r="T127">
        <f t="shared" si="24"/>
        <v>0.208333333333333</v>
      </c>
      <c r="U127">
        <f t="shared" si="25"/>
        <v>0.416666666666667</v>
      </c>
      <c r="V127">
        <f t="shared" si="26"/>
        <v>0.833333333333333</v>
      </c>
      <c r="W127">
        <f t="shared" si="18"/>
        <v>100</v>
      </c>
      <c r="X127">
        <v>57.97</v>
      </c>
      <c r="Y127">
        <f t="shared" si="19"/>
        <v>1.36250927070457</v>
      </c>
    </row>
    <row r="128" spans="1:25">
      <c r="A128" t="s">
        <v>45</v>
      </c>
      <c r="B128">
        <v>239</v>
      </c>
      <c r="C128">
        <v>1231</v>
      </c>
      <c r="D128">
        <v>290</v>
      </c>
      <c r="E128">
        <v>447</v>
      </c>
      <c r="F128">
        <v>2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741</v>
      </c>
      <c r="M128">
        <v>0</v>
      </c>
      <c r="N128">
        <v>4</v>
      </c>
      <c r="O128">
        <f t="shared" si="20"/>
        <v>745</v>
      </c>
      <c r="P128">
        <f t="shared" si="17"/>
        <v>60.5199025182778</v>
      </c>
      <c r="Q128">
        <f t="shared" si="21"/>
        <v>60</v>
      </c>
      <c r="R128">
        <f t="shared" si="22"/>
        <v>38.9261744966443</v>
      </c>
      <c r="S128">
        <f t="shared" si="23"/>
        <v>0.268456375838926</v>
      </c>
      <c r="T128">
        <f t="shared" si="24"/>
        <v>0.268456375838926</v>
      </c>
      <c r="U128">
        <f t="shared" si="25"/>
        <v>0</v>
      </c>
      <c r="V128">
        <f t="shared" si="26"/>
        <v>0.536912751677852</v>
      </c>
      <c r="W128">
        <f t="shared" si="18"/>
        <v>100</v>
      </c>
      <c r="X128">
        <v>54.35</v>
      </c>
      <c r="Y128">
        <f t="shared" si="19"/>
        <v>6.16990251827782</v>
      </c>
    </row>
    <row r="129" spans="2:25">
      <c r="B129">
        <v>235</v>
      </c>
      <c r="C129">
        <v>932</v>
      </c>
      <c r="D129">
        <v>151</v>
      </c>
      <c r="E129">
        <v>497</v>
      </c>
      <c r="F129">
        <v>2</v>
      </c>
      <c r="G129">
        <v>1</v>
      </c>
      <c r="H129">
        <v>0</v>
      </c>
      <c r="I129">
        <v>0</v>
      </c>
      <c r="J129">
        <v>2</v>
      </c>
      <c r="K129">
        <v>1</v>
      </c>
      <c r="L129">
        <v>654</v>
      </c>
      <c r="M129">
        <v>0</v>
      </c>
      <c r="N129">
        <v>2</v>
      </c>
      <c r="O129">
        <f t="shared" si="20"/>
        <v>656</v>
      </c>
      <c r="P129">
        <f t="shared" si="17"/>
        <v>70.3862660944206</v>
      </c>
      <c r="Q129">
        <f t="shared" si="21"/>
        <v>75.7621951219512</v>
      </c>
      <c r="R129">
        <f t="shared" si="22"/>
        <v>23.0182926829268</v>
      </c>
      <c r="S129">
        <f t="shared" si="23"/>
        <v>0.304878048780488</v>
      </c>
      <c r="T129">
        <f t="shared" si="24"/>
        <v>0.152439024390244</v>
      </c>
      <c r="U129">
        <f t="shared" si="25"/>
        <v>0.457317073170732</v>
      </c>
      <c r="V129">
        <f t="shared" si="26"/>
        <v>0.304878048780488</v>
      </c>
      <c r="W129">
        <f t="shared" si="18"/>
        <v>100</v>
      </c>
      <c r="X129">
        <v>0</v>
      </c>
      <c r="Y129">
        <f t="shared" si="19"/>
        <v>70.3862660944206</v>
      </c>
    </row>
    <row r="130" spans="2:25">
      <c r="B130">
        <v>232</v>
      </c>
      <c r="C130">
        <v>1105</v>
      </c>
      <c r="D130">
        <v>310</v>
      </c>
      <c r="E130">
        <v>471</v>
      </c>
      <c r="F130">
        <v>2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784</v>
      </c>
      <c r="M130">
        <v>0</v>
      </c>
      <c r="N130">
        <v>5</v>
      </c>
      <c r="O130">
        <f t="shared" si="20"/>
        <v>789</v>
      </c>
      <c r="P130">
        <f t="shared" si="17"/>
        <v>71.4027149321267</v>
      </c>
      <c r="Q130">
        <f t="shared" si="21"/>
        <v>59.6958174904943</v>
      </c>
      <c r="R130">
        <f t="shared" si="22"/>
        <v>39.2902408111534</v>
      </c>
      <c r="S130">
        <f t="shared" si="23"/>
        <v>0.253485424588086</v>
      </c>
      <c r="T130">
        <f t="shared" si="24"/>
        <v>0</v>
      </c>
      <c r="U130">
        <f t="shared" si="25"/>
        <v>0.126742712294043</v>
      </c>
      <c r="V130">
        <f t="shared" si="26"/>
        <v>0.633713561470215</v>
      </c>
      <c r="W130">
        <f t="shared" si="18"/>
        <v>100</v>
      </c>
      <c r="X130">
        <v>45.91</v>
      </c>
      <c r="Y130">
        <f t="shared" si="19"/>
        <v>25.4927149321267</v>
      </c>
    </row>
    <row r="131" spans="2:25">
      <c r="B131">
        <v>229</v>
      </c>
      <c r="C131">
        <v>1368</v>
      </c>
      <c r="D131">
        <v>470</v>
      </c>
      <c r="E131">
        <v>313</v>
      </c>
      <c r="F131">
        <v>1</v>
      </c>
      <c r="G131">
        <v>1</v>
      </c>
      <c r="H131">
        <v>0</v>
      </c>
      <c r="I131">
        <v>0</v>
      </c>
      <c r="J131">
        <v>2</v>
      </c>
      <c r="K131">
        <v>0</v>
      </c>
      <c r="L131">
        <v>787</v>
      </c>
      <c r="M131">
        <v>0</v>
      </c>
      <c r="N131">
        <v>3</v>
      </c>
      <c r="O131">
        <f t="shared" si="20"/>
        <v>790</v>
      </c>
      <c r="P131">
        <f t="shared" si="17"/>
        <v>57.7485380116959</v>
      </c>
      <c r="Q131">
        <f t="shared" si="21"/>
        <v>39.620253164557</v>
      </c>
      <c r="R131">
        <f t="shared" si="22"/>
        <v>59.4936708860759</v>
      </c>
      <c r="S131">
        <f t="shared" si="23"/>
        <v>0.126582278481013</v>
      </c>
      <c r="T131">
        <f t="shared" si="24"/>
        <v>0.126582278481013</v>
      </c>
      <c r="U131">
        <f t="shared" si="25"/>
        <v>0.253164556962025</v>
      </c>
      <c r="V131">
        <f t="shared" si="26"/>
        <v>0.379746835443038</v>
      </c>
      <c r="W131">
        <f t="shared" si="18"/>
        <v>100</v>
      </c>
      <c r="X131">
        <v>61.88</v>
      </c>
      <c r="Y131">
        <f t="shared" si="19"/>
        <v>-4.1314619883041</v>
      </c>
    </row>
    <row r="132" spans="2:25">
      <c r="B132">
        <v>233</v>
      </c>
      <c r="C132">
        <v>1301</v>
      </c>
      <c r="D132">
        <v>362</v>
      </c>
      <c r="E132">
        <v>472</v>
      </c>
      <c r="F132">
        <v>3</v>
      </c>
      <c r="G132">
        <v>4</v>
      </c>
      <c r="H132">
        <v>0</v>
      </c>
      <c r="I132">
        <v>1</v>
      </c>
      <c r="J132">
        <v>0</v>
      </c>
      <c r="K132">
        <v>0</v>
      </c>
      <c r="L132">
        <v>842</v>
      </c>
      <c r="M132">
        <v>0</v>
      </c>
      <c r="N132">
        <v>5</v>
      </c>
      <c r="O132">
        <f t="shared" si="20"/>
        <v>847</v>
      </c>
      <c r="P132">
        <f t="shared" si="17"/>
        <v>65.1037663335895</v>
      </c>
      <c r="Q132">
        <f t="shared" si="21"/>
        <v>55.7260920897285</v>
      </c>
      <c r="R132">
        <f t="shared" si="22"/>
        <v>42.7390791027155</v>
      </c>
      <c r="S132">
        <f t="shared" si="23"/>
        <v>0.354191263282172</v>
      </c>
      <c r="T132">
        <f t="shared" si="24"/>
        <v>0.472255017709563</v>
      </c>
      <c r="U132">
        <f t="shared" si="25"/>
        <v>0.118063754427391</v>
      </c>
      <c r="V132">
        <f t="shared" si="26"/>
        <v>0.590318772136954</v>
      </c>
      <c r="W132">
        <f t="shared" si="18"/>
        <v>100</v>
      </c>
      <c r="X132">
        <v>61.88</v>
      </c>
      <c r="Y132">
        <f t="shared" si="19"/>
        <v>3.22376633358954</v>
      </c>
    </row>
    <row r="133" spans="1:25">
      <c r="A133" t="s">
        <v>46</v>
      </c>
      <c r="B133">
        <v>213</v>
      </c>
      <c r="C133">
        <v>989</v>
      </c>
      <c r="D133">
        <v>141</v>
      </c>
      <c r="E133">
        <v>470</v>
      </c>
      <c r="F133">
        <v>0</v>
      </c>
      <c r="G133">
        <v>1</v>
      </c>
      <c r="H133">
        <v>0</v>
      </c>
      <c r="I133">
        <v>1</v>
      </c>
      <c r="J133">
        <v>1</v>
      </c>
      <c r="K133">
        <v>1</v>
      </c>
      <c r="L133">
        <v>615</v>
      </c>
      <c r="M133">
        <v>0</v>
      </c>
      <c r="N133">
        <v>8</v>
      </c>
      <c r="O133">
        <f t="shared" si="20"/>
        <v>623</v>
      </c>
      <c r="P133">
        <f t="shared" si="17"/>
        <v>62.9929221435794</v>
      </c>
      <c r="Q133">
        <f t="shared" si="21"/>
        <v>75.4414125200642</v>
      </c>
      <c r="R133">
        <f t="shared" si="22"/>
        <v>22.6324237560193</v>
      </c>
      <c r="S133">
        <f t="shared" si="23"/>
        <v>0</v>
      </c>
      <c r="T133">
        <f t="shared" si="24"/>
        <v>0.160513643659711</v>
      </c>
      <c r="U133">
        <f t="shared" si="25"/>
        <v>0.481540930979133</v>
      </c>
      <c r="V133">
        <f t="shared" si="26"/>
        <v>1.28410914927769</v>
      </c>
      <c r="W133">
        <f t="shared" si="18"/>
        <v>100</v>
      </c>
      <c r="X133">
        <v>62.29</v>
      </c>
      <c r="Y133">
        <f t="shared" si="19"/>
        <v>0.702922143579379</v>
      </c>
    </row>
    <row r="134" spans="2:25">
      <c r="B134">
        <v>217</v>
      </c>
      <c r="C134">
        <v>883</v>
      </c>
      <c r="D134">
        <v>175</v>
      </c>
      <c r="E134">
        <v>420</v>
      </c>
      <c r="F134">
        <v>3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599</v>
      </c>
      <c r="M134">
        <v>0</v>
      </c>
      <c r="N134">
        <v>8</v>
      </c>
      <c r="O134">
        <f t="shared" si="20"/>
        <v>607</v>
      </c>
      <c r="P134">
        <f t="shared" si="17"/>
        <v>68.7429218573046</v>
      </c>
      <c r="Q134">
        <f t="shared" si="21"/>
        <v>69.1927512355849</v>
      </c>
      <c r="R134">
        <f t="shared" si="22"/>
        <v>28.830313014827</v>
      </c>
      <c r="S134">
        <f t="shared" si="23"/>
        <v>0.494233937397035</v>
      </c>
      <c r="T134">
        <f t="shared" si="24"/>
        <v>0</v>
      </c>
      <c r="U134">
        <f t="shared" si="25"/>
        <v>0.164744645799012</v>
      </c>
      <c r="V134">
        <f t="shared" si="26"/>
        <v>1.31795716639209</v>
      </c>
      <c r="W134">
        <f t="shared" si="18"/>
        <v>100</v>
      </c>
      <c r="X134">
        <v>62.85</v>
      </c>
      <c r="Y134">
        <f t="shared" si="19"/>
        <v>5.89292185730464</v>
      </c>
    </row>
    <row r="135" spans="2:25">
      <c r="B135">
        <v>214</v>
      </c>
      <c r="C135">
        <v>564</v>
      </c>
      <c r="D135">
        <v>154</v>
      </c>
      <c r="E135">
        <v>243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397</v>
      </c>
      <c r="M135">
        <v>0</v>
      </c>
      <c r="N135">
        <v>0</v>
      </c>
      <c r="O135">
        <f t="shared" si="20"/>
        <v>397</v>
      </c>
      <c r="P135">
        <f t="shared" si="17"/>
        <v>70.3900709219858</v>
      </c>
      <c r="Q135">
        <f t="shared" si="21"/>
        <v>61.2090680100756</v>
      </c>
      <c r="R135">
        <f t="shared" si="22"/>
        <v>38.7909319899244</v>
      </c>
      <c r="S135">
        <f t="shared" si="23"/>
        <v>0</v>
      </c>
      <c r="T135">
        <f t="shared" si="24"/>
        <v>0</v>
      </c>
      <c r="U135">
        <f t="shared" si="25"/>
        <v>0</v>
      </c>
      <c r="V135">
        <f t="shared" si="26"/>
        <v>0</v>
      </c>
      <c r="W135">
        <f t="shared" si="18"/>
        <v>100</v>
      </c>
      <c r="X135">
        <v>69.15</v>
      </c>
      <c r="Y135">
        <f t="shared" si="19"/>
        <v>1.2400709219858</v>
      </c>
    </row>
    <row r="136" spans="2:25">
      <c r="B136">
        <v>218</v>
      </c>
      <c r="C136">
        <v>832</v>
      </c>
      <c r="D136">
        <v>233</v>
      </c>
      <c r="E136">
        <v>332</v>
      </c>
      <c r="F136">
        <v>4</v>
      </c>
      <c r="G136">
        <v>4</v>
      </c>
      <c r="H136">
        <v>1</v>
      </c>
      <c r="I136">
        <v>1</v>
      </c>
      <c r="J136">
        <v>1</v>
      </c>
      <c r="K136">
        <v>2</v>
      </c>
      <c r="L136">
        <v>578</v>
      </c>
      <c r="M136">
        <v>0</v>
      </c>
      <c r="N136">
        <v>5</v>
      </c>
      <c r="O136">
        <f t="shared" si="20"/>
        <v>583</v>
      </c>
      <c r="P136">
        <f t="shared" ref="P136:P199" si="27">(O136/C136)*100</f>
        <v>70.0721153846154</v>
      </c>
      <c r="Q136">
        <f t="shared" si="21"/>
        <v>56.9468267581475</v>
      </c>
      <c r="R136">
        <f t="shared" si="22"/>
        <v>39.9656946826758</v>
      </c>
      <c r="S136">
        <f t="shared" si="23"/>
        <v>0.686106346483705</v>
      </c>
      <c r="T136">
        <f t="shared" si="24"/>
        <v>0.686106346483705</v>
      </c>
      <c r="U136">
        <f t="shared" si="25"/>
        <v>0.857632933104631</v>
      </c>
      <c r="V136">
        <f t="shared" si="26"/>
        <v>0.857632933104631</v>
      </c>
      <c r="W136">
        <f t="shared" ref="W136:W199" si="28">Q136+R136+S136+T136+U136+V136</f>
        <v>100</v>
      </c>
      <c r="X136">
        <v>66.11</v>
      </c>
      <c r="Y136">
        <f t="shared" ref="Y136:Y199" si="29">P136-X136</f>
        <v>3.96211538461539</v>
      </c>
    </row>
    <row r="137" spans="2:25">
      <c r="B137">
        <v>212</v>
      </c>
      <c r="C137">
        <v>652</v>
      </c>
      <c r="D137">
        <v>163</v>
      </c>
      <c r="E137">
        <v>276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442</v>
      </c>
      <c r="M137">
        <v>0</v>
      </c>
      <c r="N137">
        <v>2</v>
      </c>
      <c r="O137">
        <f t="shared" si="20"/>
        <v>444</v>
      </c>
      <c r="P137">
        <f t="shared" si="27"/>
        <v>68.0981595092024</v>
      </c>
      <c r="Q137">
        <f t="shared" si="21"/>
        <v>62.1621621621622</v>
      </c>
      <c r="R137">
        <f t="shared" si="22"/>
        <v>36.7117117117117</v>
      </c>
      <c r="S137">
        <f t="shared" si="23"/>
        <v>0</v>
      </c>
      <c r="T137">
        <f t="shared" si="24"/>
        <v>0</v>
      </c>
      <c r="U137">
        <f t="shared" si="25"/>
        <v>0.675675675675676</v>
      </c>
      <c r="V137">
        <f t="shared" si="26"/>
        <v>0.45045045045045</v>
      </c>
      <c r="W137">
        <f t="shared" si="28"/>
        <v>100</v>
      </c>
      <c r="X137">
        <v>67.94</v>
      </c>
      <c r="Y137">
        <f t="shared" si="29"/>
        <v>0.158159509202449</v>
      </c>
    </row>
    <row r="138" spans="2:25">
      <c r="B138">
        <v>211</v>
      </c>
      <c r="C138">
        <v>999</v>
      </c>
      <c r="D138">
        <v>257</v>
      </c>
      <c r="E138">
        <v>381</v>
      </c>
      <c r="F138">
        <v>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640</v>
      </c>
      <c r="M138">
        <v>0</v>
      </c>
      <c r="N138">
        <v>3</v>
      </c>
      <c r="O138">
        <f t="shared" si="20"/>
        <v>643</v>
      </c>
      <c r="P138">
        <f t="shared" si="27"/>
        <v>64.3643643643644</v>
      </c>
      <c r="Q138">
        <f t="shared" si="21"/>
        <v>59.253499222395</v>
      </c>
      <c r="R138">
        <f t="shared" si="22"/>
        <v>39.9688958009331</v>
      </c>
      <c r="S138">
        <f t="shared" si="23"/>
        <v>0.31104199066874</v>
      </c>
      <c r="T138">
        <f t="shared" si="24"/>
        <v>0</v>
      </c>
      <c r="U138">
        <f t="shared" si="25"/>
        <v>0</v>
      </c>
      <c r="V138">
        <f t="shared" si="26"/>
        <v>0.46656298600311</v>
      </c>
      <c r="W138">
        <f t="shared" si="28"/>
        <v>100</v>
      </c>
      <c r="X138">
        <v>59.36</v>
      </c>
      <c r="Y138">
        <f t="shared" si="29"/>
        <v>5.00436436436436</v>
      </c>
    </row>
    <row r="139" spans="2:25">
      <c r="B139">
        <v>215</v>
      </c>
      <c r="C139">
        <v>517</v>
      </c>
      <c r="D139">
        <v>91</v>
      </c>
      <c r="E139">
        <v>309</v>
      </c>
      <c r="F139">
        <v>2</v>
      </c>
      <c r="G139">
        <v>0</v>
      </c>
      <c r="H139">
        <v>1</v>
      </c>
      <c r="I139">
        <v>0</v>
      </c>
      <c r="J139">
        <v>0</v>
      </c>
      <c r="K139">
        <v>1</v>
      </c>
      <c r="L139">
        <v>404</v>
      </c>
      <c r="M139">
        <v>0</v>
      </c>
      <c r="N139">
        <v>6</v>
      </c>
      <c r="O139">
        <f t="shared" si="20"/>
        <v>410</v>
      </c>
      <c r="P139">
        <f t="shared" si="27"/>
        <v>79.3036750483559</v>
      </c>
      <c r="Q139">
        <f t="shared" si="21"/>
        <v>75.3658536585366</v>
      </c>
      <c r="R139">
        <f t="shared" si="22"/>
        <v>22.1951219512195</v>
      </c>
      <c r="S139">
        <f t="shared" si="23"/>
        <v>0.48780487804878</v>
      </c>
      <c r="T139">
        <f t="shared" si="24"/>
        <v>0</v>
      </c>
      <c r="U139">
        <f t="shared" si="25"/>
        <v>0.48780487804878</v>
      </c>
      <c r="V139">
        <f t="shared" si="26"/>
        <v>1.46341463414634</v>
      </c>
      <c r="W139">
        <f t="shared" si="28"/>
        <v>100</v>
      </c>
      <c r="X139">
        <v>60.35</v>
      </c>
      <c r="Y139">
        <f t="shared" si="29"/>
        <v>18.9536750483559</v>
      </c>
    </row>
    <row r="140" spans="2:25">
      <c r="B140">
        <v>216</v>
      </c>
      <c r="C140">
        <v>1039</v>
      </c>
      <c r="D140">
        <v>218</v>
      </c>
      <c r="E140">
        <v>534</v>
      </c>
      <c r="F140">
        <v>2</v>
      </c>
      <c r="G140">
        <v>0</v>
      </c>
      <c r="H140">
        <v>0</v>
      </c>
      <c r="I140">
        <v>0</v>
      </c>
      <c r="J140">
        <v>2</v>
      </c>
      <c r="K140">
        <v>1</v>
      </c>
      <c r="L140">
        <v>757</v>
      </c>
      <c r="M140">
        <v>0</v>
      </c>
      <c r="N140">
        <v>6</v>
      </c>
      <c r="O140">
        <f t="shared" si="20"/>
        <v>763</v>
      </c>
      <c r="P140">
        <f t="shared" si="27"/>
        <v>73.4359961501444</v>
      </c>
      <c r="Q140">
        <f t="shared" si="21"/>
        <v>69.9868938401048</v>
      </c>
      <c r="R140">
        <f t="shared" si="22"/>
        <v>28.5714285714286</v>
      </c>
      <c r="S140">
        <f t="shared" si="23"/>
        <v>0.262123197903014</v>
      </c>
      <c r="T140">
        <f t="shared" si="24"/>
        <v>0</v>
      </c>
      <c r="U140">
        <f t="shared" si="25"/>
        <v>0.393184796854522</v>
      </c>
      <c r="V140">
        <f t="shared" si="26"/>
        <v>0.786369593709043</v>
      </c>
      <c r="W140">
        <f t="shared" si="28"/>
        <v>100</v>
      </c>
      <c r="X140">
        <v>60.25</v>
      </c>
      <c r="Y140">
        <f t="shared" si="29"/>
        <v>13.1859961501444</v>
      </c>
    </row>
    <row r="141" spans="2:25">
      <c r="B141">
        <v>244</v>
      </c>
      <c r="C141">
        <v>752</v>
      </c>
      <c r="D141">
        <v>424</v>
      </c>
      <c r="E141">
        <v>73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498</v>
      </c>
      <c r="M141">
        <v>0</v>
      </c>
      <c r="N141">
        <v>0</v>
      </c>
      <c r="O141">
        <f t="shared" si="20"/>
        <v>498</v>
      </c>
      <c r="P141">
        <f t="shared" si="27"/>
        <v>66.2234042553192</v>
      </c>
      <c r="Q141">
        <f t="shared" si="21"/>
        <v>14.6586345381526</v>
      </c>
      <c r="R141">
        <f t="shared" si="22"/>
        <v>85.140562248996</v>
      </c>
      <c r="S141">
        <f t="shared" si="23"/>
        <v>0</v>
      </c>
      <c r="T141">
        <f t="shared" si="24"/>
        <v>0</v>
      </c>
      <c r="U141">
        <f t="shared" si="25"/>
        <v>0.200803212851406</v>
      </c>
      <c r="V141">
        <f t="shared" si="26"/>
        <v>0</v>
      </c>
      <c r="W141">
        <f t="shared" si="28"/>
        <v>100</v>
      </c>
      <c r="X141">
        <v>41.22</v>
      </c>
      <c r="Y141">
        <f t="shared" si="29"/>
        <v>25.0034042553192</v>
      </c>
    </row>
    <row r="142" spans="1:25">
      <c r="A142" t="s">
        <v>47</v>
      </c>
      <c r="B142">
        <v>240</v>
      </c>
      <c r="C142">
        <v>1243</v>
      </c>
      <c r="D142">
        <v>384</v>
      </c>
      <c r="E142">
        <v>421</v>
      </c>
      <c r="F142">
        <v>1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808</v>
      </c>
      <c r="M142">
        <v>0</v>
      </c>
      <c r="N142">
        <v>3</v>
      </c>
      <c r="O142">
        <f t="shared" si="20"/>
        <v>811</v>
      </c>
      <c r="P142">
        <f t="shared" si="27"/>
        <v>65.2453740949316</v>
      </c>
      <c r="Q142">
        <f t="shared" si="21"/>
        <v>51.9112207151665</v>
      </c>
      <c r="R142">
        <f t="shared" si="22"/>
        <v>47.3489519112207</v>
      </c>
      <c r="S142">
        <f t="shared" si="23"/>
        <v>0.123304562268804</v>
      </c>
      <c r="T142">
        <f t="shared" si="24"/>
        <v>0</v>
      </c>
      <c r="U142">
        <f t="shared" si="25"/>
        <v>0.246609124537608</v>
      </c>
      <c r="V142">
        <f t="shared" si="26"/>
        <v>0.369913686806412</v>
      </c>
      <c r="W142">
        <f t="shared" si="28"/>
        <v>100</v>
      </c>
      <c r="X142">
        <v>57.92</v>
      </c>
      <c r="Y142">
        <f t="shared" si="29"/>
        <v>7.32537409493162</v>
      </c>
    </row>
    <row r="143" spans="2:25">
      <c r="B143">
        <v>219</v>
      </c>
      <c r="C143">
        <v>828</v>
      </c>
      <c r="D143">
        <v>197</v>
      </c>
      <c r="E143">
        <v>291</v>
      </c>
      <c r="F143">
        <v>5</v>
      </c>
      <c r="G143">
        <v>2</v>
      </c>
      <c r="H143">
        <v>1</v>
      </c>
      <c r="I143">
        <v>0</v>
      </c>
      <c r="J143">
        <v>0</v>
      </c>
      <c r="K143">
        <v>0</v>
      </c>
      <c r="L143">
        <v>496</v>
      </c>
      <c r="M143">
        <v>0</v>
      </c>
      <c r="N143">
        <v>3</v>
      </c>
      <c r="O143">
        <f t="shared" si="20"/>
        <v>499</v>
      </c>
      <c r="P143">
        <f t="shared" si="27"/>
        <v>60.2657004830918</v>
      </c>
      <c r="Q143">
        <f t="shared" si="21"/>
        <v>58.3166332665331</v>
      </c>
      <c r="R143">
        <f t="shared" si="22"/>
        <v>39.4789579158317</v>
      </c>
      <c r="S143">
        <f t="shared" si="23"/>
        <v>1.00200400801603</v>
      </c>
      <c r="T143">
        <f t="shared" si="24"/>
        <v>0.400801603206413</v>
      </c>
      <c r="U143">
        <f t="shared" si="25"/>
        <v>0.200400801603206</v>
      </c>
      <c r="V143">
        <f t="shared" si="26"/>
        <v>0.601202404809619</v>
      </c>
      <c r="W143">
        <f t="shared" si="28"/>
        <v>100</v>
      </c>
      <c r="X143">
        <v>70.53</v>
      </c>
      <c r="Y143">
        <f t="shared" si="29"/>
        <v>-10.2642995169082</v>
      </c>
    </row>
    <row r="144" spans="2:25">
      <c r="B144">
        <v>220</v>
      </c>
      <c r="C144">
        <v>686</v>
      </c>
      <c r="D144">
        <v>275</v>
      </c>
      <c r="E144">
        <v>119</v>
      </c>
      <c r="F144">
        <v>0</v>
      </c>
      <c r="G144">
        <v>1</v>
      </c>
      <c r="H144">
        <v>1</v>
      </c>
      <c r="I144">
        <v>0</v>
      </c>
      <c r="J144">
        <v>1</v>
      </c>
      <c r="K144">
        <v>0</v>
      </c>
      <c r="L144">
        <v>397</v>
      </c>
      <c r="M144">
        <v>0</v>
      </c>
      <c r="N144">
        <v>3</v>
      </c>
      <c r="O144">
        <f t="shared" si="20"/>
        <v>400</v>
      </c>
      <c r="P144">
        <f t="shared" si="27"/>
        <v>58.3090379008746</v>
      </c>
      <c r="Q144">
        <f t="shared" si="21"/>
        <v>29.75</v>
      </c>
      <c r="R144">
        <f t="shared" si="22"/>
        <v>68.75</v>
      </c>
      <c r="S144">
        <f t="shared" si="23"/>
        <v>0</v>
      </c>
      <c r="T144">
        <f t="shared" si="24"/>
        <v>0.25</v>
      </c>
      <c r="U144">
        <f t="shared" si="25"/>
        <v>0.5</v>
      </c>
      <c r="V144">
        <f t="shared" si="26"/>
        <v>0.75</v>
      </c>
      <c r="W144">
        <f t="shared" si="28"/>
        <v>100</v>
      </c>
      <c r="X144">
        <v>58.45</v>
      </c>
      <c r="Y144">
        <f t="shared" si="29"/>
        <v>-0.140962099125368</v>
      </c>
    </row>
    <row r="145" spans="2:25">
      <c r="B145">
        <v>241</v>
      </c>
      <c r="C145">
        <v>1070</v>
      </c>
      <c r="D145">
        <v>443</v>
      </c>
      <c r="E145">
        <v>196</v>
      </c>
      <c r="F145">
        <v>3</v>
      </c>
      <c r="G145">
        <v>0</v>
      </c>
      <c r="H145">
        <v>3</v>
      </c>
      <c r="I145">
        <v>2</v>
      </c>
      <c r="J145">
        <v>1</v>
      </c>
      <c r="K145">
        <v>0</v>
      </c>
      <c r="L145">
        <v>648</v>
      </c>
      <c r="M145">
        <v>0</v>
      </c>
      <c r="N145">
        <v>1</v>
      </c>
      <c r="O145">
        <f t="shared" si="20"/>
        <v>649</v>
      </c>
      <c r="P145">
        <f t="shared" si="27"/>
        <v>60.6542056074766</v>
      </c>
      <c r="Q145">
        <f t="shared" si="21"/>
        <v>30.2003081664099</v>
      </c>
      <c r="R145">
        <f t="shared" si="22"/>
        <v>68.2588597842835</v>
      </c>
      <c r="S145">
        <f t="shared" si="23"/>
        <v>0.462249614791988</v>
      </c>
      <c r="T145">
        <f t="shared" si="24"/>
        <v>0</v>
      </c>
      <c r="U145">
        <f t="shared" si="25"/>
        <v>0.924499229583975</v>
      </c>
      <c r="V145">
        <f t="shared" si="26"/>
        <v>0.154083204930663</v>
      </c>
      <c r="W145">
        <f t="shared" si="28"/>
        <v>100</v>
      </c>
      <c r="X145">
        <v>48.32</v>
      </c>
      <c r="Y145">
        <f t="shared" si="29"/>
        <v>12.3342056074766</v>
      </c>
    </row>
    <row r="146" spans="2:25">
      <c r="B146">
        <v>156</v>
      </c>
      <c r="C146">
        <v>948</v>
      </c>
      <c r="D146">
        <v>315</v>
      </c>
      <c r="E146">
        <v>214</v>
      </c>
      <c r="F146">
        <v>1</v>
      </c>
      <c r="G146">
        <v>3</v>
      </c>
      <c r="H146">
        <v>0</v>
      </c>
      <c r="I146">
        <v>0</v>
      </c>
      <c r="J146">
        <v>1</v>
      </c>
      <c r="K146">
        <v>0</v>
      </c>
      <c r="L146">
        <v>534</v>
      </c>
      <c r="M146">
        <v>0</v>
      </c>
      <c r="N146">
        <v>4</v>
      </c>
      <c r="O146">
        <f t="shared" si="20"/>
        <v>538</v>
      </c>
      <c r="P146">
        <f t="shared" si="27"/>
        <v>56.7510548523207</v>
      </c>
      <c r="Q146">
        <f t="shared" si="21"/>
        <v>39.7769516728625</v>
      </c>
      <c r="R146">
        <f t="shared" si="22"/>
        <v>58.550185873606</v>
      </c>
      <c r="S146">
        <f t="shared" si="23"/>
        <v>0.185873605947955</v>
      </c>
      <c r="T146">
        <f t="shared" si="24"/>
        <v>0.557620817843866</v>
      </c>
      <c r="U146">
        <f t="shared" si="25"/>
        <v>0.185873605947955</v>
      </c>
      <c r="V146">
        <f t="shared" si="26"/>
        <v>0.743494423791822</v>
      </c>
      <c r="W146">
        <f t="shared" si="28"/>
        <v>100</v>
      </c>
      <c r="X146">
        <v>52.11</v>
      </c>
      <c r="Y146">
        <f t="shared" si="29"/>
        <v>4.64105485232067</v>
      </c>
    </row>
    <row r="147" spans="2:25">
      <c r="B147">
        <v>157</v>
      </c>
      <c r="C147">
        <v>1141</v>
      </c>
      <c r="D147">
        <v>259</v>
      </c>
      <c r="E147">
        <v>440</v>
      </c>
      <c r="F147">
        <v>3</v>
      </c>
      <c r="G147">
        <v>2</v>
      </c>
      <c r="H147">
        <v>1</v>
      </c>
      <c r="I147">
        <v>2</v>
      </c>
      <c r="J147">
        <v>4</v>
      </c>
      <c r="K147">
        <v>1</v>
      </c>
      <c r="L147">
        <v>712</v>
      </c>
      <c r="M147">
        <v>0</v>
      </c>
      <c r="N147">
        <v>1</v>
      </c>
      <c r="O147">
        <f t="shared" si="20"/>
        <v>713</v>
      </c>
      <c r="P147">
        <f t="shared" si="27"/>
        <v>62.4890446976337</v>
      </c>
      <c r="Q147">
        <f t="shared" si="21"/>
        <v>61.711079943899</v>
      </c>
      <c r="R147">
        <f t="shared" si="22"/>
        <v>36.3253856942497</v>
      </c>
      <c r="S147">
        <f t="shared" si="23"/>
        <v>0.420757363253857</v>
      </c>
      <c r="T147">
        <f t="shared" si="24"/>
        <v>0.280504908835905</v>
      </c>
      <c r="U147">
        <f t="shared" si="25"/>
        <v>1.12201963534362</v>
      </c>
      <c r="V147">
        <f t="shared" si="26"/>
        <v>0.140252454417952</v>
      </c>
      <c r="W147">
        <f t="shared" si="28"/>
        <v>100</v>
      </c>
      <c r="X147">
        <v>60.39</v>
      </c>
      <c r="Y147">
        <f t="shared" si="29"/>
        <v>2.09904469763366</v>
      </c>
    </row>
    <row r="148" spans="2:25">
      <c r="B148">
        <v>155</v>
      </c>
      <c r="C148">
        <v>757</v>
      </c>
      <c r="D148">
        <v>177</v>
      </c>
      <c r="E148">
        <v>186</v>
      </c>
      <c r="F148">
        <v>2</v>
      </c>
      <c r="G148">
        <v>2</v>
      </c>
      <c r="H148">
        <v>2</v>
      </c>
      <c r="I148">
        <v>1</v>
      </c>
      <c r="J148">
        <v>7</v>
      </c>
      <c r="K148">
        <v>5</v>
      </c>
      <c r="L148">
        <v>382</v>
      </c>
      <c r="M148">
        <v>0</v>
      </c>
      <c r="N148">
        <v>10</v>
      </c>
      <c r="O148">
        <f t="shared" si="20"/>
        <v>392</v>
      </c>
      <c r="P148">
        <f t="shared" si="27"/>
        <v>51.7833553500661</v>
      </c>
      <c r="Q148">
        <f t="shared" si="21"/>
        <v>47.4489795918367</v>
      </c>
      <c r="R148">
        <f t="shared" si="22"/>
        <v>45.1530612244898</v>
      </c>
      <c r="S148">
        <f t="shared" si="23"/>
        <v>0.510204081632653</v>
      </c>
      <c r="T148">
        <f t="shared" si="24"/>
        <v>0.510204081632653</v>
      </c>
      <c r="U148">
        <f t="shared" si="25"/>
        <v>3.8265306122449</v>
      </c>
      <c r="V148">
        <f t="shared" si="26"/>
        <v>2.55102040816327</v>
      </c>
      <c r="W148">
        <f t="shared" si="28"/>
        <v>100</v>
      </c>
      <c r="X148">
        <v>43.73</v>
      </c>
      <c r="Y148">
        <f t="shared" si="29"/>
        <v>8.05335535006606</v>
      </c>
    </row>
    <row r="149" spans="2:25">
      <c r="B149">
        <v>154</v>
      </c>
      <c r="C149">
        <v>785</v>
      </c>
      <c r="D149">
        <v>312</v>
      </c>
      <c r="E149">
        <v>208</v>
      </c>
      <c r="F149">
        <v>0</v>
      </c>
      <c r="G149">
        <v>5</v>
      </c>
      <c r="H149">
        <v>0</v>
      </c>
      <c r="I149">
        <v>0</v>
      </c>
      <c r="J149">
        <v>0</v>
      </c>
      <c r="K149">
        <v>0</v>
      </c>
      <c r="L149">
        <v>525</v>
      </c>
      <c r="M149">
        <v>0</v>
      </c>
      <c r="N149">
        <v>1</v>
      </c>
      <c r="O149">
        <f t="shared" si="20"/>
        <v>526</v>
      </c>
      <c r="P149">
        <f t="shared" si="27"/>
        <v>67.0063694267516</v>
      </c>
      <c r="Q149">
        <f t="shared" si="21"/>
        <v>39.5437262357414</v>
      </c>
      <c r="R149">
        <f t="shared" si="22"/>
        <v>59.3155893536122</v>
      </c>
      <c r="S149">
        <f t="shared" si="23"/>
        <v>0</v>
      </c>
      <c r="T149">
        <f t="shared" si="24"/>
        <v>0.950570342205323</v>
      </c>
      <c r="U149">
        <f t="shared" si="25"/>
        <v>0</v>
      </c>
      <c r="V149">
        <f t="shared" si="26"/>
        <v>0.190114068441065</v>
      </c>
      <c r="W149">
        <f t="shared" si="28"/>
        <v>100</v>
      </c>
      <c r="X149">
        <v>66.62</v>
      </c>
      <c r="Y149">
        <f t="shared" si="29"/>
        <v>0.386369426751585</v>
      </c>
    </row>
    <row r="150" spans="1:25">
      <c r="A150" t="s">
        <v>48</v>
      </c>
      <c r="B150">
        <v>62</v>
      </c>
      <c r="C150">
        <v>703</v>
      </c>
      <c r="D150">
        <v>84</v>
      </c>
      <c r="E150">
        <v>410</v>
      </c>
      <c r="F150">
        <v>1</v>
      </c>
      <c r="G150">
        <v>2</v>
      </c>
      <c r="H150">
        <v>0</v>
      </c>
      <c r="I150">
        <v>0</v>
      </c>
      <c r="J150">
        <v>1</v>
      </c>
      <c r="K150">
        <v>1</v>
      </c>
      <c r="L150">
        <v>499</v>
      </c>
      <c r="M150">
        <v>0</v>
      </c>
      <c r="N150">
        <v>4</v>
      </c>
      <c r="O150">
        <f t="shared" si="20"/>
        <v>503</v>
      </c>
      <c r="P150">
        <f t="shared" si="27"/>
        <v>71.5504978662873</v>
      </c>
      <c r="Q150">
        <f t="shared" si="21"/>
        <v>81.5109343936382</v>
      </c>
      <c r="R150">
        <f t="shared" si="22"/>
        <v>16.6998011928429</v>
      </c>
      <c r="S150">
        <f t="shared" si="23"/>
        <v>0.198807157057654</v>
      </c>
      <c r="T150">
        <f t="shared" si="24"/>
        <v>0.397614314115308</v>
      </c>
      <c r="U150">
        <f t="shared" si="25"/>
        <v>0.397614314115308</v>
      </c>
      <c r="V150">
        <f t="shared" si="26"/>
        <v>0.795228628230616</v>
      </c>
      <c r="W150">
        <f t="shared" si="28"/>
        <v>100</v>
      </c>
      <c r="X150">
        <v>69.27</v>
      </c>
      <c r="Y150">
        <f t="shared" si="29"/>
        <v>2.28049786628735</v>
      </c>
    </row>
    <row r="151" spans="2:25">
      <c r="B151">
        <v>63</v>
      </c>
      <c r="C151">
        <v>1194</v>
      </c>
      <c r="D151">
        <v>183</v>
      </c>
      <c r="E151">
        <v>580</v>
      </c>
      <c r="F151">
        <v>1</v>
      </c>
      <c r="G151">
        <v>10</v>
      </c>
      <c r="H151">
        <v>1</v>
      </c>
      <c r="I151">
        <v>0</v>
      </c>
      <c r="J151">
        <v>0</v>
      </c>
      <c r="K151">
        <v>0</v>
      </c>
      <c r="L151">
        <v>775</v>
      </c>
      <c r="M151">
        <v>0</v>
      </c>
      <c r="N151">
        <v>7</v>
      </c>
      <c r="O151">
        <f t="shared" si="20"/>
        <v>782</v>
      </c>
      <c r="P151">
        <f t="shared" si="27"/>
        <v>65.4941373534338</v>
      </c>
      <c r="Q151">
        <f t="shared" si="21"/>
        <v>74.1687979539642</v>
      </c>
      <c r="R151">
        <f t="shared" si="22"/>
        <v>23.4015345268542</v>
      </c>
      <c r="S151">
        <f t="shared" si="23"/>
        <v>0.127877237851662</v>
      </c>
      <c r="T151">
        <f t="shared" si="24"/>
        <v>1.27877237851662</v>
      </c>
      <c r="U151">
        <f t="shared" si="25"/>
        <v>0.127877237851662</v>
      </c>
      <c r="V151">
        <f t="shared" si="26"/>
        <v>0.895140664961637</v>
      </c>
      <c r="W151">
        <f t="shared" si="28"/>
        <v>100</v>
      </c>
      <c r="X151">
        <v>56.28</v>
      </c>
      <c r="Y151">
        <f t="shared" si="29"/>
        <v>9.21413735343383</v>
      </c>
    </row>
    <row r="152" spans="2:25">
      <c r="B152">
        <v>30</v>
      </c>
      <c r="C152">
        <v>1500</v>
      </c>
      <c r="D152">
        <v>306</v>
      </c>
      <c r="E152">
        <v>703</v>
      </c>
      <c r="F152">
        <v>3</v>
      </c>
      <c r="G152">
        <v>2</v>
      </c>
      <c r="H152">
        <v>1</v>
      </c>
      <c r="I152">
        <v>0</v>
      </c>
      <c r="J152">
        <v>2</v>
      </c>
      <c r="K152">
        <v>1</v>
      </c>
      <c r="L152">
        <v>1018</v>
      </c>
      <c r="M152">
        <v>0</v>
      </c>
      <c r="N152">
        <v>6</v>
      </c>
      <c r="O152">
        <f t="shared" si="20"/>
        <v>1024</v>
      </c>
      <c r="P152">
        <f t="shared" si="27"/>
        <v>68.2666666666667</v>
      </c>
      <c r="Q152">
        <f t="shared" si="21"/>
        <v>68.65234375</v>
      </c>
      <c r="R152">
        <f t="shared" si="22"/>
        <v>29.8828125</v>
      </c>
      <c r="S152">
        <f t="shared" si="23"/>
        <v>0.29296875</v>
      </c>
      <c r="T152">
        <f t="shared" si="24"/>
        <v>0.1953125</v>
      </c>
      <c r="U152">
        <f t="shared" si="25"/>
        <v>0.390625</v>
      </c>
      <c r="V152">
        <f t="shared" si="26"/>
        <v>0.5859375</v>
      </c>
      <c r="W152">
        <f t="shared" si="28"/>
        <v>100</v>
      </c>
      <c r="X152">
        <v>49.27</v>
      </c>
      <c r="Y152">
        <f t="shared" si="29"/>
        <v>18.9966666666667</v>
      </c>
    </row>
    <row r="153" spans="2:25">
      <c r="B153">
        <v>27</v>
      </c>
      <c r="C153">
        <v>1052</v>
      </c>
      <c r="D153">
        <v>186</v>
      </c>
      <c r="E153">
        <v>449</v>
      </c>
      <c r="F153">
        <v>1</v>
      </c>
      <c r="G153">
        <v>6</v>
      </c>
      <c r="H153">
        <v>1</v>
      </c>
      <c r="I153">
        <v>1</v>
      </c>
      <c r="J153">
        <v>0</v>
      </c>
      <c r="K153">
        <v>0</v>
      </c>
      <c r="L153">
        <v>644</v>
      </c>
      <c r="M153">
        <v>0</v>
      </c>
      <c r="N153">
        <v>6</v>
      </c>
      <c r="O153">
        <f t="shared" si="20"/>
        <v>650</v>
      </c>
      <c r="P153">
        <f t="shared" si="27"/>
        <v>61.787072243346</v>
      </c>
      <c r="Q153">
        <f t="shared" si="21"/>
        <v>69.0769230769231</v>
      </c>
      <c r="R153">
        <f t="shared" si="22"/>
        <v>28.6153846153846</v>
      </c>
      <c r="S153">
        <f t="shared" si="23"/>
        <v>0.153846153846154</v>
      </c>
      <c r="T153">
        <f t="shared" si="24"/>
        <v>0.923076923076923</v>
      </c>
      <c r="U153">
        <f t="shared" si="25"/>
        <v>0.307692307692308</v>
      </c>
      <c r="V153">
        <f t="shared" si="26"/>
        <v>0.923076923076923</v>
      </c>
      <c r="W153">
        <f t="shared" si="28"/>
        <v>100</v>
      </c>
      <c r="X153">
        <v>57.41</v>
      </c>
      <c r="Y153">
        <f t="shared" si="29"/>
        <v>4.37707224334601</v>
      </c>
    </row>
    <row r="154" spans="2:25">
      <c r="B154">
        <v>28</v>
      </c>
      <c r="C154">
        <v>906</v>
      </c>
      <c r="D154">
        <v>201</v>
      </c>
      <c r="E154">
        <v>347</v>
      </c>
      <c r="F154">
        <v>2</v>
      </c>
      <c r="G154">
        <v>4</v>
      </c>
      <c r="H154">
        <v>0</v>
      </c>
      <c r="I154">
        <v>1</v>
      </c>
      <c r="J154">
        <v>0</v>
      </c>
      <c r="K154">
        <v>0</v>
      </c>
      <c r="L154">
        <v>555</v>
      </c>
      <c r="M154">
        <v>0</v>
      </c>
      <c r="N154">
        <v>1</v>
      </c>
      <c r="O154">
        <f t="shared" si="20"/>
        <v>556</v>
      </c>
      <c r="P154">
        <f t="shared" si="27"/>
        <v>61.3686534216336</v>
      </c>
      <c r="Q154">
        <f t="shared" si="21"/>
        <v>62.410071942446</v>
      </c>
      <c r="R154">
        <f t="shared" si="22"/>
        <v>36.1510791366906</v>
      </c>
      <c r="S154">
        <f t="shared" si="23"/>
        <v>0.359712230215827</v>
      </c>
      <c r="T154">
        <f t="shared" si="24"/>
        <v>0.719424460431655</v>
      </c>
      <c r="U154">
        <f t="shared" si="25"/>
        <v>0.179856115107914</v>
      </c>
      <c r="V154">
        <f t="shared" si="26"/>
        <v>0.179856115107914</v>
      </c>
      <c r="W154">
        <f t="shared" si="28"/>
        <v>100</v>
      </c>
      <c r="X154">
        <v>60.71</v>
      </c>
      <c r="Y154">
        <f t="shared" si="29"/>
        <v>0.658653421633552</v>
      </c>
    </row>
    <row r="155" spans="2:25">
      <c r="B155">
        <v>29</v>
      </c>
      <c r="C155">
        <v>1441</v>
      </c>
      <c r="D155">
        <v>205</v>
      </c>
      <c r="E155">
        <v>707</v>
      </c>
      <c r="F155">
        <v>3</v>
      </c>
      <c r="G155">
        <v>4</v>
      </c>
      <c r="H155">
        <v>0</v>
      </c>
      <c r="I155">
        <v>2</v>
      </c>
      <c r="J155">
        <v>1</v>
      </c>
      <c r="K155">
        <v>2</v>
      </c>
      <c r="L155">
        <v>924</v>
      </c>
      <c r="M155">
        <v>0</v>
      </c>
      <c r="N155">
        <v>6</v>
      </c>
      <c r="O155">
        <f t="shared" si="20"/>
        <v>930</v>
      </c>
      <c r="P155">
        <f t="shared" si="27"/>
        <v>64.5385149201943</v>
      </c>
      <c r="Q155">
        <f t="shared" si="21"/>
        <v>76.0215053763441</v>
      </c>
      <c r="R155">
        <f t="shared" si="22"/>
        <v>22.0430107526882</v>
      </c>
      <c r="S155">
        <f t="shared" si="23"/>
        <v>0.32258064516129</v>
      </c>
      <c r="T155">
        <f t="shared" si="24"/>
        <v>0.43010752688172</v>
      </c>
      <c r="U155">
        <f t="shared" si="25"/>
        <v>0.537634408602151</v>
      </c>
      <c r="V155">
        <f t="shared" si="26"/>
        <v>0.645161290322581</v>
      </c>
      <c r="W155">
        <f t="shared" si="28"/>
        <v>100</v>
      </c>
      <c r="X155">
        <v>43.3</v>
      </c>
      <c r="Y155">
        <f t="shared" si="29"/>
        <v>21.2385149201943</v>
      </c>
    </row>
    <row r="156" spans="1:25">
      <c r="A156" t="s">
        <v>49</v>
      </c>
      <c r="B156">
        <v>59</v>
      </c>
      <c r="C156">
        <v>972</v>
      </c>
      <c r="D156">
        <v>143</v>
      </c>
      <c r="E156">
        <v>498</v>
      </c>
      <c r="F156">
        <v>0</v>
      </c>
      <c r="G156">
        <v>6</v>
      </c>
      <c r="H156">
        <v>1</v>
      </c>
      <c r="I156">
        <v>0</v>
      </c>
      <c r="J156">
        <v>0</v>
      </c>
      <c r="K156">
        <v>0</v>
      </c>
      <c r="L156">
        <v>648</v>
      </c>
      <c r="M156">
        <v>0</v>
      </c>
      <c r="N156">
        <v>7</v>
      </c>
      <c r="O156">
        <f t="shared" si="20"/>
        <v>655</v>
      </c>
      <c r="P156">
        <f t="shared" si="27"/>
        <v>67.3868312757202</v>
      </c>
      <c r="Q156">
        <f t="shared" si="21"/>
        <v>76.030534351145</v>
      </c>
      <c r="R156">
        <f t="shared" si="22"/>
        <v>21.8320610687023</v>
      </c>
      <c r="S156">
        <f t="shared" si="23"/>
        <v>0</v>
      </c>
      <c r="T156">
        <f t="shared" si="24"/>
        <v>0.916030534351145</v>
      </c>
      <c r="U156">
        <f t="shared" si="25"/>
        <v>0.152671755725191</v>
      </c>
      <c r="V156">
        <f t="shared" si="26"/>
        <v>1.06870229007634</v>
      </c>
      <c r="W156">
        <f t="shared" si="28"/>
        <v>100</v>
      </c>
      <c r="X156">
        <v>65.23</v>
      </c>
      <c r="Y156">
        <f t="shared" si="29"/>
        <v>2.15683127572015</v>
      </c>
    </row>
    <row r="157" spans="2:25">
      <c r="B157">
        <v>61</v>
      </c>
      <c r="C157">
        <v>1425</v>
      </c>
      <c r="D157">
        <v>428</v>
      </c>
      <c r="E157">
        <v>388</v>
      </c>
      <c r="F157">
        <v>4</v>
      </c>
      <c r="G157">
        <v>10</v>
      </c>
      <c r="H157">
        <v>1</v>
      </c>
      <c r="I157">
        <v>1</v>
      </c>
      <c r="J157">
        <v>0</v>
      </c>
      <c r="K157">
        <v>0</v>
      </c>
      <c r="L157">
        <v>832</v>
      </c>
      <c r="M157">
        <v>0</v>
      </c>
      <c r="N157">
        <v>4</v>
      </c>
      <c r="O157">
        <f t="shared" si="20"/>
        <v>836</v>
      </c>
      <c r="P157">
        <f t="shared" si="27"/>
        <v>58.6666666666667</v>
      </c>
      <c r="Q157">
        <f t="shared" si="21"/>
        <v>46.4114832535885</v>
      </c>
      <c r="R157">
        <f t="shared" si="22"/>
        <v>51.1961722488038</v>
      </c>
      <c r="S157">
        <f t="shared" si="23"/>
        <v>0.478468899521531</v>
      </c>
      <c r="T157">
        <f t="shared" si="24"/>
        <v>1.19617224880383</v>
      </c>
      <c r="U157">
        <f t="shared" si="25"/>
        <v>0.239234449760766</v>
      </c>
      <c r="V157">
        <f t="shared" si="26"/>
        <v>0.478468899521531</v>
      </c>
      <c r="W157">
        <f t="shared" si="28"/>
        <v>100</v>
      </c>
      <c r="X157">
        <v>52.7</v>
      </c>
      <c r="Y157">
        <f t="shared" si="29"/>
        <v>5.96666666666666</v>
      </c>
    </row>
    <row r="158" spans="2:25">
      <c r="B158">
        <v>60</v>
      </c>
      <c r="C158">
        <v>1400</v>
      </c>
      <c r="D158">
        <v>230</v>
      </c>
      <c r="E158">
        <v>648</v>
      </c>
      <c r="F158">
        <v>1</v>
      </c>
      <c r="G158">
        <v>4</v>
      </c>
      <c r="H158">
        <v>3</v>
      </c>
      <c r="I158">
        <v>1</v>
      </c>
      <c r="J158">
        <v>1</v>
      </c>
      <c r="K158">
        <v>0</v>
      </c>
      <c r="L158">
        <v>888</v>
      </c>
      <c r="M158">
        <v>0</v>
      </c>
      <c r="N158">
        <v>4</v>
      </c>
      <c r="O158">
        <f t="shared" si="20"/>
        <v>892</v>
      </c>
      <c r="P158">
        <f t="shared" si="27"/>
        <v>63.7142857142857</v>
      </c>
      <c r="Q158">
        <f t="shared" si="21"/>
        <v>72.6457399103139</v>
      </c>
      <c r="R158">
        <f t="shared" si="22"/>
        <v>25.7847533632287</v>
      </c>
      <c r="S158">
        <f t="shared" si="23"/>
        <v>0.112107623318386</v>
      </c>
      <c r="T158">
        <f t="shared" si="24"/>
        <v>0.448430493273543</v>
      </c>
      <c r="U158">
        <f t="shared" si="25"/>
        <v>0.560538116591928</v>
      </c>
      <c r="V158">
        <f t="shared" si="26"/>
        <v>0.448430493273543</v>
      </c>
      <c r="W158">
        <f t="shared" si="28"/>
        <v>100</v>
      </c>
      <c r="X158">
        <v>61.29</v>
      </c>
      <c r="Y158">
        <f t="shared" si="29"/>
        <v>2.42428571428572</v>
      </c>
    </row>
    <row r="159" spans="2:25">
      <c r="B159">
        <v>57</v>
      </c>
      <c r="C159">
        <v>1386</v>
      </c>
      <c r="D159">
        <v>433</v>
      </c>
      <c r="E159">
        <v>317</v>
      </c>
      <c r="F159">
        <v>2</v>
      </c>
      <c r="G159">
        <v>4</v>
      </c>
      <c r="H159">
        <v>0</v>
      </c>
      <c r="I159">
        <v>0</v>
      </c>
      <c r="J159">
        <v>1</v>
      </c>
      <c r="K159">
        <v>0</v>
      </c>
      <c r="L159">
        <v>757</v>
      </c>
      <c r="M159">
        <v>0</v>
      </c>
      <c r="N159">
        <v>5</v>
      </c>
      <c r="O159">
        <f t="shared" si="20"/>
        <v>762</v>
      </c>
      <c r="P159">
        <f t="shared" si="27"/>
        <v>54.978354978355</v>
      </c>
      <c r="Q159">
        <f t="shared" si="21"/>
        <v>41.6010498687664</v>
      </c>
      <c r="R159">
        <f t="shared" si="22"/>
        <v>56.8241469816273</v>
      </c>
      <c r="S159">
        <f t="shared" si="23"/>
        <v>0.26246719160105</v>
      </c>
      <c r="T159">
        <f t="shared" si="24"/>
        <v>0.5249343832021</v>
      </c>
      <c r="U159">
        <f t="shared" si="25"/>
        <v>0.131233595800525</v>
      </c>
      <c r="V159">
        <f t="shared" si="26"/>
        <v>0.656167979002625</v>
      </c>
      <c r="W159">
        <f t="shared" si="28"/>
        <v>100</v>
      </c>
      <c r="X159">
        <v>50.87</v>
      </c>
      <c r="Y159">
        <f t="shared" si="29"/>
        <v>4.10835497835498</v>
      </c>
    </row>
    <row r="160" spans="1:25">
      <c r="A160" t="s">
        <v>50</v>
      </c>
      <c r="B160">
        <v>69</v>
      </c>
      <c r="C160">
        <v>576</v>
      </c>
      <c r="D160">
        <v>51</v>
      </c>
      <c r="E160">
        <v>261</v>
      </c>
      <c r="F160">
        <v>0</v>
      </c>
      <c r="G160">
        <v>4</v>
      </c>
      <c r="H160">
        <v>0</v>
      </c>
      <c r="I160">
        <v>0</v>
      </c>
      <c r="J160">
        <v>1</v>
      </c>
      <c r="K160">
        <v>0</v>
      </c>
      <c r="L160">
        <v>317</v>
      </c>
      <c r="M160">
        <v>0</v>
      </c>
      <c r="N160">
        <v>4</v>
      </c>
      <c r="O160">
        <f t="shared" si="20"/>
        <v>321</v>
      </c>
      <c r="P160">
        <f t="shared" si="27"/>
        <v>55.7291666666667</v>
      </c>
      <c r="Q160">
        <f t="shared" si="21"/>
        <v>81.3084112149533</v>
      </c>
      <c r="R160">
        <f t="shared" si="22"/>
        <v>15.8878504672897</v>
      </c>
      <c r="S160">
        <f t="shared" si="23"/>
        <v>0</v>
      </c>
      <c r="T160">
        <f t="shared" si="24"/>
        <v>1.24610591900312</v>
      </c>
      <c r="U160">
        <f t="shared" si="25"/>
        <v>0.311526479750779</v>
      </c>
      <c r="V160">
        <f t="shared" si="26"/>
        <v>1.24610591900312</v>
      </c>
      <c r="W160">
        <f t="shared" si="28"/>
        <v>100</v>
      </c>
      <c r="X160">
        <v>50.17</v>
      </c>
      <c r="Y160">
        <f t="shared" si="29"/>
        <v>5.55916666666666</v>
      </c>
    </row>
    <row r="161" spans="2:25">
      <c r="B161">
        <v>68</v>
      </c>
      <c r="C161">
        <v>1047</v>
      </c>
      <c r="D161">
        <v>122</v>
      </c>
      <c r="E161">
        <v>481</v>
      </c>
      <c r="F161">
        <v>1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607</v>
      </c>
      <c r="M161">
        <v>0</v>
      </c>
      <c r="N161">
        <v>5</v>
      </c>
      <c r="O161">
        <f t="shared" si="20"/>
        <v>612</v>
      </c>
      <c r="P161">
        <f t="shared" si="27"/>
        <v>58.4527220630373</v>
      </c>
      <c r="Q161">
        <f t="shared" si="21"/>
        <v>78.5947712418301</v>
      </c>
      <c r="R161">
        <f t="shared" si="22"/>
        <v>19.9346405228758</v>
      </c>
      <c r="S161">
        <f t="shared" si="23"/>
        <v>0.163398692810458</v>
      </c>
      <c r="T161">
        <f t="shared" si="24"/>
        <v>0.490196078431373</v>
      </c>
      <c r="U161">
        <f t="shared" si="25"/>
        <v>0</v>
      </c>
      <c r="V161">
        <f t="shared" si="26"/>
        <v>0.816993464052288</v>
      </c>
      <c r="W161">
        <f t="shared" si="28"/>
        <v>100</v>
      </c>
      <c r="X161">
        <v>57.88</v>
      </c>
      <c r="Y161">
        <f t="shared" si="29"/>
        <v>0.572722063037254</v>
      </c>
    </row>
    <row r="162" spans="2:25">
      <c r="B162">
        <v>67</v>
      </c>
      <c r="C162">
        <v>1051</v>
      </c>
      <c r="D162">
        <v>196</v>
      </c>
      <c r="E162">
        <v>451</v>
      </c>
      <c r="F162">
        <v>2</v>
      </c>
      <c r="G162">
        <v>4</v>
      </c>
      <c r="H162">
        <v>0</v>
      </c>
      <c r="I162">
        <v>0</v>
      </c>
      <c r="J162">
        <v>1</v>
      </c>
      <c r="K162">
        <v>0</v>
      </c>
      <c r="L162">
        <v>654</v>
      </c>
      <c r="M162">
        <v>0</v>
      </c>
      <c r="N162">
        <v>4</v>
      </c>
      <c r="O162">
        <f t="shared" si="20"/>
        <v>658</v>
      </c>
      <c r="P162">
        <f t="shared" si="27"/>
        <v>62.6070409134158</v>
      </c>
      <c r="Q162">
        <f t="shared" si="21"/>
        <v>68.5410334346505</v>
      </c>
      <c r="R162">
        <f t="shared" si="22"/>
        <v>29.7872340425532</v>
      </c>
      <c r="S162">
        <f t="shared" si="23"/>
        <v>0.303951367781155</v>
      </c>
      <c r="T162">
        <f t="shared" si="24"/>
        <v>0.60790273556231</v>
      </c>
      <c r="U162">
        <f t="shared" si="25"/>
        <v>0.151975683890578</v>
      </c>
      <c r="V162">
        <f t="shared" si="26"/>
        <v>0.60790273556231</v>
      </c>
      <c r="W162">
        <f t="shared" si="28"/>
        <v>100</v>
      </c>
      <c r="X162">
        <v>51.67</v>
      </c>
      <c r="Y162">
        <f t="shared" si="29"/>
        <v>10.9370409134158</v>
      </c>
    </row>
    <row r="163" spans="2:25">
      <c r="B163">
        <v>66</v>
      </c>
      <c r="C163">
        <v>1581</v>
      </c>
      <c r="D163">
        <v>109</v>
      </c>
      <c r="E163">
        <v>774</v>
      </c>
      <c r="F163">
        <v>0</v>
      </c>
      <c r="G163">
        <v>5</v>
      </c>
      <c r="H163">
        <v>1</v>
      </c>
      <c r="I163">
        <v>0</v>
      </c>
      <c r="J163">
        <v>0</v>
      </c>
      <c r="K163">
        <v>1</v>
      </c>
      <c r="L163">
        <v>890</v>
      </c>
      <c r="M163">
        <v>0</v>
      </c>
      <c r="N163">
        <v>13</v>
      </c>
      <c r="O163">
        <f t="shared" si="20"/>
        <v>903</v>
      </c>
      <c r="P163">
        <f t="shared" si="27"/>
        <v>57.1157495256167</v>
      </c>
      <c r="Q163">
        <f t="shared" si="21"/>
        <v>85.7142857142857</v>
      </c>
      <c r="R163">
        <f t="shared" si="22"/>
        <v>12.0708748615725</v>
      </c>
      <c r="S163">
        <f t="shared" si="23"/>
        <v>0</v>
      </c>
      <c r="T163">
        <f t="shared" si="24"/>
        <v>0.553709856035437</v>
      </c>
      <c r="U163">
        <f t="shared" si="25"/>
        <v>0.221483942414175</v>
      </c>
      <c r="V163">
        <f t="shared" si="26"/>
        <v>1.43964562569214</v>
      </c>
      <c r="W163">
        <f t="shared" si="28"/>
        <v>100</v>
      </c>
      <c r="X163">
        <v>56.1</v>
      </c>
      <c r="Y163">
        <f t="shared" si="29"/>
        <v>1.0157495256167</v>
      </c>
    </row>
    <row r="164" spans="2:25">
      <c r="B164">
        <v>70</v>
      </c>
      <c r="C164">
        <v>1216</v>
      </c>
      <c r="D164">
        <v>95</v>
      </c>
      <c r="E164">
        <v>801</v>
      </c>
      <c r="F164">
        <v>3</v>
      </c>
      <c r="G164">
        <v>5</v>
      </c>
      <c r="H164">
        <v>1</v>
      </c>
      <c r="I164">
        <v>0</v>
      </c>
      <c r="J164">
        <v>1</v>
      </c>
      <c r="K164">
        <v>1</v>
      </c>
      <c r="L164">
        <v>907</v>
      </c>
      <c r="M164">
        <v>0</v>
      </c>
      <c r="N164">
        <v>22</v>
      </c>
      <c r="O164">
        <f t="shared" si="20"/>
        <v>929</v>
      </c>
      <c r="P164">
        <f t="shared" si="27"/>
        <v>76.3980263157895</v>
      </c>
      <c r="Q164">
        <f t="shared" si="21"/>
        <v>86.221743810549</v>
      </c>
      <c r="R164">
        <f t="shared" si="22"/>
        <v>10.2260495156082</v>
      </c>
      <c r="S164">
        <f t="shared" si="23"/>
        <v>0.322927879440258</v>
      </c>
      <c r="T164">
        <f t="shared" si="24"/>
        <v>0.538213132400431</v>
      </c>
      <c r="U164">
        <f t="shared" si="25"/>
        <v>0.322927879440258</v>
      </c>
      <c r="V164">
        <f t="shared" si="26"/>
        <v>2.36813778256189</v>
      </c>
      <c r="W164">
        <f t="shared" si="28"/>
        <v>100</v>
      </c>
      <c r="X164">
        <v>67.68</v>
      </c>
      <c r="Y164">
        <f t="shared" si="29"/>
        <v>8.71802631578946</v>
      </c>
    </row>
    <row r="165" spans="1:25">
      <c r="A165" t="s">
        <v>51</v>
      </c>
      <c r="B165">
        <v>176</v>
      </c>
      <c r="C165">
        <v>1293</v>
      </c>
      <c r="D165">
        <v>325</v>
      </c>
      <c r="E165">
        <v>624</v>
      </c>
      <c r="F165">
        <v>1</v>
      </c>
      <c r="G165">
        <v>4</v>
      </c>
      <c r="H165">
        <v>0</v>
      </c>
      <c r="I165">
        <v>0</v>
      </c>
      <c r="J165">
        <v>0</v>
      </c>
      <c r="K165">
        <v>1</v>
      </c>
      <c r="L165">
        <v>955</v>
      </c>
      <c r="M165">
        <v>0</v>
      </c>
      <c r="N165">
        <v>8</v>
      </c>
      <c r="O165">
        <f t="shared" si="20"/>
        <v>963</v>
      </c>
      <c r="P165">
        <f t="shared" si="27"/>
        <v>74.4779582366589</v>
      </c>
      <c r="Q165">
        <f t="shared" si="21"/>
        <v>64.797507788162</v>
      </c>
      <c r="R165">
        <f t="shared" si="22"/>
        <v>33.748701973001</v>
      </c>
      <c r="S165">
        <f t="shared" si="23"/>
        <v>0.103842159916926</v>
      </c>
      <c r="T165">
        <f t="shared" si="24"/>
        <v>0.415368639667705</v>
      </c>
      <c r="U165">
        <f t="shared" si="25"/>
        <v>0.103842159916926</v>
      </c>
      <c r="V165">
        <f t="shared" si="26"/>
        <v>0.83073727933541</v>
      </c>
      <c r="W165">
        <f t="shared" si="28"/>
        <v>100</v>
      </c>
      <c r="X165">
        <v>53.67</v>
      </c>
      <c r="Y165">
        <f t="shared" si="29"/>
        <v>20.8079582366589</v>
      </c>
    </row>
    <row r="166" spans="2:25">
      <c r="B166">
        <v>175</v>
      </c>
      <c r="C166">
        <v>1044</v>
      </c>
      <c r="D166">
        <v>248</v>
      </c>
      <c r="E166">
        <v>447</v>
      </c>
      <c r="F166">
        <v>4</v>
      </c>
      <c r="G166">
        <v>3</v>
      </c>
      <c r="H166">
        <v>0</v>
      </c>
      <c r="I166">
        <v>0</v>
      </c>
      <c r="J166">
        <v>1</v>
      </c>
      <c r="K166">
        <v>0</v>
      </c>
      <c r="L166">
        <v>703</v>
      </c>
      <c r="M166">
        <v>0</v>
      </c>
      <c r="N166">
        <v>10</v>
      </c>
      <c r="O166">
        <f t="shared" si="20"/>
        <v>713</v>
      </c>
      <c r="P166">
        <f t="shared" si="27"/>
        <v>68.2950191570881</v>
      </c>
      <c r="Q166">
        <f t="shared" si="21"/>
        <v>62.6928471248247</v>
      </c>
      <c r="R166">
        <f t="shared" si="22"/>
        <v>34.7826086956522</v>
      </c>
      <c r="S166">
        <f t="shared" si="23"/>
        <v>0.561009817671809</v>
      </c>
      <c r="T166">
        <f t="shared" si="24"/>
        <v>0.420757363253857</v>
      </c>
      <c r="U166">
        <f t="shared" si="25"/>
        <v>0.140252454417952</v>
      </c>
      <c r="V166">
        <f t="shared" si="26"/>
        <v>1.40252454417952</v>
      </c>
      <c r="W166">
        <f t="shared" si="28"/>
        <v>100</v>
      </c>
      <c r="X166">
        <v>66.38</v>
      </c>
      <c r="Y166">
        <f t="shared" si="29"/>
        <v>1.91501915708812</v>
      </c>
    </row>
    <row r="167" spans="2:25">
      <c r="B167">
        <v>182</v>
      </c>
      <c r="C167">
        <v>770</v>
      </c>
      <c r="D167">
        <v>154</v>
      </c>
      <c r="E167">
        <v>377</v>
      </c>
      <c r="F167">
        <v>2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536</v>
      </c>
      <c r="M167">
        <v>0</v>
      </c>
      <c r="N167">
        <v>2</v>
      </c>
      <c r="O167">
        <f t="shared" si="20"/>
        <v>538</v>
      </c>
      <c r="P167">
        <f t="shared" si="27"/>
        <v>69.8701298701299</v>
      </c>
      <c r="Q167">
        <f t="shared" si="21"/>
        <v>70.0743494423792</v>
      </c>
      <c r="R167">
        <f t="shared" si="22"/>
        <v>28.6245353159851</v>
      </c>
      <c r="S167">
        <f t="shared" si="23"/>
        <v>0.371747211895911</v>
      </c>
      <c r="T167">
        <f t="shared" si="24"/>
        <v>0.557620817843866</v>
      </c>
      <c r="U167">
        <f t="shared" si="25"/>
        <v>0</v>
      </c>
      <c r="V167">
        <f t="shared" si="26"/>
        <v>0.371747211895911</v>
      </c>
      <c r="W167">
        <f t="shared" si="28"/>
        <v>100</v>
      </c>
      <c r="X167">
        <v>68.83</v>
      </c>
      <c r="Y167">
        <f t="shared" si="29"/>
        <v>1.04012987012987</v>
      </c>
    </row>
    <row r="168" spans="2:25">
      <c r="B168">
        <v>181</v>
      </c>
      <c r="C168">
        <v>798</v>
      </c>
      <c r="D168">
        <v>133</v>
      </c>
      <c r="E168">
        <v>418</v>
      </c>
      <c r="F168">
        <v>1</v>
      </c>
      <c r="G168">
        <v>2</v>
      </c>
      <c r="H168">
        <v>1</v>
      </c>
      <c r="I168">
        <v>1</v>
      </c>
      <c r="J168">
        <v>1</v>
      </c>
      <c r="K168">
        <v>1</v>
      </c>
      <c r="L168">
        <v>558</v>
      </c>
      <c r="M168">
        <v>0</v>
      </c>
      <c r="N168">
        <v>4</v>
      </c>
      <c r="O168">
        <f t="shared" si="20"/>
        <v>562</v>
      </c>
      <c r="P168">
        <f t="shared" si="27"/>
        <v>70.4260651629073</v>
      </c>
      <c r="Q168">
        <f t="shared" si="21"/>
        <v>74.3772241992883</v>
      </c>
      <c r="R168">
        <f t="shared" si="22"/>
        <v>23.6654804270463</v>
      </c>
      <c r="S168">
        <f t="shared" si="23"/>
        <v>0.177935943060498</v>
      </c>
      <c r="T168">
        <f t="shared" si="24"/>
        <v>0.355871886120996</v>
      </c>
      <c r="U168">
        <f t="shared" si="25"/>
        <v>0.711743772241993</v>
      </c>
      <c r="V168">
        <f t="shared" si="26"/>
        <v>0.711743772241993</v>
      </c>
      <c r="W168">
        <f t="shared" si="28"/>
        <v>100</v>
      </c>
      <c r="X168">
        <v>64.54</v>
      </c>
      <c r="Y168">
        <f t="shared" si="29"/>
        <v>5.88606516290726</v>
      </c>
    </row>
    <row r="169" spans="2:25">
      <c r="B169">
        <v>177</v>
      </c>
      <c r="C169">
        <v>839</v>
      </c>
      <c r="D169">
        <v>315</v>
      </c>
      <c r="E169">
        <v>245</v>
      </c>
      <c r="F169">
        <v>1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563</v>
      </c>
      <c r="M169">
        <v>0</v>
      </c>
      <c r="N169">
        <v>4</v>
      </c>
      <c r="O169">
        <f t="shared" si="20"/>
        <v>567</v>
      </c>
      <c r="P169">
        <f t="shared" si="27"/>
        <v>67.580452920143</v>
      </c>
      <c r="Q169">
        <f t="shared" si="21"/>
        <v>43.2098765432099</v>
      </c>
      <c r="R169">
        <f t="shared" si="22"/>
        <v>55.5555555555556</v>
      </c>
      <c r="S169">
        <f t="shared" si="23"/>
        <v>0.17636684303351</v>
      </c>
      <c r="T169">
        <f t="shared" si="24"/>
        <v>0.17636684303351</v>
      </c>
      <c r="U169">
        <f t="shared" si="25"/>
        <v>0.17636684303351</v>
      </c>
      <c r="V169">
        <f t="shared" si="26"/>
        <v>0.705467372134039</v>
      </c>
      <c r="W169">
        <f t="shared" si="28"/>
        <v>100</v>
      </c>
      <c r="X169">
        <v>26.22</v>
      </c>
      <c r="Y169">
        <f t="shared" si="29"/>
        <v>41.360452920143</v>
      </c>
    </row>
    <row r="170" spans="2:25">
      <c r="B170">
        <v>178</v>
      </c>
      <c r="C170">
        <v>1009</v>
      </c>
      <c r="D170">
        <v>199</v>
      </c>
      <c r="E170">
        <v>534</v>
      </c>
      <c r="F170">
        <v>2</v>
      </c>
      <c r="G170">
        <v>5</v>
      </c>
      <c r="H170">
        <v>0</v>
      </c>
      <c r="I170">
        <v>1</v>
      </c>
      <c r="J170">
        <v>0</v>
      </c>
      <c r="K170">
        <v>0</v>
      </c>
      <c r="L170">
        <v>741</v>
      </c>
      <c r="M170">
        <v>0</v>
      </c>
      <c r="N170">
        <v>6</v>
      </c>
      <c r="O170">
        <f t="shared" si="20"/>
        <v>747</v>
      </c>
      <c r="P170">
        <f t="shared" si="27"/>
        <v>74.0336967294351</v>
      </c>
      <c r="Q170">
        <f t="shared" si="21"/>
        <v>71.4859437751004</v>
      </c>
      <c r="R170">
        <f t="shared" si="22"/>
        <v>26.6398929049531</v>
      </c>
      <c r="S170">
        <f t="shared" si="23"/>
        <v>0.267737617135207</v>
      </c>
      <c r="T170">
        <f t="shared" si="24"/>
        <v>0.669344042838019</v>
      </c>
      <c r="U170">
        <f t="shared" si="25"/>
        <v>0.133868808567604</v>
      </c>
      <c r="V170">
        <f t="shared" si="26"/>
        <v>0.803212851405622</v>
      </c>
      <c r="W170">
        <f t="shared" si="28"/>
        <v>100</v>
      </c>
      <c r="X170">
        <v>70.07</v>
      </c>
      <c r="Y170">
        <f t="shared" si="29"/>
        <v>3.96369672943509</v>
      </c>
    </row>
    <row r="171" spans="2:25">
      <c r="B171">
        <v>179</v>
      </c>
      <c r="C171">
        <v>989</v>
      </c>
      <c r="D171">
        <v>420</v>
      </c>
      <c r="E171">
        <v>296</v>
      </c>
      <c r="F171">
        <v>0</v>
      </c>
      <c r="G171">
        <v>2</v>
      </c>
      <c r="H171">
        <v>1</v>
      </c>
      <c r="I171">
        <v>1</v>
      </c>
      <c r="J171">
        <v>0</v>
      </c>
      <c r="K171">
        <v>1</v>
      </c>
      <c r="L171">
        <v>721</v>
      </c>
      <c r="M171">
        <v>0</v>
      </c>
      <c r="N171">
        <v>8</v>
      </c>
      <c r="O171">
        <f t="shared" si="20"/>
        <v>729</v>
      </c>
      <c r="P171">
        <f t="shared" si="27"/>
        <v>73.7108190091001</v>
      </c>
      <c r="Q171">
        <f t="shared" si="21"/>
        <v>40.6035665294925</v>
      </c>
      <c r="R171">
        <f t="shared" si="22"/>
        <v>57.6131687242798</v>
      </c>
      <c r="S171">
        <f t="shared" si="23"/>
        <v>0</v>
      </c>
      <c r="T171">
        <f t="shared" si="24"/>
        <v>0.274348422496571</v>
      </c>
      <c r="U171">
        <f t="shared" si="25"/>
        <v>0.411522633744856</v>
      </c>
      <c r="V171">
        <f t="shared" si="26"/>
        <v>1.09739368998628</v>
      </c>
      <c r="W171">
        <f t="shared" si="28"/>
        <v>100</v>
      </c>
      <c r="X171">
        <v>70.98</v>
      </c>
      <c r="Y171">
        <f t="shared" si="29"/>
        <v>2.7308190091001</v>
      </c>
    </row>
    <row r="172" spans="2:25">
      <c r="B172">
        <v>180</v>
      </c>
      <c r="C172">
        <v>710</v>
      </c>
      <c r="D172">
        <v>165</v>
      </c>
      <c r="E172">
        <v>348</v>
      </c>
      <c r="F172">
        <v>2</v>
      </c>
      <c r="G172">
        <v>0</v>
      </c>
      <c r="H172">
        <v>1</v>
      </c>
      <c r="I172">
        <v>2</v>
      </c>
      <c r="J172">
        <v>0</v>
      </c>
      <c r="K172">
        <v>1</v>
      </c>
      <c r="L172">
        <v>519</v>
      </c>
      <c r="M172">
        <v>0</v>
      </c>
      <c r="N172">
        <v>5</v>
      </c>
      <c r="O172">
        <f t="shared" si="20"/>
        <v>524</v>
      </c>
      <c r="P172">
        <f t="shared" si="27"/>
        <v>73.8028169014084</v>
      </c>
      <c r="Q172">
        <f t="shared" si="21"/>
        <v>66.412213740458</v>
      </c>
      <c r="R172">
        <f t="shared" si="22"/>
        <v>31.4885496183206</v>
      </c>
      <c r="S172">
        <f t="shared" si="23"/>
        <v>0.381679389312977</v>
      </c>
      <c r="T172">
        <f t="shared" si="24"/>
        <v>0</v>
      </c>
      <c r="U172">
        <f t="shared" si="25"/>
        <v>0.763358778625954</v>
      </c>
      <c r="V172">
        <f t="shared" si="26"/>
        <v>0.954198473282443</v>
      </c>
      <c r="W172">
        <f t="shared" si="28"/>
        <v>100</v>
      </c>
      <c r="X172">
        <v>69.3</v>
      </c>
      <c r="Y172">
        <f t="shared" si="29"/>
        <v>4.50281690140845</v>
      </c>
    </row>
    <row r="173" spans="1:25">
      <c r="A173" t="s">
        <v>52</v>
      </c>
      <c r="B173">
        <v>193</v>
      </c>
      <c r="C173">
        <v>866</v>
      </c>
      <c r="D173">
        <v>108</v>
      </c>
      <c r="E173">
        <v>477</v>
      </c>
      <c r="F173">
        <v>2</v>
      </c>
      <c r="G173">
        <v>0</v>
      </c>
      <c r="H173">
        <v>1</v>
      </c>
      <c r="I173">
        <v>1</v>
      </c>
      <c r="J173">
        <v>3</v>
      </c>
      <c r="K173">
        <v>3</v>
      </c>
      <c r="L173">
        <v>595</v>
      </c>
      <c r="M173">
        <v>0</v>
      </c>
      <c r="N173">
        <v>7</v>
      </c>
      <c r="O173">
        <f t="shared" si="20"/>
        <v>602</v>
      </c>
      <c r="P173">
        <f t="shared" si="27"/>
        <v>69.5150115473441</v>
      </c>
      <c r="Q173">
        <f t="shared" si="21"/>
        <v>79.2358803986711</v>
      </c>
      <c r="R173">
        <f t="shared" si="22"/>
        <v>17.9401993355482</v>
      </c>
      <c r="S173">
        <f t="shared" si="23"/>
        <v>0.332225913621262</v>
      </c>
      <c r="T173">
        <f t="shared" si="24"/>
        <v>0</v>
      </c>
      <c r="U173">
        <f t="shared" si="25"/>
        <v>1.32890365448505</v>
      </c>
      <c r="V173">
        <f t="shared" si="26"/>
        <v>1.16279069767442</v>
      </c>
      <c r="W173">
        <f t="shared" si="28"/>
        <v>100</v>
      </c>
      <c r="X173">
        <v>65.24</v>
      </c>
      <c r="Y173">
        <f t="shared" si="29"/>
        <v>4.27501154734411</v>
      </c>
    </row>
    <row r="174" spans="2:25">
      <c r="B174">
        <v>198</v>
      </c>
      <c r="C174">
        <v>917</v>
      </c>
      <c r="D174">
        <v>554</v>
      </c>
      <c r="E174">
        <v>16</v>
      </c>
      <c r="F174">
        <v>16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588</v>
      </c>
      <c r="M174">
        <v>0</v>
      </c>
      <c r="N174">
        <v>2</v>
      </c>
      <c r="O174">
        <f t="shared" si="20"/>
        <v>590</v>
      </c>
      <c r="P174">
        <f t="shared" si="27"/>
        <v>64.340239912759</v>
      </c>
      <c r="Q174">
        <f t="shared" si="21"/>
        <v>2.71186440677966</v>
      </c>
      <c r="R174">
        <f t="shared" si="22"/>
        <v>93.8983050847458</v>
      </c>
      <c r="S174">
        <f t="shared" si="23"/>
        <v>2.71186440677966</v>
      </c>
      <c r="T174">
        <f t="shared" si="24"/>
        <v>0</v>
      </c>
      <c r="U174">
        <f t="shared" si="25"/>
        <v>0.338983050847458</v>
      </c>
      <c r="V174">
        <f t="shared" si="26"/>
        <v>0.338983050847458</v>
      </c>
      <c r="W174">
        <f t="shared" si="28"/>
        <v>100</v>
      </c>
      <c r="X174">
        <v>56.82</v>
      </c>
      <c r="Y174">
        <f t="shared" si="29"/>
        <v>7.520239912759</v>
      </c>
    </row>
    <row r="175" spans="2:25">
      <c r="B175">
        <v>195</v>
      </c>
      <c r="C175">
        <v>1209</v>
      </c>
      <c r="D175">
        <v>399</v>
      </c>
      <c r="E175">
        <v>460</v>
      </c>
      <c r="F175">
        <v>5</v>
      </c>
      <c r="G175">
        <v>0</v>
      </c>
      <c r="H175">
        <v>1</v>
      </c>
      <c r="I175">
        <v>0</v>
      </c>
      <c r="J175">
        <v>2</v>
      </c>
      <c r="K175">
        <v>2</v>
      </c>
      <c r="L175">
        <v>869</v>
      </c>
      <c r="M175">
        <v>0</v>
      </c>
      <c r="N175">
        <v>9</v>
      </c>
      <c r="O175">
        <f t="shared" ref="O175:O238" si="30">D175+E175+F175+G175+H175+I175+J175+K175+N175</f>
        <v>878</v>
      </c>
      <c r="P175">
        <f t="shared" si="27"/>
        <v>72.6220016542597</v>
      </c>
      <c r="Q175">
        <f t="shared" ref="Q175:Q238" si="31">(E175/O175)*100</f>
        <v>52.3917995444191</v>
      </c>
      <c r="R175">
        <f t="shared" ref="R175:R238" si="32">(D175/O175)*100</f>
        <v>45.4441913439636</v>
      </c>
      <c r="S175">
        <f t="shared" ref="S175:S238" si="33">(F175/O175)*100</f>
        <v>0.569476082004556</v>
      </c>
      <c r="T175">
        <f t="shared" ref="T175:T238" si="34">(G175/O175)*100</f>
        <v>0</v>
      </c>
      <c r="U175">
        <f t="shared" ref="U175:U238" si="35">((H175+I175+J175+K175)/O175)*100</f>
        <v>0.569476082004556</v>
      </c>
      <c r="V175">
        <f t="shared" ref="V175:V238" si="36">(N175/O175)*100</f>
        <v>1.0250569476082</v>
      </c>
      <c r="W175">
        <f t="shared" si="28"/>
        <v>100</v>
      </c>
      <c r="X175">
        <v>69.4</v>
      </c>
      <c r="Y175">
        <f t="shared" si="29"/>
        <v>3.22200165425971</v>
      </c>
    </row>
    <row r="176" spans="2:25">
      <c r="B176">
        <v>199</v>
      </c>
      <c r="C176">
        <v>737</v>
      </c>
      <c r="D176">
        <v>435</v>
      </c>
      <c r="E176">
        <v>30</v>
      </c>
      <c r="F176">
        <v>7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474</v>
      </c>
      <c r="M176">
        <v>0</v>
      </c>
      <c r="N176">
        <v>4</v>
      </c>
      <c r="O176">
        <f t="shared" si="30"/>
        <v>478</v>
      </c>
      <c r="P176">
        <f t="shared" si="27"/>
        <v>64.8575305291723</v>
      </c>
      <c r="Q176">
        <f t="shared" si="31"/>
        <v>6.27615062761506</v>
      </c>
      <c r="R176">
        <f t="shared" si="32"/>
        <v>91.0041841004184</v>
      </c>
      <c r="S176">
        <f t="shared" si="33"/>
        <v>1.46443514644351</v>
      </c>
      <c r="T176">
        <f t="shared" si="34"/>
        <v>0</v>
      </c>
      <c r="U176">
        <f t="shared" si="35"/>
        <v>0.418410041841004</v>
      </c>
      <c r="V176">
        <f t="shared" si="36"/>
        <v>0.836820083682008</v>
      </c>
      <c r="W176">
        <f t="shared" si="28"/>
        <v>100</v>
      </c>
      <c r="X176">
        <v>49.25</v>
      </c>
      <c r="Y176">
        <f t="shared" si="29"/>
        <v>15.6075305291723</v>
      </c>
    </row>
    <row r="177" spans="2:25">
      <c r="B177">
        <v>196</v>
      </c>
      <c r="C177">
        <v>1546</v>
      </c>
      <c r="D177">
        <v>932</v>
      </c>
      <c r="E177">
        <v>58</v>
      </c>
      <c r="F177">
        <v>11</v>
      </c>
      <c r="G177">
        <v>1</v>
      </c>
      <c r="H177">
        <v>1</v>
      </c>
      <c r="I177">
        <v>0</v>
      </c>
      <c r="J177">
        <v>1</v>
      </c>
      <c r="K177">
        <v>0</v>
      </c>
      <c r="L177">
        <v>1004</v>
      </c>
      <c r="M177">
        <v>0</v>
      </c>
      <c r="N177">
        <v>3</v>
      </c>
      <c r="O177">
        <f t="shared" si="30"/>
        <v>1007</v>
      </c>
      <c r="P177">
        <f t="shared" si="27"/>
        <v>65.1358344113842</v>
      </c>
      <c r="Q177">
        <f t="shared" si="31"/>
        <v>5.759682224429</v>
      </c>
      <c r="R177">
        <f t="shared" si="32"/>
        <v>92.5521350546177</v>
      </c>
      <c r="S177">
        <f t="shared" si="33"/>
        <v>1.09235352532274</v>
      </c>
      <c r="T177">
        <f t="shared" si="34"/>
        <v>0.099304865938431</v>
      </c>
      <c r="U177">
        <f t="shared" si="35"/>
        <v>0.198609731876862</v>
      </c>
      <c r="V177">
        <f t="shared" si="36"/>
        <v>0.297914597815293</v>
      </c>
      <c r="W177">
        <f t="shared" si="28"/>
        <v>100</v>
      </c>
      <c r="X177">
        <v>52.52</v>
      </c>
      <c r="Y177">
        <f t="shared" si="29"/>
        <v>12.6158344113842</v>
      </c>
    </row>
    <row r="178" spans="2:25">
      <c r="B178">
        <v>200</v>
      </c>
      <c r="C178">
        <v>967</v>
      </c>
      <c r="D178">
        <v>245</v>
      </c>
      <c r="E178">
        <v>361</v>
      </c>
      <c r="F178">
        <v>7</v>
      </c>
      <c r="G178">
        <v>1</v>
      </c>
      <c r="H178">
        <v>0</v>
      </c>
      <c r="I178">
        <v>0</v>
      </c>
      <c r="J178">
        <v>1</v>
      </c>
      <c r="K178">
        <v>1</v>
      </c>
      <c r="L178">
        <v>616</v>
      </c>
      <c r="M178">
        <v>0</v>
      </c>
      <c r="N178">
        <v>3</v>
      </c>
      <c r="O178">
        <f t="shared" si="30"/>
        <v>619</v>
      </c>
      <c r="P178">
        <f t="shared" si="27"/>
        <v>64.0124095139607</v>
      </c>
      <c r="Q178">
        <f t="shared" si="31"/>
        <v>58.3198707592892</v>
      </c>
      <c r="R178">
        <f t="shared" si="32"/>
        <v>39.5799676898223</v>
      </c>
      <c r="S178">
        <f t="shared" si="33"/>
        <v>1.13085621970921</v>
      </c>
      <c r="T178">
        <f t="shared" si="34"/>
        <v>0.161550888529887</v>
      </c>
      <c r="U178">
        <f t="shared" si="35"/>
        <v>0.323101777059774</v>
      </c>
      <c r="V178">
        <f t="shared" si="36"/>
        <v>0.484652665589661</v>
      </c>
      <c r="W178">
        <f t="shared" si="28"/>
        <v>100</v>
      </c>
      <c r="X178">
        <v>59.77</v>
      </c>
      <c r="Y178">
        <f t="shared" si="29"/>
        <v>4.2424095139607</v>
      </c>
    </row>
    <row r="179" spans="2:25">
      <c r="B179">
        <v>194</v>
      </c>
      <c r="C179">
        <v>687</v>
      </c>
      <c r="D179">
        <v>95</v>
      </c>
      <c r="E179">
        <v>405</v>
      </c>
      <c r="F179">
        <v>4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507</v>
      </c>
      <c r="M179">
        <v>0</v>
      </c>
      <c r="N179">
        <v>1</v>
      </c>
      <c r="O179">
        <f t="shared" si="30"/>
        <v>508</v>
      </c>
      <c r="P179">
        <f t="shared" si="27"/>
        <v>73.9446870451237</v>
      </c>
      <c r="Q179">
        <f t="shared" si="31"/>
        <v>79.7244094488189</v>
      </c>
      <c r="R179">
        <f t="shared" si="32"/>
        <v>18.7007874015748</v>
      </c>
      <c r="S179">
        <f t="shared" si="33"/>
        <v>0.78740157480315</v>
      </c>
      <c r="T179">
        <f t="shared" si="34"/>
        <v>0</v>
      </c>
      <c r="U179">
        <f t="shared" si="35"/>
        <v>0.590551181102362</v>
      </c>
      <c r="V179">
        <f t="shared" si="36"/>
        <v>0.196850393700787</v>
      </c>
      <c r="W179">
        <f t="shared" si="28"/>
        <v>100</v>
      </c>
      <c r="X179">
        <v>73.07</v>
      </c>
      <c r="Y179">
        <f t="shared" si="29"/>
        <v>0.874687045123736</v>
      </c>
    </row>
    <row r="180" spans="1:25">
      <c r="A180" t="s">
        <v>53</v>
      </c>
      <c r="B180">
        <v>65</v>
      </c>
      <c r="C180">
        <v>1254</v>
      </c>
      <c r="D180">
        <v>158</v>
      </c>
      <c r="E180">
        <v>596</v>
      </c>
      <c r="F180">
        <v>3</v>
      </c>
      <c r="G180">
        <v>2</v>
      </c>
      <c r="H180">
        <v>0</v>
      </c>
      <c r="I180">
        <v>0</v>
      </c>
      <c r="J180">
        <v>1</v>
      </c>
      <c r="K180">
        <v>1</v>
      </c>
      <c r="L180">
        <v>761</v>
      </c>
      <c r="M180">
        <v>0</v>
      </c>
      <c r="N180">
        <v>12</v>
      </c>
      <c r="O180">
        <f t="shared" si="30"/>
        <v>773</v>
      </c>
      <c r="P180">
        <f t="shared" si="27"/>
        <v>61.6427432216906</v>
      </c>
      <c r="Q180">
        <f t="shared" si="31"/>
        <v>77.1021992238034</v>
      </c>
      <c r="R180">
        <f t="shared" si="32"/>
        <v>20.4398447606727</v>
      </c>
      <c r="S180">
        <f t="shared" si="33"/>
        <v>0.388098318240621</v>
      </c>
      <c r="T180">
        <f t="shared" si="34"/>
        <v>0.258732212160414</v>
      </c>
      <c r="U180">
        <f t="shared" si="35"/>
        <v>0.258732212160414</v>
      </c>
      <c r="V180">
        <f t="shared" si="36"/>
        <v>1.55239327296248</v>
      </c>
      <c r="W180">
        <f t="shared" si="28"/>
        <v>100</v>
      </c>
      <c r="X180">
        <v>58.85</v>
      </c>
      <c r="Y180">
        <f t="shared" si="29"/>
        <v>2.79274322169059</v>
      </c>
    </row>
    <row r="181" spans="2:25">
      <c r="B181">
        <v>64</v>
      </c>
      <c r="C181">
        <v>1092</v>
      </c>
      <c r="D181">
        <v>239</v>
      </c>
      <c r="E181">
        <v>512</v>
      </c>
      <c r="F181">
        <v>6</v>
      </c>
      <c r="G181">
        <v>4</v>
      </c>
      <c r="H181">
        <v>0</v>
      </c>
      <c r="I181">
        <v>0</v>
      </c>
      <c r="J181">
        <v>1</v>
      </c>
      <c r="K181">
        <v>0</v>
      </c>
      <c r="L181">
        <v>762</v>
      </c>
      <c r="M181">
        <v>0</v>
      </c>
      <c r="N181">
        <v>7</v>
      </c>
      <c r="O181">
        <f t="shared" si="30"/>
        <v>769</v>
      </c>
      <c r="P181">
        <f t="shared" si="27"/>
        <v>70.4212454212454</v>
      </c>
      <c r="Q181">
        <f t="shared" si="31"/>
        <v>66.5799739921977</v>
      </c>
      <c r="R181">
        <f t="shared" si="32"/>
        <v>31.0793237971391</v>
      </c>
      <c r="S181">
        <f t="shared" si="33"/>
        <v>0.780234070221066</v>
      </c>
      <c r="T181">
        <f t="shared" si="34"/>
        <v>0.520156046814044</v>
      </c>
      <c r="U181">
        <f t="shared" si="35"/>
        <v>0.130039011703511</v>
      </c>
      <c r="V181">
        <f t="shared" si="36"/>
        <v>0.910273081924577</v>
      </c>
      <c r="W181">
        <f t="shared" si="28"/>
        <v>100</v>
      </c>
      <c r="X181">
        <v>67.22</v>
      </c>
      <c r="Y181">
        <f t="shared" si="29"/>
        <v>3.20124542124543</v>
      </c>
    </row>
    <row r="182" spans="2:25">
      <c r="B182">
        <v>26</v>
      </c>
      <c r="C182">
        <v>1012</v>
      </c>
      <c r="D182">
        <v>157</v>
      </c>
      <c r="E182">
        <v>445</v>
      </c>
      <c r="F182">
        <v>1</v>
      </c>
      <c r="G182">
        <v>7</v>
      </c>
      <c r="H182">
        <v>0</v>
      </c>
      <c r="I182">
        <v>0</v>
      </c>
      <c r="J182">
        <v>0</v>
      </c>
      <c r="K182">
        <v>1</v>
      </c>
      <c r="L182">
        <v>611</v>
      </c>
      <c r="M182">
        <v>0</v>
      </c>
      <c r="N182">
        <v>8</v>
      </c>
      <c r="O182">
        <f t="shared" si="30"/>
        <v>619</v>
      </c>
      <c r="P182">
        <f t="shared" si="27"/>
        <v>61.1660079051383</v>
      </c>
      <c r="Q182">
        <f t="shared" si="31"/>
        <v>71.8901453957997</v>
      </c>
      <c r="R182">
        <f t="shared" si="32"/>
        <v>25.3634894991922</v>
      </c>
      <c r="S182">
        <f t="shared" si="33"/>
        <v>0.161550888529887</v>
      </c>
      <c r="T182">
        <f t="shared" si="34"/>
        <v>1.13085621970921</v>
      </c>
      <c r="U182">
        <f t="shared" si="35"/>
        <v>0.161550888529887</v>
      </c>
      <c r="V182">
        <f t="shared" si="36"/>
        <v>1.2924071082391</v>
      </c>
      <c r="W182">
        <f t="shared" si="28"/>
        <v>100</v>
      </c>
      <c r="X182">
        <v>60.77</v>
      </c>
      <c r="Y182">
        <f t="shared" si="29"/>
        <v>0.39600790513834</v>
      </c>
    </row>
    <row r="183" spans="2:25">
      <c r="B183">
        <v>24</v>
      </c>
      <c r="C183">
        <v>980</v>
      </c>
      <c r="D183">
        <v>271</v>
      </c>
      <c r="E183">
        <v>346</v>
      </c>
      <c r="F183">
        <v>1</v>
      </c>
      <c r="G183">
        <v>1</v>
      </c>
      <c r="H183">
        <v>0</v>
      </c>
      <c r="I183">
        <v>0</v>
      </c>
      <c r="J183">
        <v>2</v>
      </c>
      <c r="K183">
        <v>2</v>
      </c>
      <c r="L183">
        <v>623</v>
      </c>
      <c r="M183">
        <v>0</v>
      </c>
      <c r="N183">
        <v>3</v>
      </c>
      <c r="O183">
        <f t="shared" si="30"/>
        <v>626</v>
      </c>
      <c r="P183">
        <f t="shared" si="27"/>
        <v>63.8775510204082</v>
      </c>
      <c r="Q183">
        <f t="shared" si="31"/>
        <v>55.2715654952077</v>
      </c>
      <c r="R183">
        <f t="shared" si="32"/>
        <v>43.2907348242812</v>
      </c>
      <c r="S183">
        <f t="shared" si="33"/>
        <v>0.159744408945687</v>
      </c>
      <c r="T183">
        <f t="shared" si="34"/>
        <v>0.159744408945687</v>
      </c>
      <c r="U183">
        <f t="shared" si="35"/>
        <v>0.638977635782748</v>
      </c>
      <c r="V183">
        <f t="shared" si="36"/>
        <v>0.479233226837061</v>
      </c>
      <c r="W183">
        <f t="shared" si="28"/>
        <v>100</v>
      </c>
      <c r="X183">
        <v>59.08</v>
      </c>
      <c r="Y183">
        <f t="shared" si="29"/>
        <v>4.79755102040816</v>
      </c>
    </row>
    <row r="184" spans="2:25">
      <c r="B184">
        <v>25</v>
      </c>
      <c r="C184">
        <v>599</v>
      </c>
      <c r="D184">
        <v>130</v>
      </c>
      <c r="E184">
        <v>309</v>
      </c>
      <c r="F184">
        <v>2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442</v>
      </c>
      <c r="M184">
        <v>0</v>
      </c>
      <c r="N184">
        <v>3</v>
      </c>
      <c r="O184">
        <f t="shared" si="30"/>
        <v>445</v>
      </c>
      <c r="P184">
        <f t="shared" si="27"/>
        <v>74.2904841402337</v>
      </c>
      <c r="Q184">
        <f t="shared" si="31"/>
        <v>69.438202247191</v>
      </c>
      <c r="R184">
        <f t="shared" si="32"/>
        <v>29.2134831460674</v>
      </c>
      <c r="S184">
        <f t="shared" si="33"/>
        <v>0.449438202247191</v>
      </c>
      <c r="T184">
        <f t="shared" si="34"/>
        <v>0.224719101123596</v>
      </c>
      <c r="U184">
        <f t="shared" si="35"/>
        <v>0</v>
      </c>
      <c r="V184">
        <f t="shared" si="36"/>
        <v>0.674157303370786</v>
      </c>
      <c r="W184">
        <f t="shared" si="28"/>
        <v>100</v>
      </c>
      <c r="X184">
        <v>74.29</v>
      </c>
      <c r="Y184">
        <f t="shared" si="29"/>
        <v>0.000484140233723451</v>
      </c>
    </row>
    <row r="185" spans="2:25">
      <c r="B185">
        <v>22</v>
      </c>
      <c r="C185">
        <v>971</v>
      </c>
      <c r="D185" s="334">
        <v>233</v>
      </c>
      <c r="E185" s="334">
        <v>335</v>
      </c>
      <c r="F185" s="334">
        <v>1</v>
      </c>
      <c r="G185" s="334">
        <v>3</v>
      </c>
      <c r="H185" s="334">
        <v>0</v>
      </c>
      <c r="I185" s="334">
        <v>0</v>
      </c>
      <c r="J185" s="334">
        <v>1</v>
      </c>
      <c r="K185" s="334">
        <v>0</v>
      </c>
      <c r="L185" s="334">
        <v>573</v>
      </c>
      <c r="M185" s="334">
        <v>0</v>
      </c>
      <c r="N185" s="334">
        <v>3</v>
      </c>
      <c r="O185">
        <f t="shared" si="30"/>
        <v>576</v>
      </c>
      <c r="P185">
        <f t="shared" si="27"/>
        <v>59.3202883625129</v>
      </c>
      <c r="Q185">
        <f t="shared" si="31"/>
        <v>58.1597222222222</v>
      </c>
      <c r="R185">
        <f t="shared" si="32"/>
        <v>40.4513888888889</v>
      </c>
      <c r="S185">
        <f t="shared" si="33"/>
        <v>0.173611111111111</v>
      </c>
      <c r="T185">
        <f t="shared" si="34"/>
        <v>0.520833333333333</v>
      </c>
      <c r="U185">
        <f t="shared" si="35"/>
        <v>0.173611111111111</v>
      </c>
      <c r="V185">
        <f t="shared" si="36"/>
        <v>0.520833333333333</v>
      </c>
      <c r="W185">
        <f t="shared" si="28"/>
        <v>100</v>
      </c>
      <c r="X185">
        <v>58.6</v>
      </c>
      <c r="Y185">
        <f t="shared" si="29"/>
        <v>0.720288362512875</v>
      </c>
    </row>
    <row r="186" spans="1:25">
      <c r="A186" t="s">
        <v>54</v>
      </c>
      <c r="B186">
        <v>107</v>
      </c>
      <c r="C186">
        <v>961</v>
      </c>
      <c r="D186">
        <v>364</v>
      </c>
      <c r="E186">
        <v>279</v>
      </c>
      <c r="F186">
        <v>0</v>
      </c>
      <c r="G186">
        <v>1</v>
      </c>
      <c r="H186">
        <v>0</v>
      </c>
      <c r="I186">
        <v>0</v>
      </c>
      <c r="J186">
        <v>2</v>
      </c>
      <c r="K186">
        <v>0</v>
      </c>
      <c r="L186">
        <v>646</v>
      </c>
      <c r="M186">
        <v>0</v>
      </c>
      <c r="N186">
        <v>4</v>
      </c>
      <c r="O186">
        <f t="shared" si="30"/>
        <v>650</v>
      </c>
      <c r="P186">
        <f t="shared" si="27"/>
        <v>67.6378772112383</v>
      </c>
      <c r="Q186">
        <f t="shared" si="31"/>
        <v>42.9230769230769</v>
      </c>
      <c r="R186">
        <f t="shared" si="32"/>
        <v>56</v>
      </c>
      <c r="S186">
        <f t="shared" si="33"/>
        <v>0</v>
      </c>
      <c r="T186">
        <f t="shared" si="34"/>
        <v>0.153846153846154</v>
      </c>
      <c r="U186">
        <f t="shared" si="35"/>
        <v>0.307692307692308</v>
      </c>
      <c r="V186">
        <f t="shared" si="36"/>
        <v>0.615384615384615</v>
      </c>
      <c r="W186">
        <f t="shared" si="28"/>
        <v>100</v>
      </c>
      <c r="X186">
        <v>0</v>
      </c>
      <c r="Y186">
        <f t="shared" si="29"/>
        <v>67.6378772112383</v>
      </c>
    </row>
    <row r="187" spans="2:25">
      <c r="B187">
        <v>106</v>
      </c>
      <c r="C187">
        <v>911</v>
      </c>
      <c r="D187">
        <v>517</v>
      </c>
      <c r="E187">
        <v>86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603</v>
      </c>
      <c r="M187">
        <v>0</v>
      </c>
      <c r="N187">
        <v>1</v>
      </c>
      <c r="O187">
        <f t="shared" si="30"/>
        <v>604</v>
      </c>
      <c r="P187">
        <f t="shared" si="27"/>
        <v>66.3007683863886</v>
      </c>
      <c r="Q187">
        <f t="shared" si="31"/>
        <v>14.2384105960265</v>
      </c>
      <c r="R187">
        <f t="shared" si="32"/>
        <v>85.5960264900662</v>
      </c>
      <c r="S187">
        <f t="shared" si="33"/>
        <v>0</v>
      </c>
      <c r="T187">
        <f t="shared" si="34"/>
        <v>0</v>
      </c>
      <c r="U187">
        <f t="shared" si="35"/>
        <v>0</v>
      </c>
      <c r="V187">
        <f t="shared" si="36"/>
        <v>0.165562913907285</v>
      </c>
      <c r="W187">
        <f t="shared" si="28"/>
        <v>100</v>
      </c>
      <c r="X187">
        <v>62.02</v>
      </c>
      <c r="Y187">
        <f t="shared" si="29"/>
        <v>4.28076838638858</v>
      </c>
    </row>
    <row r="188" spans="2:25">
      <c r="B188">
        <v>109</v>
      </c>
      <c r="C188">
        <v>1012</v>
      </c>
      <c r="D188">
        <v>656</v>
      </c>
      <c r="E188">
        <v>15</v>
      </c>
      <c r="F188">
        <v>6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679</v>
      </c>
      <c r="M188">
        <v>0</v>
      </c>
      <c r="N188">
        <v>1</v>
      </c>
      <c r="O188">
        <f t="shared" si="30"/>
        <v>680</v>
      </c>
      <c r="P188">
        <f t="shared" si="27"/>
        <v>67.1936758893281</v>
      </c>
      <c r="Q188">
        <f t="shared" si="31"/>
        <v>2.20588235294118</v>
      </c>
      <c r="R188">
        <f t="shared" si="32"/>
        <v>96.4705882352941</v>
      </c>
      <c r="S188">
        <f t="shared" si="33"/>
        <v>0.882352941176471</v>
      </c>
      <c r="T188">
        <f t="shared" si="34"/>
        <v>0</v>
      </c>
      <c r="U188">
        <f t="shared" si="35"/>
        <v>0.294117647058824</v>
      </c>
      <c r="V188">
        <f t="shared" si="36"/>
        <v>0.147058823529412</v>
      </c>
      <c r="W188">
        <f t="shared" si="28"/>
        <v>100</v>
      </c>
      <c r="X188">
        <v>0</v>
      </c>
      <c r="Y188">
        <f t="shared" si="29"/>
        <v>67.1936758893281</v>
      </c>
    </row>
    <row r="189" spans="2:25">
      <c r="B189">
        <v>110</v>
      </c>
      <c r="C189">
        <v>590</v>
      </c>
      <c r="D189">
        <v>206</v>
      </c>
      <c r="E189">
        <v>193</v>
      </c>
      <c r="F189">
        <v>1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401</v>
      </c>
      <c r="M189">
        <v>0</v>
      </c>
      <c r="N189">
        <v>0</v>
      </c>
      <c r="O189">
        <f t="shared" si="30"/>
        <v>401</v>
      </c>
      <c r="P189">
        <f t="shared" si="27"/>
        <v>67.9661016949153</v>
      </c>
      <c r="Q189">
        <f t="shared" si="31"/>
        <v>48.1296758104738</v>
      </c>
      <c r="R189">
        <f t="shared" si="32"/>
        <v>51.3715710723192</v>
      </c>
      <c r="S189">
        <f t="shared" si="33"/>
        <v>0.249376558603491</v>
      </c>
      <c r="T189">
        <f t="shared" si="34"/>
        <v>0</v>
      </c>
      <c r="U189">
        <f t="shared" si="35"/>
        <v>0.249376558603491</v>
      </c>
      <c r="V189">
        <f t="shared" si="36"/>
        <v>0</v>
      </c>
      <c r="W189">
        <f t="shared" si="28"/>
        <v>100</v>
      </c>
      <c r="X189">
        <v>0</v>
      </c>
      <c r="Y189">
        <f t="shared" si="29"/>
        <v>67.9661016949153</v>
      </c>
    </row>
    <row r="190" spans="2:25">
      <c r="B190">
        <v>104</v>
      </c>
      <c r="C190">
        <v>958</v>
      </c>
      <c r="D190">
        <v>340</v>
      </c>
      <c r="E190">
        <v>310</v>
      </c>
      <c r="F190">
        <v>2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654</v>
      </c>
      <c r="M190">
        <v>0</v>
      </c>
      <c r="N190">
        <v>6</v>
      </c>
      <c r="O190">
        <f t="shared" si="30"/>
        <v>660</v>
      </c>
      <c r="P190">
        <f t="shared" si="27"/>
        <v>68.8935281837161</v>
      </c>
      <c r="Q190">
        <f t="shared" si="31"/>
        <v>46.969696969697</v>
      </c>
      <c r="R190">
        <f t="shared" si="32"/>
        <v>51.5151515151515</v>
      </c>
      <c r="S190">
        <f t="shared" si="33"/>
        <v>0.303030303030303</v>
      </c>
      <c r="T190">
        <f t="shared" si="34"/>
        <v>0.151515151515152</v>
      </c>
      <c r="U190">
        <f t="shared" si="35"/>
        <v>0.151515151515152</v>
      </c>
      <c r="V190">
        <f t="shared" si="36"/>
        <v>0.909090909090909</v>
      </c>
      <c r="W190">
        <f t="shared" si="28"/>
        <v>100</v>
      </c>
      <c r="X190">
        <v>54.18</v>
      </c>
      <c r="Y190">
        <f t="shared" si="29"/>
        <v>14.7135281837161</v>
      </c>
    </row>
    <row r="191" spans="2:25">
      <c r="B191">
        <v>105</v>
      </c>
      <c r="C191">
        <v>1120</v>
      </c>
      <c r="D191">
        <v>586</v>
      </c>
      <c r="E191">
        <v>141</v>
      </c>
      <c r="F191">
        <v>1</v>
      </c>
      <c r="G191">
        <v>3</v>
      </c>
      <c r="H191">
        <v>0</v>
      </c>
      <c r="I191">
        <v>0</v>
      </c>
      <c r="J191">
        <v>1</v>
      </c>
      <c r="K191">
        <v>0</v>
      </c>
      <c r="L191">
        <v>732</v>
      </c>
      <c r="M191">
        <v>0</v>
      </c>
      <c r="N191">
        <v>0</v>
      </c>
      <c r="O191">
        <f t="shared" si="30"/>
        <v>732</v>
      </c>
      <c r="P191">
        <f t="shared" si="27"/>
        <v>65.3571428571429</v>
      </c>
      <c r="Q191">
        <f t="shared" si="31"/>
        <v>19.2622950819672</v>
      </c>
      <c r="R191">
        <f t="shared" si="32"/>
        <v>80.0546448087432</v>
      </c>
      <c r="S191">
        <f t="shared" si="33"/>
        <v>0.136612021857924</v>
      </c>
      <c r="T191">
        <f t="shared" si="34"/>
        <v>0.409836065573771</v>
      </c>
      <c r="U191">
        <f t="shared" si="35"/>
        <v>0.136612021857924</v>
      </c>
      <c r="V191">
        <f t="shared" si="36"/>
        <v>0</v>
      </c>
      <c r="W191">
        <f t="shared" si="28"/>
        <v>100</v>
      </c>
      <c r="X191">
        <v>58.13</v>
      </c>
      <c r="Y191">
        <f t="shared" si="29"/>
        <v>7.22714285714286</v>
      </c>
    </row>
    <row r="192" spans="1:25">
      <c r="A192" t="s">
        <v>55</v>
      </c>
      <c r="B192">
        <v>147</v>
      </c>
      <c r="C192">
        <v>1071</v>
      </c>
      <c r="D192">
        <v>449</v>
      </c>
      <c r="E192">
        <v>196</v>
      </c>
      <c r="F192">
        <v>2</v>
      </c>
      <c r="G192">
        <v>0</v>
      </c>
      <c r="H192">
        <v>1</v>
      </c>
      <c r="I192">
        <v>0</v>
      </c>
      <c r="J192">
        <v>1</v>
      </c>
      <c r="K192">
        <v>0</v>
      </c>
      <c r="L192">
        <v>649</v>
      </c>
      <c r="M192">
        <v>0</v>
      </c>
      <c r="N192">
        <v>4</v>
      </c>
      <c r="O192">
        <f t="shared" si="30"/>
        <v>653</v>
      </c>
      <c r="P192">
        <f t="shared" si="27"/>
        <v>60.9710550887022</v>
      </c>
      <c r="Q192">
        <f t="shared" si="31"/>
        <v>30.0153139356815</v>
      </c>
      <c r="R192">
        <f t="shared" si="32"/>
        <v>68.7595712098009</v>
      </c>
      <c r="S192">
        <f t="shared" si="33"/>
        <v>0.306278713629403</v>
      </c>
      <c r="T192">
        <f t="shared" si="34"/>
        <v>0</v>
      </c>
      <c r="U192">
        <f t="shared" si="35"/>
        <v>0.306278713629403</v>
      </c>
      <c r="V192">
        <f t="shared" si="36"/>
        <v>0.612557427258806</v>
      </c>
      <c r="W192">
        <f t="shared" si="28"/>
        <v>100</v>
      </c>
      <c r="X192">
        <v>0</v>
      </c>
      <c r="Y192">
        <f t="shared" si="29"/>
        <v>60.9710550887022</v>
      </c>
    </row>
    <row r="193" spans="2:25">
      <c r="B193">
        <v>228</v>
      </c>
      <c r="C193">
        <v>945</v>
      </c>
      <c r="D193">
        <v>227</v>
      </c>
      <c r="E193">
        <v>451</v>
      </c>
      <c r="F193">
        <v>4</v>
      </c>
      <c r="G193">
        <v>3</v>
      </c>
      <c r="H193">
        <v>1</v>
      </c>
      <c r="I193">
        <v>0</v>
      </c>
      <c r="J193">
        <v>1</v>
      </c>
      <c r="K193">
        <v>0</v>
      </c>
      <c r="L193">
        <v>687</v>
      </c>
      <c r="M193">
        <v>0</v>
      </c>
      <c r="N193">
        <v>4</v>
      </c>
      <c r="O193">
        <f t="shared" si="30"/>
        <v>691</v>
      </c>
      <c r="P193">
        <f t="shared" si="27"/>
        <v>73.1216931216931</v>
      </c>
      <c r="Q193">
        <f t="shared" si="31"/>
        <v>65.2677279305355</v>
      </c>
      <c r="R193">
        <f t="shared" si="32"/>
        <v>32.8509406657019</v>
      </c>
      <c r="S193">
        <f t="shared" si="33"/>
        <v>0.578871201157742</v>
      </c>
      <c r="T193">
        <f t="shared" si="34"/>
        <v>0.434153400868307</v>
      </c>
      <c r="U193">
        <f t="shared" si="35"/>
        <v>0.289435600578871</v>
      </c>
      <c r="V193">
        <f t="shared" si="36"/>
        <v>0.578871201157742</v>
      </c>
      <c r="W193">
        <f t="shared" si="28"/>
        <v>100</v>
      </c>
      <c r="X193">
        <v>70.48</v>
      </c>
      <c r="Y193">
        <f t="shared" si="29"/>
        <v>2.64169312169312</v>
      </c>
    </row>
    <row r="194" spans="2:25">
      <c r="B194">
        <v>227</v>
      </c>
      <c r="C194">
        <v>1018</v>
      </c>
      <c r="D194">
        <v>245</v>
      </c>
      <c r="E194">
        <v>360</v>
      </c>
      <c r="F194">
        <v>0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608</v>
      </c>
      <c r="M194">
        <v>0</v>
      </c>
      <c r="N194">
        <v>7</v>
      </c>
      <c r="O194">
        <f t="shared" si="30"/>
        <v>615</v>
      </c>
      <c r="P194">
        <f t="shared" si="27"/>
        <v>60.4125736738703</v>
      </c>
      <c r="Q194">
        <f t="shared" si="31"/>
        <v>58.5365853658537</v>
      </c>
      <c r="R194">
        <f t="shared" si="32"/>
        <v>39.8373983739837</v>
      </c>
      <c r="S194">
        <f t="shared" si="33"/>
        <v>0</v>
      </c>
      <c r="T194">
        <f t="shared" si="34"/>
        <v>0.48780487804878</v>
      </c>
      <c r="U194">
        <f t="shared" si="35"/>
        <v>0</v>
      </c>
      <c r="V194">
        <f t="shared" si="36"/>
        <v>1.13821138211382</v>
      </c>
      <c r="W194">
        <f t="shared" si="28"/>
        <v>100</v>
      </c>
      <c r="X194">
        <v>59.92</v>
      </c>
      <c r="Y194">
        <f t="shared" si="29"/>
        <v>0.492573673870325</v>
      </c>
    </row>
    <row r="195" spans="2:25">
      <c r="B195">
        <v>226</v>
      </c>
      <c r="C195">
        <v>1216</v>
      </c>
      <c r="D195">
        <v>238</v>
      </c>
      <c r="E195">
        <v>560</v>
      </c>
      <c r="F195">
        <v>4</v>
      </c>
      <c r="G195">
        <v>2</v>
      </c>
      <c r="H195">
        <v>0</v>
      </c>
      <c r="I195">
        <v>0</v>
      </c>
      <c r="J195">
        <v>4</v>
      </c>
      <c r="K195">
        <v>2</v>
      </c>
      <c r="L195">
        <v>810</v>
      </c>
      <c r="M195">
        <v>0</v>
      </c>
      <c r="N195">
        <v>7</v>
      </c>
      <c r="O195">
        <f t="shared" si="30"/>
        <v>817</v>
      </c>
      <c r="P195">
        <f t="shared" si="27"/>
        <v>67.1875</v>
      </c>
      <c r="Q195">
        <f t="shared" si="31"/>
        <v>68.5434516523868</v>
      </c>
      <c r="R195">
        <f t="shared" si="32"/>
        <v>29.1309669522644</v>
      </c>
      <c r="S195">
        <f t="shared" si="33"/>
        <v>0.489596083231334</v>
      </c>
      <c r="T195">
        <f t="shared" si="34"/>
        <v>0.244798041615667</v>
      </c>
      <c r="U195">
        <f t="shared" si="35"/>
        <v>0.734394124847001</v>
      </c>
      <c r="V195">
        <f t="shared" si="36"/>
        <v>0.856793145654835</v>
      </c>
      <c r="W195">
        <f t="shared" si="28"/>
        <v>100</v>
      </c>
      <c r="X195">
        <v>66.69</v>
      </c>
      <c r="Y195">
        <f t="shared" si="29"/>
        <v>0.497500000000002</v>
      </c>
    </row>
    <row r="196" spans="2:25">
      <c r="B196">
        <v>223</v>
      </c>
      <c r="C196">
        <v>809</v>
      </c>
      <c r="D196">
        <v>280</v>
      </c>
      <c r="E196">
        <v>252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534</v>
      </c>
      <c r="M196">
        <v>0</v>
      </c>
      <c r="N196">
        <v>4</v>
      </c>
      <c r="O196">
        <f t="shared" si="30"/>
        <v>538</v>
      </c>
      <c r="P196">
        <f t="shared" si="27"/>
        <v>66.5018541409147</v>
      </c>
      <c r="Q196">
        <f t="shared" si="31"/>
        <v>46.8401486988848</v>
      </c>
      <c r="R196">
        <f t="shared" si="32"/>
        <v>52.0446096654275</v>
      </c>
      <c r="S196">
        <f t="shared" si="33"/>
        <v>0.185873605947955</v>
      </c>
      <c r="T196">
        <f t="shared" si="34"/>
        <v>0.185873605947955</v>
      </c>
      <c r="U196">
        <f t="shared" si="35"/>
        <v>0</v>
      </c>
      <c r="V196">
        <f t="shared" si="36"/>
        <v>0.743494423791822</v>
      </c>
      <c r="W196">
        <f t="shared" si="28"/>
        <v>100</v>
      </c>
      <c r="X196">
        <v>64.52</v>
      </c>
      <c r="Y196">
        <f t="shared" si="29"/>
        <v>1.98185414091471</v>
      </c>
    </row>
    <row r="197" spans="2:25">
      <c r="B197">
        <v>224</v>
      </c>
      <c r="C197">
        <v>1048</v>
      </c>
      <c r="D197">
        <v>283</v>
      </c>
      <c r="E197">
        <v>361</v>
      </c>
      <c r="F197">
        <v>4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649</v>
      </c>
      <c r="M197">
        <v>0</v>
      </c>
      <c r="N197">
        <v>4</v>
      </c>
      <c r="O197">
        <f t="shared" si="30"/>
        <v>653</v>
      </c>
      <c r="P197">
        <f t="shared" si="27"/>
        <v>62.3091603053435</v>
      </c>
      <c r="Q197">
        <f t="shared" si="31"/>
        <v>55.2833078101072</v>
      </c>
      <c r="R197">
        <f t="shared" si="32"/>
        <v>43.3384379785605</v>
      </c>
      <c r="S197">
        <f t="shared" si="33"/>
        <v>0.612557427258806</v>
      </c>
      <c r="T197">
        <f t="shared" si="34"/>
        <v>0</v>
      </c>
      <c r="U197">
        <f t="shared" si="35"/>
        <v>0.153139356814701</v>
      </c>
      <c r="V197">
        <f t="shared" si="36"/>
        <v>0.612557427258806</v>
      </c>
      <c r="W197">
        <f t="shared" si="28"/>
        <v>100</v>
      </c>
      <c r="X197">
        <v>56.97</v>
      </c>
      <c r="Y197">
        <f t="shared" si="29"/>
        <v>5.33916030534351</v>
      </c>
    </row>
    <row r="198" spans="1:25">
      <c r="A198" t="s">
        <v>56</v>
      </c>
      <c r="B198">
        <v>77</v>
      </c>
      <c r="C198">
        <v>1327</v>
      </c>
      <c r="D198">
        <v>120</v>
      </c>
      <c r="E198">
        <v>695</v>
      </c>
      <c r="F198">
        <v>1</v>
      </c>
      <c r="G198">
        <v>1</v>
      </c>
      <c r="H198">
        <v>0</v>
      </c>
      <c r="I198">
        <v>1</v>
      </c>
      <c r="J198">
        <v>0</v>
      </c>
      <c r="K198">
        <v>3</v>
      </c>
      <c r="L198">
        <v>821</v>
      </c>
      <c r="M198">
        <v>0</v>
      </c>
      <c r="N198">
        <v>7</v>
      </c>
      <c r="O198">
        <f t="shared" si="30"/>
        <v>828</v>
      </c>
      <c r="P198">
        <f t="shared" si="27"/>
        <v>62.3963828183873</v>
      </c>
      <c r="Q198">
        <f t="shared" si="31"/>
        <v>83.9371980676328</v>
      </c>
      <c r="R198">
        <f t="shared" si="32"/>
        <v>14.4927536231884</v>
      </c>
      <c r="S198">
        <f t="shared" si="33"/>
        <v>0.120772946859903</v>
      </c>
      <c r="T198">
        <f t="shared" si="34"/>
        <v>0.120772946859903</v>
      </c>
      <c r="U198">
        <f t="shared" si="35"/>
        <v>0.483091787439614</v>
      </c>
      <c r="V198">
        <f t="shared" si="36"/>
        <v>0.845410628019324</v>
      </c>
      <c r="W198">
        <f t="shared" si="28"/>
        <v>100</v>
      </c>
      <c r="X198">
        <v>62.32</v>
      </c>
      <c r="Y198">
        <f t="shared" si="29"/>
        <v>0.0763828183873443</v>
      </c>
    </row>
    <row r="199" spans="2:25">
      <c r="B199">
        <v>76</v>
      </c>
      <c r="C199">
        <v>1085</v>
      </c>
      <c r="D199">
        <v>144</v>
      </c>
      <c r="E199">
        <v>576</v>
      </c>
      <c r="F199">
        <v>1</v>
      </c>
      <c r="G199">
        <v>7</v>
      </c>
      <c r="H199">
        <v>0</v>
      </c>
      <c r="I199">
        <v>0</v>
      </c>
      <c r="J199">
        <v>0</v>
      </c>
      <c r="K199">
        <v>1</v>
      </c>
      <c r="L199">
        <v>729</v>
      </c>
      <c r="M199">
        <v>0</v>
      </c>
      <c r="N199">
        <v>13</v>
      </c>
      <c r="O199">
        <f t="shared" si="30"/>
        <v>742</v>
      </c>
      <c r="P199">
        <f t="shared" si="27"/>
        <v>68.3870967741936</v>
      </c>
      <c r="Q199">
        <f t="shared" si="31"/>
        <v>77.6280323450135</v>
      </c>
      <c r="R199">
        <f t="shared" si="32"/>
        <v>19.4070080862534</v>
      </c>
      <c r="S199">
        <f t="shared" si="33"/>
        <v>0.134770889487871</v>
      </c>
      <c r="T199">
        <f t="shared" si="34"/>
        <v>0.943396226415094</v>
      </c>
      <c r="U199">
        <f t="shared" si="35"/>
        <v>0.134770889487871</v>
      </c>
      <c r="V199">
        <f t="shared" si="36"/>
        <v>1.75202156334232</v>
      </c>
      <c r="W199">
        <f t="shared" si="28"/>
        <v>100</v>
      </c>
      <c r="X199">
        <v>63.69</v>
      </c>
      <c r="Y199">
        <f t="shared" si="29"/>
        <v>4.69709677419355</v>
      </c>
    </row>
    <row r="200" spans="2:25">
      <c r="B200">
        <v>80</v>
      </c>
      <c r="C200">
        <v>1028</v>
      </c>
      <c r="D200">
        <v>156</v>
      </c>
      <c r="E200">
        <v>513</v>
      </c>
      <c r="F200">
        <v>0</v>
      </c>
      <c r="G200">
        <v>6</v>
      </c>
      <c r="H200">
        <v>0</v>
      </c>
      <c r="I200">
        <v>0</v>
      </c>
      <c r="J200">
        <v>0</v>
      </c>
      <c r="K200">
        <v>0</v>
      </c>
      <c r="L200">
        <v>675</v>
      </c>
      <c r="M200">
        <v>0</v>
      </c>
      <c r="N200">
        <v>6</v>
      </c>
      <c r="O200">
        <f t="shared" si="30"/>
        <v>681</v>
      </c>
      <c r="P200">
        <f t="shared" ref="P200:P250" si="37">(O200/C200)*100</f>
        <v>66.2451361867704</v>
      </c>
      <c r="Q200">
        <f t="shared" si="31"/>
        <v>75.3303964757709</v>
      </c>
      <c r="R200">
        <f t="shared" si="32"/>
        <v>22.9074889867841</v>
      </c>
      <c r="S200">
        <f t="shared" si="33"/>
        <v>0</v>
      </c>
      <c r="T200">
        <f t="shared" si="34"/>
        <v>0.881057268722467</v>
      </c>
      <c r="U200">
        <f t="shared" si="35"/>
        <v>0</v>
      </c>
      <c r="V200">
        <f t="shared" si="36"/>
        <v>0.881057268722467</v>
      </c>
      <c r="W200">
        <f t="shared" ref="W200:W251" si="38">Q200+R200+S200+T200+U200+V200</f>
        <v>100</v>
      </c>
      <c r="X200">
        <v>28.5</v>
      </c>
      <c r="Y200">
        <f t="shared" ref="Y200:Y251" si="39">P200-X200</f>
        <v>37.7451361867704</v>
      </c>
    </row>
    <row r="201" spans="2:25">
      <c r="B201">
        <v>81</v>
      </c>
      <c r="C201">
        <v>667</v>
      </c>
      <c r="D201">
        <v>62</v>
      </c>
      <c r="E201">
        <v>335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399</v>
      </c>
      <c r="M201">
        <v>0</v>
      </c>
      <c r="N201">
        <v>8</v>
      </c>
      <c r="O201">
        <f t="shared" si="30"/>
        <v>407</v>
      </c>
      <c r="P201">
        <f t="shared" si="37"/>
        <v>61.0194902548726</v>
      </c>
      <c r="Q201">
        <f t="shared" si="31"/>
        <v>82.3095823095823</v>
      </c>
      <c r="R201">
        <f t="shared" si="32"/>
        <v>15.2334152334152</v>
      </c>
      <c r="S201">
        <f t="shared" si="33"/>
        <v>0</v>
      </c>
      <c r="T201">
        <f t="shared" si="34"/>
        <v>0.245700245700246</v>
      </c>
      <c r="U201">
        <f t="shared" si="35"/>
        <v>0.245700245700246</v>
      </c>
      <c r="V201">
        <f t="shared" si="36"/>
        <v>1.96560196560197</v>
      </c>
      <c r="W201">
        <f t="shared" si="38"/>
        <v>100</v>
      </c>
      <c r="X201">
        <v>60.72</v>
      </c>
      <c r="Y201">
        <f t="shared" si="39"/>
        <v>0.299490254872566</v>
      </c>
    </row>
    <row r="202" spans="2:25">
      <c r="B202">
        <v>83</v>
      </c>
      <c r="C202">
        <v>497</v>
      </c>
      <c r="D202">
        <v>35</v>
      </c>
      <c r="E202">
        <v>239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274</v>
      </c>
      <c r="M202">
        <v>0</v>
      </c>
      <c r="N202">
        <v>2</v>
      </c>
      <c r="O202">
        <f t="shared" si="30"/>
        <v>276</v>
      </c>
      <c r="P202">
        <f t="shared" si="37"/>
        <v>55.533199195171</v>
      </c>
      <c r="Q202">
        <f t="shared" si="31"/>
        <v>86.5942028985507</v>
      </c>
      <c r="R202">
        <f t="shared" si="32"/>
        <v>12.6811594202899</v>
      </c>
      <c r="S202">
        <f t="shared" si="33"/>
        <v>0</v>
      </c>
      <c r="T202">
        <f t="shared" si="34"/>
        <v>0</v>
      </c>
      <c r="U202">
        <f t="shared" si="35"/>
        <v>0</v>
      </c>
      <c r="V202">
        <f t="shared" si="36"/>
        <v>0.72463768115942</v>
      </c>
      <c r="W202">
        <f t="shared" si="38"/>
        <v>100</v>
      </c>
      <c r="X202">
        <v>48.49</v>
      </c>
      <c r="Y202">
        <f t="shared" si="39"/>
        <v>7.04319919517102</v>
      </c>
    </row>
    <row r="203" spans="2:25">
      <c r="B203">
        <v>84</v>
      </c>
      <c r="C203">
        <v>977</v>
      </c>
      <c r="D203">
        <v>144</v>
      </c>
      <c r="E203">
        <v>460</v>
      </c>
      <c r="F203">
        <v>3</v>
      </c>
      <c r="G203">
        <v>4</v>
      </c>
      <c r="H203">
        <v>0</v>
      </c>
      <c r="I203">
        <v>0</v>
      </c>
      <c r="J203">
        <v>3</v>
      </c>
      <c r="K203">
        <v>1</v>
      </c>
      <c r="L203">
        <v>615</v>
      </c>
      <c r="M203">
        <v>0</v>
      </c>
      <c r="N203">
        <v>7</v>
      </c>
      <c r="O203">
        <f t="shared" si="30"/>
        <v>622</v>
      </c>
      <c r="P203">
        <f t="shared" si="37"/>
        <v>63.6642784032753</v>
      </c>
      <c r="Q203">
        <f t="shared" si="31"/>
        <v>73.9549839228296</v>
      </c>
      <c r="R203">
        <f t="shared" si="32"/>
        <v>23.1511254019293</v>
      </c>
      <c r="S203">
        <f t="shared" si="33"/>
        <v>0.482315112540193</v>
      </c>
      <c r="T203">
        <f t="shared" si="34"/>
        <v>0.643086816720257</v>
      </c>
      <c r="U203">
        <f t="shared" si="35"/>
        <v>0.643086816720257</v>
      </c>
      <c r="V203">
        <f t="shared" si="36"/>
        <v>1.12540192926045</v>
      </c>
      <c r="W203">
        <f t="shared" si="38"/>
        <v>100</v>
      </c>
      <c r="X203">
        <v>61.92</v>
      </c>
      <c r="Y203">
        <f t="shared" si="39"/>
        <v>1.74427840327533</v>
      </c>
    </row>
    <row r="204" spans="2:25">
      <c r="B204">
        <v>72</v>
      </c>
      <c r="C204">
        <v>638</v>
      </c>
      <c r="D204">
        <v>101</v>
      </c>
      <c r="E204">
        <v>254</v>
      </c>
      <c r="F204">
        <v>1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358</v>
      </c>
      <c r="M204">
        <v>0</v>
      </c>
      <c r="N204">
        <v>5</v>
      </c>
      <c r="O204">
        <f t="shared" si="30"/>
        <v>363</v>
      </c>
      <c r="P204">
        <f t="shared" si="37"/>
        <v>56.8965517241379</v>
      </c>
      <c r="Q204">
        <f t="shared" si="31"/>
        <v>69.9724517906336</v>
      </c>
      <c r="R204">
        <f t="shared" si="32"/>
        <v>27.8236914600551</v>
      </c>
      <c r="S204">
        <f t="shared" si="33"/>
        <v>0.275482093663912</v>
      </c>
      <c r="T204">
        <f t="shared" si="34"/>
        <v>0.550964187327824</v>
      </c>
      <c r="U204">
        <f t="shared" si="35"/>
        <v>0</v>
      </c>
      <c r="V204">
        <f t="shared" si="36"/>
        <v>1.37741046831956</v>
      </c>
      <c r="W204">
        <f t="shared" si="38"/>
        <v>100</v>
      </c>
      <c r="X204">
        <v>51.25</v>
      </c>
      <c r="Y204">
        <f t="shared" si="39"/>
        <v>5.64655172413794</v>
      </c>
    </row>
    <row r="205" spans="2:25">
      <c r="B205">
        <v>75</v>
      </c>
      <c r="C205">
        <v>1521</v>
      </c>
      <c r="D205">
        <v>127</v>
      </c>
      <c r="E205">
        <v>767</v>
      </c>
      <c r="F205">
        <v>3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903</v>
      </c>
      <c r="M205">
        <v>0</v>
      </c>
      <c r="N205">
        <v>7</v>
      </c>
      <c r="O205">
        <f t="shared" si="30"/>
        <v>910</v>
      </c>
      <c r="P205">
        <f t="shared" si="37"/>
        <v>59.8290598290598</v>
      </c>
      <c r="Q205">
        <f t="shared" si="31"/>
        <v>84.2857142857143</v>
      </c>
      <c r="R205">
        <f t="shared" si="32"/>
        <v>13.956043956044</v>
      </c>
      <c r="S205">
        <f t="shared" si="33"/>
        <v>0.32967032967033</v>
      </c>
      <c r="T205">
        <f t="shared" si="34"/>
        <v>0.659340659340659</v>
      </c>
      <c r="U205">
        <f t="shared" si="35"/>
        <v>0</v>
      </c>
      <c r="V205">
        <f t="shared" si="36"/>
        <v>0.769230769230769</v>
      </c>
      <c r="W205">
        <f t="shared" si="38"/>
        <v>100</v>
      </c>
      <c r="X205">
        <v>55.42</v>
      </c>
      <c r="Y205">
        <f t="shared" si="39"/>
        <v>4.40905982905983</v>
      </c>
    </row>
    <row r="206" spans="1:25">
      <c r="A206" t="s">
        <v>57</v>
      </c>
      <c r="B206">
        <v>46</v>
      </c>
      <c r="C206">
        <v>1002</v>
      </c>
      <c r="D206">
        <v>239</v>
      </c>
      <c r="E206">
        <v>413</v>
      </c>
      <c r="F206">
        <v>1</v>
      </c>
      <c r="G206">
        <v>2</v>
      </c>
      <c r="H206">
        <v>1</v>
      </c>
      <c r="I206">
        <v>0</v>
      </c>
      <c r="J206">
        <v>1</v>
      </c>
      <c r="K206">
        <v>0</v>
      </c>
      <c r="L206">
        <v>657</v>
      </c>
      <c r="M206">
        <v>0</v>
      </c>
      <c r="N206">
        <v>3</v>
      </c>
      <c r="O206">
        <f t="shared" si="30"/>
        <v>660</v>
      </c>
      <c r="P206">
        <f t="shared" si="37"/>
        <v>65.8682634730539</v>
      </c>
      <c r="Q206">
        <f t="shared" si="31"/>
        <v>62.5757575757576</v>
      </c>
      <c r="R206">
        <f t="shared" si="32"/>
        <v>36.2121212121212</v>
      </c>
      <c r="S206">
        <f t="shared" si="33"/>
        <v>0.151515151515152</v>
      </c>
      <c r="T206">
        <f t="shared" si="34"/>
        <v>0.303030303030303</v>
      </c>
      <c r="U206">
        <f t="shared" si="35"/>
        <v>0.303030303030303</v>
      </c>
      <c r="V206">
        <f t="shared" si="36"/>
        <v>0.454545454545455</v>
      </c>
      <c r="W206">
        <f t="shared" si="38"/>
        <v>100</v>
      </c>
      <c r="X206">
        <v>58.48</v>
      </c>
      <c r="Y206">
        <f t="shared" si="39"/>
        <v>7.38826347305389</v>
      </c>
    </row>
    <row r="207" spans="2:25">
      <c r="B207">
        <v>47</v>
      </c>
      <c r="C207">
        <v>754</v>
      </c>
      <c r="D207">
        <v>266</v>
      </c>
      <c r="E207">
        <v>155</v>
      </c>
      <c r="F207">
        <v>1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425</v>
      </c>
      <c r="M207">
        <v>0</v>
      </c>
      <c r="N207">
        <v>0</v>
      </c>
      <c r="O207">
        <f t="shared" si="30"/>
        <v>425</v>
      </c>
      <c r="P207">
        <f t="shared" si="37"/>
        <v>56.3660477453581</v>
      </c>
      <c r="Q207">
        <f t="shared" si="31"/>
        <v>36.4705882352941</v>
      </c>
      <c r="R207">
        <f t="shared" si="32"/>
        <v>62.5882352941176</v>
      </c>
      <c r="S207">
        <f t="shared" si="33"/>
        <v>0.235294117647059</v>
      </c>
      <c r="T207">
        <f t="shared" si="34"/>
        <v>0.705882352941177</v>
      </c>
      <c r="U207">
        <f t="shared" si="35"/>
        <v>0</v>
      </c>
      <c r="V207">
        <f t="shared" si="36"/>
        <v>0</v>
      </c>
      <c r="W207">
        <f t="shared" si="38"/>
        <v>100</v>
      </c>
      <c r="X207">
        <v>42.18</v>
      </c>
      <c r="Y207">
        <f t="shared" si="39"/>
        <v>14.1860477453581</v>
      </c>
    </row>
    <row r="208" spans="2:25">
      <c r="B208">
        <v>48</v>
      </c>
      <c r="C208">
        <v>1236</v>
      </c>
      <c r="D208">
        <v>291</v>
      </c>
      <c r="E208">
        <v>545</v>
      </c>
      <c r="F208">
        <v>4</v>
      </c>
      <c r="G208">
        <v>6</v>
      </c>
      <c r="H208">
        <v>1</v>
      </c>
      <c r="I208">
        <v>1</v>
      </c>
      <c r="J208">
        <v>1</v>
      </c>
      <c r="K208">
        <v>1</v>
      </c>
      <c r="L208">
        <v>850</v>
      </c>
      <c r="M208">
        <v>0</v>
      </c>
      <c r="N208">
        <v>5</v>
      </c>
      <c r="O208">
        <f t="shared" si="30"/>
        <v>855</v>
      </c>
      <c r="P208">
        <f t="shared" si="37"/>
        <v>69.1747572815534</v>
      </c>
      <c r="Q208">
        <f t="shared" si="31"/>
        <v>63.7426900584795</v>
      </c>
      <c r="R208">
        <f t="shared" si="32"/>
        <v>34.0350877192982</v>
      </c>
      <c r="S208">
        <f t="shared" si="33"/>
        <v>0.467836257309942</v>
      </c>
      <c r="T208">
        <f t="shared" si="34"/>
        <v>0.701754385964912</v>
      </c>
      <c r="U208">
        <f t="shared" si="35"/>
        <v>0.467836257309942</v>
      </c>
      <c r="V208">
        <f t="shared" si="36"/>
        <v>0.584795321637427</v>
      </c>
      <c r="W208">
        <f t="shared" si="38"/>
        <v>100</v>
      </c>
      <c r="X208">
        <v>64.48</v>
      </c>
      <c r="Y208">
        <f t="shared" si="39"/>
        <v>4.69475728155339</v>
      </c>
    </row>
    <row r="209" spans="2:25">
      <c r="B209">
        <v>50</v>
      </c>
      <c r="C209">
        <v>1135</v>
      </c>
      <c r="D209">
        <v>311</v>
      </c>
      <c r="E209">
        <v>506</v>
      </c>
      <c r="F209">
        <v>2</v>
      </c>
      <c r="G209">
        <v>2</v>
      </c>
      <c r="H209">
        <v>0</v>
      </c>
      <c r="I209">
        <v>0</v>
      </c>
      <c r="J209">
        <v>2</v>
      </c>
      <c r="K209">
        <v>1</v>
      </c>
      <c r="L209">
        <v>824</v>
      </c>
      <c r="M209">
        <v>0</v>
      </c>
      <c r="N209">
        <v>9</v>
      </c>
      <c r="O209">
        <f t="shared" si="30"/>
        <v>833</v>
      </c>
      <c r="P209">
        <f t="shared" si="37"/>
        <v>73.3920704845815</v>
      </c>
      <c r="Q209">
        <f t="shared" si="31"/>
        <v>60.7442977190876</v>
      </c>
      <c r="R209">
        <f t="shared" si="32"/>
        <v>37.3349339735894</v>
      </c>
      <c r="S209">
        <f t="shared" si="33"/>
        <v>0.240096038415366</v>
      </c>
      <c r="T209">
        <f t="shared" si="34"/>
        <v>0.240096038415366</v>
      </c>
      <c r="U209">
        <f t="shared" si="35"/>
        <v>0.360144057623049</v>
      </c>
      <c r="V209">
        <f t="shared" si="36"/>
        <v>1.08043217286915</v>
      </c>
      <c r="W209">
        <f t="shared" si="38"/>
        <v>100</v>
      </c>
      <c r="X209">
        <v>71.01</v>
      </c>
      <c r="Y209">
        <f t="shared" si="39"/>
        <v>2.38207048458149</v>
      </c>
    </row>
    <row r="210" spans="2:25">
      <c r="B210">
        <v>52</v>
      </c>
      <c r="C210">
        <v>613</v>
      </c>
      <c r="D210">
        <v>122</v>
      </c>
      <c r="E210">
        <v>234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358</v>
      </c>
      <c r="M210">
        <v>0</v>
      </c>
      <c r="N210">
        <v>1</v>
      </c>
      <c r="O210">
        <f t="shared" si="30"/>
        <v>359</v>
      </c>
      <c r="P210">
        <f t="shared" si="37"/>
        <v>58.5644371941272</v>
      </c>
      <c r="Q210">
        <f t="shared" si="31"/>
        <v>65.1810584958217</v>
      </c>
      <c r="R210">
        <f t="shared" si="32"/>
        <v>33.983286908078</v>
      </c>
      <c r="S210">
        <f t="shared" si="33"/>
        <v>0.278551532033426</v>
      </c>
      <c r="T210">
        <f t="shared" si="34"/>
        <v>0.278551532033426</v>
      </c>
      <c r="U210">
        <f t="shared" si="35"/>
        <v>0</v>
      </c>
      <c r="V210">
        <f t="shared" si="36"/>
        <v>0.278551532033426</v>
      </c>
      <c r="W210">
        <f t="shared" si="38"/>
        <v>100</v>
      </c>
      <c r="X210">
        <v>58.4</v>
      </c>
      <c r="Y210">
        <f t="shared" si="39"/>
        <v>0.164437194127238</v>
      </c>
    </row>
    <row r="211" spans="2:25">
      <c r="B211">
        <v>49</v>
      </c>
      <c r="C211">
        <v>1322</v>
      </c>
      <c r="D211">
        <v>260</v>
      </c>
      <c r="E211">
        <v>658</v>
      </c>
      <c r="F211">
        <v>3</v>
      </c>
      <c r="G211">
        <v>1</v>
      </c>
      <c r="H211">
        <v>1</v>
      </c>
      <c r="I211">
        <v>1</v>
      </c>
      <c r="J211">
        <v>1</v>
      </c>
      <c r="K211">
        <v>0</v>
      </c>
      <c r="L211">
        <v>925</v>
      </c>
      <c r="M211">
        <v>0</v>
      </c>
      <c r="N211">
        <v>4</v>
      </c>
      <c r="O211">
        <f t="shared" si="30"/>
        <v>929</v>
      </c>
      <c r="P211">
        <f t="shared" si="37"/>
        <v>70.2723146747352</v>
      </c>
      <c r="Q211">
        <f t="shared" si="31"/>
        <v>70.8288482238967</v>
      </c>
      <c r="R211">
        <f t="shared" si="32"/>
        <v>27.9870828848224</v>
      </c>
      <c r="S211">
        <f t="shared" si="33"/>
        <v>0.322927879440258</v>
      </c>
      <c r="T211">
        <f t="shared" si="34"/>
        <v>0.107642626480086</v>
      </c>
      <c r="U211">
        <f t="shared" si="35"/>
        <v>0.322927879440258</v>
      </c>
      <c r="V211">
        <f t="shared" si="36"/>
        <v>0.430570505920344</v>
      </c>
      <c r="W211">
        <f t="shared" si="38"/>
        <v>100</v>
      </c>
      <c r="X211">
        <v>67.1</v>
      </c>
      <c r="Y211">
        <f t="shared" si="39"/>
        <v>3.17231467473525</v>
      </c>
    </row>
    <row r="212" spans="2:25">
      <c r="B212">
        <v>51</v>
      </c>
      <c r="C212">
        <v>785</v>
      </c>
      <c r="D212" s="334">
        <v>108</v>
      </c>
      <c r="E212" s="334">
        <v>353</v>
      </c>
      <c r="F212" s="334">
        <v>3</v>
      </c>
      <c r="G212" s="334">
        <v>2</v>
      </c>
      <c r="H212" s="334">
        <v>0</v>
      </c>
      <c r="I212" s="334">
        <v>1</v>
      </c>
      <c r="J212" s="334">
        <v>0</v>
      </c>
      <c r="K212" s="334">
        <v>0</v>
      </c>
      <c r="L212" s="334">
        <v>467</v>
      </c>
      <c r="M212" s="334">
        <v>0</v>
      </c>
      <c r="N212" s="334">
        <v>6</v>
      </c>
      <c r="O212">
        <f t="shared" si="30"/>
        <v>473</v>
      </c>
      <c r="P212">
        <f t="shared" si="37"/>
        <v>60.2547770700637</v>
      </c>
      <c r="Q212">
        <f t="shared" si="31"/>
        <v>74.6300211416491</v>
      </c>
      <c r="R212">
        <f t="shared" si="32"/>
        <v>22.8329809725159</v>
      </c>
      <c r="S212">
        <f t="shared" si="33"/>
        <v>0.634249471458774</v>
      </c>
      <c r="T212">
        <f t="shared" si="34"/>
        <v>0.422832980972516</v>
      </c>
      <c r="U212">
        <f t="shared" si="35"/>
        <v>0.211416490486258</v>
      </c>
      <c r="V212">
        <f t="shared" si="36"/>
        <v>1.26849894291755</v>
      </c>
      <c r="W212">
        <f t="shared" si="38"/>
        <v>100</v>
      </c>
      <c r="X212">
        <v>57.32</v>
      </c>
      <c r="Y212">
        <f t="shared" si="39"/>
        <v>2.93477707006369</v>
      </c>
    </row>
    <row r="213" spans="1:25">
      <c r="A213" t="s">
        <v>58</v>
      </c>
      <c r="B213">
        <v>140</v>
      </c>
      <c r="C213">
        <v>1098</v>
      </c>
      <c r="D213">
        <v>311</v>
      </c>
      <c r="E213">
        <v>341</v>
      </c>
      <c r="F213">
        <v>0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657</v>
      </c>
      <c r="M213">
        <v>0</v>
      </c>
      <c r="N213">
        <v>6</v>
      </c>
      <c r="O213">
        <f t="shared" si="30"/>
        <v>663</v>
      </c>
      <c r="P213">
        <f t="shared" si="37"/>
        <v>60.3825136612022</v>
      </c>
      <c r="Q213">
        <f t="shared" si="31"/>
        <v>51.4328808446455</v>
      </c>
      <c r="R213">
        <f t="shared" si="32"/>
        <v>46.9079939668175</v>
      </c>
      <c r="S213">
        <f t="shared" si="33"/>
        <v>0</v>
      </c>
      <c r="T213">
        <f t="shared" si="34"/>
        <v>0.754147812971342</v>
      </c>
      <c r="U213">
        <f t="shared" si="35"/>
        <v>0</v>
      </c>
      <c r="V213">
        <f t="shared" si="36"/>
        <v>0.904977375565611</v>
      </c>
      <c r="W213">
        <f t="shared" si="38"/>
        <v>100</v>
      </c>
      <c r="X213">
        <v>60.11</v>
      </c>
      <c r="Y213">
        <f t="shared" si="39"/>
        <v>0.27251366120219</v>
      </c>
    </row>
    <row r="214" spans="2:25">
      <c r="B214">
        <v>138</v>
      </c>
      <c r="C214">
        <v>1093</v>
      </c>
      <c r="D214">
        <v>243</v>
      </c>
      <c r="E214">
        <v>404</v>
      </c>
      <c r="F214">
        <v>2</v>
      </c>
      <c r="G214">
        <v>4</v>
      </c>
      <c r="H214">
        <v>0</v>
      </c>
      <c r="I214">
        <v>0</v>
      </c>
      <c r="J214">
        <v>2</v>
      </c>
      <c r="K214">
        <v>1</v>
      </c>
      <c r="L214">
        <v>656</v>
      </c>
      <c r="M214">
        <v>0</v>
      </c>
      <c r="N214">
        <v>3</v>
      </c>
      <c r="O214">
        <f t="shared" si="30"/>
        <v>659</v>
      </c>
      <c r="P214">
        <f t="shared" si="37"/>
        <v>60.2927721866423</v>
      </c>
      <c r="Q214">
        <f t="shared" si="31"/>
        <v>61.3050075872534</v>
      </c>
      <c r="R214">
        <f t="shared" si="32"/>
        <v>36.8740515933232</v>
      </c>
      <c r="S214">
        <f t="shared" si="33"/>
        <v>0.303490136570561</v>
      </c>
      <c r="T214">
        <f t="shared" si="34"/>
        <v>0.606980273141123</v>
      </c>
      <c r="U214">
        <f t="shared" si="35"/>
        <v>0.455235204855842</v>
      </c>
      <c r="V214">
        <f t="shared" si="36"/>
        <v>0.455235204855842</v>
      </c>
      <c r="W214">
        <f t="shared" si="38"/>
        <v>100</v>
      </c>
      <c r="X214">
        <v>58.37</v>
      </c>
      <c r="Y214">
        <f t="shared" si="39"/>
        <v>1.92277218664228</v>
      </c>
    </row>
    <row r="215" spans="2:25">
      <c r="B215">
        <v>139</v>
      </c>
      <c r="C215">
        <v>729</v>
      </c>
      <c r="D215">
        <v>285</v>
      </c>
      <c r="E215">
        <v>85</v>
      </c>
      <c r="F215">
        <v>1</v>
      </c>
      <c r="G215">
        <v>5</v>
      </c>
      <c r="H215">
        <v>0</v>
      </c>
      <c r="I215">
        <v>0</v>
      </c>
      <c r="J215">
        <v>0</v>
      </c>
      <c r="K215">
        <v>0</v>
      </c>
      <c r="L215">
        <v>376</v>
      </c>
      <c r="M215">
        <v>0</v>
      </c>
      <c r="N215">
        <v>0</v>
      </c>
      <c r="O215">
        <f t="shared" si="30"/>
        <v>376</v>
      </c>
      <c r="P215">
        <f t="shared" si="37"/>
        <v>51.5775034293553</v>
      </c>
      <c r="Q215">
        <f t="shared" si="31"/>
        <v>22.6063829787234</v>
      </c>
      <c r="R215">
        <f t="shared" si="32"/>
        <v>75.7978723404255</v>
      </c>
      <c r="S215">
        <f t="shared" si="33"/>
        <v>0.265957446808511</v>
      </c>
      <c r="T215">
        <f t="shared" si="34"/>
        <v>1.32978723404255</v>
      </c>
      <c r="U215">
        <f t="shared" si="35"/>
        <v>0</v>
      </c>
      <c r="V215">
        <f t="shared" si="36"/>
        <v>0</v>
      </c>
      <c r="W215">
        <f t="shared" si="38"/>
        <v>100</v>
      </c>
      <c r="X215">
        <v>51.17</v>
      </c>
      <c r="Y215">
        <f t="shared" si="39"/>
        <v>0.407503429355273</v>
      </c>
    </row>
    <row r="216" spans="2:25">
      <c r="B216">
        <v>164</v>
      </c>
      <c r="C216">
        <v>1404</v>
      </c>
      <c r="D216">
        <v>492</v>
      </c>
      <c r="E216">
        <v>251</v>
      </c>
      <c r="F216">
        <v>1</v>
      </c>
      <c r="G216">
        <v>4</v>
      </c>
      <c r="H216">
        <v>0</v>
      </c>
      <c r="I216">
        <v>1</v>
      </c>
      <c r="J216">
        <v>0</v>
      </c>
      <c r="K216">
        <v>2</v>
      </c>
      <c r="L216">
        <v>751</v>
      </c>
      <c r="M216">
        <v>0</v>
      </c>
      <c r="N216">
        <v>6</v>
      </c>
      <c r="O216">
        <f t="shared" si="30"/>
        <v>757</v>
      </c>
      <c r="P216">
        <f t="shared" si="37"/>
        <v>53.9173789173789</v>
      </c>
      <c r="Q216">
        <f t="shared" si="31"/>
        <v>33.1571994715984</v>
      </c>
      <c r="R216">
        <f t="shared" si="32"/>
        <v>64.9933949801849</v>
      </c>
      <c r="S216">
        <f t="shared" si="33"/>
        <v>0.132100396301189</v>
      </c>
      <c r="T216">
        <f t="shared" si="34"/>
        <v>0.528401585204756</v>
      </c>
      <c r="U216">
        <f t="shared" si="35"/>
        <v>0.396301188903567</v>
      </c>
      <c r="V216">
        <f t="shared" si="36"/>
        <v>0.792602377807133</v>
      </c>
      <c r="W216">
        <f t="shared" si="38"/>
        <v>100</v>
      </c>
      <c r="X216">
        <v>53.21</v>
      </c>
      <c r="Y216">
        <f t="shared" si="39"/>
        <v>0.707378917378918</v>
      </c>
    </row>
    <row r="217" spans="2:25">
      <c r="B217">
        <v>165</v>
      </c>
      <c r="C217">
        <v>1271</v>
      </c>
      <c r="D217">
        <v>458</v>
      </c>
      <c r="E217">
        <v>208</v>
      </c>
      <c r="F217">
        <v>1</v>
      </c>
      <c r="G217">
        <v>5</v>
      </c>
      <c r="H217">
        <v>0</v>
      </c>
      <c r="I217">
        <v>0</v>
      </c>
      <c r="J217">
        <v>0</v>
      </c>
      <c r="K217">
        <v>1</v>
      </c>
      <c r="L217">
        <v>673</v>
      </c>
      <c r="M217">
        <v>0</v>
      </c>
      <c r="N217">
        <v>9</v>
      </c>
      <c r="O217">
        <f t="shared" si="30"/>
        <v>682</v>
      </c>
      <c r="P217">
        <f t="shared" si="37"/>
        <v>53.6585365853659</v>
      </c>
      <c r="Q217">
        <f t="shared" si="31"/>
        <v>30.4985337243402</v>
      </c>
      <c r="R217">
        <f t="shared" si="32"/>
        <v>67.1554252199413</v>
      </c>
      <c r="S217">
        <f t="shared" si="33"/>
        <v>0.146627565982405</v>
      </c>
      <c r="T217">
        <f t="shared" si="34"/>
        <v>0.733137829912023</v>
      </c>
      <c r="U217">
        <f t="shared" si="35"/>
        <v>0.146627565982405</v>
      </c>
      <c r="V217">
        <f t="shared" si="36"/>
        <v>1.31964809384164</v>
      </c>
      <c r="W217">
        <f t="shared" si="38"/>
        <v>100</v>
      </c>
      <c r="X217">
        <v>52.71</v>
      </c>
      <c r="Y217">
        <f t="shared" si="39"/>
        <v>0.948536585365858</v>
      </c>
    </row>
    <row r="218" spans="2:25">
      <c r="B218">
        <v>166</v>
      </c>
      <c r="C218">
        <v>1143</v>
      </c>
      <c r="D218">
        <v>411</v>
      </c>
      <c r="E218">
        <v>178</v>
      </c>
      <c r="F218">
        <v>2</v>
      </c>
      <c r="G218">
        <v>2</v>
      </c>
      <c r="H218">
        <v>0</v>
      </c>
      <c r="I218">
        <v>1</v>
      </c>
      <c r="J218">
        <v>1</v>
      </c>
      <c r="K218">
        <v>0</v>
      </c>
      <c r="L218">
        <v>595</v>
      </c>
      <c r="M218">
        <v>0</v>
      </c>
      <c r="N218">
        <v>3</v>
      </c>
      <c r="O218">
        <f t="shared" si="30"/>
        <v>598</v>
      </c>
      <c r="P218">
        <f t="shared" si="37"/>
        <v>52.3184601924759</v>
      </c>
      <c r="Q218">
        <f t="shared" si="31"/>
        <v>29.7658862876254</v>
      </c>
      <c r="R218">
        <f t="shared" si="32"/>
        <v>68.7290969899665</v>
      </c>
      <c r="S218">
        <f t="shared" si="33"/>
        <v>0.334448160535117</v>
      </c>
      <c r="T218">
        <f t="shared" si="34"/>
        <v>0.334448160535117</v>
      </c>
      <c r="U218">
        <f t="shared" si="35"/>
        <v>0.334448160535117</v>
      </c>
      <c r="V218">
        <f t="shared" si="36"/>
        <v>0.501672240802676</v>
      </c>
      <c r="W218">
        <f t="shared" si="38"/>
        <v>100</v>
      </c>
      <c r="X218">
        <v>51.79</v>
      </c>
      <c r="Y218">
        <f t="shared" si="39"/>
        <v>0.528460192475933</v>
      </c>
    </row>
    <row r="219" spans="1:25">
      <c r="A219" t="s">
        <v>59</v>
      </c>
      <c r="B219">
        <v>35</v>
      </c>
      <c r="C219">
        <v>1287</v>
      </c>
      <c r="D219">
        <v>231</v>
      </c>
      <c r="E219">
        <v>698</v>
      </c>
      <c r="F219">
        <v>1</v>
      </c>
      <c r="G219">
        <v>2</v>
      </c>
      <c r="H219">
        <v>2</v>
      </c>
      <c r="I219">
        <v>1</v>
      </c>
      <c r="J219">
        <v>0</v>
      </c>
      <c r="K219">
        <v>2</v>
      </c>
      <c r="L219">
        <v>937</v>
      </c>
      <c r="M219">
        <v>0</v>
      </c>
      <c r="N219">
        <v>7</v>
      </c>
      <c r="O219">
        <f t="shared" si="30"/>
        <v>944</v>
      </c>
      <c r="P219">
        <f t="shared" si="37"/>
        <v>73.3488733488733</v>
      </c>
      <c r="Q219">
        <f t="shared" si="31"/>
        <v>73.9406779661017</v>
      </c>
      <c r="R219">
        <f t="shared" si="32"/>
        <v>24.4703389830508</v>
      </c>
      <c r="S219">
        <f t="shared" si="33"/>
        <v>0.105932203389831</v>
      </c>
      <c r="T219">
        <f t="shared" si="34"/>
        <v>0.211864406779661</v>
      </c>
      <c r="U219">
        <f t="shared" si="35"/>
        <v>0.529661016949152</v>
      </c>
      <c r="V219">
        <f t="shared" si="36"/>
        <v>0.741525423728814</v>
      </c>
      <c r="W219">
        <f t="shared" si="38"/>
        <v>100</v>
      </c>
      <c r="X219">
        <v>67.75</v>
      </c>
      <c r="Y219">
        <f t="shared" si="39"/>
        <v>5.59887334887334</v>
      </c>
    </row>
    <row r="220" spans="2:25">
      <c r="B220">
        <v>34</v>
      </c>
      <c r="C220">
        <v>1411</v>
      </c>
      <c r="D220">
        <v>329</v>
      </c>
      <c r="E220">
        <v>695</v>
      </c>
      <c r="F220">
        <v>2</v>
      </c>
      <c r="G220">
        <v>2</v>
      </c>
      <c r="H220">
        <v>1</v>
      </c>
      <c r="I220">
        <v>1</v>
      </c>
      <c r="J220">
        <v>0</v>
      </c>
      <c r="K220">
        <v>2</v>
      </c>
      <c r="L220">
        <v>1032</v>
      </c>
      <c r="M220">
        <v>0</v>
      </c>
      <c r="N220">
        <v>11</v>
      </c>
      <c r="O220">
        <f t="shared" si="30"/>
        <v>1043</v>
      </c>
      <c r="P220">
        <f t="shared" si="37"/>
        <v>73.9192062367116</v>
      </c>
      <c r="Q220">
        <f t="shared" si="31"/>
        <v>66.6347075743049</v>
      </c>
      <c r="R220">
        <f t="shared" si="32"/>
        <v>31.5436241610738</v>
      </c>
      <c r="S220">
        <f t="shared" si="33"/>
        <v>0.191754554170662</v>
      </c>
      <c r="T220">
        <f t="shared" si="34"/>
        <v>0.191754554170662</v>
      </c>
      <c r="U220">
        <f t="shared" si="35"/>
        <v>0.383509108341323</v>
      </c>
      <c r="V220">
        <f t="shared" si="36"/>
        <v>1.05465004793864</v>
      </c>
      <c r="W220">
        <f t="shared" si="38"/>
        <v>100</v>
      </c>
      <c r="X220">
        <v>67.4</v>
      </c>
      <c r="Y220">
        <f t="shared" si="39"/>
        <v>6.51920623671155</v>
      </c>
    </row>
    <row r="221" spans="2:25">
      <c r="B221">
        <v>38</v>
      </c>
      <c r="C221">
        <v>1476</v>
      </c>
      <c r="D221">
        <v>366</v>
      </c>
      <c r="E221">
        <v>711</v>
      </c>
      <c r="F221">
        <v>5</v>
      </c>
      <c r="G221">
        <v>4</v>
      </c>
      <c r="H221">
        <v>0</v>
      </c>
      <c r="I221">
        <v>1</v>
      </c>
      <c r="J221">
        <v>0</v>
      </c>
      <c r="K221">
        <v>3</v>
      </c>
      <c r="L221">
        <v>1090</v>
      </c>
      <c r="M221">
        <v>0</v>
      </c>
      <c r="N221">
        <v>3</v>
      </c>
      <c r="O221">
        <f t="shared" si="30"/>
        <v>1093</v>
      </c>
      <c r="P221">
        <f t="shared" si="37"/>
        <v>74.0514905149052</v>
      </c>
      <c r="Q221">
        <f t="shared" si="31"/>
        <v>65.0503202195791</v>
      </c>
      <c r="R221">
        <f t="shared" si="32"/>
        <v>33.4858188472095</v>
      </c>
      <c r="S221">
        <f t="shared" si="33"/>
        <v>0.457456541628545</v>
      </c>
      <c r="T221">
        <f t="shared" si="34"/>
        <v>0.365965233302836</v>
      </c>
      <c r="U221">
        <f t="shared" si="35"/>
        <v>0.365965233302836</v>
      </c>
      <c r="V221">
        <f t="shared" si="36"/>
        <v>0.274473924977127</v>
      </c>
      <c r="W221">
        <f t="shared" si="38"/>
        <v>100</v>
      </c>
      <c r="X221">
        <v>67.2</v>
      </c>
      <c r="Y221">
        <f t="shared" si="39"/>
        <v>6.85149051490515</v>
      </c>
    </row>
    <row r="222" spans="2:25">
      <c r="B222">
        <v>41</v>
      </c>
      <c r="C222">
        <v>1319</v>
      </c>
      <c r="D222">
        <v>566</v>
      </c>
      <c r="E222">
        <v>308</v>
      </c>
      <c r="F222">
        <v>1</v>
      </c>
      <c r="G222">
        <v>6</v>
      </c>
      <c r="H222">
        <v>0</v>
      </c>
      <c r="I222">
        <v>0</v>
      </c>
      <c r="J222">
        <v>1</v>
      </c>
      <c r="K222">
        <v>0</v>
      </c>
      <c r="L222">
        <v>882</v>
      </c>
      <c r="M222">
        <v>0</v>
      </c>
      <c r="N222">
        <v>5</v>
      </c>
      <c r="O222">
        <f t="shared" si="30"/>
        <v>887</v>
      </c>
      <c r="P222">
        <f t="shared" si="37"/>
        <v>67.2479150871873</v>
      </c>
      <c r="Q222">
        <f t="shared" si="31"/>
        <v>34.7237880496054</v>
      </c>
      <c r="R222">
        <f t="shared" si="32"/>
        <v>63.8105975197294</v>
      </c>
      <c r="S222">
        <f t="shared" si="33"/>
        <v>0.112739571589628</v>
      </c>
      <c r="T222">
        <f t="shared" si="34"/>
        <v>0.676437429537768</v>
      </c>
      <c r="U222">
        <f t="shared" si="35"/>
        <v>0.112739571589628</v>
      </c>
      <c r="V222">
        <f t="shared" si="36"/>
        <v>0.56369785794814</v>
      </c>
      <c r="W222">
        <f t="shared" si="38"/>
        <v>100</v>
      </c>
      <c r="X222">
        <v>64.75</v>
      </c>
      <c r="Y222">
        <f t="shared" si="39"/>
        <v>2.49791508718727</v>
      </c>
    </row>
    <row r="223" spans="2:25">
      <c r="B223">
        <v>39</v>
      </c>
      <c r="C223">
        <v>1333</v>
      </c>
      <c r="D223">
        <v>357</v>
      </c>
      <c r="E223">
        <v>518</v>
      </c>
      <c r="F223">
        <v>4</v>
      </c>
      <c r="G223">
        <v>3</v>
      </c>
      <c r="H223">
        <v>1</v>
      </c>
      <c r="I223">
        <v>0</v>
      </c>
      <c r="J223">
        <v>0</v>
      </c>
      <c r="K223">
        <v>0</v>
      </c>
      <c r="L223">
        <v>883</v>
      </c>
      <c r="M223">
        <v>0</v>
      </c>
      <c r="N223">
        <v>7</v>
      </c>
      <c r="O223">
        <f t="shared" si="30"/>
        <v>890</v>
      </c>
      <c r="P223">
        <f t="shared" si="37"/>
        <v>66.7666916729182</v>
      </c>
      <c r="Q223">
        <f t="shared" si="31"/>
        <v>58.2022471910112</v>
      </c>
      <c r="R223">
        <f t="shared" si="32"/>
        <v>40.1123595505618</v>
      </c>
      <c r="S223">
        <f t="shared" si="33"/>
        <v>0.449438202247191</v>
      </c>
      <c r="T223">
        <f t="shared" si="34"/>
        <v>0.337078651685393</v>
      </c>
      <c r="U223">
        <f t="shared" si="35"/>
        <v>0.112359550561798</v>
      </c>
      <c r="V223">
        <f t="shared" si="36"/>
        <v>0.786516853932584</v>
      </c>
      <c r="W223">
        <f t="shared" si="38"/>
        <v>100</v>
      </c>
      <c r="X223">
        <v>64.82</v>
      </c>
      <c r="Y223">
        <f t="shared" si="39"/>
        <v>1.94669167291823</v>
      </c>
    </row>
    <row r="224" spans="2:25">
      <c r="B224">
        <v>43</v>
      </c>
      <c r="C224">
        <v>1099</v>
      </c>
      <c r="D224">
        <v>239</v>
      </c>
      <c r="E224">
        <v>464</v>
      </c>
      <c r="F224">
        <v>0</v>
      </c>
      <c r="G224">
        <v>2</v>
      </c>
      <c r="H224">
        <v>0</v>
      </c>
      <c r="I224">
        <v>0</v>
      </c>
      <c r="J224">
        <v>1</v>
      </c>
      <c r="K224">
        <v>0</v>
      </c>
      <c r="L224">
        <v>706</v>
      </c>
      <c r="M224">
        <v>0</v>
      </c>
      <c r="N224">
        <v>2</v>
      </c>
      <c r="O224">
        <f t="shared" si="30"/>
        <v>708</v>
      </c>
      <c r="P224">
        <f t="shared" si="37"/>
        <v>64.4222020018198</v>
      </c>
      <c r="Q224">
        <f t="shared" si="31"/>
        <v>65.5367231638418</v>
      </c>
      <c r="R224">
        <f t="shared" si="32"/>
        <v>33.7570621468927</v>
      </c>
      <c r="S224">
        <f t="shared" si="33"/>
        <v>0</v>
      </c>
      <c r="T224">
        <f t="shared" si="34"/>
        <v>0.282485875706215</v>
      </c>
      <c r="U224">
        <f t="shared" si="35"/>
        <v>0.141242937853107</v>
      </c>
      <c r="V224">
        <f t="shared" si="36"/>
        <v>0.282485875706215</v>
      </c>
      <c r="W224">
        <f t="shared" si="38"/>
        <v>100</v>
      </c>
      <c r="X224">
        <v>63.88</v>
      </c>
      <c r="Y224">
        <f t="shared" si="39"/>
        <v>0.542202001819838</v>
      </c>
    </row>
    <row r="225" spans="2:25">
      <c r="B225">
        <v>42</v>
      </c>
      <c r="C225">
        <v>1330</v>
      </c>
      <c r="D225">
        <v>410</v>
      </c>
      <c r="E225">
        <v>405</v>
      </c>
      <c r="F225">
        <v>3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821</v>
      </c>
      <c r="M225">
        <v>0</v>
      </c>
      <c r="N225">
        <v>6</v>
      </c>
      <c r="O225">
        <f t="shared" si="30"/>
        <v>827</v>
      </c>
      <c r="P225">
        <f t="shared" si="37"/>
        <v>62.1804511278195</v>
      </c>
      <c r="Q225">
        <f t="shared" si="31"/>
        <v>48.9721886336155</v>
      </c>
      <c r="R225">
        <f t="shared" si="32"/>
        <v>49.5767835550181</v>
      </c>
      <c r="S225">
        <f t="shared" si="33"/>
        <v>0.362756952841596</v>
      </c>
      <c r="T225">
        <f t="shared" si="34"/>
        <v>0.362756952841596</v>
      </c>
      <c r="U225">
        <f t="shared" si="35"/>
        <v>0</v>
      </c>
      <c r="V225">
        <f t="shared" si="36"/>
        <v>0.725513905683192</v>
      </c>
      <c r="W225">
        <f t="shared" si="38"/>
        <v>100</v>
      </c>
      <c r="X225">
        <v>55.94</v>
      </c>
      <c r="Y225">
        <f t="shared" si="39"/>
        <v>6.24045112781955</v>
      </c>
    </row>
    <row r="226" spans="1:25">
      <c r="A226" t="s">
        <v>60</v>
      </c>
      <c r="B226">
        <v>37</v>
      </c>
      <c r="C226">
        <v>1049</v>
      </c>
      <c r="D226">
        <v>239</v>
      </c>
      <c r="E226">
        <v>478</v>
      </c>
      <c r="F226">
        <v>2</v>
      </c>
      <c r="G226">
        <v>4</v>
      </c>
      <c r="H226">
        <v>1</v>
      </c>
      <c r="I226">
        <v>0</v>
      </c>
      <c r="J226">
        <v>1</v>
      </c>
      <c r="K226">
        <v>0</v>
      </c>
      <c r="L226">
        <v>725</v>
      </c>
      <c r="M226">
        <v>0</v>
      </c>
      <c r="N226">
        <v>13</v>
      </c>
      <c r="O226">
        <f t="shared" si="30"/>
        <v>738</v>
      </c>
      <c r="P226">
        <f t="shared" si="37"/>
        <v>70.3527168732126</v>
      </c>
      <c r="Q226">
        <f t="shared" si="31"/>
        <v>64.769647696477</v>
      </c>
      <c r="R226">
        <f t="shared" si="32"/>
        <v>32.3848238482385</v>
      </c>
      <c r="S226">
        <f t="shared" si="33"/>
        <v>0.2710027100271</v>
      </c>
      <c r="T226">
        <f t="shared" si="34"/>
        <v>0.5420054200542</v>
      </c>
      <c r="U226">
        <f t="shared" si="35"/>
        <v>0.2710027100271</v>
      </c>
      <c r="V226">
        <f t="shared" si="36"/>
        <v>1.76151761517615</v>
      </c>
      <c r="W226">
        <f t="shared" si="38"/>
        <v>100</v>
      </c>
      <c r="X226">
        <v>66.73</v>
      </c>
      <c r="Y226">
        <f t="shared" si="39"/>
        <v>3.62271687321258</v>
      </c>
    </row>
    <row r="227" spans="2:25">
      <c r="B227">
        <v>36</v>
      </c>
      <c r="C227">
        <v>1558</v>
      </c>
      <c r="D227">
        <v>538</v>
      </c>
      <c r="E227">
        <v>468</v>
      </c>
      <c r="F227">
        <v>3</v>
      </c>
      <c r="G227">
        <v>9</v>
      </c>
      <c r="H227">
        <v>0</v>
      </c>
      <c r="I227">
        <v>0</v>
      </c>
      <c r="J227">
        <v>1</v>
      </c>
      <c r="K227">
        <v>0</v>
      </c>
      <c r="L227">
        <v>1019</v>
      </c>
      <c r="M227">
        <v>0</v>
      </c>
      <c r="N227">
        <v>8</v>
      </c>
      <c r="O227">
        <f t="shared" si="30"/>
        <v>1027</v>
      </c>
      <c r="P227">
        <f t="shared" si="37"/>
        <v>65.9178433889602</v>
      </c>
      <c r="Q227">
        <f t="shared" si="31"/>
        <v>45.5696202531646</v>
      </c>
      <c r="R227">
        <f t="shared" si="32"/>
        <v>52.3855890944499</v>
      </c>
      <c r="S227">
        <f t="shared" si="33"/>
        <v>0.292112950340798</v>
      </c>
      <c r="T227">
        <f t="shared" si="34"/>
        <v>0.876338851022395</v>
      </c>
      <c r="U227">
        <f t="shared" si="35"/>
        <v>0.0973709834469328</v>
      </c>
      <c r="V227">
        <f t="shared" si="36"/>
        <v>0.778967867575463</v>
      </c>
      <c r="W227">
        <f t="shared" si="38"/>
        <v>100</v>
      </c>
      <c r="X227">
        <v>21.89</v>
      </c>
      <c r="Y227">
        <f t="shared" si="39"/>
        <v>44.0278433889602</v>
      </c>
    </row>
    <row r="228" spans="2:25">
      <c r="B228">
        <v>40</v>
      </c>
      <c r="C228">
        <v>1597</v>
      </c>
      <c r="D228">
        <v>470</v>
      </c>
      <c r="E228">
        <v>442</v>
      </c>
      <c r="F228">
        <v>2</v>
      </c>
      <c r="G228">
        <v>13</v>
      </c>
      <c r="H228">
        <v>0</v>
      </c>
      <c r="I228">
        <v>0</v>
      </c>
      <c r="J228">
        <v>1</v>
      </c>
      <c r="K228">
        <v>0</v>
      </c>
      <c r="L228">
        <v>928</v>
      </c>
      <c r="M228">
        <v>0</v>
      </c>
      <c r="N228">
        <v>9</v>
      </c>
      <c r="O228">
        <f t="shared" si="30"/>
        <v>937</v>
      </c>
      <c r="P228">
        <f t="shared" si="37"/>
        <v>58.6725109580463</v>
      </c>
      <c r="Q228">
        <f t="shared" si="31"/>
        <v>47.1718249733191</v>
      </c>
      <c r="R228">
        <f t="shared" si="32"/>
        <v>50.1600853788687</v>
      </c>
      <c r="S228">
        <f t="shared" si="33"/>
        <v>0.213447171824973</v>
      </c>
      <c r="T228">
        <f t="shared" si="34"/>
        <v>1.38740661686233</v>
      </c>
      <c r="U228">
        <f t="shared" si="35"/>
        <v>0.106723585912487</v>
      </c>
      <c r="V228">
        <f t="shared" si="36"/>
        <v>0.96051227321238</v>
      </c>
      <c r="W228">
        <f t="shared" si="38"/>
        <v>100</v>
      </c>
      <c r="X228">
        <v>57.23</v>
      </c>
      <c r="Y228">
        <f t="shared" si="39"/>
        <v>1.44251095804635</v>
      </c>
    </row>
    <row r="229" spans="1:25">
      <c r="A229" t="s">
        <v>61</v>
      </c>
      <c r="B229">
        <v>33</v>
      </c>
      <c r="C229">
        <v>764</v>
      </c>
      <c r="D229">
        <v>107</v>
      </c>
      <c r="E229">
        <v>441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552</v>
      </c>
      <c r="M229">
        <v>0</v>
      </c>
      <c r="N229">
        <v>7</v>
      </c>
      <c r="O229">
        <f t="shared" si="30"/>
        <v>559</v>
      </c>
      <c r="P229">
        <f t="shared" si="37"/>
        <v>73.1675392670157</v>
      </c>
      <c r="Q229">
        <f t="shared" si="31"/>
        <v>78.8908765652952</v>
      </c>
      <c r="R229">
        <f t="shared" si="32"/>
        <v>19.1413237924866</v>
      </c>
      <c r="S229">
        <f t="shared" si="33"/>
        <v>0.178890876565295</v>
      </c>
      <c r="T229">
        <f t="shared" si="34"/>
        <v>0.178890876565295</v>
      </c>
      <c r="U229">
        <f t="shared" si="35"/>
        <v>0.35778175313059</v>
      </c>
      <c r="V229">
        <f t="shared" si="36"/>
        <v>1.25223613595707</v>
      </c>
      <c r="W229">
        <f t="shared" si="38"/>
        <v>100</v>
      </c>
      <c r="X229">
        <v>70.94</v>
      </c>
      <c r="Y229">
        <f t="shared" si="39"/>
        <v>2.2275392670157</v>
      </c>
    </row>
    <row r="230" spans="2:25">
      <c r="B230">
        <v>32</v>
      </c>
      <c r="C230">
        <v>700</v>
      </c>
      <c r="D230">
        <v>171</v>
      </c>
      <c r="E230">
        <v>356</v>
      </c>
      <c r="F230">
        <v>5</v>
      </c>
      <c r="G230">
        <v>2</v>
      </c>
      <c r="H230">
        <v>0</v>
      </c>
      <c r="I230">
        <v>0</v>
      </c>
      <c r="J230">
        <v>1</v>
      </c>
      <c r="K230">
        <v>0</v>
      </c>
      <c r="L230">
        <v>535</v>
      </c>
      <c r="M230">
        <v>0</v>
      </c>
      <c r="N230">
        <v>3</v>
      </c>
      <c r="O230">
        <f t="shared" si="30"/>
        <v>538</v>
      </c>
      <c r="P230">
        <f t="shared" si="37"/>
        <v>76.8571428571429</v>
      </c>
      <c r="Q230">
        <f t="shared" si="31"/>
        <v>66.1710037174721</v>
      </c>
      <c r="R230">
        <f t="shared" si="32"/>
        <v>31.7843866171004</v>
      </c>
      <c r="S230">
        <f t="shared" si="33"/>
        <v>0.929368029739777</v>
      </c>
      <c r="T230">
        <f t="shared" si="34"/>
        <v>0.371747211895911</v>
      </c>
      <c r="U230">
        <f t="shared" si="35"/>
        <v>0.185873605947955</v>
      </c>
      <c r="V230">
        <f t="shared" si="36"/>
        <v>0.557620817843866</v>
      </c>
      <c r="W230">
        <f t="shared" si="38"/>
        <v>100</v>
      </c>
      <c r="X230">
        <v>74.43</v>
      </c>
      <c r="Y230">
        <f t="shared" si="39"/>
        <v>2.42714285714285</v>
      </c>
    </row>
    <row r="231" spans="2:25">
      <c r="B231">
        <v>56</v>
      </c>
      <c r="C231">
        <v>1022</v>
      </c>
      <c r="D231">
        <v>232</v>
      </c>
      <c r="E231">
        <v>475</v>
      </c>
      <c r="F231">
        <v>2</v>
      </c>
      <c r="G231">
        <v>1</v>
      </c>
      <c r="H231">
        <v>0</v>
      </c>
      <c r="I231">
        <v>0</v>
      </c>
      <c r="J231">
        <v>1</v>
      </c>
      <c r="K231">
        <v>3</v>
      </c>
      <c r="L231">
        <v>714</v>
      </c>
      <c r="M231">
        <v>0</v>
      </c>
      <c r="N231">
        <v>5</v>
      </c>
      <c r="O231">
        <f t="shared" si="30"/>
        <v>719</v>
      </c>
      <c r="P231">
        <f t="shared" si="37"/>
        <v>70.3522504892368</v>
      </c>
      <c r="Q231">
        <f t="shared" si="31"/>
        <v>66.0639777468706</v>
      </c>
      <c r="R231">
        <f t="shared" si="32"/>
        <v>32.2670375521558</v>
      </c>
      <c r="S231">
        <f t="shared" si="33"/>
        <v>0.278164116828929</v>
      </c>
      <c r="T231">
        <f t="shared" si="34"/>
        <v>0.139082058414465</v>
      </c>
      <c r="U231">
        <f t="shared" si="35"/>
        <v>0.556328233657858</v>
      </c>
      <c r="V231">
        <f t="shared" si="36"/>
        <v>0.695410292072323</v>
      </c>
      <c r="W231">
        <f t="shared" si="38"/>
        <v>100</v>
      </c>
      <c r="X231">
        <v>66.44</v>
      </c>
      <c r="Y231">
        <f t="shared" si="39"/>
        <v>3.9122504892368</v>
      </c>
    </row>
    <row r="232" spans="2:25">
      <c r="B232">
        <v>53</v>
      </c>
      <c r="C232">
        <v>1323</v>
      </c>
      <c r="D232" s="334">
        <v>283</v>
      </c>
      <c r="E232" s="334">
        <v>568</v>
      </c>
      <c r="F232" s="334">
        <v>3</v>
      </c>
      <c r="G232" s="334">
        <v>4</v>
      </c>
      <c r="H232" s="334">
        <v>1</v>
      </c>
      <c r="I232" s="334">
        <v>0</v>
      </c>
      <c r="J232" s="334">
        <v>2</v>
      </c>
      <c r="K232" s="334">
        <v>1</v>
      </c>
      <c r="L232" s="334">
        <v>862</v>
      </c>
      <c r="M232" s="334">
        <v>0</v>
      </c>
      <c r="N232" s="334">
        <v>10</v>
      </c>
      <c r="O232">
        <f t="shared" si="30"/>
        <v>872</v>
      </c>
      <c r="P232">
        <f t="shared" si="37"/>
        <v>65.9108087679516</v>
      </c>
      <c r="Q232">
        <f t="shared" si="31"/>
        <v>65.1376146788991</v>
      </c>
      <c r="R232">
        <f t="shared" si="32"/>
        <v>32.454128440367</v>
      </c>
      <c r="S232">
        <f t="shared" si="33"/>
        <v>0.344036697247706</v>
      </c>
      <c r="T232">
        <f t="shared" si="34"/>
        <v>0.458715596330275</v>
      </c>
      <c r="U232">
        <f t="shared" si="35"/>
        <v>0.458715596330275</v>
      </c>
      <c r="V232">
        <f t="shared" si="36"/>
        <v>1.14678899082569</v>
      </c>
      <c r="W232">
        <f t="shared" si="38"/>
        <v>100</v>
      </c>
      <c r="X232">
        <v>47.92</v>
      </c>
      <c r="Y232">
        <f t="shared" si="39"/>
        <v>17.9908087679516</v>
      </c>
    </row>
    <row r="233" spans="2:25">
      <c r="B233">
        <v>54</v>
      </c>
      <c r="C233">
        <v>1219</v>
      </c>
      <c r="D233" s="334">
        <v>285</v>
      </c>
      <c r="E233" s="334">
        <v>600</v>
      </c>
      <c r="F233" s="334">
        <v>3</v>
      </c>
      <c r="G233" s="334">
        <v>1</v>
      </c>
      <c r="H233" s="334">
        <v>1</v>
      </c>
      <c r="I233" s="334">
        <v>2</v>
      </c>
      <c r="J233" s="334">
        <v>2</v>
      </c>
      <c r="K233" s="334">
        <v>0</v>
      </c>
      <c r="L233" s="334">
        <v>894</v>
      </c>
      <c r="M233" s="334">
        <v>0</v>
      </c>
      <c r="N233" s="334">
        <v>6</v>
      </c>
      <c r="O233">
        <f t="shared" si="30"/>
        <v>900</v>
      </c>
      <c r="P233">
        <f t="shared" si="37"/>
        <v>73.83100902379</v>
      </c>
      <c r="Q233">
        <f t="shared" si="31"/>
        <v>66.6666666666667</v>
      </c>
      <c r="R233">
        <f t="shared" si="32"/>
        <v>31.6666666666667</v>
      </c>
      <c r="S233">
        <f t="shared" si="33"/>
        <v>0.333333333333333</v>
      </c>
      <c r="T233">
        <f t="shared" si="34"/>
        <v>0.111111111111111</v>
      </c>
      <c r="U233">
        <f t="shared" si="35"/>
        <v>0.555555555555556</v>
      </c>
      <c r="V233">
        <f t="shared" si="36"/>
        <v>0.666666666666667</v>
      </c>
      <c r="W233">
        <f t="shared" si="38"/>
        <v>100</v>
      </c>
      <c r="X233">
        <v>68.82</v>
      </c>
      <c r="Y233">
        <f t="shared" si="39"/>
        <v>5.01100902379</v>
      </c>
    </row>
    <row r="234" spans="2:25">
      <c r="B234">
        <v>31</v>
      </c>
      <c r="C234">
        <v>1483</v>
      </c>
      <c r="D234">
        <v>260</v>
      </c>
      <c r="E234">
        <v>801</v>
      </c>
      <c r="F234">
        <v>6</v>
      </c>
      <c r="G234">
        <v>6</v>
      </c>
      <c r="H234">
        <v>1</v>
      </c>
      <c r="I234">
        <v>1</v>
      </c>
      <c r="J234">
        <v>2</v>
      </c>
      <c r="K234">
        <v>1</v>
      </c>
      <c r="L234">
        <v>1078</v>
      </c>
      <c r="M234">
        <v>0</v>
      </c>
      <c r="N234">
        <v>8</v>
      </c>
      <c r="O234">
        <f t="shared" si="30"/>
        <v>1086</v>
      </c>
      <c r="P234">
        <f t="shared" si="37"/>
        <v>73.229939312205</v>
      </c>
      <c r="Q234">
        <f t="shared" si="31"/>
        <v>73.7569060773481</v>
      </c>
      <c r="R234">
        <f t="shared" si="32"/>
        <v>23.9410681399632</v>
      </c>
      <c r="S234">
        <f t="shared" si="33"/>
        <v>0.552486187845304</v>
      </c>
      <c r="T234">
        <f t="shared" si="34"/>
        <v>0.552486187845304</v>
      </c>
      <c r="U234">
        <f t="shared" si="35"/>
        <v>0.460405156537753</v>
      </c>
      <c r="V234">
        <f t="shared" si="36"/>
        <v>0.736648250460405</v>
      </c>
      <c r="W234">
        <f t="shared" si="38"/>
        <v>100</v>
      </c>
      <c r="X234">
        <v>49.97</v>
      </c>
      <c r="Y234">
        <f t="shared" si="39"/>
        <v>23.259939312205</v>
      </c>
    </row>
    <row r="235" spans="2:25">
      <c r="B235">
        <v>55</v>
      </c>
      <c r="C235">
        <v>939</v>
      </c>
      <c r="D235" s="334">
        <v>158</v>
      </c>
      <c r="E235" s="334">
        <v>427</v>
      </c>
      <c r="F235" s="334">
        <v>3</v>
      </c>
      <c r="G235" s="334">
        <v>0</v>
      </c>
      <c r="H235" s="334">
        <v>0</v>
      </c>
      <c r="I235" s="334">
        <v>0</v>
      </c>
      <c r="J235" s="334">
        <v>0</v>
      </c>
      <c r="K235" s="334">
        <v>1</v>
      </c>
      <c r="L235" s="334">
        <v>589</v>
      </c>
      <c r="M235" s="334">
        <v>0</v>
      </c>
      <c r="N235" s="334">
        <v>5</v>
      </c>
      <c r="O235">
        <f t="shared" si="30"/>
        <v>594</v>
      </c>
      <c r="P235">
        <f t="shared" si="37"/>
        <v>63.258785942492</v>
      </c>
      <c r="Q235">
        <f t="shared" si="31"/>
        <v>71.8855218855219</v>
      </c>
      <c r="R235">
        <f t="shared" si="32"/>
        <v>26.5993265993266</v>
      </c>
      <c r="S235">
        <f t="shared" si="33"/>
        <v>0.505050505050505</v>
      </c>
      <c r="T235">
        <f t="shared" si="34"/>
        <v>0</v>
      </c>
      <c r="U235">
        <f t="shared" si="35"/>
        <v>0.168350168350168</v>
      </c>
      <c r="V235">
        <f t="shared" si="36"/>
        <v>0.841750841750842</v>
      </c>
      <c r="W235">
        <f t="shared" si="38"/>
        <v>100</v>
      </c>
      <c r="X235">
        <v>16.93</v>
      </c>
      <c r="Y235">
        <f t="shared" si="39"/>
        <v>46.328785942492</v>
      </c>
    </row>
    <row r="236" spans="1:25">
      <c r="A236" t="s">
        <v>62</v>
      </c>
      <c r="B236">
        <v>148</v>
      </c>
      <c r="C236">
        <v>1134</v>
      </c>
      <c r="D236">
        <v>637</v>
      </c>
      <c r="E236">
        <v>128</v>
      </c>
      <c r="F236">
        <v>4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773</v>
      </c>
      <c r="M236">
        <v>0</v>
      </c>
      <c r="N236">
        <v>2</v>
      </c>
      <c r="O236">
        <f t="shared" si="30"/>
        <v>775</v>
      </c>
      <c r="P236">
        <f t="shared" si="37"/>
        <v>68.342151675485</v>
      </c>
      <c r="Q236">
        <f t="shared" si="31"/>
        <v>16.5161290322581</v>
      </c>
      <c r="R236">
        <f t="shared" si="32"/>
        <v>82.1935483870968</v>
      </c>
      <c r="S236">
        <f t="shared" si="33"/>
        <v>0.516129032258065</v>
      </c>
      <c r="T236">
        <f t="shared" si="34"/>
        <v>0.516129032258065</v>
      </c>
      <c r="U236">
        <f t="shared" si="35"/>
        <v>0</v>
      </c>
      <c r="V236">
        <f t="shared" si="36"/>
        <v>0.258064516129032</v>
      </c>
      <c r="W236">
        <f t="shared" si="38"/>
        <v>100</v>
      </c>
      <c r="X236">
        <v>0</v>
      </c>
      <c r="Y236">
        <f t="shared" si="39"/>
        <v>68.342151675485</v>
      </c>
    </row>
    <row r="237" spans="2:25">
      <c r="B237">
        <v>149</v>
      </c>
      <c r="C237">
        <v>985</v>
      </c>
      <c r="D237">
        <v>308</v>
      </c>
      <c r="E237">
        <v>310</v>
      </c>
      <c r="F237">
        <v>3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622</v>
      </c>
      <c r="M237">
        <v>0</v>
      </c>
      <c r="N237">
        <v>3</v>
      </c>
      <c r="O237">
        <f t="shared" si="30"/>
        <v>625</v>
      </c>
      <c r="P237">
        <f t="shared" si="37"/>
        <v>63.4517766497462</v>
      </c>
      <c r="Q237">
        <f t="shared" si="31"/>
        <v>49.6</v>
      </c>
      <c r="R237">
        <f t="shared" si="32"/>
        <v>49.28</v>
      </c>
      <c r="S237">
        <f t="shared" si="33"/>
        <v>0.48</v>
      </c>
      <c r="T237">
        <f t="shared" si="34"/>
        <v>0</v>
      </c>
      <c r="U237">
        <f t="shared" si="35"/>
        <v>0.16</v>
      </c>
      <c r="V237">
        <f t="shared" si="36"/>
        <v>0.48</v>
      </c>
      <c r="W237">
        <f t="shared" si="38"/>
        <v>100</v>
      </c>
      <c r="X237">
        <v>0</v>
      </c>
      <c r="Y237">
        <f t="shared" si="39"/>
        <v>63.4517766497462</v>
      </c>
    </row>
    <row r="238" spans="2:25">
      <c r="B238">
        <v>144</v>
      </c>
      <c r="C238">
        <v>1269</v>
      </c>
      <c r="D238">
        <v>364</v>
      </c>
      <c r="E238">
        <v>481</v>
      </c>
      <c r="F238">
        <v>3</v>
      </c>
      <c r="G238">
        <v>4</v>
      </c>
      <c r="H238">
        <v>0</v>
      </c>
      <c r="I238">
        <v>0</v>
      </c>
      <c r="J238">
        <v>0</v>
      </c>
      <c r="K238">
        <v>1</v>
      </c>
      <c r="L238">
        <v>853</v>
      </c>
      <c r="M238">
        <v>0</v>
      </c>
      <c r="N238">
        <v>4</v>
      </c>
      <c r="O238">
        <f t="shared" si="30"/>
        <v>857</v>
      </c>
      <c r="P238">
        <f t="shared" si="37"/>
        <v>67.5334909377463</v>
      </c>
      <c r="Q238">
        <f t="shared" si="31"/>
        <v>56.1260210035006</v>
      </c>
      <c r="R238">
        <f t="shared" si="32"/>
        <v>42.4737456242707</v>
      </c>
      <c r="S238">
        <f t="shared" si="33"/>
        <v>0.350058343057176</v>
      </c>
      <c r="T238">
        <f t="shared" si="34"/>
        <v>0.466744457409568</v>
      </c>
      <c r="U238">
        <f t="shared" si="35"/>
        <v>0.116686114352392</v>
      </c>
      <c r="V238">
        <f t="shared" si="36"/>
        <v>0.466744457409568</v>
      </c>
      <c r="W238">
        <f t="shared" si="38"/>
        <v>100</v>
      </c>
      <c r="X238">
        <v>66.82</v>
      </c>
      <c r="Y238">
        <f t="shared" si="39"/>
        <v>0.713490937746258</v>
      </c>
    </row>
    <row r="239" spans="2:25">
      <c r="B239">
        <v>234</v>
      </c>
      <c r="C239">
        <v>907</v>
      </c>
      <c r="D239">
        <v>248</v>
      </c>
      <c r="E239">
        <v>335</v>
      </c>
      <c r="F239">
        <v>1</v>
      </c>
      <c r="G239">
        <v>2</v>
      </c>
      <c r="H239">
        <v>0</v>
      </c>
      <c r="I239">
        <v>1</v>
      </c>
      <c r="J239">
        <v>0</v>
      </c>
      <c r="K239">
        <v>0</v>
      </c>
      <c r="L239">
        <v>587</v>
      </c>
      <c r="M239">
        <v>0</v>
      </c>
      <c r="N239">
        <v>5</v>
      </c>
      <c r="O239">
        <f t="shared" ref="O239:O250" si="40">D239+E239+F239+G239+H239+I239+J239+K239+N239</f>
        <v>592</v>
      </c>
      <c r="P239">
        <f t="shared" si="37"/>
        <v>65.2701212789416</v>
      </c>
      <c r="Q239">
        <f t="shared" ref="Q239:Q250" si="41">(E239/O239)*100</f>
        <v>56.5878378378378</v>
      </c>
      <c r="R239">
        <f t="shared" ref="R239:R250" si="42">(D239/O239)*100</f>
        <v>41.8918918918919</v>
      </c>
      <c r="S239">
        <f t="shared" ref="S239:S250" si="43">(F239/O239)*100</f>
        <v>0.168918918918919</v>
      </c>
      <c r="T239">
        <f t="shared" ref="T239:T250" si="44">(G239/O239)*100</f>
        <v>0.337837837837838</v>
      </c>
      <c r="U239">
        <f t="shared" ref="U239:U250" si="45">((H239+I239+J239+K239)/O239)*100</f>
        <v>0.168918918918919</v>
      </c>
      <c r="V239">
        <f t="shared" ref="V239:V250" si="46">(N239/O239)*100</f>
        <v>0.844594594594595</v>
      </c>
      <c r="W239">
        <f t="shared" si="38"/>
        <v>100</v>
      </c>
      <c r="X239">
        <v>64.83</v>
      </c>
      <c r="Y239">
        <f t="shared" si="39"/>
        <v>0.440121278941561</v>
      </c>
    </row>
    <row r="240" spans="1:25">
      <c r="A240" t="s">
        <v>63</v>
      </c>
      <c r="B240">
        <v>128</v>
      </c>
      <c r="C240">
        <v>991</v>
      </c>
      <c r="D240">
        <v>311</v>
      </c>
      <c r="E240">
        <v>275</v>
      </c>
      <c r="F240">
        <v>2</v>
      </c>
      <c r="G240">
        <v>4</v>
      </c>
      <c r="H240">
        <v>0</v>
      </c>
      <c r="I240">
        <v>0</v>
      </c>
      <c r="J240">
        <v>1</v>
      </c>
      <c r="K240">
        <v>0</v>
      </c>
      <c r="L240">
        <v>593</v>
      </c>
      <c r="M240">
        <v>0</v>
      </c>
      <c r="N240">
        <v>6</v>
      </c>
      <c r="O240">
        <f t="shared" si="40"/>
        <v>599</v>
      </c>
      <c r="P240">
        <f t="shared" si="37"/>
        <v>60.4439959636731</v>
      </c>
      <c r="Q240">
        <f t="shared" si="41"/>
        <v>45.9098497495826</v>
      </c>
      <c r="R240">
        <f t="shared" si="42"/>
        <v>51.9198664440735</v>
      </c>
      <c r="S240">
        <f t="shared" si="43"/>
        <v>0.333889816360601</v>
      </c>
      <c r="T240">
        <f t="shared" si="44"/>
        <v>0.667779632721202</v>
      </c>
      <c r="U240">
        <f t="shared" si="45"/>
        <v>0.1669449081803</v>
      </c>
      <c r="V240">
        <f t="shared" si="46"/>
        <v>1.0016694490818</v>
      </c>
      <c r="W240">
        <f t="shared" si="38"/>
        <v>100</v>
      </c>
      <c r="X240">
        <v>58.43</v>
      </c>
      <c r="Y240">
        <f t="shared" si="39"/>
        <v>2.01399596367306</v>
      </c>
    </row>
    <row r="241" spans="2:25">
      <c r="B241">
        <v>130</v>
      </c>
      <c r="C241">
        <v>881</v>
      </c>
      <c r="D241">
        <v>357</v>
      </c>
      <c r="E241">
        <v>111</v>
      </c>
      <c r="F241">
        <v>4</v>
      </c>
      <c r="G241">
        <v>6</v>
      </c>
      <c r="H241">
        <v>0</v>
      </c>
      <c r="I241">
        <v>1</v>
      </c>
      <c r="J241">
        <v>0</v>
      </c>
      <c r="K241">
        <v>0</v>
      </c>
      <c r="L241">
        <v>479</v>
      </c>
      <c r="M241">
        <v>0</v>
      </c>
      <c r="N241">
        <v>0</v>
      </c>
      <c r="O241">
        <f t="shared" si="40"/>
        <v>479</v>
      </c>
      <c r="P241">
        <f t="shared" si="37"/>
        <v>54.3700340522134</v>
      </c>
      <c r="Q241">
        <f t="shared" si="41"/>
        <v>23.1732776617954</v>
      </c>
      <c r="R241">
        <f t="shared" si="42"/>
        <v>74.5302713987474</v>
      </c>
      <c r="S241">
        <f t="shared" si="43"/>
        <v>0.835073068893528</v>
      </c>
      <c r="T241">
        <f t="shared" si="44"/>
        <v>1.25260960334029</v>
      </c>
      <c r="U241">
        <f t="shared" si="45"/>
        <v>0.208768267223382</v>
      </c>
      <c r="V241">
        <f t="shared" si="46"/>
        <v>0</v>
      </c>
      <c r="W241">
        <f t="shared" si="38"/>
        <v>100</v>
      </c>
      <c r="X241">
        <v>19.86</v>
      </c>
      <c r="Y241">
        <f t="shared" si="39"/>
        <v>34.5100340522134</v>
      </c>
    </row>
    <row r="242" spans="2:25">
      <c r="B242">
        <v>58</v>
      </c>
      <c r="C242">
        <v>926</v>
      </c>
      <c r="D242">
        <v>247</v>
      </c>
      <c r="E242">
        <v>414</v>
      </c>
      <c r="F242">
        <v>1</v>
      </c>
      <c r="G242">
        <v>5</v>
      </c>
      <c r="H242">
        <v>0</v>
      </c>
      <c r="I242">
        <v>0</v>
      </c>
      <c r="J242">
        <v>0</v>
      </c>
      <c r="K242">
        <v>1</v>
      </c>
      <c r="L242">
        <v>668</v>
      </c>
      <c r="M242">
        <v>0</v>
      </c>
      <c r="N242">
        <v>4</v>
      </c>
      <c r="O242">
        <f t="shared" si="40"/>
        <v>672</v>
      </c>
      <c r="P242">
        <f t="shared" si="37"/>
        <v>72.5701943844493</v>
      </c>
      <c r="Q242">
        <f t="shared" si="41"/>
        <v>61.6071428571429</v>
      </c>
      <c r="R242">
        <f t="shared" si="42"/>
        <v>36.7559523809524</v>
      </c>
      <c r="S242">
        <f t="shared" si="43"/>
        <v>0.148809523809524</v>
      </c>
      <c r="T242">
        <f t="shared" si="44"/>
        <v>0.744047619047619</v>
      </c>
      <c r="U242">
        <f t="shared" si="45"/>
        <v>0.148809523809524</v>
      </c>
      <c r="V242">
        <f t="shared" si="46"/>
        <v>0.595238095238095</v>
      </c>
      <c r="W242">
        <f t="shared" si="38"/>
        <v>100</v>
      </c>
      <c r="X242">
        <v>56.48</v>
      </c>
      <c r="Y242">
        <f t="shared" si="39"/>
        <v>16.0901943844493</v>
      </c>
    </row>
    <row r="243" spans="2:25">
      <c r="B243">
        <v>135</v>
      </c>
      <c r="C243">
        <v>1241</v>
      </c>
      <c r="D243">
        <v>365</v>
      </c>
      <c r="E243">
        <v>327</v>
      </c>
      <c r="F243">
        <v>1</v>
      </c>
      <c r="G243">
        <v>2</v>
      </c>
      <c r="H243">
        <v>0</v>
      </c>
      <c r="I243">
        <v>1</v>
      </c>
      <c r="J243">
        <v>0</v>
      </c>
      <c r="K243">
        <v>0</v>
      </c>
      <c r="L243">
        <v>696</v>
      </c>
      <c r="M243">
        <v>0</v>
      </c>
      <c r="N243">
        <v>4</v>
      </c>
      <c r="O243">
        <f t="shared" si="40"/>
        <v>700</v>
      </c>
      <c r="P243">
        <f t="shared" si="37"/>
        <v>56.406124093473</v>
      </c>
      <c r="Q243">
        <f t="shared" si="41"/>
        <v>46.7142857142857</v>
      </c>
      <c r="R243">
        <f t="shared" si="42"/>
        <v>52.1428571428571</v>
      </c>
      <c r="S243">
        <f t="shared" si="43"/>
        <v>0.142857142857143</v>
      </c>
      <c r="T243">
        <f t="shared" si="44"/>
        <v>0.285714285714286</v>
      </c>
      <c r="U243">
        <f t="shared" si="45"/>
        <v>0.142857142857143</v>
      </c>
      <c r="V243">
        <f t="shared" si="46"/>
        <v>0.571428571428571</v>
      </c>
      <c r="W243">
        <f t="shared" si="38"/>
        <v>100</v>
      </c>
      <c r="X243">
        <v>52.78</v>
      </c>
      <c r="Y243">
        <f t="shared" si="39"/>
        <v>3.62612409347301</v>
      </c>
    </row>
    <row r="244" spans="2:25">
      <c r="B244">
        <v>131</v>
      </c>
      <c r="C244">
        <v>712</v>
      </c>
      <c r="D244">
        <v>206</v>
      </c>
      <c r="E244">
        <v>273</v>
      </c>
      <c r="F244">
        <v>1</v>
      </c>
      <c r="G244">
        <v>2</v>
      </c>
      <c r="H244">
        <v>0</v>
      </c>
      <c r="I244">
        <v>1</v>
      </c>
      <c r="J244">
        <v>0</v>
      </c>
      <c r="K244">
        <v>0</v>
      </c>
      <c r="L244">
        <v>483</v>
      </c>
      <c r="M244">
        <v>0</v>
      </c>
      <c r="N244">
        <v>2</v>
      </c>
      <c r="O244">
        <f t="shared" si="40"/>
        <v>485</v>
      </c>
      <c r="P244">
        <f t="shared" si="37"/>
        <v>68.1179775280899</v>
      </c>
      <c r="Q244">
        <f t="shared" si="41"/>
        <v>56.2886597938144</v>
      </c>
      <c r="R244">
        <f t="shared" si="42"/>
        <v>42.4742268041237</v>
      </c>
      <c r="S244">
        <f t="shared" si="43"/>
        <v>0.206185567010309</v>
      </c>
      <c r="T244">
        <f t="shared" si="44"/>
        <v>0.412371134020619</v>
      </c>
      <c r="U244">
        <f t="shared" si="45"/>
        <v>0.206185567010309</v>
      </c>
      <c r="V244">
        <f t="shared" si="46"/>
        <v>0.412371134020619</v>
      </c>
      <c r="W244">
        <f t="shared" si="38"/>
        <v>100</v>
      </c>
      <c r="X244">
        <v>61.8</v>
      </c>
      <c r="Y244">
        <f t="shared" si="39"/>
        <v>6.3179775280899</v>
      </c>
    </row>
    <row r="245" spans="1:25">
      <c r="A245" t="s">
        <v>64</v>
      </c>
      <c r="B245">
        <v>173</v>
      </c>
      <c r="C245">
        <v>586</v>
      </c>
      <c r="D245">
        <v>253</v>
      </c>
      <c r="E245">
        <v>153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1</v>
      </c>
      <c r="L245">
        <v>409</v>
      </c>
      <c r="M245">
        <v>0</v>
      </c>
      <c r="N245">
        <v>2</v>
      </c>
      <c r="O245">
        <f t="shared" si="40"/>
        <v>411</v>
      </c>
      <c r="P245">
        <f t="shared" si="37"/>
        <v>70.1365187713311</v>
      </c>
      <c r="Q245">
        <f t="shared" si="41"/>
        <v>37.2262773722628</v>
      </c>
      <c r="R245">
        <f t="shared" si="42"/>
        <v>61.5571776155718</v>
      </c>
      <c r="S245">
        <f t="shared" si="43"/>
        <v>0</v>
      </c>
      <c r="T245">
        <f t="shared" si="44"/>
        <v>0.48661800486618</v>
      </c>
      <c r="U245">
        <f t="shared" si="45"/>
        <v>0.24330900243309</v>
      </c>
      <c r="V245">
        <f t="shared" si="46"/>
        <v>0.48661800486618</v>
      </c>
      <c r="W245">
        <f t="shared" si="38"/>
        <v>100</v>
      </c>
      <c r="X245">
        <v>13.82</v>
      </c>
      <c r="Y245">
        <f t="shared" si="39"/>
        <v>56.3165187713311</v>
      </c>
    </row>
    <row r="246" spans="2:25">
      <c r="B246">
        <v>172</v>
      </c>
      <c r="C246">
        <v>881</v>
      </c>
      <c r="D246">
        <v>272</v>
      </c>
      <c r="E246">
        <v>254</v>
      </c>
      <c r="F246">
        <v>0</v>
      </c>
      <c r="G246">
        <v>9</v>
      </c>
      <c r="H246">
        <v>0</v>
      </c>
      <c r="I246">
        <v>1</v>
      </c>
      <c r="J246">
        <v>0</v>
      </c>
      <c r="K246">
        <v>1</v>
      </c>
      <c r="L246">
        <v>537</v>
      </c>
      <c r="M246">
        <v>0</v>
      </c>
      <c r="N246">
        <v>3</v>
      </c>
      <c r="O246">
        <f t="shared" si="40"/>
        <v>540</v>
      </c>
      <c r="P246">
        <f t="shared" si="37"/>
        <v>61.2939841089671</v>
      </c>
      <c r="Q246">
        <f t="shared" si="41"/>
        <v>47.037037037037</v>
      </c>
      <c r="R246">
        <f t="shared" si="42"/>
        <v>50.3703703703704</v>
      </c>
      <c r="S246">
        <f t="shared" si="43"/>
        <v>0</v>
      </c>
      <c r="T246">
        <f t="shared" si="44"/>
        <v>1.66666666666667</v>
      </c>
      <c r="U246">
        <f t="shared" si="45"/>
        <v>0.37037037037037</v>
      </c>
      <c r="V246">
        <f t="shared" si="46"/>
        <v>0.555555555555556</v>
      </c>
      <c r="W246">
        <f t="shared" si="38"/>
        <v>100</v>
      </c>
      <c r="X246">
        <v>61.29</v>
      </c>
      <c r="Y246">
        <f t="shared" si="39"/>
        <v>0.00398410896708157</v>
      </c>
    </row>
    <row r="247" spans="2:25">
      <c r="B247">
        <v>183</v>
      </c>
      <c r="C247">
        <v>1446</v>
      </c>
      <c r="D247">
        <v>297</v>
      </c>
      <c r="E247">
        <v>511</v>
      </c>
      <c r="F247">
        <v>2</v>
      </c>
      <c r="G247">
        <v>3</v>
      </c>
      <c r="H247">
        <v>0</v>
      </c>
      <c r="I247">
        <v>0</v>
      </c>
      <c r="J247">
        <v>0</v>
      </c>
      <c r="K247">
        <v>1</v>
      </c>
      <c r="L247">
        <v>814</v>
      </c>
      <c r="M247">
        <v>0</v>
      </c>
      <c r="N247">
        <v>7</v>
      </c>
      <c r="O247">
        <f t="shared" si="40"/>
        <v>821</v>
      </c>
      <c r="P247">
        <f t="shared" si="37"/>
        <v>56.777316735823</v>
      </c>
      <c r="Q247">
        <f t="shared" si="41"/>
        <v>62.2411693057247</v>
      </c>
      <c r="R247">
        <f t="shared" si="42"/>
        <v>36.1753958587089</v>
      </c>
      <c r="S247">
        <f t="shared" si="43"/>
        <v>0.243605359317905</v>
      </c>
      <c r="T247">
        <f t="shared" si="44"/>
        <v>0.365408038976857</v>
      </c>
      <c r="U247">
        <f t="shared" si="45"/>
        <v>0.121802679658952</v>
      </c>
      <c r="V247">
        <f t="shared" si="46"/>
        <v>0.852618757612667</v>
      </c>
      <c r="W247">
        <f t="shared" si="38"/>
        <v>100</v>
      </c>
      <c r="X247">
        <v>0</v>
      </c>
      <c r="Y247">
        <f t="shared" si="39"/>
        <v>56.777316735823</v>
      </c>
    </row>
    <row r="248" spans="2:25">
      <c r="B248">
        <v>174</v>
      </c>
      <c r="C248">
        <v>1329</v>
      </c>
      <c r="D248">
        <v>363</v>
      </c>
      <c r="E248">
        <v>500</v>
      </c>
      <c r="F248">
        <v>3</v>
      </c>
      <c r="G248">
        <v>2</v>
      </c>
      <c r="H248">
        <v>0</v>
      </c>
      <c r="I248">
        <v>2</v>
      </c>
      <c r="J248">
        <v>1</v>
      </c>
      <c r="K248">
        <v>0</v>
      </c>
      <c r="L248">
        <v>871</v>
      </c>
      <c r="M248">
        <v>0</v>
      </c>
      <c r="N248">
        <v>2</v>
      </c>
      <c r="O248">
        <f t="shared" si="40"/>
        <v>873</v>
      </c>
      <c r="P248">
        <f t="shared" si="37"/>
        <v>65.6884875846501</v>
      </c>
      <c r="Q248">
        <f t="shared" si="41"/>
        <v>57.2737686139748</v>
      </c>
      <c r="R248">
        <f t="shared" si="42"/>
        <v>41.5807560137457</v>
      </c>
      <c r="S248">
        <f t="shared" si="43"/>
        <v>0.343642611683849</v>
      </c>
      <c r="T248">
        <f t="shared" si="44"/>
        <v>0.229095074455899</v>
      </c>
      <c r="U248">
        <f t="shared" si="45"/>
        <v>0.343642611683849</v>
      </c>
      <c r="V248">
        <f t="shared" si="46"/>
        <v>0.229095074455899</v>
      </c>
      <c r="W248">
        <f t="shared" si="38"/>
        <v>100</v>
      </c>
      <c r="X248">
        <v>0</v>
      </c>
      <c r="Y248">
        <f t="shared" si="39"/>
        <v>65.6884875846501</v>
      </c>
    </row>
    <row r="249" spans="2:25">
      <c r="B249">
        <v>132</v>
      </c>
      <c r="C249">
        <v>1202</v>
      </c>
      <c r="D249">
        <v>447</v>
      </c>
      <c r="E249">
        <v>315</v>
      </c>
      <c r="F249">
        <v>2</v>
      </c>
      <c r="G249">
        <v>3</v>
      </c>
      <c r="H249">
        <v>0</v>
      </c>
      <c r="I249">
        <v>1</v>
      </c>
      <c r="J249">
        <v>0</v>
      </c>
      <c r="K249">
        <v>1</v>
      </c>
      <c r="L249">
        <v>769</v>
      </c>
      <c r="M249">
        <v>0</v>
      </c>
      <c r="N249">
        <v>5</v>
      </c>
      <c r="O249">
        <f t="shared" si="40"/>
        <v>774</v>
      </c>
      <c r="P249">
        <f t="shared" si="37"/>
        <v>64.3926788685524</v>
      </c>
      <c r="Q249">
        <f t="shared" si="41"/>
        <v>40.6976744186046</v>
      </c>
      <c r="R249">
        <f t="shared" si="42"/>
        <v>57.7519379844961</v>
      </c>
      <c r="S249">
        <f t="shared" si="43"/>
        <v>0.258397932816538</v>
      </c>
      <c r="T249">
        <f t="shared" si="44"/>
        <v>0.387596899224806</v>
      </c>
      <c r="U249">
        <f t="shared" si="45"/>
        <v>0.258397932816538</v>
      </c>
      <c r="V249">
        <f t="shared" si="46"/>
        <v>0.645994832041344</v>
      </c>
      <c r="W249">
        <f t="shared" si="38"/>
        <v>100</v>
      </c>
      <c r="X249">
        <v>49.75</v>
      </c>
      <c r="Y249">
        <f t="shared" si="39"/>
        <v>14.6426788685524</v>
      </c>
    </row>
    <row r="250" spans="2:25">
      <c r="B250">
        <v>133</v>
      </c>
      <c r="C250">
        <v>972</v>
      </c>
      <c r="D250">
        <v>302</v>
      </c>
      <c r="E250">
        <v>96</v>
      </c>
      <c r="F250">
        <v>0</v>
      </c>
      <c r="G250">
        <v>8</v>
      </c>
      <c r="H250">
        <v>2</v>
      </c>
      <c r="I250">
        <v>0</v>
      </c>
      <c r="J250">
        <v>0</v>
      </c>
      <c r="K250">
        <v>0</v>
      </c>
      <c r="L250">
        <v>408</v>
      </c>
      <c r="M250">
        <v>0</v>
      </c>
      <c r="N250">
        <v>3</v>
      </c>
      <c r="O250">
        <f t="shared" si="40"/>
        <v>411</v>
      </c>
      <c r="P250">
        <f t="shared" si="37"/>
        <v>42.2839506172839</v>
      </c>
      <c r="Q250">
        <f t="shared" si="41"/>
        <v>23.3576642335766</v>
      </c>
      <c r="R250">
        <f t="shared" si="42"/>
        <v>73.4793187347932</v>
      </c>
      <c r="S250">
        <f t="shared" si="43"/>
        <v>0</v>
      </c>
      <c r="T250">
        <f t="shared" si="44"/>
        <v>1.94647201946472</v>
      </c>
      <c r="U250">
        <f t="shared" si="45"/>
        <v>0.48661800486618</v>
      </c>
      <c r="V250">
        <f t="shared" si="46"/>
        <v>0.72992700729927</v>
      </c>
      <c r="W250">
        <f t="shared" si="38"/>
        <v>100</v>
      </c>
      <c r="X250">
        <v>41.77</v>
      </c>
      <c r="Y250">
        <f t="shared" si="39"/>
        <v>0.513950617283946</v>
      </c>
    </row>
    <row r="251" spans="15:25">
      <c r="O251">
        <f>SUM(O7:O250)</f>
        <v>159420</v>
      </c>
      <c r="P251">
        <f t="shared" ref="P251:V251" si="47">AVERAGE(P7:P250)</f>
        <v>64.6249329281651</v>
      </c>
      <c r="Q251">
        <f t="shared" si="47"/>
        <v>55.9877072011388</v>
      </c>
      <c r="R251">
        <f t="shared" si="47"/>
        <v>42.1664105394788</v>
      </c>
      <c r="S251">
        <f t="shared" si="47"/>
        <v>0.415755066878723</v>
      </c>
      <c r="T251">
        <f t="shared" si="47"/>
        <v>0.393125231343086</v>
      </c>
      <c r="U251">
        <f t="shared" si="47"/>
        <v>0.301656263562382</v>
      </c>
      <c r="V251">
        <f t="shared" si="47"/>
        <v>0.735345697598248</v>
      </c>
      <c r="W251">
        <f t="shared" si="38"/>
        <v>100</v>
      </c>
      <c r="X251">
        <v>0</v>
      </c>
      <c r="Y251">
        <f t="shared" si="39"/>
        <v>64.6249329281651</v>
      </c>
    </row>
    <row r="252" spans="25:25">
      <c r="Y252">
        <f>AVERAGE(Y7:Y251)</f>
        <v>12.3994227240835</v>
      </c>
    </row>
    <row r="254" spans="18:18">
      <c r="R254">
        <f>159420*(Y252)%</f>
        <v>19767.1597067339</v>
      </c>
    </row>
  </sheetData>
  <mergeCells count="26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4:Y6"/>
    <mergeCell ref="D1:K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B36"/>
  <sheetViews>
    <sheetView workbookViewId="0">
      <selection activeCell="AV8" sqref="AV8"/>
    </sheetView>
  </sheetViews>
  <sheetFormatPr defaultColWidth="9" defaultRowHeight="14.5"/>
  <cols>
    <col min="1" max="1" width="15.1363636363636" customWidth="1"/>
    <col min="25" max="25" width="13" customWidth="1"/>
    <col min="26" max="26" width="15.2818181818182" customWidth="1"/>
    <col min="27" max="27" width="12.2818181818182" customWidth="1"/>
    <col min="41" max="41" width="9.13636363636364"/>
    <col min="43" max="43" width="9.13636363636364"/>
    <col min="44" max="44" width="14.5727272727273" customWidth="1"/>
    <col min="45" max="45" width="9.13636363636364"/>
  </cols>
  <sheetData>
    <row r="1" ht="15" customHeight="1" spans="1:53">
      <c r="A1" s="268" t="s">
        <v>16</v>
      </c>
      <c r="B1" s="268" t="s">
        <v>0</v>
      </c>
      <c r="C1" s="268" t="s">
        <v>15</v>
      </c>
      <c r="D1" s="267" t="s">
        <v>1</v>
      </c>
      <c r="E1" s="513"/>
      <c r="F1" s="513"/>
      <c r="G1" s="513"/>
      <c r="H1" s="513"/>
      <c r="I1" s="513"/>
      <c r="J1" s="513"/>
      <c r="K1" s="508"/>
      <c r="L1" s="513" t="s">
        <v>2</v>
      </c>
      <c r="M1" s="268" t="s">
        <v>3</v>
      </c>
      <c r="N1" s="508" t="s">
        <v>4</v>
      </c>
      <c r="O1" s="513" t="s">
        <v>5</v>
      </c>
      <c r="P1" s="268" t="s">
        <v>17</v>
      </c>
      <c r="Q1" s="237" t="s">
        <v>18</v>
      </c>
      <c r="R1" s="268" t="s">
        <v>19</v>
      </c>
      <c r="S1" s="237" t="s">
        <v>20</v>
      </c>
      <c r="T1" s="526" t="s">
        <v>21</v>
      </c>
      <c r="U1" s="513" t="s">
        <v>22</v>
      </c>
      <c r="V1" s="526" t="s">
        <v>23</v>
      </c>
      <c r="W1" s="513" t="s">
        <v>65</v>
      </c>
      <c r="X1" s="526" t="s">
        <v>66</v>
      </c>
      <c r="Y1" s="513" t="s">
        <v>67</v>
      </c>
      <c r="Z1" s="268" t="s">
        <v>68</v>
      </c>
      <c r="AA1" s="508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74"/>
      <c r="B2" s="274"/>
      <c r="C2" s="274"/>
      <c r="D2" s="278"/>
      <c r="E2" s="515"/>
      <c r="F2" s="515"/>
      <c r="G2" s="515"/>
      <c r="H2" s="515"/>
      <c r="I2" s="515"/>
      <c r="J2" s="515"/>
      <c r="K2" s="510"/>
      <c r="L2" s="514"/>
      <c r="M2" s="274"/>
      <c r="N2" s="509"/>
      <c r="O2" s="514"/>
      <c r="P2" s="274"/>
      <c r="Q2" s="242"/>
      <c r="R2" s="274"/>
      <c r="S2" s="242"/>
      <c r="T2" s="527"/>
      <c r="U2" s="514"/>
      <c r="V2" s="527"/>
      <c r="W2" s="514"/>
      <c r="X2" s="527"/>
      <c r="Y2" s="514"/>
      <c r="Z2" s="274"/>
      <c r="AA2" s="509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ht="15" customHeight="1" spans="1:53">
      <c r="A3" s="274"/>
      <c r="B3" s="274"/>
      <c r="C3" s="274"/>
      <c r="D3" s="268" t="s">
        <v>7</v>
      </c>
      <c r="E3" s="513" t="s">
        <v>8</v>
      </c>
      <c r="F3" s="268" t="s">
        <v>9</v>
      </c>
      <c r="G3" s="513" t="s">
        <v>10</v>
      </c>
      <c r="H3" s="268" t="s">
        <v>11</v>
      </c>
      <c r="I3" s="513" t="s">
        <v>12</v>
      </c>
      <c r="J3" s="268" t="s">
        <v>9</v>
      </c>
      <c r="K3" s="508" t="s">
        <v>13</v>
      </c>
      <c r="L3" s="514"/>
      <c r="M3" s="274"/>
      <c r="N3" s="509"/>
      <c r="O3" s="514"/>
      <c r="P3" s="274"/>
      <c r="Q3" s="242"/>
      <c r="R3" s="274"/>
      <c r="S3" s="242"/>
      <c r="T3" s="527"/>
      <c r="U3" s="514"/>
      <c r="V3" s="527"/>
      <c r="W3" s="514"/>
      <c r="X3" s="527"/>
      <c r="Y3" s="514"/>
      <c r="Z3" s="274"/>
      <c r="AA3" s="509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74"/>
      <c r="B4" s="274"/>
      <c r="C4" s="274"/>
      <c r="D4" s="274"/>
      <c r="E4" s="514"/>
      <c r="F4" s="274"/>
      <c r="G4" s="514"/>
      <c r="H4" s="274"/>
      <c r="I4" s="514"/>
      <c r="J4" s="274"/>
      <c r="K4" s="509"/>
      <c r="L4" s="514"/>
      <c r="M4" s="274"/>
      <c r="N4" s="509"/>
      <c r="O4" s="514"/>
      <c r="P4" s="274"/>
      <c r="Q4" s="242"/>
      <c r="R4" s="274"/>
      <c r="S4" s="242"/>
      <c r="T4" s="527"/>
      <c r="U4" s="514"/>
      <c r="V4" s="527"/>
      <c r="W4" s="514"/>
      <c r="X4" s="527"/>
      <c r="Y4" s="514"/>
      <c r="Z4" s="274"/>
      <c r="AA4" s="509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74"/>
      <c r="B5" s="274"/>
      <c r="C5" s="274"/>
      <c r="D5" s="274"/>
      <c r="E5" s="514"/>
      <c r="F5" s="274"/>
      <c r="G5" s="514"/>
      <c r="H5" s="274"/>
      <c r="I5" s="514"/>
      <c r="J5" s="274"/>
      <c r="K5" s="509"/>
      <c r="L5" s="514"/>
      <c r="M5" s="274"/>
      <c r="N5" s="509"/>
      <c r="O5" s="514"/>
      <c r="P5" s="274"/>
      <c r="Q5" s="242"/>
      <c r="R5" s="274"/>
      <c r="S5" s="242"/>
      <c r="T5" s="527"/>
      <c r="U5" s="514"/>
      <c r="V5" s="527"/>
      <c r="W5" s="514"/>
      <c r="X5" s="527"/>
      <c r="Y5" s="514"/>
      <c r="Z5" s="274"/>
      <c r="AA5" s="509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74"/>
      <c r="B6" s="279"/>
      <c r="C6" s="279"/>
      <c r="D6" s="279"/>
      <c r="E6" s="515"/>
      <c r="F6" s="279"/>
      <c r="G6" s="515"/>
      <c r="H6" s="279"/>
      <c r="I6" s="515"/>
      <c r="J6" s="279"/>
      <c r="K6" s="510"/>
      <c r="L6" s="514"/>
      <c r="M6" s="279"/>
      <c r="N6" s="510"/>
      <c r="O6" s="514"/>
      <c r="P6" s="279"/>
      <c r="Q6" s="242"/>
      <c r="R6" s="279"/>
      <c r="S6" s="242"/>
      <c r="T6" s="528"/>
      <c r="U6" s="514"/>
      <c r="V6" s="528"/>
      <c r="W6" s="514"/>
      <c r="X6" s="528"/>
      <c r="Y6" s="514"/>
      <c r="Z6" s="279"/>
      <c r="AA6" s="509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365" t="s">
        <v>29</v>
      </c>
      <c r="B7" s="403">
        <v>152</v>
      </c>
      <c r="C7" s="403">
        <v>694</v>
      </c>
      <c r="D7" s="403">
        <v>182</v>
      </c>
      <c r="E7" s="402">
        <v>268</v>
      </c>
      <c r="F7" s="403">
        <v>0</v>
      </c>
      <c r="G7" s="402">
        <v>0</v>
      </c>
      <c r="H7" s="403">
        <v>0</v>
      </c>
      <c r="I7" s="402">
        <v>1</v>
      </c>
      <c r="J7" s="403">
        <v>0</v>
      </c>
      <c r="K7" s="402">
        <v>0</v>
      </c>
      <c r="L7" s="409">
        <v>451</v>
      </c>
      <c r="M7" s="409">
        <v>0</v>
      </c>
      <c r="N7" s="409">
        <v>2</v>
      </c>
      <c r="O7" s="402">
        <f t="shared" ref="O7:O13" si="0">D7+E7+F7+G7+H7+I7+J7+K7+N7</f>
        <v>453</v>
      </c>
      <c r="P7" s="403">
        <f t="shared" ref="P7:P13" si="1">(O7/C7)*100</f>
        <v>65.2737752161383</v>
      </c>
      <c r="Q7" s="402">
        <f t="shared" ref="Q7:Q13" si="2">(E7/O7)*100</f>
        <v>59.1611479028698</v>
      </c>
      <c r="R7" s="403">
        <f t="shared" ref="R7:R13" si="3">(D7/O7)*100</f>
        <v>40.1766004415011</v>
      </c>
      <c r="S7" s="402">
        <f t="shared" ref="S7:S13" si="4">(F7/O7)*100</f>
        <v>0</v>
      </c>
      <c r="T7" s="403">
        <f t="shared" ref="T7:T13" si="5">(G7/O7)*100</f>
        <v>0</v>
      </c>
      <c r="U7" s="402">
        <f t="shared" ref="U7:U13" si="6">((H7+I7+J7+K7)/O7)*100</f>
        <v>0.22075055187638</v>
      </c>
      <c r="V7" s="403">
        <f t="shared" ref="V7:V13" si="7">(N7/O7)*100</f>
        <v>0.441501103752759</v>
      </c>
      <c r="W7" s="402">
        <f>Q7-R7</f>
        <v>18.9845474613687</v>
      </c>
      <c r="X7" s="403">
        <f>Q7-(R7+S7+T7+U7)</f>
        <v>18.7637969094923</v>
      </c>
      <c r="Y7" s="683" t="str">
        <f>IF(AND(W7&lt;0,W7&lt;=1),"LOST",IF(AND(W7&gt;1,W7&lt;=10),"NARROW",IF(AND(W7&gt;10,W7&lt;=40),"MEDIUM",IF(AND(W7&gt;40,W7&lt;=90),"STRONG",""))))</f>
        <v>MEDIUM</v>
      </c>
      <c r="Z7" s="684" t="str">
        <f>IF(AND(P7&lt;0,P7&lt;=10),"WEAK",IF(AND(P7&gt;10,P7&lt;20),"BELOW AVG",IF(AND(P7&gt;20,P7&lt;=60),"MEDIUM",IF(AND(P7&gt;60,P7&lt;=90),"STRONG",""))))</f>
        <v>STRONG</v>
      </c>
      <c r="AA7" s="412" t="str">
        <f>IF(Q7&gt;R7,"BJP","CONGRESS")</f>
        <v>BJP</v>
      </c>
      <c r="AB7">
        <v>694</v>
      </c>
      <c r="AD7">
        <v>305</v>
      </c>
      <c r="AF7">
        <v>389</v>
      </c>
      <c r="AH7">
        <v>573</v>
      </c>
      <c r="AJ7">
        <v>20</v>
      </c>
      <c r="AL7">
        <v>101</v>
      </c>
      <c r="AN7" s="248">
        <f>(AD7/AB7)*100</f>
        <v>43.9481268011527</v>
      </c>
      <c r="AO7" s="316" t="e">
        <f>(AE7/AC7)*100</f>
        <v>#DIV/0!</v>
      </c>
      <c r="AP7" s="317">
        <f>(AF7/AB7)*100</f>
        <v>56.0518731988473</v>
      </c>
      <c r="AQ7" s="318" t="e">
        <f>(AF7/AC7)*100</f>
        <v>#DIV/0!</v>
      </c>
      <c r="AR7" s="318" t="str">
        <f>IF(AN7&gt;AP7,"MALE DOM","FEMALE DOM")</f>
        <v>FEMALE DOM</v>
      </c>
      <c r="AS7" s="319" t="e">
        <f>IF(AO7&gt;AP7,"MALE","FEMALE")</f>
        <v>#DIV/0!</v>
      </c>
      <c r="AT7" s="317">
        <f>(AH7/AB7)*100</f>
        <v>82.5648414985591</v>
      </c>
      <c r="AU7" s="317" t="e">
        <f>(AI7/AC7)*100</f>
        <v>#DIV/0!</v>
      </c>
      <c r="AV7" s="248">
        <f>(AJ7/AB7)*100</f>
        <v>2.88184438040346</v>
      </c>
      <c r="AW7" s="317" t="e">
        <f>(AK7/AC7)*100</f>
        <v>#DIV/0!</v>
      </c>
      <c r="AX7" s="248">
        <f>(AL7/AB7)*100</f>
        <v>14.5533141210375</v>
      </c>
      <c r="AY7" s="317" t="e">
        <f>(AM7/AC7)*100</f>
        <v>#DIV/0!</v>
      </c>
      <c r="AZ7" s="248" t="str">
        <f>IF(AT7&gt;(AV7+AX7),"HINDU","MINORITY")</f>
        <v>HINDU</v>
      </c>
      <c r="BA7" s="318" t="e">
        <f>IF(AU7&gt;(AW7+AY7),"HIND","MINORITY")</f>
        <v>#DIV/0!</v>
      </c>
    </row>
    <row r="8" spans="1:53">
      <c r="A8" s="638"/>
      <c r="B8" s="385">
        <v>151</v>
      </c>
      <c r="C8" s="385">
        <v>967</v>
      </c>
      <c r="D8" s="385">
        <v>149</v>
      </c>
      <c r="E8" s="386">
        <v>438</v>
      </c>
      <c r="F8" s="385">
        <v>2</v>
      </c>
      <c r="G8" s="386">
        <v>2</v>
      </c>
      <c r="H8" s="385">
        <v>0</v>
      </c>
      <c r="I8" s="386">
        <v>1</v>
      </c>
      <c r="J8" s="385">
        <v>0</v>
      </c>
      <c r="K8" s="386">
        <v>0</v>
      </c>
      <c r="L8" s="410">
        <v>592</v>
      </c>
      <c r="M8" s="410">
        <v>0</v>
      </c>
      <c r="N8" s="410">
        <v>3</v>
      </c>
      <c r="O8" s="386">
        <f t="shared" si="0"/>
        <v>595</v>
      </c>
      <c r="P8" s="385">
        <f t="shared" si="1"/>
        <v>61.5305067218201</v>
      </c>
      <c r="Q8" s="386">
        <f t="shared" si="2"/>
        <v>73.6134453781513</v>
      </c>
      <c r="R8" s="385">
        <f t="shared" si="3"/>
        <v>25.0420168067227</v>
      </c>
      <c r="S8" s="386">
        <f t="shared" si="4"/>
        <v>0.336134453781513</v>
      </c>
      <c r="T8" s="385">
        <f t="shared" si="5"/>
        <v>0.336134453781513</v>
      </c>
      <c r="U8" s="386">
        <f t="shared" si="6"/>
        <v>0.168067226890756</v>
      </c>
      <c r="V8" s="385">
        <f t="shared" si="7"/>
        <v>0.504201680672269</v>
      </c>
      <c r="W8" s="386">
        <f t="shared" ref="W8:W13" si="8">Q8-R8</f>
        <v>48.5714285714286</v>
      </c>
      <c r="X8" s="385">
        <f t="shared" ref="X8:X13" si="9">Q8-(R8+S8+T8+U8)</f>
        <v>47.7310924369748</v>
      </c>
      <c r="Y8" s="683" t="str">
        <f t="shared" ref="Y8:Y14" si="10">IF(AND(W8&lt;0,W8&lt;=1),"LOST",IF(AND(W8&gt;1,W8&lt;=10),"NARROW",IF(AND(W8&gt;10,W8&lt;=40),"MEDIUM",IF(AND(W8&gt;40,W8&lt;=90),"STRONG",""))))</f>
        <v>STRONG</v>
      </c>
      <c r="Z8" s="684" t="str">
        <f t="shared" ref="Z8:Z14" si="11">IF(AND(P8&lt;0,P8&lt;=10),"WEAK",IF(AND(P8&gt;10,P8&lt;20),"BELOW AVG",IF(AND(P8&gt;20,P8&lt;=60),"MEDIUM",IF(AND(P8&gt;60,P8&lt;=90),"STRONG",""))))</f>
        <v>STRONG</v>
      </c>
      <c r="AA8" s="412" t="str">
        <f t="shared" ref="AA8:AA14" si="12">IF(Q8&gt;R8,"BJP","CONGRESS")</f>
        <v>BJP</v>
      </c>
      <c r="AB8">
        <v>964</v>
      </c>
      <c r="AD8">
        <v>469</v>
      </c>
      <c r="AF8">
        <v>495</v>
      </c>
      <c r="AH8">
        <v>776</v>
      </c>
      <c r="AJ8">
        <v>25</v>
      </c>
      <c r="AL8">
        <v>163</v>
      </c>
      <c r="AN8" s="248">
        <f t="shared" ref="AN8:AN13" si="13">(AD8/AB8)*100</f>
        <v>48.6514522821577</v>
      </c>
      <c r="AO8" s="692" t="e">
        <f t="shared" ref="AO8:AO13" si="14">(AE8/AC8)*100</f>
        <v>#DIV/0!</v>
      </c>
      <c r="AP8" s="692">
        <f t="shared" ref="AP8:AP13" si="15">(AF8/AB8)*100</f>
        <v>51.3485477178423</v>
      </c>
      <c r="AQ8" s="318" t="e">
        <f t="shared" ref="AQ8:AQ13" si="16">(AF8/AC8)*100</f>
        <v>#DIV/0!</v>
      </c>
      <c r="AR8" s="318" t="str">
        <f t="shared" ref="AR8:AR14" si="17">IF(AN8&gt;AP8,"MALE DOM","FEMALE DOM")</f>
        <v>FEMALE DOM</v>
      </c>
      <c r="AS8" s="318" t="e">
        <f t="shared" ref="AS8:AS14" si="18">IF(AO8&gt;AP8,"MALE","FEMALE")</f>
        <v>#DIV/0!</v>
      </c>
      <c r="AT8" s="692">
        <f t="shared" ref="AT8:AT13" si="19">(AH8/AB8)*100</f>
        <v>80.4979253112033</v>
      </c>
      <c r="AU8" s="692" t="e">
        <f t="shared" ref="AU8:AU13" si="20">(AI8/AC8)*100</f>
        <v>#DIV/0!</v>
      </c>
      <c r="AV8" s="248">
        <f t="shared" ref="AV8:AV13" si="21">(AJ8/AB8)*100</f>
        <v>2.59336099585062</v>
      </c>
      <c r="AW8" s="692" t="e">
        <f t="shared" ref="AW8:AW13" si="22">(AK8/AC8)*100</f>
        <v>#DIV/0!</v>
      </c>
      <c r="AX8" s="248">
        <f t="shared" ref="AX8:AX13" si="23">(AL8/AB8)*100</f>
        <v>16.9087136929461</v>
      </c>
      <c r="AY8" s="692" t="e">
        <f t="shared" ref="AY8:AY13" si="24">(AM8/AC8)*100</f>
        <v>#DIV/0!</v>
      </c>
      <c r="AZ8" s="248" t="str">
        <f t="shared" ref="AZ8:AZ14" si="25">IF(AT8&gt;(AV8+AX8),"HINDU","MINORITY")</f>
        <v>HINDU</v>
      </c>
      <c r="BA8" s="318" t="e">
        <f t="shared" ref="BA8:BA14" si="26">IF(AU8&gt;(AW8+AY8),"HIND","MINORITY")</f>
        <v>#DIV/0!</v>
      </c>
    </row>
    <row r="9" spans="1:53">
      <c r="A9" s="638"/>
      <c r="B9" s="216">
        <v>242</v>
      </c>
      <c r="C9" s="216">
        <v>1008</v>
      </c>
      <c r="D9" s="216">
        <v>481</v>
      </c>
      <c r="E9" s="231">
        <v>174</v>
      </c>
      <c r="F9" s="216">
        <v>0</v>
      </c>
      <c r="G9" s="231">
        <v>0</v>
      </c>
      <c r="H9" s="216">
        <v>0</v>
      </c>
      <c r="I9" s="231">
        <v>1</v>
      </c>
      <c r="J9" s="216">
        <v>1</v>
      </c>
      <c r="K9" s="231">
        <v>0</v>
      </c>
      <c r="L9" s="432">
        <v>657</v>
      </c>
      <c r="M9" s="432">
        <v>0</v>
      </c>
      <c r="N9" s="432">
        <v>1</v>
      </c>
      <c r="O9" s="231">
        <f t="shared" si="0"/>
        <v>658</v>
      </c>
      <c r="P9" s="216">
        <f t="shared" si="1"/>
        <v>65.2777777777778</v>
      </c>
      <c r="Q9" s="231">
        <f t="shared" si="2"/>
        <v>26.4437689969605</v>
      </c>
      <c r="R9" s="216">
        <f t="shared" si="3"/>
        <v>73.1003039513678</v>
      </c>
      <c r="S9" s="231">
        <f t="shared" si="4"/>
        <v>0</v>
      </c>
      <c r="T9" s="216">
        <f t="shared" si="5"/>
        <v>0</v>
      </c>
      <c r="U9" s="231">
        <f t="shared" si="6"/>
        <v>0.303951367781155</v>
      </c>
      <c r="V9" s="216">
        <f t="shared" si="7"/>
        <v>0.151975683890578</v>
      </c>
      <c r="W9" s="231">
        <f t="shared" si="8"/>
        <v>-46.6565349544073</v>
      </c>
      <c r="X9" s="216">
        <f t="shared" si="9"/>
        <v>-46.9604863221884</v>
      </c>
      <c r="Y9" s="683" t="str">
        <f t="shared" si="10"/>
        <v>LOST</v>
      </c>
      <c r="Z9" s="684" t="str">
        <f t="shared" si="11"/>
        <v>STRONG</v>
      </c>
      <c r="AA9" s="412" t="str">
        <f t="shared" si="12"/>
        <v>CONGRESS</v>
      </c>
      <c r="AB9">
        <v>1004</v>
      </c>
      <c r="AD9">
        <v>488</v>
      </c>
      <c r="AF9">
        <v>516</v>
      </c>
      <c r="AH9">
        <v>337</v>
      </c>
      <c r="AJ9">
        <v>617</v>
      </c>
      <c r="AL9">
        <v>50</v>
      </c>
      <c r="AN9" s="193">
        <f t="shared" si="13"/>
        <v>48.605577689243</v>
      </c>
      <c r="AO9" s="688" t="e">
        <f t="shared" si="14"/>
        <v>#DIV/0!</v>
      </c>
      <c r="AP9" s="688">
        <f t="shared" si="15"/>
        <v>51.394422310757</v>
      </c>
      <c r="AQ9" s="667" t="e">
        <f t="shared" si="16"/>
        <v>#DIV/0!</v>
      </c>
      <c r="AR9" s="667" t="str">
        <f t="shared" si="17"/>
        <v>FEMALE DOM</v>
      </c>
      <c r="AS9" s="667" t="e">
        <f t="shared" si="18"/>
        <v>#DIV/0!</v>
      </c>
      <c r="AT9" s="688">
        <f t="shared" si="19"/>
        <v>33.5657370517928</v>
      </c>
      <c r="AU9" s="688" t="e">
        <f t="shared" si="20"/>
        <v>#DIV/0!</v>
      </c>
      <c r="AV9" s="193">
        <f t="shared" si="21"/>
        <v>61.4541832669323</v>
      </c>
      <c r="AW9" s="688" t="e">
        <f t="shared" si="22"/>
        <v>#DIV/0!</v>
      </c>
      <c r="AX9" s="193">
        <f t="shared" si="23"/>
        <v>4.9800796812749</v>
      </c>
      <c r="AY9" s="688" t="e">
        <f t="shared" si="24"/>
        <v>#DIV/0!</v>
      </c>
      <c r="AZ9" s="193" t="str">
        <f t="shared" si="25"/>
        <v>MINORITY</v>
      </c>
      <c r="BA9" s="667" t="e">
        <f t="shared" si="26"/>
        <v>#DIV/0!</v>
      </c>
    </row>
    <row r="10" spans="1:53">
      <c r="A10" s="638"/>
      <c r="B10" s="222">
        <v>243</v>
      </c>
      <c r="C10" s="222">
        <v>964</v>
      </c>
      <c r="D10" s="222">
        <v>254</v>
      </c>
      <c r="E10" s="234">
        <v>397</v>
      </c>
      <c r="F10" s="222">
        <v>3</v>
      </c>
      <c r="G10" s="234">
        <v>5</v>
      </c>
      <c r="H10" s="222">
        <v>1</v>
      </c>
      <c r="I10" s="234">
        <v>0</v>
      </c>
      <c r="J10" s="222">
        <v>0</v>
      </c>
      <c r="K10" s="234">
        <v>1</v>
      </c>
      <c r="L10" s="360">
        <v>661</v>
      </c>
      <c r="M10" s="360">
        <v>0</v>
      </c>
      <c r="N10" s="360">
        <v>5</v>
      </c>
      <c r="O10" s="234">
        <f t="shared" si="0"/>
        <v>666</v>
      </c>
      <c r="P10" s="222">
        <f t="shared" si="1"/>
        <v>69.0871369294606</v>
      </c>
      <c r="Q10" s="234">
        <f t="shared" si="2"/>
        <v>59.6096096096096</v>
      </c>
      <c r="R10" s="222">
        <f t="shared" si="3"/>
        <v>38.1381381381381</v>
      </c>
      <c r="S10" s="234">
        <f t="shared" si="4"/>
        <v>0.45045045045045</v>
      </c>
      <c r="T10" s="222">
        <f t="shared" si="5"/>
        <v>0.750750750750751</v>
      </c>
      <c r="U10" s="234">
        <f t="shared" si="6"/>
        <v>0.3003003003003</v>
      </c>
      <c r="V10" s="222">
        <f t="shared" si="7"/>
        <v>0.750750750750751</v>
      </c>
      <c r="W10" s="234">
        <f t="shared" si="8"/>
        <v>21.4714714714715</v>
      </c>
      <c r="X10" s="222">
        <f t="shared" si="9"/>
        <v>19.96996996997</v>
      </c>
      <c r="Y10" s="685" t="str">
        <f t="shared" si="10"/>
        <v>MEDIUM</v>
      </c>
      <c r="Z10" s="445" t="str">
        <f t="shared" si="11"/>
        <v>STRONG</v>
      </c>
      <c r="AA10" s="686" t="str">
        <f t="shared" si="12"/>
        <v>BJP</v>
      </c>
      <c r="AB10">
        <v>958</v>
      </c>
      <c r="AD10">
        <v>449</v>
      </c>
      <c r="AF10">
        <v>509</v>
      </c>
      <c r="AH10">
        <v>639</v>
      </c>
      <c r="AJ10">
        <v>256</v>
      </c>
      <c r="AL10">
        <v>63</v>
      </c>
      <c r="AN10" s="251">
        <f t="shared" si="13"/>
        <v>46.8684759916493</v>
      </c>
      <c r="AO10" s="693" t="e">
        <f t="shared" si="14"/>
        <v>#DIV/0!</v>
      </c>
      <c r="AP10" s="693">
        <f t="shared" si="15"/>
        <v>53.1315240083507</v>
      </c>
      <c r="AQ10" s="581" t="e">
        <f t="shared" si="16"/>
        <v>#DIV/0!</v>
      </c>
      <c r="AR10" s="581" t="str">
        <f t="shared" si="17"/>
        <v>FEMALE DOM</v>
      </c>
      <c r="AS10" s="581" t="e">
        <f t="shared" si="18"/>
        <v>#DIV/0!</v>
      </c>
      <c r="AT10" s="693">
        <f t="shared" si="19"/>
        <v>66.7014613778706</v>
      </c>
      <c r="AU10" s="693" t="e">
        <f t="shared" si="20"/>
        <v>#DIV/0!</v>
      </c>
      <c r="AV10" s="251">
        <f t="shared" si="21"/>
        <v>26.7223382045929</v>
      </c>
      <c r="AW10" s="693" t="e">
        <f t="shared" si="22"/>
        <v>#DIV/0!</v>
      </c>
      <c r="AX10" s="251">
        <f t="shared" si="23"/>
        <v>6.57620041753653</v>
      </c>
      <c r="AY10" s="693" t="e">
        <f t="shared" si="24"/>
        <v>#DIV/0!</v>
      </c>
      <c r="AZ10" s="251" t="str">
        <f t="shared" si="25"/>
        <v>HINDU</v>
      </c>
      <c r="BA10" s="581" t="e">
        <f t="shared" si="26"/>
        <v>#DIV/0!</v>
      </c>
    </row>
    <row r="11" spans="1:53">
      <c r="A11" s="638"/>
      <c r="B11" s="224">
        <v>221</v>
      </c>
      <c r="C11" s="224">
        <v>1018</v>
      </c>
      <c r="D11" s="224">
        <v>320</v>
      </c>
      <c r="E11" s="236">
        <v>275</v>
      </c>
      <c r="F11" s="224">
        <v>4</v>
      </c>
      <c r="G11" s="236">
        <v>1</v>
      </c>
      <c r="H11" s="224">
        <v>0</v>
      </c>
      <c r="I11" s="236">
        <v>0</v>
      </c>
      <c r="J11" s="224">
        <v>1</v>
      </c>
      <c r="K11" s="236">
        <v>0</v>
      </c>
      <c r="L11" s="362">
        <v>601</v>
      </c>
      <c r="M11" s="362">
        <v>0</v>
      </c>
      <c r="N11" s="362">
        <v>2</v>
      </c>
      <c r="O11" s="236">
        <f t="shared" si="0"/>
        <v>603</v>
      </c>
      <c r="P11" s="224">
        <f t="shared" si="1"/>
        <v>59.2337917485265</v>
      </c>
      <c r="Q11" s="236">
        <f t="shared" si="2"/>
        <v>45.6053067993366</v>
      </c>
      <c r="R11" s="224">
        <f t="shared" si="3"/>
        <v>53.0679933665008</v>
      </c>
      <c r="S11" s="236">
        <f t="shared" si="4"/>
        <v>0.66334991708126</v>
      </c>
      <c r="T11" s="224">
        <f t="shared" si="5"/>
        <v>0.165837479270315</v>
      </c>
      <c r="U11" s="236">
        <f t="shared" si="6"/>
        <v>0.165837479270315</v>
      </c>
      <c r="V11" s="224">
        <f t="shared" si="7"/>
        <v>0.33167495854063</v>
      </c>
      <c r="W11" s="236">
        <f t="shared" si="8"/>
        <v>-7.46268656716418</v>
      </c>
      <c r="X11" s="224">
        <f t="shared" si="9"/>
        <v>-8.45771144278608</v>
      </c>
      <c r="Y11" s="677" t="str">
        <f t="shared" si="10"/>
        <v>LOST</v>
      </c>
      <c r="Z11" s="506" t="str">
        <f t="shared" si="11"/>
        <v>MEDIUM</v>
      </c>
      <c r="AA11" s="687" t="str">
        <f t="shared" si="12"/>
        <v>CONGRESS</v>
      </c>
      <c r="AB11">
        <v>1014</v>
      </c>
      <c r="AD11">
        <v>502</v>
      </c>
      <c r="AF11">
        <v>512</v>
      </c>
      <c r="AH11">
        <v>498</v>
      </c>
      <c r="AJ11">
        <v>385</v>
      </c>
      <c r="AL11">
        <v>131</v>
      </c>
      <c r="AN11" s="689">
        <f t="shared" si="13"/>
        <v>49.5069033530572</v>
      </c>
      <c r="AO11" s="316" t="e">
        <f t="shared" si="14"/>
        <v>#DIV/0!</v>
      </c>
      <c r="AP11" s="316">
        <f t="shared" si="15"/>
        <v>50.4930966469428</v>
      </c>
      <c r="AQ11" s="319" t="e">
        <f t="shared" si="16"/>
        <v>#DIV/0!</v>
      </c>
      <c r="AR11" s="319" t="str">
        <f t="shared" si="17"/>
        <v>FEMALE DOM</v>
      </c>
      <c r="AS11" s="319" t="e">
        <f t="shared" si="18"/>
        <v>#DIV/0!</v>
      </c>
      <c r="AT11" s="316">
        <f t="shared" si="19"/>
        <v>49.112426035503</v>
      </c>
      <c r="AU11" s="316" t="e">
        <f t="shared" si="20"/>
        <v>#DIV/0!</v>
      </c>
      <c r="AV11" s="689">
        <f t="shared" si="21"/>
        <v>37.9684418145957</v>
      </c>
      <c r="AW11" s="316" t="e">
        <f t="shared" si="22"/>
        <v>#DIV/0!</v>
      </c>
      <c r="AX11" s="689">
        <f t="shared" si="23"/>
        <v>12.9191321499014</v>
      </c>
      <c r="AY11" s="316" t="e">
        <f t="shared" si="24"/>
        <v>#DIV/0!</v>
      </c>
      <c r="AZ11" s="689" t="str">
        <f t="shared" si="25"/>
        <v>MINORITY</v>
      </c>
      <c r="BA11" s="319" t="e">
        <f t="shared" si="26"/>
        <v>#DIV/0!</v>
      </c>
    </row>
    <row r="12" spans="1:53">
      <c r="A12" s="638"/>
      <c r="B12" s="224">
        <v>222</v>
      </c>
      <c r="C12" s="224">
        <v>1092</v>
      </c>
      <c r="D12" s="224">
        <v>332</v>
      </c>
      <c r="E12" s="236">
        <v>330</v>
      </c>
      <c r="F12" s="224">
        <v>2</v>
      </c>
      <c r="G12" s="236">
        <v>5</v>
      </c>
      <c r="H12" s="224">
        <v>0</v>
      </c>
      <c r="I12" s="236">
        <v>1</v>
      </c>
      <c r="J12" s="224">
        <v>2</v>
      </c>
      <c r="K12" s="236">
        <v>0</v>
      </c>
      <c r="L12" s="362">
        <v>672</v>
      </c>
      <c r="M12" s="362">
        <v>0</v>
      </c>
      <c r="N12" s="362">
        <v>3</v>
      </c>
      <c r="O12" s="236">
        <f t="shared" si="0"/>
        <v>675</v>
      </c>
      <c r="P12" s="224">
        <f t="shared" si="1"/>
        <v>61.8131868131868</v>
      </c>
      <c r="Q12" s="236">
        <f t="shared" si="2"/>
        <v>48.8888888888889</v>
      </c>
      <c r="R12" s="224">
        <f t="shared" si="3"/>
        <v>49.1851851851852</v>
      </c>
      <c r="S12" s="236">
        <f t="shared" si="4"/>
        <v>0.296296296296296</v>
      </c>
      <c r="T12" s="224">
        <f t="shared" si="5"/>
        <v>0.740740740740741</v>
      </c>
      <c r="U12" s="236">
        <f t="shared" si="6"/>
        <v>0.444444444444444</v>
      </c>
      <c r="V12" s="224">
        <f t="shared" si="7"/>
        <v>0.444444444444444</v>
      </c>
      <c r="W12" s="236">
        <f t="shared" si="8"/>
        <v>-0.296296296296305</v>
      </c>
      <c r="X12" s="224">
        <f t="shared" si="9"/>
        <v>-1.77777777777779</v>
      </c>
      <c r="Y12" s="677" t="str">
        <f t="shared" si="10"/>
        <v>LOST</v>
      </c>
      <c r="Z12" s="506" t="str">
        <f t="shared" si="11"/>
        <v>STRONG</v>
      </c>
      <c r="AA12" s="687" t="str">
        <f t="shared" si="12"/>
        <v>CONGRESS</v>
      </c>
      <c r="AB12">
        <v>1091</v>
      </c>
      <c r="AD12">
        <v>515</v>
      </c>
      <c r="AF12">
        <v>576</v>
      </c>
      <c r="AH12">
        <v>613</v>
      </c>
      <c r="AJ12">
        <v>240</v>
      </c>
      <c r="AL12">
        <v>238</v>
      </c>
      <c r="AN12" s="193">
        <f t="shared" si="13"/>
        <v>47.2043996333639</v>
      </c>
      <c r="AO12" s="688" t="e">
        <f t="shared" si="14"/>
        <v>#DIV/0!</v>
      </c>
      <c r="AP12" s="688">
        <f t="shared" si="15"/>
        <v>52.7956003666361</v>
      </c>
      <c r="AQ12" s="667" t="e">
        <f t="shared" si="16"/>
        <v>#DIV/0!</v>
      </c>
      <c r="AR12" s="667" t="str">
        <f t="shared" si="17"/>
        <v>FEMALE DOM</v>
      </c>
      <c r="AS12" s="667" t="e">
        <f t="shared" si="18"/>
        <v>#DIV/0!</v>
      </c>
      <c r="AT12" s="688">
        <f t="shared" si="19"/>
        <v>56.1869844179652</v>
      </c>
      <c r="AU12" s="688" t="e">
        <f t="shared" si="20"/>
        <v>#DIV/0!</v>
      </c>
      <c r="AV12" s="193">
        <f t="shared" si="21"/>
        <v>21.9981668194317</v>
      </c>
      <c r="AW12" s="688" t="e">
        <f t="shared" si="22"/>
        <v>#DIV/0!</v>
      </c>
      <c r="AX12" s="193">
        <f t="shared" si="23"/>
        <v>21.8148487626031</v>
      </c>
      <c r="AY12" s="688" t="e">
        <f t="shared" si="24"/>
        <v>#DIV/0!</v>
      </c>
      <c r="AZ12" s="193" t="str">
        <f t="shared" si="25"/>
        <v>HINDU</v>
      </c>
      <c r="BA12" s="318" t="e">
        <f t="shared" si="26"/>
        <v>#DIV/0!</v>
      </c>
    </row>
    <row r="13" spans="1:54">
      <c r="A13" s="638"/>
      <c r="B13" s="404">
        <v>153</v>
      </c>
      <c r="C13" s="404">
        <v>883</v>
      </c>
      <c r="D13" s="222">
        <v>189</v>
      </c>
      <c r="E13" s="505">
        <v>397</v>
      </c>
      <c r="F13" s="222">
        <v>1</v>
      </c>
      <c r="G13" s="505">
        <v>3</v>
      </c>
      <c r="H13" s="222">
        <v>0</v>
      </c>
      <c r="I13" s="505">
        <v>0</v>
      </c>
      <c r="J13" s="404">
        <v>0</v>
      </c>
      <c r="K13" s="505">
        <v>1</v>
      </c>
      <c r="L13" s="643">
        <v>591</v>
      </c>
      <c r="M13" s="643">
        <v>0</v>
      </c>
      <c r="N13" s="643">
        <v>4</v>
      </c>
      <c r="O13" s="505">
        <f t="shared" si="0"/>
        <v>595</v>
      </c>
      <c r="P13" s="404">
        <f t="shared" si="1"/>
        <v>67.3839184597961</v>
      </c>
      <c r="Q13" s="505">
        <f t="shared" si="2"/>
        <v>66.7226890756302</v>
      </c>
      <c r="R13" s="404">
        <f t="shared" si="3"/>
        <v>31.7647058823529</v>
      </c>
      <c r="S13" s="505">
        <f t="shared" si="4"/>
        <v>0.168067226890756</v>
      </c>
      <c r="T13" s="404">
        <f t="shared" si="5"/>
        <v>0.504201680672269</v>
      </c>
      <c r="U13" s="505">
        <f t="shared" si="6"/>
        <v>0.168067226890756</v>
      </c>
      <c r="V13" s="404">
        <f t="shared" si="7"/>
        <v>0.672268907563025</v>
      </c>
      <c r="W13" s="505">
        <f t="shared" si="8"/>
        <v>34.9579831932773</v>
      </c>
      <c r="X13" s="404">
        <f t="shared" si="9"/>
        <v>34.1176470588235</v>
      </c>
      <c r="Y13" s="677" t="str">
        <f t="shared" si="10"/>
        <v>MEDIUM</v>
      </c>
      <c r="Z13" s="506" t="str">
        <f t="shared" si="11"/>
        <v>STRONG</v>
      </c>
      <c r="AA13" s="687" t="str">
        <f t="shared" si="12"/>
        <v>BJP</v>
      </c>
      <c r="AB13">
        <v>880</v>
      </c>
      <c r="AD13">
        <v>417</v>
      </c>
      <c r="AF13">
        <v>462</v>
      </c>
      <c r="AH13">
        <v>722</v>
      </c>
      <c r="AJ13">
        <v>41</v>
      </c>
      <c r="AL13">
        <v>117</v>
      </c>
      <c r="AN13" s="251">
        <f t="shared" si="13"/>
        <v>47.3863636363636</v>
      </c>
      <c r="AO13" s="688" t="e">
        <f t="shared" si="14"/>
        <v>#DIV/0!</v>
      </c>
      <c r="AP13" s="688">
        <f t="shared" si="15"/>
        <v>52.5</v>
      </c>
      <c r="AQ13" s="667" t="e">
        <f t="shared" si="16"/>
        <v>#DIV/0!</v>
      </c>
      <c r="AR13" s="667" t="str">
        <f t="shared" si="17"/>
        <v>FEMALE DOM</v>
      </c>
      <c r="AS13" s="667" t="e">
        <f t="shared" si="18"/>
        <v>#DIV/0!</v>
      </c>
      <c r="AT13" s="667">
        <f t="shared" si="19"/>
        <v>82.0454545454545</v>
      </c>
      <c r="AU13" s="688" t="e">
        <f t="shared" si="20"/>
        <v>#DIV/0!</v>
      </c>
      <c r="AV13" s="193">
        <f t="shared" si="21"/>
        <v>4.65909090909091</v>
      </c>
      <c r="AW13" s="193" t="e">
        <f t="shared" si="22"/>
        <v>#DIV/0!</v>
      </c>
      <c r="AX13" s="193">
        <f t="shared" si="23"/>
        <v>13.2954545454545</v>
      </c>
      <c r="AY13" s="688" t="e">
        <f t="shared" si="24"/>
        <v>#DIV/0!</v>
      </c>
      <c r="AZ13" s="193" t="str">
        <f t="shared" si="25"/>
        <v>HINDU</v>
      </c>
      <c r="BA13" s="193" t="e">
        <f t="shared" si="26"/>
        <v>#DIV/0!</v>
      </c>
      <c r="BB13" s="412"/>
    </row>
    <row r="14" ht="21" spans="1:54">
      <c r="A14" s="642"/>
      <c r="B14" s="677"/>
      <c r="C14" s="678">
        <f>SUM(C7:C13)</f>
        <v>6626</v>
      </c>
      <c r="D14" s="679">
        <f t="shared" ref="D14:O14" si="27">SUM(D7:D13)</f>
        <v>1907</v>
      </c>
      <c r="E14" s="678">
        <f t="shared" si="27"/>
        <v>2279</v>
      </c>
      <c r="F14" s="679">
        <f t="shared" si="27"/>
        <v>12</v>
      </c>
      <c r="G14" s="680">
        <f t="shared" si="27"/>
        <v>16</v>
      </c>
      <c r="H14" s="679">
        <f t="shared" si="27"/>
        <v>1</v>
      </c>
      <c r="I14" s="681">
        <f t="shared" si="27"/>
        <v>4</v>
      </c>
      <c r="J14" s="682">
        <f t="shared" si="27"/>
        <v>4</v>
      </c>
      <c r="K14" s="681">
        <f t="shared" si="27"/>
        <v>2</v>
      </c>
      <c r="L14" s="679">
        <f t="shared" si="27"/>
        <v>4225</v>
      </c>
      <c r="M14" s="679">
        <f t="shared" si="27"/>
        <v>0</v>
      </c>
      <c r="N14" s="679">
        <f t="shared" si="27"/>
        <v>20</v>
      </c>
      <c r="O14" s="681">
        <f t="shared" si="27"/>
        <v>4245</v>
      </c>
      <c r="P14" s="682">
        <f t="shared" ref="P14:X14" si="28">AVERAGE(P7:P13)</f>
        <v>64.2285848095295</v>
      </c>
      <c r="Q14" s="681">
        <f t="shared" si="28"/>
        <v>54.2921223787781</v>
      </c>
      <c r="R14" s="682">
        <f t="shared" si="28"/>
        <v>44.3535633959669</v>
      </c>
      <c r="S14" s="681">
        <f t="shared" si="28"/>
        <v>0.273471192071468</v>
      </c>
      <c r="T14" s="682">
        <f t="shared" si="28"/>
        <v>0.356809300745084</v>
      </c>
      <c r="U14" s="681">
        <f t="shared" si="28"/>
        <v>0.253059799636301</v>
      </c>
      <c r="V14" s="682">
        <f t="shared" si="28"/>
        <v>0.470973932802065</v>
      </c>
      <c r="W14" s="681">
        <f t="shared" si="28"/>
        <v>9.93855898281118</v>
      </c>
      <c r="X14" s="682">
        <f t="shared" si="28"/>
        <v>9.05521869035833</v>
      </c>
      <c r="Y14" s="681" t="str">
        <f t="shared" si="10"/>
        <v>NARROW</v>
      </c>
      <c r="Z14" s="682" t="str">
        <f t="shared" si="11"/>
        <v>STRONG</v>
      </c>
      <c r="AA14" s="679" t="str">
        <f t="shared" si="12"/>
        <v>BJP</v>
      </c>
      <c r="AB14" s="193">
        <f>SUM(AB7:AB13)</f>
        <v>6605</v>
      </c>
      <c r="AC14" s="688"/>
      <c r="AD14" s="193">
        <f>SUM(AD7:AD13)</f>
        <v>3145</v>
      </c>
      <c r="AE14" s="688"/>
      <c r="AF14" s="193">
        <f>SUM(AF7:AF13)</f>
        <v>3459</v>
      </c>
      <c r="AG14" s="688"/>
      <c r="AH14" s="193">
        <f>SUM(AH7:AH13)</f>
        <v>4158</v>
      </c>
      <c r="AI14" s="688"/>
      <c r="AJ14" s="193">
        <f>SUM(AJ7:AJ13)</f>
        <v>1584</v>
      </c>
      <c r="AK14" s="688"/>
      <c r="AL14" s="193">
        <f>SUM(AL7:AL13)</f>
        <v>863</v>
      </c>
      <c r="AM14" s="690"/>
      <c r="AN14" s="691">
        <f>AVERAGE(AN7:AN13)</f>
        <v>47.4530427695696</v>
      </c>
      <c r="AO14" s="694">
        <f>AVERAGE(AN14)</f>
        <v>47.4530427695696</v>
      </c>
      <c r="AP14" s="693">
        <f>AVERAGE(AP7:AP13)</f>
        <v>52.5307234641966</v>
      </c>
      <c r="AQ14" s="581">
        <f>AVERAGE(AN14:AP14)</f>
        <v>49.145603001112</v>
      </c>
      <c r="AR14" s="581" t="str">
        <f t="shared" si="17"/>
        <v>FEMALE DOM</v>
      </c>
      <c r="AS14" s="581" t="str">
        <f t="shared" si="18"/>
        <v>FEMALE</v>
      </c>
      <c r="AT14" s="581">
        <f>AVERAGE(AT7:AT13)</f>
        <v>64.3821186054784</v>
      </c>
      <c r="AU14" s="693"/>
      <c r="AV14" s="251">
        <f>AVERAGE(AV7:AV13)</f>
        <v>22.6110609129854</v>
      </c>
      <c r="AW14" s="251"/>
      <c r="AX14" s="251"/>
      <c r="AY14" s="693"/>
      <c r="AZ14" s="251" t="str">
        <f t="shared" si="25"/>
        <v>HINDU</v>
      </c>
      <c r="BA14" s="251" t="str">
        <f t="shared" si="26"/>
        <v>MINORITY</v>
      </c>
      <c r="BB14" s="687"/>
    </row>
    <row r="15" spans="40:40">
      <c r="AN15" s="506"/>
    </row>
    <row r="18" spans="2:19">
      <c r="B18" s="225" t="s">
        <v>96</v>
      </c>
      <c r="C18" s="237"/>
      <c r="D18" s="237"/>
      <c r="E18" s="238"/>
      <c r="G18" s="225" t="s">
        <v>97</v>
      </c>
      <c r="H18" s="237"/>
      <c r="I18" s="237"/>
      <c r="J18" s="238"/>
      <c r="L18" s="265" t="s">
        <v>98</v>
      </c>
      <c r="M18" s="265"/>
      <c r="N18" s="265"/>
      <c r="O18" s="265"/>
      <c r="P18" s="265"/>
      <c r="Q18" s="265"/>
      <c r="R18" s="265"/>
      <c r="S18" s="265"/>
    </row>
    <row r="19" spans="2:19">
      <c r="B19" s="226"/>
      <c r="C19" s="239"/>
      <c r="D19" s="239"/>
      <c r="E19" s="240"/>
      <c r="G19" s="241"/>
      <c r="H19" s="242"/>
      <c r="I19" s="242"/>
      <c r="J19" s="243"/>
      <c r="L19" s="265"/>
      <c r="M19" s="265"/>
      <c r="N19" s="265"/>
      <c r="O19" s="265"/>
      <c r="P19" s="265"/>
      <c r="Q19" s="265"/>
      <c r="R19" s="265"/>
      <c r="S19" s="265"/>
    </row>
    <row r="20" spans="2:19">
      <c r="B20" s="227" t="s">
        <v>99</v>
      </c>
      <c r="C20" s="244"/>
      <c r="D20" s="245"/>
      <c r="E20" s="245">
        <f>COUNTIF(AA7:AA13,"BJP")</f>
        <v>4</v>
      </c>
      <c r="G20" s="246" t="s">
        <v>100</v>
      </c>
      <c r="H20" s="247"/>
      <c r="I20" s="247"/>
      <c r="J20" s="248">
        <f>COUNTIF(Y7:Y13,"NARROW")</f>
        <v>0</v>
      </c>
      <c r="L20" s="265" t="s">
        <v>101</v>
      </c>
      <c r="M20" s="265"/>
      <c r="N20" s="265"/>
      <c r="O20" s="265">
        <f>'ATTAVARA-18'!E11</f>
        <v>48.6381978677568</v>
      </c>
      <c r="P20" s="265" t="s">
        <v>102</v>
      </c>
      <c r="Q20" s="265"/>
      <c r="R20" s="265"/>
      <c r="S20" s="265">
        <f>Q14</f>
        <v>54.2921223787781</v>
      </c>
    </row>
    <row r="21" spans="2:19">
      <c r="B21" s="227"/>
      <c r="C21" s="244"/>
      <c r="D21" s="245"/>
      <c r="E21" s="245"/>
      <c r="G21" s="249"/>
      <c r="H21" s="250"/>
      <c r="I21" s="250"/>
      <c r="J21" s="251"/>
      <c r="L21" s="265"/>
      <c r="M21" s="265"/>
      <c r="N21" s="265"/>
      <c r="O21" s="265"/>
      <c r="P21" s="265"/>
      <c r="Q21" s="265"/>
      <c r="R21" s="265"/>
      <c r="S21" s="265"/>
    </row>
    <row r="22" spans="2:19">
      <c r="B22" s="227"/>
      <c r="C22" s="244"/>
      <c r="D22" s="245"/>
      <c r="E22" s="245"/>
      <c r="G22" s="252" t="s">
        <v>103</v>
      </c>
      <c r="H22" s="253"/>
      <c r="I22" s="253"/>
      <c r="J22" s="248">
        <f>COUNTIF(Y7:Y13,"MEDIUM")</f>
        <v>3</v>
      </c>
      <c r="L22" s="265" t="s">
        <v>104</v>
      </c>
      <c r="M22" s="265"/>
      <c r="N22" s="265"/>
      <c r="O22" s="265">
        <f>'ATTAVARA-18'!G11</f>
        <v>48.2972521770975</v>
      </c>
      <c r="P22" s="265" t="s">
        <v>105</v>
      </c>
      <c r="Q22" s="265"/>
      <c r="R22" s="265"/>
      <c r="S22" s="265">
        <f>R14</f>
        <v>44.3535633959669</v>
      </c>
    </row>
    <row r="23" spans="2:19">
      <c r="B23" s="228" t="s">
        <v>106</v>
      </c>
      <c r="C23" s="254"/>
      <c r="D23" s="255"/>
      <c r="E23" s="255">
        <f>COUNTIF(AA7:AA13,"CONGRESS")</f>
        <v>3</v>
      </c>
      <c r="G23" s="252"/>
      <c r="H23" s="253"/>
      <c r="I23" s="253"/>
      <c r="J23" s="251"/>
      <c r="L23" s="265"/>
      <c r="M23" s="265"/>
      <c r="N23" s="265"/>
      <c r="O23" s="265"/>
      <c r="P23" s="265"/>
      <c r="Q23" s="265"/>
      <c r="R23" s="265"/>
      <c r="S23" s="265"/>
    </row>
    <row r="24" spans="2:19">
      <c r="B24" s="229"/>
      <c r="C24" s="256"/>
      <c r="D24" s="257"/>
      <c r="E24" s="257"/>
      <c r="G24" s="258" t="s">
        <v>107</v>
      </c>
      <c r="H24" s="259"/>
      <c r="I24" s="259"/>
      <c r="J24" s="248">
        <f>COUNTIF(Y7:Y13,"STRONG")</f>
        <v>1</v>
      </c>
      <c r="L24" s="265" t="s">
        <v>108</v>
      </c>
      <c r="M24" s="265"/>
      <c r="N24" s="265"/>
      <c r="O24" s="265">
        <f>'ATTAVARA-18'!C11</f>
        <v>5252</v>
      </c>
      <c r="P24" s="265" t="s">
        <v>109</v>
      </c>
      <c r="Q24" s="265"/>
      <c r="R24" s="265"/>
      <c r="S24" s="265">
        <f>O14</f>
        <v>4245</v>
      </c>
    </row>
    <row r="25" spans="2:19">
      <c r="B25" s="230"/>
      <c r="C25" s="260"/>
      <c r="D25" s="261"/>
      <c r="E25" s="261"/>
      <c r="G25" s="262"/>
      <c r="H25" s="263"/>
      <c r="I25" s="263"/>
      <c r="J25" s="251"/>
      <c r="L25" s="265"/>
      <c r="M25" s="265"/>
      <c r="N25" s="265"/>
      <c r="O25" s="265"/>
      <c r="P25" s="265"/>
      <c r="Q25" s="265"/>
      <c r="R25" s="265"/>
      <c r="S25" s="265"/>
    </row>
    <row r="26" spans="7:19">
      <c r="G26" s="229" t="s">
        <v>110</v>
      </c>
      <c r="H26" s="256"/>
      <c r="I26" s="256"/>
      <c r="J26" s="248">
        <f>COUNTIF(Y7:Y13,"LOST")</f>
        <v>3</v>
      </c>
      <c r="L26" s="265" t="s">
        <v>111</v>
      </c>
      <c r="M26" s="265"/>
      <c r="N26" s="265"/>
      <c r="O26" s="265">
        <f>O20-O22</f>
        <v>0.340945690659282</v>
      </c>
      <c r="P26" s="265" t="s">
        <v>111</v>
      </c>
      <c r="Q26" s="265"/>
      <c r="R26" s="265"/>
      <c r="S26" s="265">
        <f>S20-S22</f>
        <v>9.93855898281117</v>
      </c>
    </row>
    <row r="27" spans="7:19">
      <c r="G27" s="230"/>
      <c r="H27" s="260"/>
      <c r="I27" s="260"/>
      <c r="J27" s="251"/>
      <c r="L27" s="265"/>
      <c r="M27" s="265"/>
      <c r="N27" s="265"/>
      <c r="O27" s="265"/>
      <c r="P27" s="265"/>
      <c r="Q27" s="265"/>
      <c r="R27" s="265"/>
      <c r="S27" s="265"/>
    </row>
    <row r="28" spans="12:18">
      <c r="L28" s="265" t="s">
        <v>112</v>
      </c>
      <c r="M28" s="265"/>
      <c r="N28" s="265"/>
      <c r="O28" s="265">
        <f>S20-O20</f>
        <v>5.65392451102129</v>
      </c>
      <c r="P28" s="265"/>
      <c r="Q28" s="265"/>
      <c r="R28" s="265"/>
    </row>
    <row r="29" spans="12:18">
      <c r="L29" s="265"/>
      <c r="M29" s="265"/>
      <c r="N29" s="265"/>
      <c r="O29" s="265"/>
      <c r="P29" s="265"/>
      <c r="Q29" s="265"/>
      <c r="R29" s="265"/>
    </row>
    <row r="30" spans="12:18">
      <c r="L30" s="265" t="s">
        <v>113</v>
      </c>
      <c r="M30" s="265"/>
      <c r="N30" s="265"/>
      <c r="O30" s="265">
        <f>S22-O22</f>
        <v>-3.9436887811306</v>
      </c>
      <c r="P30" s="265"/>
      <c r="Q30" s="265"/>
      <c r="R30" s="265"/>
    </row>
    <row r="31" spans="12:18">
      <c r="L31" s="265"/>
      <c r="M31" s="265"/>
      <c r="N31" s="265"/>
      <c r="O31" s="265"/>
      <c r="P31" s="265"/>
      <c r="Q31" s="265"/>
      <c r="R31" s="265"/>
    </row>
    <row r="32" spans="12:18">
      <c r="L32" s="265" t="s">
        <v>114</v>
      </c>
      <c r="M32" s="265"/>
      <c r="N32" s="265"/>
      <c r="O32" s="265" t="str">
        <f>IF(O28&gt;O30,"INCREASE","DECREASE")</f>
        <v>INCREASE</v>
      </c>
      <c r="P32" s="265"/>
      <c r="Q32" s="265"/>
      <c r="R32" s="265"/>
    </row>
    <row r="33" spans="12:18">
      <c r="L33" s="265"/>
      <c r="M33" s="265"/>
      <c r="N33" s="265"/>
      <c r="O33" s="265"/>
      <c r="P33" s="265"/>
      <c r="Q33" s="265"/>
      <c r="R33" s="265"/>
    </row>
    <row r="34" spans="12:19">
      <c r="L34" s="265" t="s">
        <v>115</v>
      </c>
      <c r="M34" s="265"/>
      <c r="N34" s="265"/>
      <c r="O34" s="265"/>
      <c r="P34" s="265"/>
      <c r="Q34" s="265"/>
      <c r="R34" s="265"/>
      <c r="S34" s="265"/>
    </row>
    <row r="35" spans="12:19">
      <c r="L35" s="265"/>
      <c r="M35" s="265"/>
      <c r="N35" s="265"/>
      <c r="O35" s="265"/>
      <c r="P35" s="265"/>
      <c r="Q35" s="265"/>
      <c r="R35" s="265"/>
      <c r="S35" s="265"/>
    </row>
    <row r="36" spans="12:19">
      <c r="L36" s="265"/>
      <c r="M36" s="265"/>
      <c r="N36" s="265"/>
      <c r="O36" s="265"/>
      <c r="P36" s="265"/>
      <c r="Q36" s="265"/>
      <c r="R36" s="265"/>
      <c r="S36" s="265"/>
    </row>
  </sheetData>
  <mergeCells count="93">
    <mergeCell ref="A1:A6"/>
    <mergeCell ref="B1:B6"/>
    <mergeCell ref="C1:C6"/>
    <mergeCell ref="D3:D6"/>
    <mergeCell ref="E3:E6"/>
    <mergeCell ref="E20:E22"/>
    <mergeCell ref="E23:E25"/>
    <mergeCell ref="F3:F6"/>
    <mergeCell ref="G3:G6"/>
    <mergeCell ref="H3:H6"/>
    <mergeCell ref="I3:I6"/>
    <mergeCell ref="J3:J6"/>
    <mergeCell ref="J20:J21"/>
    <mergeCell ref="J22:J23"/>
    <mergeCell ref="J24:J25"/>
    <mergeCell ref="J26:J27"/>
    <mergeCell ref="K3:K6"/>
    <mergeCell ref="L1:L6"/>
    <mergeCell ref="M1:M6"/>
    <mergeCell ref="N1:N6"/>
    <mergeCell ref="O1:O6"/>
    <mergeCell ref="O20:O21"/>
    <mergeCell ref="O22:O23"/>
    <mergeCell ref="O24:O25"/>
    <mergeCell ref="O26:O27"/>
    <mergeCell ref="P1:P6"/>
    <mergeCell ref="Q1:Q6"/>
    <mergeCell ref="R1:R6"/>
    <mergeCell ref="S1:S6"/>
    <mergeCell ref="S20:S21"/>
    <mergeCell ref="S22:S23"/>
    <mergeCell ref="S24:S25"/>
    <mergeCell ref="S26:S27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B18:E19"/>
    <mergeCell ref="B20:D22"/>
    <mergeCell ref="B23:D25"/>
    <mergeCell ref="G18:J19"/>
    <mergeCell ref="G20:I21"/>
    <mergeCell ref="P20:R21"/>
    <mergeCell ref="G22:I23"/>
    <mergeCell ref="P22:R23"/>
    <mergeCell ref="G24:I25"/>
    <mergeCell ref="P24:R25"/>
    <mergeCell ref="G26:I27"/>
    <mergeCell ref="P26:R27"/>
    <mergeCell ref="L32:N33"/>
    <mergeCell ref="O32:P33"/>
    <mergeCell ref="Q32:R33"/>
    <mergeCell ref="L34:S36"/>
    <mergeCell ref="L28:N29"/>
    <mergeCell ref="L30:N31"/>
    <mergeCell ref="O28:R29"/>
    <mergeCell ref="O30:R31"/>
    <mergeCell ref="L20:N21"/>
    <mergeCell ref="L22:N23"/>
    <mergeCell ref="L24:N25"/>
    <mergeCell ref="L26:N27"/>
    <mergeCell ref="L18:S19"/>
  </mergeCells>
  <conditionalFormatting sqref="Y7:Y14">
    <cfRule type="containsText" dxfId="0" priority="11" operator="between" text="LOST">
      <formula>NOT(ISERROR(SEARCH("LOST",Y7)))</formula>
    </cfRule>
    <cfRule type="containsText" dxfId="0" priority="12" operator="between" text="CONGRESS">
      <formula>NOT(ISERROR(SEARCH("CONGRESS",Y7)))</formula>
    </cfRule>
    <cfRule type="containsText" dxfId="1" priority="13" operator="between" text="STRONG">
      <formula>NOT(ISERROR(SEARCH("STRONG",Y7)))</formula>
    </cfRule>
    <cfRule type="containsText" dxfId="2" priority="14" operator="between" text="MEDIUM">
      <formula>NOT(ISERROR(SEARCH("MEDIUM",Y7)))</formula>
    </cfRule>
    <cfRule type="containsText" dxfId="3" priority="15" operator="between" text="NARROW">
      <formula>NOT(ISERROR(SEARCH("NARROW",Y7)))</formula>
    </cfRule>
  </conditionalFormatting>
  <conditionalFormatting sqref="Z7:Z13">
    <cfRule type="containsText" dxfId="4" priority="9" operator="between" text="MEDIUM">
      <formula>NOT(ISERROR(SEARCH("MEDIUM",Z7)))</formula>
    </cfRule>
    <cfRule type="containsText" dxfId="5" priority="10" operator="between" text="STRONG">
      <formula>NOT(ISERROR(SEARCH("STRONG",Z7)))</formula>
    </cfRule>
  </conditionalFormatting>
  <conditionalFormatting sqref="AA7:AA13">
    <cfRule type="containsText" dxfId="0" priority="7" operator="between" text="CONGRESS">
      <formula>NOT(ISERROR(SEARCH("CONGRESS",AA7)))</formula>
    </cfRule>
    <cfRule type="containsText" dxfId="1" priority="8" operator="between" text="BJP">
      <formula>NOT(ISERROR(SEARCH("BJP",AA7)))</formula>
    </cfRule>
  </conditionalFormatting>
  <conditionalFormatting sqref="AA7:AA14">
    <cfRule type="containsText" dxfId="1" priority="6" operator="between" text="BJP">
      <formula>NOT(ISERROR(SEARCH("BJP",AA7)))</formula>
    </cfRule>
  </conditionalFormatting>
  <conditionalFormatting sqref="AR7:AR14">
    <cfRule type="containsText" dxfId="6" priority="1" operator="between" text="FEMALE DOM">
      <formula>NOT(ISERROR(SEARCH("FEMALE DOM",AR7)))</formula>
    </cfRule>
  </conditionalFormatting>
  <conditionalFormatting sqref="AZ7:AZ14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4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J11"/>
  <sheetViews>
    <sheetView workbookViewId="0">
      <selection activeCell="N12" sqref="N12"/>
    </sheetView>
  </sheetViews>
  <sheetFormatPr defaultColWidth="9" defaultRowHeight="14.5"/>
  <cols>
    <col min="3" max="3" width="12.8545454545455" customWidth="1"/>
    <col min="35" max="35" width="14.8545454545455" customWidth="1"/>
    <col min="36" max="36" width="16.4272727272727" customWidth="1"/>
  </cols>
  <sheetData>
    <row r="2" ht="87" spans="1:36">
      <c r="A2" s="182" t="s">
        <v>116</v>
      </c>
      <c r="B2" s="183" t="s">
        <v>117</v>
      </c>
      <c r="C2" s="182" t="s">
        <v>118</v>
      </c>
      <c r="D2" s="182" t="s">
        <v>119</v>
      </c>
      <c r="E2" s="182" t="s">
        <v>120</v>
      </c>
      <c r="F2" s="182" t="s">
        <v>121</v>
      </c>
      <c r="G2" s="182" t="s">
        <v>122</v>
      </c>
      <c r="H2" s="182" t="s">
        <v>123</v>
      </c>
      <c r="I2" s="182" t="s">
        <v>20</v>
      </c>
      <c r="J2" s="182" t="s">
        <v>124</v>
      </c>
      <c r="K2" s="182" t="s">
        <v>125</v>
      </c>
      <c r="L2" s="187" t="s">
        <v>126</v>
      </c>
      <c r="M2" s="187" t="s">
        <v>127</v>
      </c>
      <c r="N2" s="187" t="s">
        <v>15</v>
      </c>
      <c r="O2" s="188" t="s">
        <v>118</v>
      </c>
      <c r="P2" s="188" t="s">
        <v>128</v>
      </c>
      <c r="Q2" s="188" t="s">
        <v>129</v>
      </c>
      <c r="R2" s="188" t="s">
        <v>130</v>
      </c>
      <c r="S2" s="188" t="s">
        <v>131</v>
      </c>
      <c r="T2" s="188" t="s">
        <v>132</v>
      </c>
      <c r="U2" s="188" t="s">
        <v>133</v>
      </c>
      <c r="V2" s="188" t="s">
        <v>134</v>
      </c>
      <c r="W2" s="188" t="s">
        <v>135</v>
      </c>
      <c r="X2" s="188" t="s">
        <v>136</v>
      </c>
      <c r="Y2" s="188" t="s">
        <v>137</v>
      </c>
      <c r="Z2" s="188" t="s">
        <v>138</v>
      </c>
      <c r="AA2" s="188" t="s">
        <v>139</v>
      </c>
      <c r="AB2" s="188" t="s">
        <v>140</v>
      </c>
      <c r="AC2" s="188"/>
      <c r="AD2" s="188" t="s">
        <v>141</v>
      </c>
      <c r="AE2" s="188" t="s">
        <v>142</v>
      </c>
      <c r="AF2" s="188" t="s">
        <v>143</v>
      </c>
      <c r="AG2" s="188" t="s">
        <v>144</v>
      </c>
      <c r="AH2" s="188" t="s">
        <v>145</v>
      </c>
      <c r="AI2" s="182" t="s">
        <v>146</v>
      </c>
      <c r="AJ2" s="182" t="s">
        <v>147</v>
      </c>
    </row>
    <row r="3" spans="1:36">
      <c r="A3" s="184">
        <v>138</v>
      </c>
      <c r="B3" s="185" t="s">
        <v>148</v>
      </c>
      <c r="C3" s="184">
        <v>625</v>
      </c>
      <c r="D3" s="184">
        <v>438</v>
      </c>
      <c r="E3" s="184">
        <f t="shared" ref="E3:E10" si="0">(D3/C3)*100</f>
        <v>70.08</v>
      </c>
      <c r="F3" s="184">
        <v>172</v>
      </c>
      <c r="G3" s="184">
        <f t="shared" ref="G3:G10" si="1">(F3/C3)*100</f>
        <v>27.52</v>
      </c>
      <c r="H3" s="184">
        <v>4</v>
      </c>
      <c r="I3" s="184">
        <f t="shared" ref="I3:I10" si="2">(H3/C3)*100</f>
        <v>0.64</v>
      </c>
      <c r="J3" s="184">
        <v>6</v>
      </c>
      <c r="K3" s="184">
        <f t="shared" ref="K3:K10" si="3">(J3/C3)*100</f>
        <v>0.96</v>
      </c>
      <c r="L3" s="189">
        <v>454</v>
      </c>
      <c r="M3" s="189">
        <v>471</v>
      </c>
      <c r="N3" s="189">
        <f t="shared" ref="N3:N10" si="4">L3+M3</f>
        <v>925</v>
      </c>
      <c r="O3" s="184">
        <v>625</v>
      </c>
      <c r="P3" s="190">
        <f t="shared" ref="P3:P10" si="5">O3/N3*100</f>
        <v>67.5675675675676</v>
      </c>
      <c r="Q3" s="184">
        <v>765</v>
      </c>
      <c r="R3" s="184">
        <f t="shared" ref="R3:R11" si="6">(Q3/N3)*100</f>
        <v>82.7027027027027</v>
      </c>
      <c r="S3" s="184">
        <f t="shared" ref="S3:S10" si="7">Q3-U3</f>
        <v>247</v>
      </c>
      <c r="T3" s="184">
        <f t="shared" ref="T3:T10" si="8">(S3/Q3)*100</f>
        <v>32.2875816993464</v>
      </c>
      <c r="U3" s="184">
        <v>518</v>
      </c>
      <c r="V3" s="191">
        <f t="shared" ref="V3:V10" si="9">IFERROR(U3/Q3*100,0)</f>
        <v>67.7124183006536</v>
      </c>
      <c r="W3" s="184">
        <f>925-765</f>
        <v>160</v>
      </c>
      <c r="X3" s="184">
        <f t="shared" ref="X3:X11" si="10">100-R3</f>
        <v>17.2972972972973</v>
      </c>
      <c r="Y3" s="184">
        <f t="shared" ref="Y3:Y10" si="11">W3-AA3</f>
        <v>53</v>
      </c>
      <c r="Z3" s="193">
        <f t="shared" ref="Z3:Z10" si="12">(Y3/W3)*100</f>
        <v>33.125</v>
      </c>
      <c r="AA3" s="193">
        <f>625-518</f>
        <v>107</v>
      </c>
      <c r="AB3" s="194">
        <f t="shared" ref="AB3:AB10" si="13">IFERROR(AA3/W3*100,0)</f>
        <v>66.875</v>
      </c>
      <c r="AC3" s="193">
        <f t="shared" ref="AC3:AC10" si="14">U3+AA3</f>
        <v>625</v>
      </c>
      <c r="AD3" s="193" t="str">
        <f t="shared" ref="AD3:AD10" si="15">IF(P3&gt;80,"EXCELLENT",IF(P3&gt;70,"STRONG",IF(P3&gt;60,"AVG",IF(P3&gt;50,"WEAK",IF(P3&lt;50,"VLOW")))))</f>
        <v>AVG</v>
      </c>
      <c r="AE3" s="195" t="str">
        <f t="shared" ref="AE3:AE11" si="16">IF(R3&gt;80,"EXCELLENT",IF(R3&gt;70,"STRONG",IF(R3&gt;60,"AVG",IF(R3&gt;50,"WEAK",IF(R3&lt;50,"VLOW")))))</f>
        <v>EXCELLENT</v>
      </c>
      <c r="AF3" s="193" t="str">
        <f t="shared" ref="AF3:AF11" si="17">IF(X3&gt;80,"EXCELLENT",IF(X3&gt;70,"STRONG",IF(X3&gt;60,"AVG",IF(X3&gt;50,"WEAK",IF(X3&lt;50,"VLOW")))))</f>
        <v>VLOW</v>
      </c>
      <c r="AG3" s="193" t="str">
        <f t="shared" ref="AG3:AG10" si="18">IF(M3&gt;L3,"FEMALE DOM","MEN")</f>
        <v>FEMALE DOM</v>
      </c>
      <c r="AH3" s="193" t="str">
        <f t="shared" ref="AH3:AH10" si="19">IF(T3&gt;Z3,"H","O")</f>
        <v>O</v>
      </c>
      <c r="AI3" s="197">
        <f>E3-G3</f>
        <v>42.56</v>
      </c>
      <c r="AJ3" s="199" t="str">
        <f t="shared" ref="AJ3:AJ11" si="20">IF(E3&gt;G3,"BJP GAIN","CONGRESSGAIN")</f>
        <v>BJP GAIN</v>
      </c>
    </row>
    <row r="4" spans="1:36">
      <c r="A4" s="184">
        <v>139</v>
      </c>
      <c r="B4" s="185" t="s">
        <v>149</v>
      </c>
      <c r="C4" s="184">
        <v>515</v>
      </c>
      <c r="D4" s="184">
        <v>283</v>
      </c>
      <c r="E4" s="184">
        <f t="shared" si="0"/>
        <v>54.9514563106796</v>
      </c>
      <c r="F4" s="184">
        <v>218</v>
      </c>
      <c r="G4" s="184">
        <f t="shared" si="1"/>
        <v>42.3300970873786</v>
      </c>
      <c r="H4" s="184">
        <v>1</v>
      </c>
      <c r="I4" s="184">
        <f t="shared" si="2"/>
        <v>0.194174757281553</v>
      </c>
      <c r="J4" s="184">
        <v>6</v>
      </c>
      <c r="K4" s="184">
        <f t="shared" si="3"/>
        <v>1.16504854368932</v>
      </c>
      <c r="L4" s="189">
        <v>310</v>
      </c>
      <c r="M4" s="189">
        <v>415</v>
      </c>
      <c r="N4" s="189">
        <f t="shared" si="4"/>
        <v>725</v>
      </c>
      <c r="O4" s="184">
        <v>515</v>
      </c>
      <c r="P4" s="190">
        <f t="shared" si="5"/>
        <v>71.0344827586207</v>
      </c>
      <c r="Q4" s="184">
        <v>552</v>
      </c>
      <c r="R4" s="184">
        <f t="shared" si="6"/>
        <v>76.1379310344827</v>
      </c>
      <c r="S4" s="184">
        <f t="shared" si="7"/>
        <v>121</v>
      </c>
      <c r="T4" s="184">
        <f t="shared" si="8"/>
        <v>21.9202898550725</v>
      </c>
      <c r="U4" s="184">
        <v>431</v>
      </c>
      <c r="V4" s="191">
        <f t="shared" si="9"/>
        <v>78.0797101449275</v>
      </c>
      <c r="W4" s="184">
        <v>173</v>
      </c>
      <c r="X4" s="184">
        <f t="shared" si="10"/>
        <v>23.8620689655173</v>
      </c>
      <c r="Y4" s="196">
        <f t="shared" si="11"/>
        <v>107</v>
      </c>
      <c r="Z4" s="193">
        <f t="shared" si="12"/>
        <v>61.849710982659</v>
      </c>
      <c r="AA4" s="193">
        <v>66</v>
      </c>
      <c r="AB4" s="194">
        <f t="shared" si="13"/>
        <v>38.150289017341</v>
      </c>
      <c r="AC4" s="193">
        <f t="shared" si="14"/>
        <v>497</v>
      </c>
      <c r="AD4" s="193" t="str">
        <f t="shared" si="15"/>
        <v>STRONG</v>
      </c>
      <c r="AE4" s="195" t="str">
        <f t="shared" si="16"/>
        <v>STRONG</v>
      </c>
      <c r="AF4" s="193" t="str">
        <f t="shared" si="17"/>
        <v>VLOW</v>
      </c>
      <c r="AG4" s="193" t="str">
        <f t="shared" si="18"/>
        <v>FEMALE DOM</v>
      </c>
      <c r="AH4" s="193" t="str">
        <f t="shared" si="19"/>
        <v>O</v>
      </c>
      <c r="AI4" s="197">
        <f>E4-G4</f>
        <v>12.621359223301</v>
      </c>
      <c r="AJ4" s="199" t="str">
        <f t="shared" si="20"/>
        <v>BJP GAIN</v>
      </c>
    </row>
    <row r="5" spans="1:36">
      <c r="A5" s="184">
        <v>140</v>
      </c>
      <c r="B5" s="185" t="s">
        <v>150</v>
      </c>
      <c r="C5" s="184">
        <v>611</v>
      </c>
      <c r="D5" s="184">
        <v>398</v>
      </c>
      <c r="E5" s="184">
        <f t="shared" si="0"/>
        <v>65.139116202946</v>
      </c>
      <c r="F5" s="184">
        <v>193</v>
      </c>
      <c r="G5" s="184">
        <f t="shared" si="1"/>
        <v>31.5875613747954</v>
      </c>
      <c r="H5" s="184">
        <v>4</v>
      </c>
      <c r="I5" s="184">
        <f t="shared" si="2"/>
        <v>0.654664484451719</v>
      </c>
      <c r="J5" s="184">
        <v>11</v>
      </c>
      <c r="K5" s="184">
        <f t="shared" si="3"/>
        <v>1.80032733224223</v>
      </c>
      <c r="L5" s="189">
        <v>429</v>
      </c>
      <c r="M5" s="189">
        <v>482</v>
      </c>
      <c r="N5" s="189">
        <f t="shared" si="4"/>
        <v>911</v>
      </c>
      <c r="O5" s="184">
        <v>611</v>
      </c>
      <c r="P5" s="190">
        <f t="shared" si="5"/>
        <v>67.0691547749726</v>
      </c>
      <c r="Q5" s="184"/>
      <c r="R5" s="184">
        <f t="shared" si="6"/>
        <v>0</v>
      </c>
      <c r="S5" s="192">
        <f t="shared" si="7"/>
        <v>0</v>
      </c>
      <c r="T5" s="184" t="e">
        <f t="shared" si="8"/>
        <v>#DIV/0!</v>
      </c>
      <c r="U5" s="184"/>
      <c r="V5" s="191">
        <f t="shared" si="9"/>
        <v>0</v>
      </c>
      <c r="W5" s="184"/>
      <c r="X5" s="184">
        <f t="shared" si="10"/>
        <v>100</v>
      </c>
      <c r="Y5" s="184">
        <f t="shared" si="11"/>
        <v>0</v>
      </c>
      <c r="Z5" s="193" t="e">
        <f t="shared" si="12"/>
        <v>#DIV/0!</v>
      </c>
      <c r="AA5" s="193"/>
      <c r="AB5" s="194">
        <f t="shared" si="13"/>
        <v>0</v>
      </c>
      <c r="AC5" s="193">
        <f t="shared" si="14"/>
        <v>0</v>
      </c>
      <c r="AD5" s="193" t="str">
        <f t="shared" si="15"/>
        <v>AVG</v>
      </c>
      <c r="AE5" s="195" t="str">
        <f t="shared" si="16"/>
        <v>VLOW</v>
      </c>
      <c r="AF5" s="193" t="str">
        <f t="shared" si="17"/>
        <v>EXCELLENT</v>
      </c>
      <c r="AG5" s="193" t="str">
        <f t="shared" si="18"/>
        <v>FEMALE DOM</v>
      </c>
      <c r="AH5" s="193" t="e">
        <f t="shared" si="19"/>
        <v>#DIV/0!</v>
      </c>
      <c r="AI5" s="197">
        <f>E5-G5</f>
        <v>33.5515548281506</v>
      </c>
      <c r="AJ5" s="199" t="str">
        <f t="shared" si="20"/>
        <v>BJP GAIN</v>
      </c>
    </row>
    <row r="6" spans="1:36">
      <c r="A6" s="184">
        <v>197</v>
      </c>
      <c r="B6" s="185" t="s">
        <v>151</v>
      </c>
      <c r="C6" s="184">
        <v>986</v>
      </c>
      <c r="D6" s="184">
        <v>428</v>
      </c>
      <c r="E6" s="184">
        <f t="shared" si="0"/>
        <v>43.4077079107505</v>
      </c>
      <c r="F6" s="184">
        <v>524</v>
      </c>
      <c r="G6" s="184">
        <f t="shared" si="1"/>
        <v>53.1440162271805</v>
      </c>
      <c r="H6" s="184">
        <v>6</v>
      </c>
      <c r="I6" s="184">
        <f t="shared" si="2"/>
        <v>0.608519269776876</v>
      </c>
      <c r="J6" s="184">
        <v>11</v>
      </c>
      <c r="K6" s="184">
        <f t="shared" si="3"/>
        <v>1.11561866125761</v>
      </c>
      <c r="L6" s="189">
        <v>734</v>
      </c>
      <c r="M6" s="189">
        <v>781</v>
      </c>
      <c r="N6" s="189">
        <f t="shared" si="4"/>
        <v>1515</v>
      </c>
      <c r="O6" s="184">
        <v>986</v>
      </c>
      <c r="P6" s="190">
        <f t="shared" si="5"/>
        <v>65.0825082508251</v>
      </c>
      <c r="Q6" s="184"/>
      <c r="R6" s="184">
        <f t="shared" si="6"/>
        <v>0</v>
      </c>
      <c r="S6" s="192">
        <f t="shared" si="7"/>
        <v>0</v>
      </c>
      <c r="T6" s="184" t="e">
        <f t="shared" si="8"/>
        <v>#DIV/0!</v>
      </c>
      <c r="U6" s="184"/>
      <c r="V6" s="191">
        <f t="shared" si="9"/>
        <v>0</v>
      </c>
      <c r="W6" s="184"/>
      <c r="X6" s="184">
        <f t="shared" si="10"/>
        <v>100</v>
      </c>
      <c r="Y6" s="184">
        <f t="shared" si="11"/>
        <v>0</v>
      </c>
      <c r="Z6" s="193" t="e">
        <f t="shared" si="12"/>
        <v>#DIV/0!</v>
      </c>
      <c r="AA6" s="193"/>
      <c r="AB6" s="194">
        <f t="shared" si="13"/>
        <v>0</v>
      </c>
      <c r="AC6" s="193">
        <f t="shared" si="14"/>
        <v>0</v>
      </c>
      <c r="AD6" s="193" t="str">
        <f t="shared" si="15"/>
        <v>AVG</v>
      </c>
      <c r="AE6" s="195" t="str">
        <f t="shared" si="16"/>
        <v>VLOW</v>
      </c>
      <c r="AF6" s="193" t="str">
        <f t="shared" si="17"/>
        <v>EXCELLENT</v>
      </c>
      <c r="AG6" s="193" t="str">
        <f t="shared" si="18"/>
        <v>FEMALE DOM</v>
      </c>
      <c r="AH6" s="193" t="e">
        <f t="shared" si="19"/>
        <v>#DIV/0!</v>
      </c>
      <c r="AI6" s="197">
        <f t="shared" ref="AI6:AI11" si="21">G6-E6</f>
        <v>9.73630831643001</v>
      </c>
      <c r="AJ6" s="198" t="str">
        <f t="shared" si="20"/>
        <v>CONGRESSGAIN</v>
      </c>
    </row>
    <row r="7" spans="1:36">
      <c r="A7" s="184">
        <v>198</v>
      </c>
      <c r="B7" s="185" t="s">
        <v>152</v>
      </c>
      <c r="C7" s="184">
        <v>588</v>
      </c>
      <c r="D7" s="184">
        <v>223</v>
      </c>
      <c r="E7" s="184">
        <f t="shared" si="0"/>
        <v>37.9251700680272</v>
      </c>
      <c r="F7" s="184">
        <v>337</v>
      </c>
      <c r="G7" s="184">
        <f t="shared" si="1"/>
        <v>57.312925170068</v>
      </c>
      <c r="H7" s="184">
        <v>4</v>
      </c>
      <c r="I7" s="184">
        <f t="shared" si="2"/>
        <v>0.680272108843537</v>
      </c>
      <c r="J7" s="184">
        <v>3</v>
      </c>
      <c r="K7" s="184">
        <f t="shared" si="3"/>
        <v>0.510204081632653</v>
      </c>
      <c r="L7" s="189">
        <v>461</v>
      </c>
      <c r="M7" s="189">
        <v>474</v>
      </c>
      <c r="N7" s="189">
        <f t="shared" si="4"/>
        <v>935</v>
      </c>
      <c r="O7" s="184">
        <v>588</v>
      </c>
      <c r="P7" s="190">
        <f t="shared" si="5"/>
        <v>62.8877005347594</v>
      </c>
      <c r="Q7" s="184"/>
      <c r="R7" s="184">
        <f t="shared" si="6"/>
        <v>0</v>
      </c>
      <c r="S7" s="184">
        <f t="shared" si="7"/>
        <v>0</v>
      </c>
      <c r="T7" s="184" t="e">
        <f t="shared" si="8"/>
        <v>#DIV/0!</v>
      </c>
      <c r="U7" s="184"/>
      <c r="V7" s="191">
        <f t="shared" si="9"/>
        <v>0</v>
      </c>
      <c r="W7" s="184"/>
      <c r="X7" s="184">
        <f t="shared" si="10"/>
        <v>100</v>
      </c>
      <c r="Y7" s="184">
        <f t="shared" si="11"/>
        <v>0</v>
      </c>
      <c r="Z7" s="193" t="e">
        <f t="shared" si="12"/>
        <v>#DIV/0!</v>
      </c>
      <c r="AA7" s="193"/>
      <c r="AB7" s="194">
        <f t="shared" si="13"/>
        <v>0</v>
      </c>
      <c r="AC7" s="193">
        <f t="shared" si="14"/>
        <v>0</v>
      </c>
      <c r="AD7" s="193" t="str">
        <f t="shared" si="15"/>
        <v>AVG</v>
      </c>
      <c r="AE7" s="195" t="str">
        <f t="shared" si="16"/>
        <v>VLOW</v>
      </c>
      <c r="AF7" s="193" t="str">
        <f t="shared" si="17"/>
        <v>EXCELLENT</v>
      </c>
      <c r="AG7" s="193" t="str">
        <f t="shared" si="18"/>
        <v>FEMALE DOM</v>
      </c>
      <c r="AH7" s="193" t="e">
        <f t="shared" si="19"/>
        <v>#DIV/0!</v>
      </c>
      <c r="AI7" s="197">
        <f t="shared" si="21"/>
        <v>19.3877551020408</v>
      </c>
      <c r="AJ7" s="198" t="str">
        <f t="shared" si="20"/>
        <v>CONGRESSGAIN</v>
      </c>
    </row>
    <row r="8" spans="1:36">
      <c r="A8" s="184">
        <v>199</v>
      </c>
      <c r="B8" s="185" t="s">
        <v>153</v>
      </c>
      <c r="C8" s="184">
        <v>716</v>
      </c>
      <c r="D8" s="184">
        <v>303</v>
      </c>
      <c r="E8" s="184">
        <f t="shared" si="0"/>
        <v>42.3184357541899</v>
      </c>
      <c r="F8" s="184">
        <v>392</v>
      </c>
      <c r="G8" s="184">
        <f t="shared" si="1"/>
        <v>54.7486033519553</v>
      </c>
      <c r="H8" s="184">
        <v>1</v>
      </c>
      <c r="I8" s="184">
        <f t="shared" si="2"/>
        <v>0.139664804469274</v>
      </c>
      <c r="J8" s="184">
        <v>8</v>
      </c>
      <c r="K8" s="184">
        <f t="shared" si="3"/>
        <v>1.11731843575419</v>
      </c>
      <c r="L8" s="189">
        <v>491</v>
      </c>
      <c r="M8" s="189">
        <v>574</v>
      </c>
      <c r="N8" s="189">
        <f t="shared" si="4"/>
        <v>1065</v>
      </c>
      <c r="O8" s="184">
        <v>716</v>
      </c>
      <c r="P8" s="190">
        <f t="shared" si="5"/>
        <v>67.2300469483568</v>
      </c>
      <c r="Q8" s="184"/>
      <c r="R8" s="184">
        <f t="shared" si="6"/>
        <v>0</v>
      </c>
      <c r="S8" s="184">
        <f t="shared" si="7"/>
        <v>0</v>
      </c>
      <c r="T8" s="184" t="e">
        <f t="shared" si="8"/>
        <v>#DIV/0!</v>
      </c>
      <c r="U8" s="184"/>
      <c r="V8" s="191">
        <f t="shared" si="9"/>
        <v>0</v>
      </c>
      <c r="W8" s="184"/>
      <c r="X8" s="184">
        <f t="shared" si="10"/>
        <v>100</v>
      </c>
      <c r="Y8" s="196">
        <f t="shared" si="11"/>
        <v>0</v>
      </c>
      <c r="Z8" s="193" t="e">
        <f t="shared" si="12"/>
        <v>#DIV/0!</v>
      </c>
      <c r="AA8" s="193"/>
      <c r="AB8" s="194">
        <f t="shared" si="13"/>
        <v>0</v>
      </c>
      <c r="AC8" s="193">
        <f t="shared" si="14"/>
        <v>0</v>
      </c>
      <c r="AD8" s="193" t="str">
        <f t="shared" si="15"/>
        <v>AVG</v>
      </c>
      <c r="AE8" s="195" t="str">
        <f t="shared" si="16"/>
        <v>VLOW</v>
      </c>
      <c r="AF8" s="193" t="str">
        <f t="shared" si="17"/>
        <v>EXCELLENT</v>
      </c>
      <c r="AG8" s="193" t="str">
        <f t="shared" si="18"/>
        <v>FEMALE DOM</v>
      </c>
      <c r="AH8" s="193" t="e">
        <f t="shared" si="19"/>
        <v>#DIV/0!</v>
      </c>
      <c r="AI8" s="197">
        <f t="shared" si="21"/>
        <v>12.4301675977654</v>
      </c>
      <c r="AJ8" s="198" t="str">
        <f t="shared" si="20"/>
        <v>CONGRESSGAIN</v>
      </c>
    </row>
    <row r="9" spans="1:36">
      <c r="A9" s="184">
        <v>200</v>
      </c>
      <c r="B9" s="185" t="s">
        <v>154</v>
      </c>
      <c r="C9" s="184">
        <v>561</v>
      </c>
      <c r="D9" s="184">
        <v>248</v>
      </c>
      <c r="E9" s="184">
        <f t="shared" si="0"/>
        <v>44.2067736185383</v>
      </c>
      <c r="F9" s="184">
        <v>298</v>
      </c>
      <c r="G9" s="184">
        <f t="shared" si="1"/>
        <v>53.1194295900178</v>
      </c>
      <c r="H9" s="184">
        <v>8</v>
      </c>
      <c r="I9" s="184">
        <f t="shared" si="2"/>
        <v>1.42602495543672</v>
      </c>
      <c r="J9" s="184">
        <v>2</v>
      </c>
      <c r="K9" s="184">
        <f t="shared" si="3"/>
        <v>0.35650623885918</v>
      </c>
      <c r="L9" s="189">
        <v>421</v>
      </c>
      <c r="M9" s="189">
        <v>473</v>
      </c>
      <c r="N9" s="189">
        <f t="shared" si="4"/>
        <v>894</v>
      </c>
      <c r="O9" s="184">
        <v>561</v>
      </c>
      <c r="P9" s="190">
        <f t="shared" si="5"/>
        <v>62.751677852349</v>
      </c>
      <c r="Q9" s="184"/>
      <c r="R9" s="184">
        <f t="shared" si="6"/>
        <v>0</v>
      </c>
      <c r="S9" s="184">
        <f t="shared" si="7"/>
        <v>0</v>
      </c>
      <c r="T9" s="184" t="e">
        <f t="shared" si="8"/>
        <v>#DIV/0!</v>
      </c>
      <c r="U9" s="184"/>
      <c r="V9" s="191">
        <f t="shared" si="9"/>
        <v>0</v>
      </c>
      <c r="W9" s="184"/>
      <c r="X9" s="184">
        <f t="shared" si="10"/>
        <v>100</v>
      </c>
      <c r="Y9" s="184">
        <f t="shared" si="11"/>
        <v>0</v>
      </c>
      <c r="Z9" s="193" t="e">
        <f t="shared" si="12"/>
        <v>#DIV/0!</v>
      </c>
      <c r="AA9" s="193"/>
      <c r="AB9" s="194">
        <f t="shared" si="13"/>
        <v>0</v>
      </c>
      <c r="AC9" s="193">
        <f t="shared" si="14"/>
        <v>0</v>
      </c>
      <c r="AD9" s="193" t="str">
        <f t="shared" si="15"/>
        <v>AVG</v>
      </c>
      <c r="AE9" s="195" t="str">
        <f t="shared" si="16"/>
        <v>VLOW</v>
      </c>
      <c r="AF9" s="193" t="str">
        <f t="shared" si="17"/>
        <v>EXCELLENT</v>
      </c>
      <c r="AG9" s="193" t="str">
        <f t="shared" si="18"/>
        <v>FEMALE DOM</v>
      </c>
      <c r="AH9" s="193" t="e">
        <f t="shared" si="19"/>
        <v>#DIV/0!</v>
      </c>
      <c r="AI9" s="197">
        <f t="shared" si="21"/>
        <v>8.9126559714795</v>
      </c>
      <c r="AJ9" s="198" t="str">
        <f t="shared" si="20"/>
        <v>CONGRESSGAIN</v>
      </c>
    </row>
    <row r="10" spans="1:36">
      <c r="A10" s="184">
        <v>217</v>
      </c>
      <c r="B10" s="185" t="s">
        <v>155</v>
      </c>
      <c r="C10" s="184">
        <v>650</v>
      </c>
      <c r="D10" s="184">
        <v>202</v>
      </c>
      <c r="E10" s="184">
        <f t="shared" si="0"/>
        <v>31.0769230769231</v>
      </c>
      <c r="F10" s="184">
        <v>433</v>
      </c>
      <c r="G10" s="184">
        <f t="shared" si="1"/>
        <v>66.6153846153846</v>
      </c>
      <c r="H10" s="184">
        <v>3</v>
      </c>
      <c r="I10" s="184">
        <f t="shared" si="2"/>
        <v>0.461538461538462</v>
      </c>
      <c r="J10" s="184">
        <v>1</v>
      </c>
      <c r="K10" s="184">
        <f t="shared" si="3"/>
        <v>0.153846153846154</v>
      </c>
      <c r="L10" s="189">
        <v>500</v>
      </c>
      <c r="M10" s="189">
        <v>522</v>
      </c>
      <c r="N10" s="189">
        <f t="shared" si="4"/>
        <v>1022</v>
      </c>
      <c r="O10" s="184">
        <v>650</v>
      </c>
      <c r="P10" s="190">
        <f t="shared" si="5"/>
        <v>63.600782778865</v>
      </c>
      <c r="Q10" s="184"/>
      <c r="R10" s="184">
        <f t="shared" si="6"/>
        <v>0</v>
      </c>
      <c r="S10" s="192">
        <f t="shared" si="7"/>
        <v>0</v>
      </c>
      <c r="T10" s="184" t="e">
        <f t="shared" si="8"/>
        <v>#DIV/0!</v>
      </c>
      <c r="U10" s="184"/>
      <c r="V10" s="191">
        <f t="shared" si="9"/>
        <v>0</v>
      </c>
      <c r="W10" s="184"/>
      <c r="X10" s="184">
        <f t="shared" si="10"/>
        <v>100</v>
      </c>
      <c r="Y10" s="196">
        <f t="shared" si="11"/>
        <v>0</v>
      </c>
      <c r="Z10" s="193" t="e">
        <f t="shared" si="12"/>
        <v>#DIV/0!</v>
      </c>
      <c r="AA10" s="193"/>
      <c r="AB10" s="194">
        <f t="shared" si="13"/>
        <v>0</v>
      </c>
      <c r="AC10" s="193">
        <f t="shared" si="14"/>
        <v>0</v>
      </c>
      <c r="AD10" s="193" t="str">
        <f t="shared" si="15"/>
        <v>AVG</v>
      </c>
      <c r="AE10" s="195" t="str">
        <f t="shared" si="16"/>
        <v>VLOW</v>
      </c>
      <c r="AF10" s="193" t="str">
        <f t="shared" si="17"/>
        <v>EXCELLENT</v>
      </c>
      <c r="AG10" s="193" t="str">
        <f t="shared" si="18"/>
        <v>FEMALE DOM</v>
      </c>
      <c r="AH10" s="193" t="e">
        <f t="shared" si="19"/>
        <v>#DIV/0!</v>
      </c>
      <c r="AI10" s="197">
        <f t="shared" si="21"/>
        <v>35.5384615384616</v>
      </c>
      <c r="AJ10" s="198" t="str">
        <f t="shared" si="20"/>
        <v>CONGRESSGAIN</v>
      </c>
    </row>
    <row r="11" spans="3:36">
      <c r="C11">
        <f>SUM(C3:C10)</f>
        <v>5252</v>
      </c>
      <c r="D11">
        <f>SUM(D3:D10)</f>
        <v>2523</v>
      </c>
      <c r="E11" s="186">
        <f>AVERAGE(E3:E10)</f>
        <v>48.6381978677568</v>
      </c>
      <c r="F11">
        <f>SUM(F3:F10)</f>
        <v>2567</v>
      </c>
      <c r="G11" s="186">
        <f>AVERAGE(G3:G10)</f>
        <v>48.2972521770975</v>
      </c>
      <c r="H11">
        <f>SUM(H3:H10)</f>
        <v>31</v>
      </c>
      <c r="I11" s="186">
        <f>AVERAGE(I3:I10)</f>
        <v>0.600607355224768</v>
      </c>
      <c r="J11">
        <f>SUM(J3:J10)</f>
        <v>48</v>
      </c>
      <c r="K11" s="186">
        <f>AVERAGE(K3:K10)</f>
        <v>0.897358680910166</v>
      </c>
      <c r="N11" s="668">
        <f>SUM(N3:N10)</f>
        <v>7992</v>
      </c>
      <c r="R11" s="186">
        <f t="shared" si="6"/>
        <v>0</v>
      </c>
      <c r="X11" s="186">
        <f t="shared" si="10"/>
        <v>100</v>
      </c>
      <c r="AE11" s="676" t="str">
        <f t="shared" si="16"/>
        <v>VLOW</v>
      </c>
      <c r="AF11" s="569" t="str">
        <f t="shared" si="17"/>
        <v>EXCELLENT</v>
      </c>
      <c r="AI11" s="329">
        <f t="shared" si="21"/>
        <v>-0.340945690659282</v>
      </c>
      <c r="AJ11" s="200" t="str">
        <f t="shared" si="20"/>
        <v>BJP GAIN</v>
      </c>
    </row>
  </sheetData>
  <conditionalFormatting sqref="AD10">
    <cfRule type="containsText" dxfId="8" priority="15" operator="between" text="AVG">
      <formula>NOT(ISERROR(SEARCH("AVG",AD10)))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NOT(ISERROR(SEARCH("VSTRONG",AD10)))</formula>
    </cfRule>
    <cfRule type="containsText" dxfId="10" priority="5" operator="between" text="AVG">
      <formula>NOT(ISERROR(SEARCH("AVG",AD10)))</formula>
    </cfRule>
  </conditionalFormatting>
  <conditionalFormatting sqref="AE10">
    <cfRule type="containsText" dxfId="3" priority="9" operator="between" text="STRONG">
      <formula>NOT(ISERROR(SEARCH("STRONG",AE10)))</formula>
    </cfRule>
    <cfRule type="containsText" dxfId="1" priority="7" operator="between" text="VSTRONG">
      <formula>NOT(ISERROR(SEARCH("VSTRONG",AE10)))</formula>
    </cfRule>
  </conditionalFormatting>
  <conditionalFormatting sqref="AE10:AF10">
    <cfRule type="containsText" dxfId="2" priority="8" operator="between" text="AVG">
      <formula>NOT(ISERROR(SEARCH("AVG",AE10)))</formula>
    </cfRule>
  </conditionalFormatting>
  <conditionalFormatting sqref="AF10">
    <cfRule type="cellIs" dxfId="11" priority="3" operator="equal">
      <formula>"VWEAK"</formula>
    </cfRule>
    <cfRule type="containsText" dxfId="0" priority="2" operator="between" text="VSTRONG">
      <formula>NOT(ISERROR(SEARCH("VSTRONG",AF10)))</formula>
    </cfRule>
  </conditionalFormatting>
  <conditionalFormatting sqref="AG10">
    <cfRule type="containsText" dxfId="10" priority="1" operator="between" text="MEN">
      <formula>NOT(ISERROR(SEARCH("MEN",AG10)))</formula>
    </cfRule>
    <cfRule type="containsText" dxfId="12" priority="6" operator="between" text="FEMALE DOM">
      <formula>NOT(ISERROR(SEARCH("FEMALE DOM",AG10)))</formula>
    </cfRule>
  </conditionalFormatting>
  <conditionalFormatting sqref="AH10">
    <cfRule type="containsText" dxfId="0" priority="12" operator="between" text="O">
      <formula>NOT(ISERROR(SEARCH("O",AH10)))</formula>
    </cfRule>
    <cfRule type="containsText" dxfId="3" priority="10" operator="between" text="H">
      <formula>NOT(ISERROR(SEARCH("H",AH10)))</formula>
    </cfRule>
    <cfRule type="containsText" dxfId="13" priority="11" operator="between" text="H">
      <formula>NOT(ISERROR(SEARCH("H",AH10)))</formula>
    </cfRule>
    <cfRule type="containsText" dxfId="1" priority="4" operator="between" text="H">
      <formula>NOT(ISERROR(SEARCH("H",AH10)))</formula>
    </cfRule>
  </conditionalFormatting>
  <conditionalFormatting sqref="AD3:AD5">
    <cfRule type="containsText" dxfId="8" priority="45" operator="between" text="AVG">
      <formula>NOT(ISERROR(SEARCH("AVG",AD3)))</formula>
    </cfRule>
    <cfRule type="cellIs" dxfId="9" priority="44" operator="equal">
      <formula>"STRONG"</formula>
    </cfRule>
    <cfRule type="containsText" dxfId="3" priority="43" operator="between" text="VSTRONG">
      <formula>NOT(ISERROR(SEARCH("VSTRONG",AD3)))</formula>
    </cfRule>
    <cfRule type="containsText" dxfId="10" priority="35" operator="between" text="AVG">
      <formula>NOT(ISERROR(SEARCH("AVG",AD3)))</formula>
    </cfRule>
  </conditionalFormatting>
  <conditionalFormatting sqref="AD6:AD9">
    <cfRule type="containsText" dxfId="8" priority="30" operator="between" text="AVG">
      <formula>NOT(ISERROR(SEARCH("AVG",AD6)))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NOT(ISERROR(SEARCH("VSTRONG",AD6)))</formula>
    </cfRule>
    <cfRule type="containsText" dxfId="10" priority="20" operator="between" text="AVG">
      <formula>NOT(ISERROR(SEARCH("AVG",AD6)))</formula>
    </cfRule>
  </conditionalFormatting>
  <conditionalFormatting sqref="AE3:AE5">
    <cfRule type="containsText" dxfId="3" priority="39" operator="between" text="STRONG">
      <formula>NOT(ISERROR(SEARCH("STRONG",AE3)))</formula>
    </cfRule>
    <cfRule type="containsText" dxfId="1" priority="37" operator="between" text="VSTRONG">
      <formula>NOT(ISERROR(SEARCH("VSTRONG",AE3)))</formula>
    </cfRule>
  </conditionalFormatting>
  <conditionalFormatting sqref="AF3:AF5">
    <cfRule type="cellIs" dxfId="11" priority="33" operator="equal">
      <formula>"VWEAK"</formula>
    </cfRule>
    <cfRule type="containsText" dxfId="0" priority="32" operator="between" text="VSTRONG">
      <formula>NOT(ISERROR(SEARCH("VSTRONG",AF3)))</formula>
    </cfRule>
  </conditionalFormatting>
  <conditionalFormatting sqref="AG3:AG5">
    <cfRule type="containsText" dxfId="12" priority="36" operator="between" text="FEMALE DOM">
      <formula>NOT(ISERROR(SEARCH("FEMALE DOM",AG3)))</formula>
    </cfRule>
    <cfRule type="containsText" dxfId="10" priority="31" operator="between" text="MEN">
      <formula>NOT(ISERROR(SEARCH("MEN",AG3)))</formula>
    </cfRule>
  </conditionalFormatting>
  <conditionalFormatting sqref="AG6:AG9">
    <cfRule type="containsText" dxfId="12" priority="21" operator="between" text="FEMALE DOM">
      <formula>NOT(ISERROR(SEARCH("FEMALE DOM",AG6)))</formula>
    </cfRule>
    <cfRule type="containsText" dxfId="10" priority="16" operator="between" text="MEN">
      <formula>NOT(ISERROR(SEARCH("MEN",AG6)))</formula>
    </cfRule>
  </conditionalFormatting>
  <conditionalFormatting sqref="AH3:AH5">
    <cfRule type="containsText" dxfId="0" priority="42" operator="between" text="O">
      <formula>NOT(ISERROR(SEARCH("O",AH3)))</formula>
    </cfRule>
    <cfRule type="containsText" dxfId="3" priority="40" operator="between" text="H">
      <formula>NOT(ISERROR(SEARCH("H",AH3)))</formula>
    </cfRule>
    <cfRule type="containsText" dxfId="13" priority="41" operator="between" text="H">
      <formula>NOT(ISERROR(SEARCH("H",AH3)))</formula>
    </cfRule>
    <cfRule type="containsText" dxfId="1" priority="34" operator="between" text="H">
      <formula>NOT(ISERROR(SEARCH("H",AH3)))</formula>
    </cfRule>
  </conditionalFormatting>
  <conditionalFormatting sqref="AH6:AH9">
    <cfRule type="containsText" dxfId="0" priority="27" operator="between" text="O">
      <formula>NOT(ISERROR(SEARCH("O",AH6)))</formula>
    </cfRule>
    <cfRule type="containsText" dxfId="3" priority="25" operator="between" text="H">
      <formula>NOT(ISERROR(SEARCH("H",AH6)))</formula>
    </cfRule>
    <cfRule type="containsText" dxfId="13" priority="26" operator="between" text="H">
      <formula>NOT(ISERROR(SEARCH("H",AH6)))</formula>
    </cfRule>
    <cfRule type="containsText" dxfId="1" priority="19" operator="between" text="H">
      <formula>NOT(ISERROR(SEARCH("H",AH6)))</formula>
    </cfRule>
  </conditionalFormatting>
  <conditionalFormatting sqref="AE3:AF5">
    <cfRule type="containsText" dxfId="2" priority="38" operator="between" text="AVG">
      <formula>NOT(ISERROR(SEARCH("AVG",AE3)))</formula>
    </cfRule>
  </conditionalFormatting>
  <conditionalFormatting sqref="AE6:AE9 AE11">
    <cfRule type="containsText" dxfId="3" priority="24" operator="between" text="STRONG">
      <formula>NOT(ISERROR(SEARCH("STRONG",AE6)))</formula>
    </cfRule>
    <cfRule type="containsText" dxfId="1" priority="22" operator="between" text="VSTRONG">
      <formula>NOT(ISERROR(SEARCH("VSTRONG",AE6)))</formula>
    </cfRule>
  </conditionalFormatting>
  <conditionalFormatting sqref="AE6:AF9 AE11:AF11">
    <cfRule type="containsText" dxfId="2" priority="23" operator="between" text="AVG">
      <formula>NOT(ISERROR(SEARCH("AVG",AE6)))</formula>
    </cfRule>
  </conditionalFormatting>
  <conditionalFormatting sqref="AF6:AF9 AF11">
    <cfRule type="cellIs" dxfId="11" priority="18" operator="equal">
      <formula>"VWEAK"</formula>
    </cfRule>
    <cfRule type="containsText" dxfId="0" priority="17" operator="between" text="VSTRONG">
      <formula>NOT(ISERROR(SEARCH("VSTRONG",AF6)))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40"/>
  <sheetViews>
    <sheetView workbookViewId="0">
      <selection activeCell="D7" sqref="D7:D14"/>
    </sheetView>
  </sheetViews>
  <sheetFormatPr defaultColWidth="9" defaultRowHeight="14.5"/>
  <cols>
    <col min="25" max="25" width="14.5727272727273" customWidth="1"/>
    <col min="26" max="26" width="13.7090909090909" customWidth="1"/>
    <col min="44" max="44" width="12.8545454545455" customWidth="1"/>
  </cols>
  <sheetData>
    <row r="1" spans="1:53">
      <c r="A1" s="374" t="s">
        <v>16</v>
      </c>
      <c r="B1" s="488" t="s">
        <v>0</v>
      </c>
      <c r="C1" s="488" t="s">
        <v>15</v>
      </c>
      <c r="D1" s="488" t="s">
        <v>1</v>
      </c>
      <c r="E1" s="489"/>
      <c r="F1" s="489"/>
      <c r="G1" s="489"/>
      <c r="H1" s="489"/>
      <c r="I1" s="489"/>
      <c r="J1" s="489"/>
      <c r="K1" s="266"/>
      <c r="L1" s="489" t="s">
        <v>2</v>
      </c>
      <c r="M1" s="488" t="s">
        <v>3</v>
      </c>
      <c r="N1" s="374" t="s">
        <v>4</v>
      </c>
      <c r="O1" s="266" t="s">
        <v>5</v>
      </c>
      <c r="P1" s="374" t="s">
        <v>17</v>
      </c>
      <c r="Q1" s="672" t="s">
        <v>18</v>
      </c>
      <c r="R1" s="489" t="s">
        <v>19</v>
      </c>
      <c r="S1" s="487" t="s">
        <v>20</v>
      </c>
      <c r="T1" s="487" t="s">
        <v>21</v>
      </c>
      <c r="U1" s="489" t="s">
        <v>22</v>
      </c>
      <c r="V1" s="487" t="s">
        <v>23</v>
      </c>
      <c r="W1" s="374" t="s">
        <v>156</v>
      </c>
      <c r="X1" s="266" t="s">
        <v>157</v>
      </c>
      <c r="Y1" s="266" t="s">
        <v>158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375"/>
      <c r="B2" s="491"/>
      <c r="C2" s="491"/>
      <c r="D2" s="670"/>
      <c r="E2" s="671"/>
      <c r="F2" s="671"/>
      <c r="G2" s="671"/>
      <c r="H2" s="671"/>
      <c r="I2" s="671"/>
      <c r="J2" s="671"/>
      <c r="K2" s="661"/>
      <c r="L2" s="492"/>
      <c r="M2" s="491"/>
      <c r="N2" s="375"/>
      <c r="O2" s="272"/>
      <c r="P2" s="375"/>
      <c r="Q2" s="673"/>
      <c r="R2" s="492"/>
      <c r="S2" s="490"/>
      <c r="T2" s="490"/>
      <c r="U2" s="492"/>
      <c r="V2" s="490"/>
      <c r="W2" s="375"/>
      <c r="X2" s="272"/>
      <c r="Y2" s="272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375"/>
      <c r="B3" s="491"/>
      <c r="C3" s="491"/>
      <c r="D3" s="488" t="s">
        <v>7</v>
      </c>
      <c r="E3" s="374" t="s">
        <v>8</v>
      </c>
      <c r="F3" s="266" t="s">
        <v>9</v>
      </c>
      <c r="G3" s="492" t="s">
        <v>10</v>
      </c>
      <c r="H3" s="374" t="s">
        <v>11</v>
      </c>
      <c r="I3" s="374" t="s">
        <v>12</v>
      </c>
      <c r="J3" s="492" t="s">
        <v>9</v>
      </c>
      <c r="K3" s="272" t="s">
        <v>13</v>
      </c>
      <c r="L3" s="492"/>
      <c r="M3" s="491"/>
      <c r="N3" s="375"/>
      <c r="O3" s="272"/>
      <c r="P3" s="375"/>
      <c r="Q3" s="673"/>
      <c r="R3" s="492"/>
      <c r="S3" s="490"/>
      <c r="T3" s="490"/>
      <c r="U3" s="492"/>
      <c r="V3" s="490"/>
      <c r="W3" s="375"/>
      <c r="X3" s="272"/>
      <c r="Y3" s="272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375"/>
      <c r="B4" s="491"/>
      <c r="C4" s="491"/>
      <c r="D4" s="491"/>
      <c r="E4" s="375"/>
      <c r="F4" s="272"/>
      <c r="G4" s="492"/>
      <c r="H4" s="375"/>
      <c r="I4" s="375"/>
      <c r="J4" s="492"/>
      <c r="K4" s="272"/>
      <c r="L4" s="492"/>
      <c r="M4" s="491"/>
      <c r="N4" s="375"/>
      <c r="O4" s="272"/>
      <c r="P4" s="375"/>
      <c r="Q4" s="673"/>
      <c r="R4" s="492"/>
      <c r="S4" s="490"/>
      <c r="T4" s="490"/>
      <c r="U4" s="492"/>
      <c r="V4" s="490"/>
      <c r="W4" s="375"/>
      <c r="X4" s="272"/>
      <c r="Y4" s="272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375"/>
      <c r="B5" s="491"/>
      <c r="C5" s="491"/>
      <c r="D5" s="491"/>
      <c r="E5" s="375"/>
      <c r="F5" s="272"/>
      <c r="G5" s="492"/>
      <c r="H5" s="375"/>
      <c r="I5" s="375"/>
      <c r="J5" s="492"/>
      <c r="K5" s="272"/>
      <c r="L5" s="492"/>
      <c r="M5" s="491"/>
      <c r="N5" s="375"/>
      <c r="O5" s="272"/>
      <c r="P5" s="375"/>
      <c r="Q5" s="673"/>
      <c r="R5" s="492"/>
      <c r="S5" s="490"/>
      <c r="T5" s="490"/>
      <c r="U5" s="492"/>
      <c r="V5" s="490"/>
      <c r="W5" s="375"/>
      <c r="X5" s="272"/>
      <c r="Y5" s="272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376"/>
      <c r="B6" s="491"/>
      <c r="C6" s="491"/>
      <c r="D6" s="491"/>
      <c r="E6" s="375"/>
      <c r="F6" s="272"/>
      <c r="G6" s="492"/>
      <c r="H6" s="375"/>
      <c r="I6" s="375"/>
      <c r="J6" s="492"/>
      <c r="K6" s="272"/>
      <c r="L6" s="492"/>
      <c r="M6" s="491"/>
      <c r="N6" s="375"/>
      <c r="O6" s="272"/>
      <c r="P6" s="376"/>
      <c r="Q6" s="673"/>
      <c r="R6" s="492"/>
      <c r="S6" s="674"/>
      <c r="T6" s="674"/>
      <c r="U6" s="492"/>
      <c r="V6" s="674"/>
      <c r="W6" s="376"/>
      <c r="X6" s="661"/>
      <c r="Y6" s="661"/>
      <c r="Z6" s="661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401" t="s">
        <v>28</v>
      </c>
      <c r="B7" s="531">
        <v>188</v>
      </c>
      <c r="C7" s="531">
        <v>1077</v>
      </c>
      <c r="D7" s="531">
        <v>250</v>
      </c>
      <c r="E7" s="345">
        <v>476</v>
      </c>
      <c r="F7" s="573">
        <v>2</v>
      </c>
      <c r="G7" s="574">
        <v>0</v>
      </c>
      <c r="H7" s="345">
        <v>0</v>
      </c>
      <c r="I7" s="345">
        <v>0</v>
      </c>
      <c r="J7" s="574">
        <v>0</v>
      </c>
      <c r="K7" s="573">
        <v>1</v>
      </c>
      <c r="L7" s="574">
        <v>729</v>
      </c>
      <c r="M7" s="531">
        <v>0</v>
      </c>
      <c r="N7" s="345">
        <v>4</v>
      </c>
      <c r="O7" s="573">
        <f t="shared" ref="O7:O13" si="0">D7+E7+F7+G7+H7+I7+J7+K7+N7</f>
        <v>733</v>
      </c>
      <c r="P7" s="345">
        <f t="shared" ref="P7:P13" si="1">(O7/C7)*100</f>
        <v>68.0594243268338</v>
      </c>
      <c r="Q7" s="573">
        <f t="shared" ref="Q7:Q13" si="2">(E7/O7)*100</f>
        <v>64.9386084583902</v>
      </c>
      <c r="R7" s="574">
        <f t="shared" ref="R7:R13" si="3">(D7/O7)*100</f>
        <v>34.106412005457</v>
      </c>
      <c r="S7" s="345">
        <f t="shared" ref="S7:S13" si="4">(F7/O7)*100</f>
        <v>0.272851296043656</v>
      </c>
      <c r="T7" s="345">
        <f t="shared" ref="T7:T13" si="5">(G7/O7)*100</f>
        <v>0</v>
      </c>
      <c r="U7" s="574">
        <f t="shared" ref="U7:U13" si="6">((H7+I7+J7+K7)/O7)*100</f>
        <v>0.136425648021828</v>
      </c>
      <c r="V7" s="345">
        <f t="shared" ref="V7:V13" si="7">(N7/O7)*100</f>
        <v>0.545702592087312</v>
      </c>
      <c r="W7" s="345">
        <f>Q7-R7</f>
        <v>30.8321964529332</v>
      </c>
      <c r="X7" s="573">
        <f>Q7-(R7+S7+T7+U7)</f>
        <v>30.4229195088677</v>
      </c>
      <c r="Y7" s="667" t="str">
        <f>IF(AND(W7&lt;0,W7&lt;=1),"LOST",IF(AND(W7&gt;1,W7&lt;=10),"NARROW",IF(AND(W7&gt;10,W7&lt;=40),"MEDIUM",IF(AND(W7&gt;40,W7&lt;=90),"STRONG",""))))</f>
        <v>MEDIUM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1068</v>
      </c>
      <c r="AC7">
        <v>725</v>
      </c>
      <c r="AD7">
        <v>511</v>
      </c>
      <c r="AE7">
        <v>344</v>
      </c>
      <c r="AF7">
        <v>556</v>
      </c>
      <c r="AG7">
        <v>381</v>
      </c>
      <c r="AH7">
        <v>778</v>
      </c>
      <c r="AI7">
        <v>565</v>
      </c>
      <c r="AJ7">
        <v>59</v>
      </c>
      <c r="AK7">
        <v>27</v>
      </c>
      <c r="AL7">
        <v>231</v>
      </c>
      <c r="AM7">
        <v>133</v>
      </c>
      <c r="AN7" s="248">
        <f>(AD7/AB7)*100</f>
        <v>47.8464419475655</v>
      </c>
      <c r="AO7" s="316">
        <f>(AE7/AC7)*100</f>
        <v>47.448275862069</v>
      </c>
      <c r="AP7" s="317">
        <f>(AF7/AB7)*100</f>
        <v>52.059925093633</v>
      </c>
      <c r="AQ7" s="318">
        <f>(AG7/AC7)*100</f>
        <v>52.551724137931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72.8464419475655</v>
      </c>
      <c r="AU7" s="317">
        <f>(AI7/AC7)*100</f>
        <v>77.9310344827586</v>
      </c>
      <c r="AV7" s="248">
        <f>(AJ7/AB7)*100</f>
        <v>5.52434456928839</v>
      </c>
      <c r="AW7" s="317">
        <f>(AK7/AC7)*100</f>
        <v>3.72413793103448</v>
      </c>
      <c r="AX7" s="248">
        <f>(AL7/AB7)*100</f>
        <v>21.6292134831461</v>
      </c>
      <c r="AY7" s="317">
        <f>(AM7/AC7)*100</f>
        <v>18.3448275862069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2:53">
      <c r="B8" s="227">
        <v>187</v>
      </c>
      <c r="C8" s="227">
        <v>1008</v>
      </c>
      <c r="D8" s="227">
        <v>135</v>
      </c>
      <c r="E8" s="335">
        <v>583</v>
      </c>
      <c r="F8" s="245">
        <v>3</v>
      </c>
      <c r="G8" s="244">
        <v>7</v>
      </c>
      <c r="H8" s="335">
        <v>0</v>
      </c>
      <c r="I8" s="335">
        <v>0</v>
      </c>
      <c r="J8" s="244">
        <v>0</v>
      </c>
      <c r="K8" s="245">
        <v>1</v>
      </c>
      <c r="L8" s="244">
        <v>729</v>
      </c>
      <c r="M8" s="227">
        <v>0</v>
      </c>
      <c r="N8" s="335">
        <v>4</v>
      </c>
      <c r="O8" s="245">
        <f t="shared" si="0"/>
        <v>733</v>
      </c>
      <c r="P8" s="335">
        <f t="shared" si="1"/>
        <v>72.718253968254</v>
      </c>
      <c r="Q8" s="245">
        <f t="shared" si="2"/>
        <v>79.5361527967258</v>
      </c>
      <c r="R8" s="244">
        <f t="shared" si="3"/>
        <v>18.4174624829468</v>
      </c>
      <c r="S8" s="335">
        <f t="shared" si="4"/>
        <v>0.409276944065484</v>
      </c>
      <c r="T8" s="335">
        <f t="shared" si="5"/>
        <v>0.954979536152797</v>
      </c>
      <c r="U8" s="244">
        <f t="shared" si="6"/>
        <v>0.136425648021828</v>
      </c>
      <c r="V8" s="335">
        <f t="shared" si="7"/>
        <v>0.545702592087312</v>
      </c>
      <c r="W8" s="335">
        <f t="shared" ref="W8:W13" si="8">Q8-R8</f>
        <v>61.118690313779</v>
      </c>
      <c r="X8" s="245">
        <f t="shared" ref="X8:X13" si="9">Q8-(R8+S8+T8+U8)</f>
        <v>59.6180081855389</v>
      </c>
      <c r="Y8" s="319" t="str">
        <f t="shared" ref="Y8:Y14" si="10">IF(AND(W8&lt;0,W8&lt;=1),"LOST",IF(AND(W8&gt;1,W8&lt;=10),"NARROW",IF(AND(W8&gt;10,W8&lt;=40),"MEDIUM",IF(AND(W8&gt;40,W8&lt;=90),"STRONG",""))))</f>
        <v>STRONG</v>
      </c>
      <c r="Z8" s="448" t="str">
        <f t="shared" ref="Z8:Z14" si="11">IF(AND(P8&lt;0,P8&lt;=10),"WEAK",IF(AND(P8&gt;10,P8&lt;20),"BELOW AVG",IF(AND(P8&gt;20,P8&lt;=60),"MEDIUM",IF(AND(P8&gt;60,P8&lt;=90),"STRONG",""))))</f>
        <v>STRONG</v>
      </c>
      <c r="AA8" s="245" t="str">
        <f t="shared" ref="AA8:AA14" si="12">IF(Q8&gt;R8,"BJP","CONGRESS")</f>
        <v>BJP</v>
      </c>
      <c r="AB8">
        <v>1005</v>
      </c>
      <c r="AD8">
        <v>467</v>
      </c>
      <c r="AF8">
        <v>538</v>
      </c>
      <c r="AH8">
        <v>888</v>
      </c>
      <c r="AJ8">
        <v>34</v>
      </c>
      <c r="AL8">
        <v>83</v>
      </c>
      <c r="AN8" s="248">
        <f t="shared" ref="AN8:AN13" si="13">(AD8/AB8)*100</f>
        <v>46.4676616915423</v>
      </c>
      <c r="AO8" s="316" t="e">
        <f t="shared" ref="AO8:AO13" si="14">(AE8/AC8)*100</f>
        <v>#DIV/0!</v>
      </c>
      <c r="AP8" s="317">
        <f t="shared" ref="AP8:AP13" si="15">(AF8/AB8)*100</f>
        <v>53.5323383084577</v>
      </c>
      <c r="AQ8" s="318" t="e">
        <f t="shared" ref="AQ8:AQ12" si="16">(AG8/AC8)*100</f>
        <v>#DIV/0!</v>
      </c>
      <c r="AR8" s="318" t="str">
        <f t="shared" ref="AR8:AR13" si="17">IF(AN8&gt;AP8,"MALE DOM","FEMALE DOM")</f>
        <v>FEMALE DOM</v>
      </c>
      <c r="AS8" s="319" t="e">
        <f t="shared" ref="AS8:AS13" si="18">IF(AO8&gt;AP8,"MALE","FEMALE")</f>
        <v>#DIV/0!</v>
      </c>
      <c r="AT8" s="317">
        <f t="shared" ref="AT8:AT13" si="19">(AH8/AB8)*100</f>
        <v>88.3582089552239</v>
      </c>
      <c r="AU8" s="317" t="e">
        <f t="shared" ref="AU8:AU13" si="20">(AI8/AC8)*100</f>
        <v>#DIV/0!</v>
      </c>
      <c r="AV8" s="248">
        <f t="shared" ref="AV8:AV13" si="21">(AJ8/AB8)*100</f>
        <v>3.38308457711443</v>
      </c>
      <c r="AW8" s="317" t="e">
        <f t="shared" ref="AW8:AW13" si="22">(AK8/AC8)*100</f>
        <v>#DIV/0!</v>
      </c>
      <c r="AX8" s="248">
        <f t="shared" ref="AX8:AX13" si="23">(AL8/AB8)*100</f>
        <v>8.25870646766169</v>
      </c>
      <c r="AY8" s="317" t="e">
        <f t="shared" ref="AY8:AY13" si="24">(AM8/AC8)*100</f>
        <v>#DIV/0!</v>
      </c>
      <c r="AZ8" s="248" t="str">
        <f t="shared" ref="AZ8:AZ13" si="25">IF(AT8&gt;(AV8+AX8),"HINDU","MINORITY")</f>
        <v>HINDU</v>
      </c>
      <c r="BA8" s="318" t="e">
        <f t="shared" ref="BA8:BA13" si="26">IF(AU8&gt;(AW8+AY8),"HIND","MINORITY")</f>
        <v>#DIV/0!</v>
      </c>
    </row>
    <row r="9" spans="2:53">
      <c r="B9" s="258">
        <v>186</v>
      </c>
      <c r="C9" s="258">
        <v>823</v>
      </c>
      <c r="D9" s="258">
        <v>162</v>
      </c>
      <c r="E9" s="517">
        <v>450</v>
      </c>
      <c r="F9" s="525">
        <v>0</v>
      </c>
      <c r="G9" s="259">
        <v>4</v>
      </c>
      <c r="H9" s="517">
        <v>0</v>
      </c>
      <c r="I9" s="517">
        <v>0</v>
      </c>
      <c r="J9" s="259">
        <v>2</v>
      </c>
      <c r="K9" s="525">
        <v>3</v>
      </c>
      <c r="L9" s="259">
        <v>622</v>
      </c>
      <c r="M9" s="258">
        <v>0</v>
      </c>
      <c r="N9" s="517">
        <v>7</v>
      </c>
      <c r="O9" s="525">
        <f t="shared" si="0"/>
        <v>628</v>
      </c>
      <c r="P9" s="517">
        <f t="shared" si="1"/>
        <v>76.3061968408262</v>
      </c>
      <c r="Q9" s="525">
        <f t="shared" si="2"/>
        <v>71.656050955414</v>
      </c>
      <c r="R9" s="259">
        <f t="shared" si="3"/>
        <v>25.796178343949</v>
      </c>
      <c r="S9" s="517">
        <f t="shared" si="4"/>
        <v>0</v>
      </c>
      <c r="T9" s="517">
        <f t="shared" si="5"/>
        <v>0.636942675159236</v>
      </c>
      <c r="U9" s="259">
        <f t="shared" si="6"/>
        <v>0.796178343949045</v>
      </c>
      <c r="V9" s="517">
        <f t="shared" si="7"/>
        <v>1.11464968152866</v>
      </c>
      <c r="W9" s="517">
        <f t="shared" si="8"/>
        <v>45.859872611465</v>
      </c>
      <c r="X9" s="525">
        <f t="shared" si="9"/>
        <v>44.4267515923567</v>
      </c>
      <c r="Y9" s="318" t="str">
        <f t="shared" si="10"/>
        <v>STRONG</v>
      </c>
      <c r="Z9" s="341" t="str">
        <f t="shared" si="11"/>
        <v>STRONG</v>
      </c>
      <c r="AA9" s="525" t="str">
        <f t="shared" si="12"/>
        <v>BJP</v>
      </c>
      <c r="AB9">
        <v>818</v>
      </c>
      <c r="AD9">
        <v>401</v>
      </c>
      <c r="AF9">
        <v>417</v>
      </c>
      <c r="AH9">
        <v>632</v>
      </c>
      <c r="AJ9">
        <v>97</v>
      </c>
      <c r="AL9">
        <v>89</v>
      </c>
      <c r="AN9" s="248">
        <f t="shared" si="13"/>
        <v>49.0220048899755</v>
      </c>
      <c r="AO9" s="316" t="e">
        <f t="shared" si="14"/>
        <v>#DIV/0!</v>
      </c>
      <c r="AP9" s="317">
        <f t="shared" si="15"/>
        <v>50.9779951100245</v>
      </c>
      <c r="AQ9" s="318" t="e">
        <f t="shared" si="16"/>
        <v>#DIV/0!</v>
      </c>
      <c r="AR9" s="318" t="str">
        <f t="shared" si="17"/>
        <v>FEMALE DOM</v>
      </c>
      <c r="AS9" s="319" t="e">
        <f t="shared" si="18"/>
        <v>#DIV/0!</v>
      </c>
      <c r="AT9" s="317">
        <f t="shared" si="19"/>
        <v>77.2616136919315</v>
      </c>
      <c r="AU9" s="317" t="e">
        <f t="shared" si="20"/>
        <v>#DIV/0!</v>
      </c>
      <c r="AV9" s="248">
        <f t="shared" si="21"/>
        <v>11.8581907090465</v>
      </c>
      <c r="AW9" s="317" t="e">
        <f t="shared" si="22"/>
        <v>#DIV/0!</v>
      </c>
      <c r="AX9" s="248">
        <f t="shared" si="23"/>
        <v>10.880195599022</v>
      </c>
      <c r="AY9" s="317" t="e">
        <f t="shared" si="24"/>
        <v>#DIV/0!</v>
      </c>
      <c r="AZ9" s="248" t="str">
        <f t="shared" si="25"/>
        <v>HINDU</v>
      </c>
      <c r="BA9" s="318" t="e">
        <f t="shared" si="26"/>
        <v>#DIV/0!</v>
      </c>
    </row>
    <row r="10" spans="2:53">
      <c r="B10" s="588">
        <v>185</v>
      </c>
      <c r="C10" s="588">
        <v>523</v>
      </c>
      <c r="D10" s="588">
        <v>148</v>
      </c>
      <c r="E10" s="197">
        <v>174</v>
      </c>
      <c r="F10" s="591">
        <v>1</v>
      </c>
      <c r="G10" s="592">
        <v>1</v>
      </c>
      <c r="H10" s="197">
        <v>0</v>
      </c>
      <c r="I10" s="197">
        <v>0</v>
      </c>
      <c r="J10" s="592">
        <v>0</v>
      </c>
      <c r="K10" s="591">
        <v>0</v>
      </c>
      <c r="L10" s="592">
        <v>324</v>
      </c>
      <c r="M10" s="588">
        <v>0</v>
      </c>
      <c r="N10" s="197">
        <v>5</v>
      </c>
      <c r="O10" s="591">
        <f t="shared" si="0"/>
        <v>329</v>
      </c>
      <c r="P10" s="197">
        <f t="shared" si="1"/>
        <v>62.906309751434</v>
      </c>
      <c r="Q10" s="591">
        <f t="shared" si="2"/>
        <v>52.887537993921</v>
      </c>
      <c r="R10" s="592">
        <f t="shared" si="3"/>
        <v>44.9848024316109</v>
      </c>
      <c r="S10" s="197">
        <f t="shared" si="4"/>
        <v>0.303951367781155</v>
      </c>
      <c r="T10" s="197">
        <f t="shared" si="5"/>
        <v>0.303951367781155</v>
      </c>
      <c r="U10" s="592">
        <f t="shared" si="6"/>
        <v>0</v>
      </c>
      <c r="V10" s="197">
        <f t="shared" si="7"/>
        <v>1.51975683890578</v>
      </c>
      <c r="W10" s="197">
        <f t="shared" si="8"/>
        <v>7.90273556231003</v>
      </c>
      <c r="X10" s="591">
        <f t="shared" si="9"/>
        <v>7.29483282674772</v>
      </c>
      <c r="Y10" s="667" t="str">
        <f t="shared" si="10"/>
        <v>NARROW</v>
      </c>
      <c r="Z10" s="283" t="str">
        <f t="shared" si="11"/>
        <v>STRONG</v>
      </c>
      <c r="AA10" s="289" t="str">
        <f t="shared" si="12"/>
        <v>BJP</v>
      </c>
      <c r="AB10">
        <v>519</v>
      </c>
      <c r="AD10">
        <v>248</v>
      </c>
      <c r="AF10">
        <v>271</v>
      </c>
      <c r="AH10">
        <v>283</v>
      </c>
      <c r="AJ10">
        <v>231</v>
      </c>
      <c r="AL10">
        <v>5</v>
      </c>
      <c r="AN10" s="248">
        <f t="shared" si="13"/>
        <v>47.7842003853565</v>
      </c>
      <c r="AO10" s="316" t="e">
        <f t="shared" si="14"/>
        <v>#DIV/0!</v>
      </c>
      <c r="AP10" s="317">
        <f t="shared" si="15"/>
        <v>52.2157996146435</v>
      </c>
      <c r="AQ10" s="318" t="e">
        <f t="shared" si="16"/>
        <v>#DIV/0!</v>
      </c>
      <c r="AR10" s="318" t="str">
        <f t="shared" si="17"/>
        <v>FEMALE DOM</v>
      </c>
      <c r="AS10" s="319" t="e">
        <f t="shared" si="18"/>
        <v>#DIV/0!</v>
      </c>
      <c r="AT10" s="317">
        <f t="shared" si="19"/>
        <v>54.5279383429672</v>
      </c>
      <c r="AU10" s="317" t="e">
        <f t="shared" si="20"/>
        <v>#DIV/0!</v>
      </c>
      <c r="AV10" s="248">
        <f t="shared" si="21"/>
        <v>44.5086705202312</v>
      </c>
      <c r="AW10" s="317" t="e">
        <f t="shared" si="22"/>
        <v>#DIV/0!</v>
      </c>
      <c r="AX10" s="248">
        <f t="shared" si="23"/>
        <v>0.963391136801541</v>
      </c>
      <c r="AY10" s="317" t="e">
        <f t="shared" si="24"/>
        <v>#DIV/0!</v>
      </c>
      <c r="AZ10" s="248" t="str">
        <f t="shared" si="25"/>
        <v>HINDU</v>
      </c>
      <c r="BA10" s="318" t="e">
        <f t="shared" si="26"/>
        <v>#DIV/0!</v>
      </c>
    </row>
    <row r="11" spans="2:53">
      <c r="B11" s="262">
        <v>184</v>
      </c>
      <c r="C11" s="262">
        <v>841</v>
      </c>
      <c r="D11" s="262">
        <v>128</v>
      </c>
      <c r="E11" s="533">
        <v>402</v>
      </c>
      <c r="F11" s="333">
        <v>2</v>
      </c>
      <c r="G11" s="263">
        <v>7</v>
      </c>
      <c r="H11" s="533">
        <v>1</v>
      </c>
      <c r="I11" s="533">
        <v>0</v>
      </c>
      <c r="J11" s="263">
        <v>0</v>
      </c>
      <c r="K11" s="333">
        <v>3</v>
      </c>
      <c r="L11" s="263">
        <v>543</v>
      </c>
      <c r="M11" s="262">
        <v>0</v>
      </c>
      <c r="N11" s="533">
        <v>2</v>
      </c>
      <c r="O11" s="333">
        <f t="shared" si="0"/>
        <v>545</v>
      </c>
      <c r="P11" s="533">
        <f t="shared" si="1"/>
        <v>64.8038049940547</v>
      </c>
      <c r="Q11" s="333">
        <f t="shared" si="2"/>
        <v>73.7614678899083</v>
      </c>
      <c r="R11" s="263">
        <f t="shared" si="3"/>
        <v>23.4862385321101</v>
      </c>
      <c r="S11" s="533">
        <f t="shared" si="4"/>
        <v>0.36697247706422</v>
      </c>
      <c r="T11" s="533">
        <f t="shared" si="5"/>
        <v>1.28440366972477</v>
      </c>
      <c r="U11" s="263">
        <f t="shared" si="6"/>
        <v>0.73394495412844</v>
      </c>
      <c r="V11" s="533">
        <f t="shared" si="7"/>
        <v>0.36697247706422</v>
      </c>
      <c r="W11" s="533">
        <f t="shared" si="8"/>
        <v>50.2752293577982</v>
      </c>
      <c r="X11" s="333">
        <f t="shared" si="9"/>
        <v>47.8899082568807</v>
      </c>
      <c r="Y11" s="581" t="str">
        <f t="shared" si="10"/>
        <v>STRONG</v>
      </c>
      <c r="Z11" s="285" t="str">
        <f t="shared" si="11"/>
        <v>STRONG</v>
      </c>
      <c r="AA11" s="333" t="str">
        <f t="shared" si="12"/>
        <v>BJP</v>
      </c>
      <c r="AB11">
        <v>838</v>
      </c>
      <c r="AC11">
        <v>543</v>
      </c>
      <c r="AD11">
        <v>404</v>
      </c>
      <c r="AE11">
        <v>257</v>
      </c>
      <c r="AF11">
        <v>434</v>
      </c>
      <c r="AG11">
        <v>286</v>
      </c>
      <c r="AH11">
        <v>703</v>
      </c>
      <c r="AI11">
        <v>470</v>
      </c>
      <c r="AJ11">
        <v>20</v>
      </c>
      <c r="AK11">
        <v>18</v>
      </c>
      <c r="AL11">
        <v>115</v>
      </c>
      <c r="AM11">
        <v>55</v>
      </c>
      <c r="AN11" s="248">
        <f t="shared" si="13"/>
        <v>48.2100238663485</v>
      </c>
      <c r="AO11" s="316">
        <f t="shared" si="14"/>
        <v>47.329650092081</v>
      </c>
      <c r="AP11" s="317">
        <f t="shared" si="15"/>
        <v>51.7899761336515</v>
      </c>
      <c r="AQ11" s="318">
        <f t="shared" si="16"/>
        <v>52.670349907919</v>
      </c>
      <c r="AR11" s="318" t="str">
        <f t="shared" si="17"/>
        <v>FEMALE DOM</v>
      </c>
      <c r="AS11" s="319" t="str">
        <f t="shared" si="18"/>
        <v>FEMALE</v>
      </c>
      <c r="AT11" s="317">
        <f t="shared" si="19"/>
        <v>83.890214797136</v>
      </c>
      <c r="AU11" s="317">
        <f t="shared" si="20"/>
        <v>86.5561694290976</v>
      </c>
      <c r="AV11" s="248">
        <f t="shared" si="21"/>
        <v>2.38663484486873</v>
      </c>
      <c r="AW11" s="317">
        <f t="shared" si="22"/>
        <v>3.31491712707182</v>
      </c>
      <c r="AX11" s="248">
        <f t="shared" si="23"/>
        <v>13.7231503579952</v>
      </c>
      <c r="AY11" s="317">
        <f t="shared" si="24"/>
        <v>10.1289134438306</v>
      </c>
      <c r="AZ11" s="248" t="str">
        <f t="shared" si="25"/>
        <v>HINDU</v>
      </c>
      <c r="BA11" s="318" t="str">
        <f t="shared" si="26"/>
        <v>HIND</v>
      </c>
    </row>
    <row r="12" spans="2:53">
      <c r="B12" s="579">
        <v>209</v>
      </c>
      <c r="C12" s="578">
        <v>777</v>
      </c>
      <c r="D12" s="576">
        <v>218</v>
      </c>
      <c r="E12" s="579">
        <v>361</v>
      </c>
      <c r="F12" s="577">
        <v>1</v>
      </c>
      <c r="G12" s="578">
        <v>4</v>
      </c>
      <c r="H12" s="579">
        <v>0</v>
      </c>
      <c r="I12" s="579">
        <v>0</v>
      </c>
      <c r="J12" s="578">
        <v>0</v>
      </c>
      <c r="K12" s="577">
        <v>0</v>
      </c>
      <c r="L12" s="578">
        <v>584</v>
      </c>
      <c r="M12" s="576">
        <v>0</v>
      </c>
      <c r="N12" s="579">
        <v>2</v>
      </c>
      <c r="O12" s="577">
        <f t="shared" si="0"/>
        <v>586</v>
      </c>
      <c r="P12" s="579">
        <f t="shared" si="1"/>
        <v>75.4182754182754</v>
      </c>
      <c r="Q12" s="577">
        <f t="shared" si="2"/>
        <v>61.6040955631399</v>
      </c>
      <c r="R12" s="578">
        <f t="shared" si="3"/>
        <v>37.2013651877133</v>
      </c>
      <c r="S12" s="579">
        <f t="shared" si="4"/>
        <v>0.170648464163823</v>
      </c>
      <c r="T12" s="579">
        <f t="shared" si="5"/>
        <v>0.68259385665529</v>
      </c>
      <c r="U12" s="578">
        <f t="shared" si="6"/>
        <v>0</v>
      </c>
      <c r="V12" s="579">
        <f t="shared" si="7"/>
        <v>0.341296928327645</v>
      </c>
      <c r="W12" s="579">
        <f t="shared" si="8"/>
        <v>24.4027303754266</v>
      </c>
      <c r="X12" s="577">
        <f t="shared" si="9"/>
        <v>23.5494880546075</v>
      </c>
      <c r="Y12" s="581" t="str">
        <f t="shared" si="10"/>
        <v>MEDIUM</v>
      </c>
      <c r="Z12" s="285" t="str">
        <f t="shared" si="11"/>
        <v>STRONG</v>
      </c>
      <c r="AA12" s="333" t="str">
        <f t="shared" si="12"/>
        <v>BJP</v>
      </c>
      <c r="AB12">
        <v>771</v>
      </c>
      <c r="AC12">
        <v>579</v>
      </c>
      <c r="AD12">
        <v>370</v>
      </c>
      <c r="AE12">
        <v>272</v>
      </c>
      <c r="AF12">
        <v>401</v>
      </c>
      <c r="AG12">
        <v>307</v>
      </c>
      <c r="AH12">
        <v>560</v>
      </c>
      <c r="AI12">
        <v>450</v>
      </c>
      <c r="AJ12">
        <v>12</v>
      </c>
      <c r="AK12">
        <v>6</v>
      </c>
      <c r="AL12">
        <v>199</v>
      </c>
      <c r="AM12">
        <v>123</v>
      </c>
      <c r="AN12" s="248">
        <f t="shared" si="13"/>
        <v>47.9896238651102</v>
      </c>
      <c r="AO12" s="316">
        <f t="shared" si="14"/>
        <v>46.9775474956822</v>
      </c>
      <c r="AP12" s="317">
        <f t="shared" si="15"/>
        <v>52.0103761348898</v>
      </c>
      <c r="AQ12" s="318">
        <f t="shared" si="16"/>
        <v>53.0224525043178</v>
      </c>
      <c r="AR12" s="318" t="str">
        <f t="shared" si="17"/>
        <v>FEMALE DOM</v>
      </c>
      <c r="AS12" s="319" t="str">
        <f t="shared" si="18"/>
        <v>FEMALE</v>
      </c>
      <c r="AT12" s="317">
        <f t="shared" si="19"/>
        <v>72.632944228275</v>
      </c>
      <c r="AU12" s="317">
        <f t="shared" si="20"/>
        <v>77.720207253886</v>
      </c>
      <c r="AV12" s="248">
        <f t="shared" si="21"/>
        <v>1.55642023346304</v>
      </c>
      <c r="AW12" s="317">
        <f t="shared" si="22"/>
        <v>1.03626943005181</v>
      </c>
      <c r="AX12" s="248">
        <f t="shared" si="23"/>
        <v>25.810635538262</v>
      </c>
      <c r="AY12" s="317">
        <f t="shared" si="24"/>
        <v>21.2435233160622</v>
      </c>
      <c r="AZ12" s="248" t="str">
        <f t="shared" si="25"/>
        <v>HINDU</v>
      </c>
      <c r="BA12" s="318" t="str">
        <f t="shared" si="26"/>
        <v>HIND</v>
      </c>
    </row>
    <row r="13" spans="2:53">
      <c r="B13" s="579">
        <v>210</v>
      </c>
      <c r="C13" s="578">
        <v>663</v>
      </c>
      <c r="D13" s="579">
        <v>153</v>
      </c>
      <c r="E13" s="577">
        <v>300</v>
      </c>
      <c r="F13" s="579">
        <v>5</v>
      </c>
      <c r="G13" s="578">
        <v>2</v>
      </c>
      <c r="H13" s="579">
        <v>0</v>
      </c>
      <c r="I13" s="579">
        <v>0</v>
      </c>
      <c r="J13" s="578">
        <v>0</v>
      </c>
      <c r="K13" s="577">
        <v>1</v>
      </c>
      <c r="L13" s="578">
        <v>461</v>
      </c>
      <c r="M13" s="576">
        <v>0</v>
      </c>
      <c r="N13" s="579">
        <v>1</v>
      </c>
      <c r="O13" s="577">
        <f t="shared" si="0"/>
        <v>462</v>
      </c>
      <c r="P13" s="579">
        <f t="shared" si="1"/>
        <v>69.683257918552</v>
      </c>
      <c r="Q13" s="577">
        <f t="shared" si="2"/>
        <v>64.9350649350649</v>
      </c>
      <c r="R13" s="578">
        <f t="shared" si="3"/>
        <v>33.1168831168831</v>
      </c>
      <c r="S13" s="579">
        <f t="shared" si="4"/>
        <v>1.08225108225108</v>
      </c>
      <c r="T13" s="579">
        <f t="shared" si="5"/>
        <v>0.432900432900433</v>
      </c>
      <c r="U13" s="578">
        <f t="shared" si="6"/>
        <v>0.216450216450216</v>
      </c>
      <c r="V13" s="579">
        <f t="shared" si="7"/>
        <v>0.216450216450216</v>
      </c>
      <c r="W13" s="579">
        <f t="shared" si="8"/>
        <v>31.8181818181818</v>
      </c>
      <c r="X13" s="577">
        <f t="shared" si="9"/>
        <v>30.0865800865801</v>
      </c>
      <c r="Y13" s="581" t="str">
        <f t="shared" si="10"/>
        <v>MEDIUM</v>
      </c>
      <c r="Z13" s="448" t="str">
        <f t="shared" si="11"/>
        <v>STRONG</v>
      </c>
      <c r="AA13" s="245" t="str">
        <f t="shared" si="12"/>
        <v>BJP</v>
      </c>
      <c r="AB13">
        <v>663</v>
      </c>
      <c r="AD13">
        <v>309</v>
      </c>
      <c r="AF13">
        <v>354</v>
      </c>
      <c r="AH13">
        <v>482</v>
      </c>
      <c r="AJ13">
        <v>50</v>
      </c>
      <c r="AL13">
        <v>131</v>
      </c>
      <c r="AN13" s="248">
        <f t="shared" si="13"/>
        <v>46.606334841629</v>
      </c>
      <c r="AO13" s="316" t="e">
        <f t="shared" si="14"/>
        <v>#DIV/0!</v>
      </c>
      <c r="AP13" s="317">
        <f t="shared" si="15"/>
        <v>53.393665158371</v>
      </c>
      <c r="AQ13" s="318" t="e">
        <f t="shared" ref="AQ13" si="27">(AF13/AC13)*100</f>
        <v>#DIV/0!</v>
      </c>
      <c r="AR13" s="318" t="str">
        <f t="shared" si="17"/>
        <v>FEMALE DOM</v>
      </c>
      <c r="AS13" s="319" t="e">
        <f t="shared" si="18"/>
        <v>#DIV/0!</v>
      </c>
      <c r="AT13" s="317">
        <f t="shared" si="19"/>
        <v>72.6998491704374</v>
      </c>
      <c r="AU13" s="317" t="e">
        <f t="shared" si="20"/>
        <v>#DIV/0!</v>
      </c>
      <c r="AV13" s="248">
        <f t="shared" si="21"/>
        <v>7.54147812971342</v>
      </c>
      <c r="AW13" s="317" t="e">
        <f t="shared" si="22"/>
        <v>#DIV/0!</v>
      </c>
      <c r="AX13" s="248">
        <f t="shared" si="23"/>
        <v>19.7586726998492</v>
      </c>
      <c r="AY13" s="317" t="e">
        <f t="shared" si="24"/>
        <v>#DIV/0!</v>
      </c>
      <c r="AZ13" s="248" t="str">
        <f t="shared" si="25"/>
        <v>HINDU</v>
      </c>
      <c r="BA13" s="318" t="e">
        <f t="shared" si="26"/>
        <v>#DIV/0!</v>
      </c>
    </row>
    <row r="14" ht="21" spans="2:33">
      <c r="B14" s="251"/>
      <c r="C14" s="522">
        <f t="shared" ref="C14:O14" si="28">SUM(C7:C13)</f>
        <v>5712</v>
      </c>
      <c r="D14" s="523">
        <f t="shared" si="28"/>
        <v>1194</v>
      </c>
      <c r="E14" s="521">
        <f t="shared" si="28"/>
        <v>2746</v>
      </c>
      <c r="F14" s="523">
        <f t="shared" si="28"/>
        <v>14</v>
      </c>
      <c r="G14" s="522">
        <f t="shared" si="28"/>
        <v>25</v>
      </c>
      <c r="H14" s="523">
        <f t="shared" si="28"/>
        <v>1</v>
      </c>
      <c r="I14" s="523">
        <f t="shared" si="28"/>
        <v>0</v>
      </c>
      <c r="J14" s="522">
        <f t="shared" si="28"/>
        <v>2</v>
      </c>
      <c r="K14" s="522">
        <f t="shared" si="28"/>
        <v>9</v>
      </c>
      <c r="L14" s="522">
        <f t="shared" si="28"/>
        <v>3992</v>
      </c>
      <c r="M14" s="524">
        <f t="shared" si="28"/>
        <v>0</v>
      </c>
      <c r="N14" s="523">
        <f t="shared" si="28"/>
        <v>25</v>
      </c>
      <c r="O14" s="521">
        <f t="shared" si="28"/>
        <v>4016</v>
      </c>
      <c r="P14" s="523">
        <f t="shared" ref="P14:X14" si="29">AVERAGE(P7:P13)</f>
        <v>69.9850747454615</v>
      </c>
      <c r="Q14" s="521">
        <f t="shared" si="29"/>
        <v>67.0455683703663</v>
      </c>
      <c r="R14" s="522">
        <f t="shared" si="29"/>
        <v>31.0156203000958</v>
      </c>
      <c r="S14" s="523">
        <f t="shared" si="29"/>
        <v>0.372278804481346</v>
      </c>
      <c r="T14" s="523">
        <f t="shared" si="29"/>
        <v>0.613681648339097</v>
      </c>
      <c r="U14" s="522">
        <f t="shared" si="29"/>
        <v>0.288489258653051</v>
      </c>
      <c r="V14" s="523">
        <f t="shared" si="29"/>
        <v>0.664361618064449</v>
      </c>
      <c r="W14" s="523">
        <f t="shared" si="29"/>
        <v>36.0299480702705</v>
      </c>
      <c r="X14" s="521">
        <f t="shared" si="29"/>
        <v>34.755498358797</v>
      </c>
      <c r="Y14" s="521" t="str">
        <f t="shared" si="10"/>
        <v>MEDIUM</v>
      </c>
      <c r="Z14" s="675" t="str">
        <f t="shared" si="11"/>
        <v>STRONG</v>
      </c>
      <c r="AA14" s="351" t="str">
        <f t="shared" si="12"/>
        <v>BJP</v>
      </c>
      <c r="AB14">
        <f>SUM(AB7:AB13)</f>
        <v>5682</v>
      </c>
      <c r="AC14">
        <f>SUM(AC13)</f>
        <v>0</v>
      </c>
      <c r="AD14">
        <f>SUM(AD7:AD13)</f>
        <v>2710</v>
      </c>
      <c r="AE14">
        <f>SUM(AE13)</f>
        <v>0</v>
      </c>
      <c r="AF14">
        <f>SUM(AF7:AF13)</f>
        <v>2971</v>
      </c>
      <c r="AG14">
        <f>SUM(AG7)</f>
        <v>381</v>
      </c>
    </row>
    <row r="22" spans="3:20">
      <c r="C22" s="225" t="s">
        <v>96</v>
      </c>
      <c r="D22" s="237"/>
      <c r="E22" s="237"/>
      <c r="F22" s="238"/>
      <c r="H22" s="225" t="s">
        <v>97</v>
      </c>
      <c r="I22" s="237"/>
      <c r="J22" s="237"/>
      <c r="K22" s="238"/>
      <c r="M22" s="265" t="s">
        <v>98</v>
      </c>
      <c r="N22" s="265"/>
      <c r="O22" s="265"/>
      <c r="P22" s="265"/>
      <c r="Q22" s="265"/>
      <c r="R22" s="265"/>
      <c r="S22" s="265"/>
      <c r="T22" s="265"/>
    </row>
    <row r="23" spans="3:20">
      <c r="C23" s="226"/>
      <c r="D23" s="239"/>
      <c r="E23" s="239"/>
      <c r="F23" s="240"/>
      <c r="H23" s="241"/>
      <c r="I23" s="242"/>
      <c r="J23" s="242"/>
      <c r="K23" s="243"/>
      <c r="M23" s="265"/>
      <c r="N23" s="265"/>
      <c r="O23" s="265"/>
      <c r="P23" s="265"/>
      <c r="Q23" s="265"/>
      <c r="R23" s="265"/>
      <c r="S23" s="265"/>
      <c r="T23" s="265"/>
    </row>
    <row r="24" spans="3:20">
      <c r="C24" s="227" t="s">
        <v>99</v>
      </c>
      <c r="D24" s="244"/>
      <c r="E24" s="245"/>
      <c r="F24" s="245">
        <f>COUNTIF(AA7:AA13,"BJP")</f>
        <v>7</v>
      </c>
      <c r="H24" s="246" t="s">
        <v>100</v>
      </c>
      <c r="I24" s="247"/>
      <c r="J24" s="247"/>
      <c r="K24" s="248">
        <f>COUNTIF(Y7:Y13,"NARROW")</f>
        <v>1</v>
      </c>
      <c r="M24" s="265" t="s">
        <v>101</v>
      </c>
      <c r="N24" s="265"/>
      <c r="O24" s="265"/>
      <c r="P24" s="265">
        <f>'ALAPE-S18'!E10</f>
        <v>61.8114146568685</v>
      </c>
      <c r="Q24" s="265" t="s">
        <v>102</v>
      </c>
      <c r="R24" s="265"/>
      <c r="S24" s="265"/>
      <c r="T24" s="265">
        <f>Q14</f>
        <v>67.0455683703663</v>
      </c>
    </row>
    <row r="25" spans="3:20">
      <c r="C25" s="227"/>
      <c r="D25" s="244"/>
      <c r="E25" s="245"/>
      <c r="F25" s="245"/>
      <c r="H25" s="249"/>
      <c r="I25" s="250"/>
      <c r="J25" s="250"/>
      <c r="K25" s="251"/>
      <c r="M25" s="265"/>
      <c r="N25" s="265"/>
      <c r="O25" s="265"/>
      <c r="P25" s="265"/>
      <c r="Q25" s="265"/>
      <c r="R25" s="265"/>
      <c r="S25" s="265"/>
      <c r="T25" s="265"/>
    </row>
    <row r="26" spans="3:20">
      <c r="C26" s="227"/>
      <c r="D26" s="244"/>
      <c r="E26" s="245"/>
      <c r="F26" s="245"/>
      <c r="H26" s="252" t="s">
        <v>103</v>
      </c>
      <c r="I26" s="253"/>
      <c r="J26" s="253"/>
      <c r="K26" s="248">
        <f>COUNTIF(Y7:Y13,"MEDIUM")</f>
        <v>3</v>
      </c>
      <c r="M26" s="265" t="s">
        <v>104</v>
      </c>
      <c r="N26" s="265"/>
      <c r="O26" s="265"/>
      <c r="P26" s="265">
        <f>'ALAPE-S18'!G10</f>
        <v>32.7197759366205</v>
      </c>
      <c r="Q26" s="265" t="s">
        <v>105</v>
      </c>
      <c r="R26" s="265"/>
      <c r="S26" s="265"/>
      <c r="T26" s="265">
        <f>R14</f>
        <v>31.0156203000958</v>
      </c>
    </row>
    <row r="27" spans="3:20">
      <c r="C27" s="228" t="s">
        <v>106</v>
      </c>
      <c r="D27" s="254"/>
      <c r="E27" s="255"/>
      <c r="F27" s="255">
        <f>COUNTIF(AB11:AB17,"CONGRESS")</f>
        <v>0</v>
      </c>
      <c r="H27" s="252"/>
      <c r="I27" s="253"/>
      <c r="J27" s="253"/>
      <c r="K27" s="251"/>
      <c r="M27" s="265"/>
      <c r="N27" s="265"/>
      <c r="O27" s="265"/>
      <c r="P27" s="265"/>
      <c r="Q27" s="265"/>
      <c r="R27" s="265"/>
      <c r="S27" s="265"/>
      <c r="T27" s="265"/>
    </row>
    <row r="28" spans="3:20">
      <c r="C28" s="229"/>
      <c r="D28" s="256"/>
      <c r="E28" s="257"/>
      <c r="F28" s="257"/>
      <c r="H28" s="258" t="s">
        <v>107</v>
      </c>
      <c r="I28" s="259"/>
      <c r="J28" s="259"/>
      <c r="K28" s="248">
        <f>COUNTIF(Y7:Y13,"STRONG")</f>
        <v>3</v>
      </c>
      <c r="M28" s="265" t="s">
        <v>108</v>
      </c>
      <c r="N28" s="265"/>
      <c r="O28" s="265"/>
      <c r="P28" s="265">
        <f>'ALAPE-S18'!C10</f>
        <v>5029</v>
      </c>
      <c r="Q28" s="265" t="s">
        <v>109</v>
      </c>
      <c r="R28" s="265"/>
      <c r="S28" s="265"/>
      <c r="T28" s="265">
        <f>L14</f>
        <v>3992</v>
      </c>
    </row>
    <row r="29" spans="3:20">
      <c r="C29" s="230"/>
      <c r="D29" s="260"/>
      <c r="E29" s="261"/>
      <c r="F29" s="261"/>
      <c r="H29" s="262"/>
      <c r="I29" s="263"/>
      <c r="J29" s="263"/>
      <c r="K29" s="251"/>
      <c r="M29" s="265"/>
      <c r="N29" s="265"/>
      <c r="O29" s="265"/>
      <c r="P29" s="265"/>
      <c r="Q29" s="265"/>
      <c r="R29" s="265"/>
      <c r="S29" s="265"/>
      <c r="T29" s="265"/>
    </row>
    <row r="30" spans="8:20">
      <c r="H30" s="229" t="s">
        <v>110</v>
      </c>
      <c r="I30" s="256"/>
      <c r="J30" s="256"/>
      <c r="K30" s="248">
        <f>COUNTIF(Y7:Y13,"LOST")</f>
        <v>0</v>
      </c>
      <c r="M30" s="265" t="s">
        <v>111</v>
      </c>
      <c r="N30" s="265"/>
      <c r="O30" s="265"/>
      <c r="P30" s="265">
        <f>P24-P26</f>
        <v>29.091638720248</v>
      </c>
      <c r="Q30" s="265" t="s">
        <v>111</v>
      </c>
      <c r="R30" s="265"/>
      <c r="S30" s="265"/>
      <c r="T30" s="265">
        <f>T24-T26</f>
        <v>36.0299480702705</v>
      </c>
    </row>
    <row r="31" spans="8:20">
      <c r="H31" s="230"/>
      <c r="I31" s="260"/>
      <c r="J31" s="260"/>
      <c r="K31" s="251"/>
      <c r="M31" s="265"/>
      <c r="N31" s="265"/>
      <c r="O31" s="265"/>
      <c r="P31" s="265"/>
      <c r="Q31" s="265"/>
      <c r="R31" s="265"/>
      <c r="S31" s="265"/>
      <c r="T31" s="265"/>
    </row>
    <row r="32" spans="13:19">
      <c r="M32" s="265" t="s">
        <v>112</v>
      </c>
      <c r="N32" s="265"/>
      <c r="O32" s="265"/>
      <c r="P32" s="265">
        <f>T24-P24</f>
        <v>5.23415371349783</v>
      </c>
      <c r="Q32" s="265"/>
      <c r="R32" s="265"/>
      <c r="S32" s="265"/>
    </row>
    <row r="33" spans="13:19">
      <c r="M33" s="265"/>
      <c r="N33" s="265"/>
      <c r="O33" s="265"/>
      <c r="P33" s="265"/>
      <c r="Q33" s="265"/>
      <c r="R33" s="265"/>
      <c r="S33" s="265"/>
    </row>
    <row r="34" spans="13:19">
      <c r="M34" s="265" t="s">
        <v>113</v>
      </c>
      <c r="N34" s="265"/>
      <c r="O34" s="265"/>
      <c r="P34" s="265">
        <f>T26-P26</f>
        <v>-1.70415563652474</v>
      </c>
      <c r="Q34" s="265"/>
      <c r="R34" s="265"/>
      <c r="S34" s="265"/>
    </row>
    <row r="35" spans="13:19">
      <c r="M35" s="265"/>
      <c r="N35" s="265"/>
      <c r="O35" s="265"/>
      <c r="P35" s="265"/>
      <c r="Q35" s="265"/>
      <c r="R35" s="265"/>
      <c r="S35" s="265"/>
    </row>
    <row r="36" spans="13:19">
      <c r="M36" s="265" t="s">
        <v>114</v>
      </c>
      <c r="N36" s="265"/>
      <c r="O36" s="265"/>
      <c r="P36" s="265" t="str">
        <f>IF(P32&gt;P34,"INCREASE","DECREASE")</f>
        <v>INCREASE</v>
      </c>
      <c r="Q36" s="265"/>
      <c r="R36" s="265"/>
      <c r="S36" s="265"/>
    </row>
    <row r="37" spans="13:19">
      <c r="M37" s="265"/>
      <c r="N37" s="265"/>
      <c r="O37" s="265"/>
      <c r="P37" s="265"/>
      <c r="Q37" s="265"/>
      <c r="R37" s="265"/>
      <c r="S37" s="265"/>
    </row>
    <row r="38" spans="13:20">
      <c r="M38" s="265" t="s">
        <v>160</v>
      </c>
      <c r="N38" s="265"/>
      <c r="O38" s="265"/>
      <c r="P38" s="265"/>
      <c r="Q38" s="265"/>
      <c r="R38" s="265"/>
      <c r="S38" s="265"/>
      <c r="T38" s="265"/>
    </row>
    <row r="39" spans="13:20">
      <c r="M39" s="265"/>
      <c r="N39" s="265"/>
      <c r="O39" s="265"/>
      <c r="P39" s="265"/>
      <c r="Q39" s="265"/>
      <c r="R39" s="265"/>
      <c r="S39" s="265"/>
      <c r="T39" s="265"/>
    </row>
    <row r="40" spans="13:20">
      <c r="M40" s="265"/>
      <c r="N40" s="265"/>
      <c r="O40" s="265"/>
      <c r="P40" s="265"/>
      <c r="Q40" s="265"/>
      <c r="R40" s="265"/>
      <c r="S40" s="265"/>
      <c r="T40" s="265"/>
    </row>
  </sheetData>
  <mergeCells count="93">
    <mergeCell ref="A1:A6"/>
    <mergeCell ref="B1:B6"/>
    <mergeCell ref="C1:C6"/>
    <mergeCell ref="D3:D6"/>
    <mergeCell ref="E3:E6"/>
    <mergeCell ref="F3:F6"/>
    <mergeCell ref="F24:F26"/>
    <mergeCell ref="F27:F29"/>
    <mergeCell ref="G3:G6"/>
    <mergeCell ref="H3:H6"/>
    <mergeCell ref="I3:I6"/>
    <mergeCell ref="J3:J6"/>
    <mergeCell ref="K3:K6"/>
    <mergeCell ref="K24:K25"/>
    <mergeCell ref="K26:K27"/>
    <mergeCell ref="K28:K29"/>
    <mergeCell ref="K30:K31"/>
    <mergeCell ref="L1:L6"/>
    <mergeCell ref="M1:M6"/>
    <mergeCell ref="N1:N6"/>
    <mergeCell ref="O1:O6"/>
    <mergeCell ref="P1:P6"/>
    <mergeCell ref="P24:P25"/>
    <mergeCell ref="P26:P27"/>
    <mergeCell ref="P28:P29"/>
    <mergeCell ref="P30:P31"/>
    <mergeCell ref="Q1:Q6"/>
    <mergeCell ref="R1:R6"/>
    <mergeCell ref="S1:S6"/>
    <mergeCell ref="T1:T6"/>
    <mergeCell ref="T24:T25"/>
    <mergeCell ref="T26:T27"/>
    <mergeCell ref="T28:T29"/>
    <mergeCell ref="T30:T31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C22:F23"/>
    <mergeCell ref="H22:K23"/>
    <mergeCell ref="H30:J31"/>
    <mergeCell ref="Q30:S31"/>
    <mergeCell ref="C24:E26"/>
    <mergeCell ref="H24:J25"/>
    <mergeCell ref="Q24:S25"/>
    <mergeCell ref="H26:J27"/>
    <mergeCell ref="Q26:S27"/>
    <mergeCell ref="C27:E29"/>
    <mergeCell ref="H28:J29"/>
    <mergeCell ref="Q28:S29"/>
    <mergeCell ref="M22:T23"/>
    <mergeCell ref="M24:O25"/>
    <mergeCell ref="M26:O27"/>
    <mergeCell ref="M28:O29"/>
    <mergeCell ref="M38:T40"/>
    <mergeCell ref="M34:O35"/>
    <mergeCell ref="P34:S35"/>
    <mergeCell ref="M36:O37"/>
    <mergeCell ref="P36:Q37"/>
    <mergeCell ref="R36:S37"/>
    <mergeCell ref="M30:O31"/>
    <mergeCell ref="M32:O33"/>
    <mergeCell ref="P32:S33"/>
  </mergeCells>
  <conditionalFormatting sqref="Y7:Y14">
    <cfRule type="containsText" dxfId="3" priority="6" operator="between" text="NARROW">
      <formula>NOT(ISERROR(SEARCH("NARROW",Y7)))</formula>
    </cfRule>
    <cfRule type="containsText" dxfId="1" priority="7" operator="between" text="STRONG">
      <formula>NOT(ISERROR(SEARCH("STRONG",Y7)))</formula>
    </cfRule>
    <cfRule type="containsText" dxfId="2" priority="8" operator="between" text="MEDIUM">
      <formula>NOT(ISERROR(SEARCH("MEDIUM",Y7)))</formula>
    </cfRule>
  </conditionalFormatting>
  <conditionalFormatting sqref="AR7:AR13">
    <cfRule type="containsText" dxfId="6" priority="1" operator="between" text="FEMALE DOM">
      <formula>NOT(ISERROR(SEARCH("FEMALE DOM",AR7)))</formula>
    </cfRule>
  </conditionalFormatting>
  <conditionalFormatting sqref="AZ7:AZ13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3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"/>
  <sheetViews>
    <sheetView workbookViewId="0">
      <selection activeCell="A1" sqref="A1:AJ1"/>
    </sheetView>
  </sheetViews>
  <sheetFormatPr defaultColWidth="9" defaultRowHeight="14.5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166</v>
      </c>
      <c r="B2" s="185" t="s">
        <v>161</v>
      </c>
      <c r="C2" s="184">
        <v>827</v>
      </c>
      <c r="D2" s="184">
        <v>510</v>
      </c>
      <c r="E2" s="184">
        <f t="shared" ref="E2:E9" si="0">(D2/C2)*100</f>
        <v>61.6686819830713</v>
      </c>
      <c r="F2" s="184">
        <v>291</v>
      </c>
      <c r="G2" s="184">
        <f t="shared" ref="G2:G9" si="1">(F2/C2)*100</f>
        <v>35.1874244256348</v>
      </c>
      <c r="H2" s="184">
        <v>1</v>
      </c>
      <c r="I2" s="184">
        <f t="shared" ref="I2:I9" si="2">(H2/C2)*100</f>
        <v>0.120918984280532</v>
      </c>
      <c r="J2" s="184">
        <v>10</v>
      </c>
      <c r="K2" s="184">
        <f t="shared" ref="K2:K9" si="3">(J2/C2)*100</f>
        <v>1.20918984280532</v>
      </c>
      <c r="L2" s="189">
        <v>683</v>
      </c>
      <c r="M2" s="189">
        <v>655</v>
      </c>
      <c r="N2" s="189">
        <f t="shared" ref="N2:N9" si="4">L2+M2</f>
        <v>1338</v>
      </c>
      <c r="O2" s="184">
        <v>827</v>
      </c>
      <c r="P2" s="190">
        <f t="shared" ref="P2:P9" si="5">O2/N2*100</f>
        <v>61.8086696562033</v>
      </c>
      <c r="Q2" s="184">
        <v>958</v>
      </c>
      <c r="R2" s="184">
        <f t="shared" ref="R2:R9" si="6">(Q2/N2)*100</f>
        <v>71.5994020926756</v>
      </c>
      <c r="S2" s="184">
        <f t="shared" ref="S2:S9" si="7">Q2-U2</f>
        <v>336</v>
      </c>
      <c r="T2" s="184">
        <f t="shared" ref="T2:T9" si="8">(S2/Q2)*100</f>
        <v>35.0730688935282</v>
      </c>
      <c r="U2" s="184">
        <v>622</v>
      </c>
      <c r="V2" s="191">
        <f t="shared" ref="V2:V9" si="9">IFERROR(U2/Q2*100,0)</f>
        <v>64.9269311064718</v>
      </c>
      <c r="W2" s="184">
        <f>13+367</f>
        <v>380</v>
      </c>
      <c r="X2" s="184">
        <f t="shared" ref="X2:X9" si="10">100-R2</f>
        <v>28.4005979073244</v>
      </c>
      <c r="Y2" s="196">
        <f t="shared" ref="Y2:Y9" si="11">W2-AA2</f>
        <v>195</v>
      </c>
      <c r="Z2" s="193">
        <f t="shared" ref="Z2:Z9" si="12">(Y2/W2)*100</f>
        <v>51.3157894736842</v>
      </c>
      <c r="AA2" s="193">
        <f>7+178</f>
        <v>185</v>
      </c>
      <c r="AB2" s="194">
        <f t="shared" ref="AB2:AB9" si="13">IFERROR(AA2/W2*100,0)</f>
        <v>48.6842105263158</v>
      </c>
      <c r="AC2" s="193">
        <f t="shared" ref="AC2:AC9" si="14">U2+AA2</f>
        <v>807</v>
      </c>
      <c r="AD2" s="193" t="str">
        <f t="shared" ref="AD2:AD10" si="15">IF(P2&gt;80,"EXCELLENT",IF(P2&gt;70,"STRONG",IF(P2&gt;60,"AVG",IF(P2&gt;50,"WEAK",IF(P2&lt;50,"VLOW")))))</f>
        <v>AVG</v>
      </c>
      <c r="AE2" s="195" t="str">
        <f t="shared" ref="AE2:AE9" si="16">IF(R2&gt;80,"EXCELLENT",IF(R2&gt;70,"STRONG",IF(R2&gt;60,"AVG",IF(R2&gt;50,"WEAK",IF(R2&lt;50,"VLOW")))))</f>
        <v>STRONG</v>
      </c>
      <c r="AF2" s="193" t="str">
        <f t="shared" ref="AF2:AF9" si="17">IF(X2&gt;80,"EXCELLENT",IF(X2&gt;70,"STRONG",IF(X2&gt;60,"AVG",IF(X2&gt;50,"WEAK",IF(X2&lt;50,"VLOW")))))</f>
        <v>VLOW</v>
      </c>
      <c r="AG2" s="193" t="str">
        <f t="shared" ref="AG2:AG9" si="18">IF(M2&gt;L2,"FEMALE DOM","MEN")</f>
        <v>MEN</v>
      </c>
      <c r="AH2" s="193" t="str">
        <f t="shared" ref="AH2:AH9" si="19">IF(T2&gt;Z2,"H","O")</f>
        <v>O</v>
      </c>
      <c r="AI2" s="197">
        <f t="shared" ref="AI2:AI10" si="20">E2-G2</f>
        <v>26.4812575574365</v>
      </c>
      <c r="AJ2" s="199" t="str">
        <f t="shared" ref="AJ2:AJ10" si="21">IF(E2&gt;G2,"BJP GAIN","CONGRESSGAIN")</f>
        <v>BJP GAIN</v>
      </c>
    </row>
    <row r="3" spans="1:36">
      <c r="A3" s="184">
        <v>167</v>
      </c>
      <c r="B3" s="185" t="s">
        <v>162</v>
      </c>
      <c r="C3" s="184">
        <v>669</v>
      </c>
      <c r="D3" s="184">
        <v>477</v>
      </c>
      <c r="E3" s="184">
        <f t="shared" si="0"/>
        <v>71.3004484304933</v>
      </c>
      <c r="F3" s="184">
        <v>172</v>
      </c>
      <c r="G3" s="184">
        <f t="shared" si="1"/>
        <v>25.7100149476831</v>
      </c>
      <c r="H3" s="184">
        <v>0</v>
      </c>
      <c r="I3" s="184">
        <f t="shared" si="2"/>
        <v>0</v>
      </c>
      <c r="J3" s="184">
        <v>6</v>
      </c>
      <c r="K3" s="184">
        <f t="shared" si="3"/>
        <v>0.896860986547085</v>
      </c>
      <c r="L3" s="189">
        <v>453</v>
      </c>
      <c r="M3" s="189">
        <v>483</v>
      </c>
      <c r="N3" s="189">
        <f t="shared" si="4"/>
        <v>936</v>
      </c>
      <c r="O3" s="184">
        <v>669</v>
      </c>
      <c r="P3" s="190">
        <f t="shared" si="5"/>
        <v>71.474358974359</v>
      </c>
      <c r="Q3" s="184">
        <v>786</v>
      </c>
      <c r="R3" s="184">
        <f t="shared" si="6"/>
        <v>83.974358974359</v>
      </c>
      <c r="S3" s="184">
        <f t="shared" si="7"/>
        <v>245</v>
      </c>
      <c r="T3" s="184">
        <f t="shared" si="8"/>
        <v>31.1704834605598</v>
      </c>
      <c r="U3" s="184">
        <v>541</v>
      </c>
      <c r="V3" s="191">
        <f t="shared" si="9"/>
        <v>68.8295165394402</v>
      </c>
      <c r="W3" s="184">
        <v>150</v>
      </c>
      <c r="X3" s="184">
        <f t="shared" si="10"/>
        <v>16.025641025641</v>
      </c>
      <c r="Y3" s="184">
        <f t="shared" si="11"/>
        <v>59</v>
      </c>
      <c r="Z3" s="193">
        <f t="shared" si="12"/>
        <v>39.3333333333333</v>
      </c>
      <c r="AA3" s="193">
        <v>91</v>
      </c>
      <c r="AB3" s="194">
        <f t="shared" si="13"/>
        <v>60.6666666666667</v>
      </c>
      <c r="AC3" s="193">
        <f t="shared" si="14"/>
        <v>632</v>
      </c>
      <c r="AD3" s="193" t="str">
        <f t="shared" si="15"/>
        <v>STRONG</v>
      </c>
      <c r="AE3" s="195" t="str">
        <f t="shared" si="16"/>
        <v>EXCELLENT</v>
      </c>
      <c r="AF3" s="193" t="str">
        <f t="shared" si="17"/>
        <v>VLOW</v>
      </c>
      <c r="AG3" s="193" t="str">
        <f t="shared" si="18"/>
        <v>FEMALE DOM</v>
      </c>
      <c r="AH3" s="193" t="str">
        <f t="shared" si="19"/>
        <v>O</v>
      </c>
      <c r="AI3" s="197">
        <f t="shared" si="20"/>
        <v>45.5904334828102</v>
      </c>
      <c r="AJ3" s="199" t="str">
        <f t="shared" si="21"/>
        <v>BJP GAIN</v>
      </c>
    </row>
    <row r="4" spans="1:36">
      <c r="A4" s="184">
        <v>168</v>
      </c>
      <c r="B4" s="185" t="s">
        <v>163</v>
      </c>
      <c r="C4" s="184">
        <v>395</v>
      </c>
      <c r="D4" s="184">
        <v>197</v>
      </c>
      <c r="E4" s="184">
        <f t="shared" si="0"/>
        <v>49.873417721519</v>
      </c>
      <c r="F4" s="184">
        <v>187</v>
      </c>
      <c r="G4" s="184">
        <f t="shared" si="1"/>
        <v>47.3417721518987</v>
      </c>
      <c r="H4" s="184">
        <v>0</v>
      </c>
      <c r="I4" s="184">
        <f t="shared" si="2"/>
        <v>0</v>
      </c>
      <c r="J4" s="184">
        <v>4</v>
      </c>
      <c r="K4" s="184">
        <f t="shared" si="3"/>
        <v>1.0126582278481</v>
      </c>
      <c r="L4" s="189">
        <v>285</v>
      </c>
      <c r="M4" s="189">
        <v>315</v>
      </c>
      <c r="N4" s="189">
        <f t="shared" si="4"/>
        <v>600</v>
      </c>
      <c r="O4" s="184">
        <v>395</v>
      </c>
      <c r="P4" s="190">
        <f t="shared" si="5"/>
        <v>65.8333333333333</v>
      </c>
      <c r="Q4" s="184">
        <v>325</v>
      </c>
      <c r="R4" s="184">
        <f t="shared" si="6"/>
        <v>54.1666666666667</v>
      </c>
      <c r="S4" s="192">
        <f t="shared" si="7"/>
        <v>121</v>
      </c>
      <c r="T4" s="184">
        <f t="shared" si="8"/>
        <v>37.2307692307692</v>
      </c>
      <c r="U4" s="184">
        <v>204</v>
      </c>
      <c r="V4" s="191">
        <f t="shared" si="9"/>
        <v>62.7692307692308</v>
      </c>
      <c r="W4" s="184">
        <v>275</v>
      </c>
      <c r="X4" s="184">
        <f t="shared" si="10"/>
        <v>45.8333333333333</v>
      </c>
      <c r="Y4" s="184">
        <f t="shared" si="11"/>
        <v>111</v>
      </c>
      <c r="Z4" s="193">
        <f t="shared" si="12"/>
        <v>40.3636363636364</v>
      </c>
      <c r="AA4" s="193">
        <v>164</v>
      </c>
      <c r="AB4" s="194">
        <f t="shared" si="13"/>
        <v>59.6363636363636</v>
      </c>
      <c r="AC4" s="193">
        <f t="shared" si="14"/>
        <v>368</v>
      </c>
      <c r="AD4" s="193" t="str">
        <f t="shared" si="15"/>
        <v>AVG</v>
      </c>
      <c r="AE4" s="195" t="str">
        <f t="shared" si="16"/>
        <v>WEAK</v>
      </c>
      <c r="AF4" s="193" t="str">
        <f t="shared" si="17"/>
        <v>VLOW</v>
      </c>
      <c r="AG4" s="193" t="str">
        <f t="shared" si="18"/>
        <v>FEMALE DOM</v>
      </c>
      <c r="AH4" s="193" t="str">
        <f t="shared" si="19"/>
        <v>O</v>
      </c>
      <c r="AI4" s="197">
        <f t="shared" si="20"/>
        <v>2.53164556962025</v>
      </c>
      <c r="AJ4" s="199" t="str">
        <f t="shared" si="21"/>
        <v>BJP GAIN</v>
      </c>
    </row>
    <row r="5" spans="1:36">
      <c r="A5" s="184">
        <v>169</v>
      </c>
      <c r="B5" s="185" t="s">
        <v>164</v>
      </c>
      <c r="C5" s="184">
        <v>607</v>
      </c>
      <c r="D5" s="184">
        <v>402</v>
      </c>
      <c r="E5" s="184">
        <f t="shared" si="0"/>
        <v>66.2273476112026</v>
      </c>
      <c r="F5" s="184">
        <v>185</v>
      </c>
      <c r="G5" s="184">
        <f t="shared" si="1"/>
        <v>30.4777594728171</v>
      </c>
      <c r="H5" s="184">
        <v>1</v>
      </c>
      <c r="I5" s="184">
        <f t="shared" si="2"/>
        <v>0.164744645799012</v>
      </c>
      <c r="J5" s="184">
        <v>11</v>
      </c>
      <c r="K5" s="184">
        <f t="shared" si="3"/>
        <v>1.81219110378913</v>
      </c>
      <c r="L5" s="189">
        <v>398</v>
      </c>
      <c r="M5" s="189">
        <v>429</v>
      </c>
      <c r="N5" s="189">
        <f t="shared" si="4"/>
        <v>827</v>
      </c>
      <c r="O5" s="184">
        <v>607</v>
      </c>
      <c r="P5" s="190">
        <f t="shared" si="5"/>
        <v>73.397823458283</v>
      </c>
      <c r="Q5" s="184">
        <v>463</v>
      </c>
      <c r="R5" s="184">
        <f t="shared" si="6"/>
        <v>55.9854897218863</v>
      </c>
      <c r="S5" s="184">
        <f t="shared" si="7"/>
        <v>137</v>
      </c>
      <c r="T5" s="184">
        <f t="shared" si="8"/>
        <v>29.5896328293737</v>
      </c>
      <c r="U5" s="184">
        <v>326</v>
      </c>
      <c r="V5" s="191">
        <f t="shared" si="9"/>
        <v>70.4103671706264</v>
      </c>
      <c r="W5" s="184">
        <v>20</v>
      </c>
      <c r="X5" s="184">
        <f t="shared" si="10"/>
        <v>44.0145102781137</v>
      </c>
      <c r="Y5" s="196">
        <f t="shared" si="11"/>
        <v>9</v>
      </c>
      <c r="Z5" s="193">
        <f t="shared" si="12"/>
        <v>45</v>
      </c>
      <c r="AA5" s="193">
        <v>11</v>
      </c>
      <c r="AB5" s="194">
        <f t="shared" si="13"/>
        <v>55</v>
      </c>
      <c r="AC5" s="193">
        <f t="shared" si="14"/>
        <v>337</v>
      </c>
      <c r="AD5" s="193" t="str">
        <f t="shared" si="15"/>
        <v>STRONG</v>
      </c>
      <c r="AE5" s="195" t="str">
        <f t="shared" si="16"/>
        <v>WEAK</v>
      </c>
      <c r="AF5" s="193" t="str">
        <f t="shared" si="17"/>
        <v>VLOW</v>
      </c>
      <c r="AG5" s="193" t="str">
        <f t="shared" si="18"/>
        <v>FEMALE DOM</v>
      </c>
      <c r="AH5" s="193" t="str">
        <f t="shared" si="19"/>
        <v>O</v>
      </c>
      <c r="AI5" s="197">
        <f t="shared" si="20"/>
        <v>35.7495881383855</v>
      </c>
      <c r="AJ5" s="199" t="str">
        <f t="shared" si="21"/>
        <v>BJP GAIN</v>
      </c>
    </row>
    <row r="6" spans="1:36">
      <c r="A6" s="184">
        <v>170</v>
      </c>
      <c r="B6" s="185" t="s">
        <v>165</v>
      </c>
      <c r="C6" s="184">
        <v>749</v>
      </c>
      <c r="D6" s="184">
        <v>594</v>
      </c>
      <c r="E6" s="184">
        <f t="shared" si="0"/>
        <v>79.305740987984</v>
      </c>
      <c r="F6" s="184">
        <v>125</v>
      </c>
      <c r="G6" s="184">
        <f t="shared" si="1"/>
        <v>16.6889185580774</v>
      </c>
      <c r="H6" s="184">
        <v>1</v>
      </c>
      <c r="I6" s="184">
        <f t="shared" si="2"/>
        <v>0.133511348464619</v>
      </c>
      <c r="J6" s="184">
        <v>15</v>
      </c>
      <c r="K6" s="184">
        <f t="shared" si="3"/>
        <v>2.00267022696929</v>
      </c>
      <c r="L6" s="189">
        <v>474</v>
      </c>
      <c r="M6" s="189">
        <v>547</v>
      </c>
      <c r="N6" s="189">
        <f t="shared" si="4"/>
        <v>1021</v>
      </c>
      <c r="O6" s="184">
        <v>749</v>
      </c>
      <c r="P6" s="190">
        <f t="shared" si="5"/>
        <v>73.3594515181195</v>
      </c>
      <c r="Q6" s="184">
        <v>890</v>
      </c>
      <c r="R6" s="184">
        <f t="shared" si="6"/>
        <v>87.1694417238002</v>
      </c>
      <c r="S6" s="184">
        <f t="shared" si="7"/>
        <v>218</v>
      </c>
      <c r="T6" s="184">
        <f t="shared" si="8"/>
        <v>24.4943820224719</v>
      </c>
      <c r="U6" s="184">
        <v>672</v>
      </c>
      <c r="V6" s="191">
        <f t="shared" si="9"/>
        <v>75.5056179775281</v>
      </c>
      <c r="W6" s="184">
        <f>34+90</f>
        <v>124</v>
      </c>
      <c r="X6" s="184">
        <f t="shared" si="10"/>
        <v>12.8305582761998</v>
      </c>
      <c r="Y6" s="184">
        <f t="shared" si="11"/>
        <v>56</v>
      </c>
      <c r="Z6" s="193">
        <f t="shared" si="12"/>
        <v>45.1612903225806</v>
      </c>
      <c r="AA6" s="193">
        <f>24+44</f>
        <v>68</v>
      </c>
      <c r="AB6" s="194">
        <f t="shared" si="13"/>
        <v>54.8387096774194</v>
      </c>
      <c r="AC6" s="193">
        <f t="shared" si="14"/>
        <v>740</v>
      </c>
      <c r="AD6" s="193" t="str">
        <f t="shared" si="15"/>
        <v>STRONG</v>
      </c>
      <c r="AE6" s="195" t="str">
        <f t="shared" si="16"/>
        <v>EXCELLENT</v>
      </c>
      <c r="AF6" s="193" t="str">
        <f t="shared" si="17"/>
        <v>VLOW</v>
      </c>
      <c r="AG6" s="193" t="str">
        <f t="shared" si="18"/>
        <v>FEMALE DOM</v>
      </c>
      <c r="AH6" s="193" t="str">
        <f t="shared" si="19"/>
        <v>O</v>
      </c>
      <c r="AI6" s="197">
        <f t="shared" si="20"/>
        <v>62.6168224299065</v>
      </c>
      <c r="AJ6" s="199" t="str">
        <f t="shared" si="21"/>
        <v>BJP GAIN</v>
      </c>
    </row>
    <row r="7" spans="1:36">
      <c r="A7" s="184">
        <v>189</v>
      </c>
      <c r="B7" s="185" t="s">
        <v>166</v>
      </c>
      <c r="C7" s="184">
        <v>840</v>
      </c>
      <c r="D7" s="184">
        <v>509</v>
      </c>
      <c r="E7" s="184">
        <f t="shared" si="0"/>
        <v>60.5952380952381</v>
      </c>
      <c r="F7" s="184">
        <v>249</v>
      </c>
      <c r="G7" s="184">
        <f t="shared" si="1"/>
        <v>29.6428571428571</v>
      </c>
      <c r="H7" s="184">
        <v>0</v>
      </c>
      <c r="I7" s="184">
        <f t="shared" si="2"/>
        <v>0</v>
      </c>
      <c r="J7" s="184">
        <v>71</v>
      </c>
      <c r="K7" s="184">
        <f t="shared" si="3"/>
        <v>8.45238095238095</v>
      </c>
      <c r="L7" s="189">
        <v>578</v>
      </c>
      <c r="M7" s="189">
        <v>615</v>
      </c>
      <c r="N7" s="189">
        <f t="shared" si="4"/>
        <v>1193</v>
      </c>
      <c r="O7" s="184">
        <v>840</v>
      </c>
      <c r="P7" s="190">
        <f t="shared" si="5"/>
        <v>70.4107292539816</v>
      </c>
      <c r="Q7" s="184">
        <v>909</v>
      </c>
      <c r="R7" s="184">
        <f t="shared" si="6"/>
        <v>76.1944677284158</v>
      </c>
      <c r="S7" s="192">
        <f t="shared" si="7"/>
        <v>292</v>
      </c>
      <c r="T7" s="184">
        <f t="shared" si="8"/>
        <v>32.1232123212321</v>
      </c>
      <c r="U7" s="184">
        <v>617</v>
      </c>
      <c r="V7" s="191">
        <f t="shared" si="9"/>
        <v>67.8767876787679</v>
      </c>
      <c r="W7" s="184">
        <f>109+175</f>
        <v>284</v>
      </c>
      <c r="X7" s="184">
        <f t="shared" si="10"/>
        <v>23.8055322715842</v>
      </c>
      <c r="Y7" s="184">
        <f t="shared" si="11"/>
        <v>97</v>
      </c>
      <c r="Z7" s="193">
        <f t="shared" si="12"/>
        <v>34.1549295774648</v>
      </c>
      <c r="AA7" s="193">
        <f>80+107</f>
        <v>187</v>
      </c>
      <c r="AB7" s="194">
        <f t="shared" si="13"/>
        <v>65.8450704225352</v>
      </c>
      <c r="AC7" s="193">
        <f t="shared" si="14"/>
        <v>804</v>
      </c>
      <c r="AD7" s="193" t="str">
        <f t="shared" si="15"/>
        <v>STRONG</v>
      </c>
      <c r="AE7" s="195" t="str">
        <f t="shared" si="16"/>
        <v>STRONG</v>
      </c>
      <c r="AF7" s="193" t="str">
        <f t="shared" si="17"/>
        <v>VLOW</v>
      </c>
      <c r="AG7" s="193" t="str">
        <f t="shared" si="18"/>
        <v>FEMALE DOM</v>
      </c>
      <c r="AH7" s="193" t="str">
        <f t="shared" si="19"/>
        <v>O</v>
      </c>
      <c r="AI7" s="197">
        <f t="shared" si="20"/>
        <v>30.9523809523809</v>
      </c>
      <c r="AJ7" s="199" t="str">
        <f t="shared" si="21"/>
        <v>BJP GAIN</v>
      </c>
    </row>
    <row r="8" spans="1:36">
      <c r="A8" s="184">
        <v>190</v>
      </c>
      <c r="B8" s="185" t="s">
        <v>167</v>
      </c>
      <c r="C8" s="184">
        <v>332</v>
      </c>
      <c r="D8" s="184">
        <v>168</v>
      </c>
      <c r="E8" s="184">
        <f t="shared" si="0"/>
        <v>50.6024096385542</v>
      </c>
      <c r="F8" s="184">
        <v>148</v>
      </c>
      <c r="G8" s="184">
        <f t="shared" si="1"/>
        <v>44.578313253012</v>
      </c>
      <c r="H8" s="184">
        <v>0</v>
      </c>
      <c r="I8" s="184">
        <f t="shared" si="2"/>
        <v>0</v>
      </c>
      <c r="J8" s="184">
        <v>14</v>
      </c>
      <c r="K8" s="184">
        <f t="shared" si="3"/>
        <v>4.21686746987952</v>
      </c>
      <c r="L8" s="189">
        <v>234</v>
      </c>
      <c r="M8" s="189">
        <v>239</v>
      </c>
      <c r="N8" s="189">
        <f t="shared" si="4"/>
        <v>473</v>
      </c>
      <c r="O8" s="184">
        <v>332</v>
      </c>
      <c r="P8" s="190">
        <f t="shared" si="5"/>
        <v>70.1902748414376</v>
      </c>
      <c r="Q8" s="184">
        <v>301</v>
      </c>
      <c r="R8" s="184">
        <f t="shared" si="6"/>
        <v>63.6363636363636</v>
      </c>
      <c r="S8" s="184">
        <f t="shared" si="7"/>
        <v>117</v>
      </c>
      <c r="T8" s="184">
        <f t="shared" si="8"/>
        <v>38.8704318936877</v>
      </c>
      <c r="U8" s="184">
        <v>184</v>
      </c>
      <c r="V8" s="191">
        <f t="shared" si="9"/>
        <v>61.1295681063123</v>
      </c>
      <c r="W8" s="184">
        <v>172</v>
      </c>
      <c r="X8" s="184">
        <f t="shared" si="10"/>
        <v>36.3636363636364</v>
      </c>
      <c r="Y8" s="196">
        <f t="shared" si="11"/>
        <v>35</v>
      </c>
      <c r="Z8" s="193">
        <f t="shared" si="12"/>
        <v>20.3488372093023</v>
      </c>
      <c r="AA8" s="193">
        <v>137</v>
      </c>
      <c r="AB8" s="194">
        <f t="shared" si="13"/>
        <v>79.6511627906977</v>
      </c>
      <c r="AC8" s="193">
        <f t="shared" si="14"/>
        <v>321</v>
      </c>
      <c r="AD8" s="193" t="str">
        <f t="shared" si="15"/>
        <v>STRONG</v>
      </c>
      <c r="AE8" s="195" t="str">
        <f t="shared" si="16"/>
        <v>AVG</v>
      </c>
      <c r="AF8" s="193" t="str">
        <f t="shared" si="17"/>
        <v>VLOW</v>
      </c>
      <c r="AG8" s="193" t="str">
        <f t="shared" si="18"/>
        <v>FEMALE DOM</v>
      </c>
      <c r="AH8" s="193" t="str">
        <f t="shared" si="19"/>
        <v>H</v>
      </c>
      <c r="AI8" s="197">
        <f t="shared" si="20"/>
        <v>6.02409638554217</v>
      </c>
      <c r="AJ8" s="199" t="str">
        <f t="shared" si="21"/>
        <v>BJP GAIN</v>
      </c>
    </row>
    <row r="9" spans="1:36">
      <c r="A9" s="184">
        <v>191</v>
      </c>
      <c r="B9" s="185" t="s">
        <v>168</v>
      </c>
      <c r="C9" s="184">
        <v>610</v>
      </c>
      <c r="D9" s="184">
        <v>335</v>
      </c>
      <c r="E9" s="184">
        <f t="shared" si="0"/>
        <v>54.9180327868852</v>
      </c>
      <c r="F9" s="184">
        <v>196</v>
      </c>
      <c r="G9" s="184">
        <f t="shared" si="1"/>
        <v>32.1311475409836</v>
      </c>
      <c r="H9" s="184">
        <v>7</v>
      </c>
      <c r="I9" s="184">
        <f t="shared" si="2"/>
        <v>1.14754098360656</v>
      </c>
      <c r="J9" s="184">
        <v>55</v>
      </c>
      <c r="K9" s="184">
        <f t="shared" si="3"/>
        <v>9.01639344262295</v>
      </c>
      <c r="L9" s="189">
        <v>376</v>
      </c>
      <c r="M9" s="189">
        <v>419</v>
      </c>
      <c r="N9" s="189">
        <f t="shared" si="4"/>
        <v>795</v>
      </c>
      <c r="O9" s="184">
        <v>610</v>
      </c>
      <c r="P9" s="190">
        <f t="shared" si="5"/>
        <v>76.7295597484277</v>
      </c>
      <c r="Q9" s="184">
        <v>634</v>
      </c>
      <c r="R9" s="184">
        <f t="shared" si="6"/>
        <v>79.748427672956</v>
      </c>
      <c r="S9" s="184">
        <f t="shared" si="7"/>
        <v>444</v>
      </c>
      <c r="T9" s="184">
        <f t="shared" si="8"/>
        <v>70.0315457413249</v>
      </c>
      <c r="U9" s="184">
        <v>190</v>
      </c>
      <c r="V9" s="191">
        <f t="shared" si="9"/>
        <v>29.9684542586751</v>
      </c>
      <c r="W9" s="184"/>
      <c r="X9" s="184">
        <f t="shared" si="10"/>
        <v>20.251572327044</v>
      </c>
      <c r="Y9" s="184">
        <f t="shared" si="11"/>
        <v>0</v>
      </c>
      <c r="Z9" s="193" t="e">
        <f t="shared" si="12"/>
        <v>#DIV/0!</v>
      </c>
      <c r="AA9" s="193"/>
      <c r="AB9" s="194">
        <f t="shared" si="13"/>
        <v>0</v>
      </c>
      <c r="AC9" s="193">
        <f t="shared" si="14"/>
        <v>190</v>
      </c>
      <c r="AD9" s="193" t="str">
        <f t="shared" si="15"/>
        <v>STRONG</v>
      </c>
      <c r="AE9" s="195" t="str">
        <f t="shared" si="16"/>
        <v>STRONG</v>
      </c>
      <c r="AF9" s="193" t="str">
        <f t="shared" si="17"/>
        <v>VLOW</v>
      </c>
      <c r="AG9" s="193" t="str">
        <f t="shared" si="18"/>
        <v>FEMALE DOM</v>
      </c>
      <c r="AH9" s="193" t="e">
        <f t="shared" si="19"/>
        <v>#DIV/0!</v>
      </c>
      <c r="AI9" s="197">
        <f t="shared" si="20"/>
        <v>22.7868852459016</v>
      </c>
      <c r="AJ9" s="199" t="str">
        <f t="shared" si="21"/>
        <v>BJP GAIN</v>
      </c>
    </row>
    <row r="10" spans="3:36">
      <c r="C10">
        <f>SUM(C2:C9)</f>
        <v>5029</v>
      </c>
      <c r="D10">
        <f>SUM(D2:D9)</f>
        <v>3192</v>
      </c>
      <c r="E10" s="186">
        <f>AVERAGE(E2:E9)</f>
        <v>61.8114146568685</v>
      </c>
      <c r="F10">
        <f>SUM(F2:F9)</f>
        <v>1553</v>
      </c>
      <c r="G10" s="186">
        <f>AVERAGE(G2:G9)</f>
        <v>32.7197759366205</v>
      </c>
      <c r="H10">
        <f>SUM(H2:H9)</f>
        <v>10</v>
      </c>
      <c r="I10" s="186">
        <f>AVERAGE(I2:I9)</f>
        <v>0.19583949526884</v>
      </c>
      <c r="J10">
        <f>SUM(J2:J9)</f>
        <v>186</v>
      </c>
      <c r="K10" s="186">
        <f>AVERAGE(K2:K9)</f>
        <v>3.57740153160529</v>
      </c>
      <c r="L10">
        <f>SUM(L2:L9)</f>
        <v>3481</v>
      </c>
      <c r="M10">
        <f>SUM(M2:M9)</f>
        <v>3702</v>
      </c>
      <c r="N10" s="668">
        <f>SUM(N2:N9)</f>
        <v>7183</v>
      </c>
      <c r="O10">
        <f>SUM(O2:O9)</f>
        <v>5029</v>
      </c>
      <c r="P10" s="669">
        <f>AVERAGE(P2:P9)</f>
        <v>70.4005250980181</v>
      </c>
      <c r="Q10">
        <f>SUM(Q2:Q9)</f>
        <v>5266</v>
      </c>
      <c r="AD10" s="569" t="str">
        <f t="shared" si="15"/>
        <v>STRONG</v>
      </c>
      <c r="AI10" s="329">
        <f t="shared" si="20"/>
        <v>29.091638720248</v>
      </c>
      <c r="AJ10" s="335" t="str">
        <f t="shared" si="21"/>
        <v>BJP GAIN</v>
      </c>
    </row>
  </sheetData>
  <conditionalFormatting sqref="AD2:AD6">
    <cfRule type="containsText" dxfId="8" priority="30" operator="between" text="AVG">
      <formula>NOT(ISERROR(SEARCH("AVG",AD2)))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NOT(ISERROR(SEARCH("VSTRONG",AD2)))</formula>
    </cfRule>
    <cfRule type="containsText" dxfId="10" priority="20" operator="between" text="AVG">
      <formula>NOT(ISERROR(SEARCH("AVG",AD2)))</formula>
    </cfRule>
  </conditionalFormatting>
  <conditionalFormatting sqref="AD7:AD10">
    <cfRule type="containsText" dxfId="8" priority="15" operator="between" text="AVG">
      <formula>NOT(ISERROR(SEARCH("AVG",AD7)))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NOT(ISERROR(SEARCH("VSTRONG",AD7)))</formula>
    </cfRule>
    <cfRule type="containsText" dxfId="10" priority="5" operator="between" text="AVG">
      <formula>NOT(ISERROR(SEARCH("AVG",AD7)))</formula>
    </cfRule>
  </conditionalFormatting>
  <conditionalFormatting sqref="AE2:AE6">
    <cfRule type="containsText" dxfId="3" priority="24" operator="between" text="STRONG">
      <formula>NOT(ISERROR(SEARCH("STRONG",AE2)))</formula>
    </cfRule>
    <cfRule type="containsText" dxfId="1" priority="22" operator="between" text="VSTRONG">
      <formula>NOT(ISERROR(SEARCH("VSTRONG",AE2)))</formula>
    </cfRule>
  </conditionalFormatting>
  <conditionalFormatting sqref="AE7:AE9">
    <cfRule type="containsText" dxfId="3" priority="9" operator="between" text="STRONG">
      <formula>NOT(ISERROR(SEARCH("STRONG",AE7)))</formula>
    </cfRule>
    <cfRule type="containsText" dxfId="1" priority="7" operator="between" text="VSTRONG">
      <formula>NOT(ISERROR(SEARCH("VSTRONG",AE7)))</formula>
    </cfRule>
  </conditionalFormatting>
  <conditionalFormatting sqref="AF2:AF6">
    <cfRule type="cellIs" dxfId="11" priority="18" operator="equal">
      <formula>"VWEAK"</formula>
    </cfRule>
    <cfRule type="containsText" dxfId="0" priority="17" operator="between" text="VSTRONG">
      <formula>NOT(ISERROR(SEARCH("VSTRONG",AF2)))</formula>
    </cfRule>
  </conditionalFormatting>
  <conditionalFormatting sqref="AF7:AF9">
    <cfRule type="cellIs" dxfId="11" priority="3" operator="equal">
      <formula>"VWEAK"</formula>
    </cfRule>
    <cfRule type="containsText" dxfId="0" priority="2" operator="between" text="VSTRONG">
      <formula>NOT(ISERROR(SEARCH("VSTRONG",AF7)))</formula>
    </cfRule>
  </conditionalFormatting>
  <conditionalFormatting sqref="AG2:AG6">
    <cfRule type="containsText" dxfId="12" priority="21" operator="between" text="FEMALE DOM">
      <formula>NOT(ISERROR(SEARCH("FEMALE DOM",AG2)))</formula>
    </cfRule>
    <cfRule type="containsText" dxfId="10" priority="16" operator="between" text="MEN">
      <formula>NOT(ISERROR(SEARCH("MEN",AG2)))</formula>
    </cfRule>
  </conditionalFormatting>
  <conditionalFormatting sqref="AG7:AG9">
    <cfRule type="containsText" dxfId="10" priority="1" operator="between" text="MEN">
      <formula>NOT(ISERROR(SEARCH("MEN",AG7)))</formula>
    </cfRule>
    <cfRule type="containsText" dxfId="12" priority="6" operator="between" text="FEMALE DOM">
      <formula>NOT(ISERROR(SEARCH("FEMALE DOM",AG7)))</formula>
    </cfRule>
  </conditionalFormatting>
  <conditionalFormatting sqref="AH2:AH6">
    <cfRule type="containsText" dxfId="0" priority="27" operator="between" text="O">
      <formula>NOT(ISERROR(SEARCH("O",AH2)))</formula>
    </cfRule>
    <cfRule type="containsText" dxfId="3" priority="25" operator="between" text="H">
      <formula>NOT(ISERROR(SEARCH("H",AH2)))</formula>
    </cfRule>
    <cfRule type="containsText" dxfId="13" priority="26" operator="between" text="H">
      <formula>NOT(ISERROR(SEARCH("H",AH2)))</formula>
    </cfRule>
    <cfRule type="containsText" dxfId="1" priority="19" operator="between" text="H">
      <formula>NOT(ISERROR(SEARCH("H",AH2)))</formula>
    </cfRule>
  </conditionalFormatting>
  <conditionalFormatting sqref="AH7:AH9">
    <cfRule type="containsText" dxfId="0" priority="12" operator="between" text="O">
      <formula>NOT(ISERROR(SEARCH("O",AH7)))</formula>
    </cfRule>
    <cfRule type="containsText" dxfId="3" priority="10" operator="between" text="H">
      <formula>NOT(ISERROR(SEARCH("H",AH7)))</formula>
    </cfRule>
    <cfRule type="containsText" dxfId="13" priority="11" operator="between" text="H">
      <formula>NOT(ISERROR(SEARCH("H",AH7)))</formula>
    </cfRule>
    <cfRule type="containsText" dxfId="1" priority="4" operator="between" text="H">
      <formula>NOT(ISERROR(SEARCH("H",AH7)))</formula>
    </cfRule>
  </conditionalFormatting>
  <conditionalFormatting sqref="AE2:AF6">
    <cfRule type="containsText" dxfId="2" priority="23" operator="between" text="AVG">
      <formula>NOT(ISERROR(SEARCH("AVG",AE2)))</formula>
    </cfRule>
  </conditionalFormatting>
  <conditionalFormatting sqref="AE7:AF9">
    <cfRule type="containsText" dxfId="2" priority="8" operator="between" text="AVG">
      <formula>NOT(ISERROR(SEARCH("AVG",AE7)))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BA37"/>
  <sheetViews>
    <sheetView workbookViewId="0">
      <selection activeCell="D7" sqref="D7:D13"/>
    </sheetView>
  </sheetViews>
  <sheetFormatPr defaultColWidth="9" defaultRowHeight="14.5"/>
  <cols>
    <col min="16" max="16" width="9.70909090909091" customWidth="1"/>
    <col min="24" max="24" width="10.7090909090909" customWidth="1"/>
    <col min="26" max="26" width="12.5727272727273" customWidth="1"/>
  </cols>
  <sheetData>
    <row r="1" spans="1:53">
      <c r="A1" s="629" t="s">
        <v>16</v>
      </c>
      <c r="B1" s="267" t="s">
        <v>0</v>
      </c>
      <c r="C1" s="267" t="s">
        <v>15</v>
      </c>
      <c r="D1" s="267" t="s">
        <v>1</v>
      </c>
      <c r="E1" s="513"/>
      <c r="F1" s="513"/>
      <c r="G1" s="513"/>
      <c r="H1" s="513"/>
      <c r="I1" s="513"/>
      <c r="J1" s="513"/>
      <c r="K1" s="508"/>
      <c r="L1" s="513" t="s">
        <v>2</v>
      </c>
      <c r="M1" s="267" t="s">
        <v>3</v>
      </c>
      <c r="N1" s="268" t="s">
        <v>4</v>
      </c>
      <c r="O1" s="508" t="s">
        <v>5</v>
      </c>
      <c r="P1" s="513" t="s">
        <v>17</v>
      </c>
      <c r="Q1" s="526" t="s">
        <v>18</v>
      </c>
      <c r="R1" s="513" t="s">
        <v>19</v>
      </c>
      <c r="S1" s="225" t="s">
        <v>20</v>
      </c>
      <c r="T1" s="526" t="s">
        <v>21</v>
      </c>
      <c r="U1" s="508" t="s">
        <v>22</v>
      </c>
      <c r="V1" s="237" t="s">
        <v>23</v>
      </c>
      <c r="W1" s="268" t="s">
        <v>156</v>
      </c>
      <c r="X1" s="238" t="s">
        <v>66</v>
      </c>
      <c r="Y1" s="508" t="s">
        <v>169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629"/>
      <c r="B2" s="273"/>
      <c r="C2" s="273"/>
      <c r="D2" s="273"/>
      <c r="E2" s="514"/>
      <c r="F2" s="514"/>
      <c r="G2" s="514"/>
      <c r="H2" s="514"/>
      <c r="I2" s="514"/>
      <c r="J2" s="514"/>
      <c r="K2" s="509"/>
      <c r="L2" s="514"/>
      <c r="M2" s="273"/>
      <c r="N2" s="274"/>
      <c r="O2" s="509"/>
      <c r="P2" s="514"/>
      <c r="Q2" s="527"/>
      <c r="R2" s="514"/>
      <c r="S2" s="241"/>
      <c r="T2" s="527"/>
      <c r="U2" s="509"/>
      <c r="V2" s="242"/>
      <c r="W2" s="274"/>
      <c r="X2" s="243"/>
      <c r="Y2" s="509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629"/>
      <c r="B3" s="273"/>
      <c r="C3" s="273"/>
      <c r="D3" s="267" t="s">
        <v>7</v>
      </c>
      <c r="E3" s="513" t="s">
        <v>8</v>
      </c>
      <c r="F3" s="513" t="s">
        <v>9</v>
      </c>
      <c r="G3" s="268" t="s">
        <v>10</v>
      </c>
      <c r="H3" s="513" t="s">
        <v>11</v>
      </c>
      <c r="I3" s="513" t="s">
        <v>12</v>
      </c>
      <c r="J3" s="513" t="s">
        <v>9</v>
      </c>
      <c r="K3" s="508" t="s">
        <v>13</v>
      </c>
      <c r="L3" s="514"/>
      <c r="M3" s="273"/>
      <c r="N3" s="274"/>
      <c r="O3" s="509"/>
      <c r="P3" s="514"/>
      <c r="Q3" s="527"/>
      <c r="R3" s="514"/>
      <c r="S3" s="241"/>
      <c r="T3" s="527"/>
      <c r="U3" s="509"/>
      <c r="V3" s="242"/>
      <c r="W3" s="274"/>
      <c r="X3" s="243"/>
      <c r="Y3" s="509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629"/>
      <c r="B4" s="273"/>
      <c r="C4" s="273"/>
      <c r="D4" s="273"/>
      <c r="E4" s="514"/>
      <c r="F4" s="514"/>
      <c r="G4" s="274"/>
      <c r="H4" s="514"/>
      <c r="I4" s="514"/>
      <c r="J4" s="514"/>
      <c r="K4" s="509"/>
      <c r="L4" s="514"/>
      <c r="M4" s="273"/>
      <c r="N4" s="274"/>
      <c r="O4" s="509"/>
      <c r="P4" s="514"/>
      <c r="Q4" s="527"/>
      <c r="R4" s="514"/>
      <c r="S4" s="241"/>
      <c r="T4" s="527"/>
      <c r="U4" s="509"/>
      <c r="V4" s="242"/>
      <c r="W4" s="274"/>
      <c r="X4" s="243"/>
      <c r="Y4" s="509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629"/>
      <c r="B5" s="273"/>
      <c r="C5" s="273"/>
      <c r="D5" s="273"/>
      <c r="E5" s="514"/>
      <c r="F5" s="514"/>
      <c r="G5" s="274"/>
      <c r="H5" s="514"/>
      <c r="I5" s="514"/>
      <c r="J5" s="514"/>
      <c r="K5" s="509"/>
      <c r="L5" s="514"/>
      <c r="M5" s="273"/>
      <c r="N5" s="274"/>
      <c r="O5" s="509"/>
      <c r="P5" s="514"/>
      <c r="Q5" s="527"/>
      <c r="R5" s="514"/>
      <c r="S5" s="241"/>
      <c r="T5" s="527"/>
      <c r="U5" s="509"/>
      <c r="V5" s="242"/>
      <c r="W5" s="274"/>
      <c r="X5" s="243"/>
      <c r="Y5" s="509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ht="15" customHeight="1" spans="1:53">
      <c r="A6" s="629"/>
      <c r="B6" s="273"/>
      <c r="C6" s="273"/>
      <c r="D6" s="273"/>
      <c r="E6" s="514"/>
      <c r="F6" s="514"/>
      <c r="G6" s="274"/>
      <c r="H6" s="514"/>
      <c r="I6" s="514"/>
      <c r="J6" s="514"/>
      <c r="K6" s="509"/>
      <c r="L6" s="514"/>
      <c r="M6" s="273"/>
      <c r="N6" s="274"/>
      <c r="O6" s="509"/>
      <c r="P6" s="514"/>
      <c r="Q6" s="528"/>
      <c r="R6" s="514"/>
      <c r="S6" s="241"/>
      <c r="T6" s="527"/>
      <c r="U6" s="509"/>
      <c r="V6" s="242"/>
      <c r="W6" s="279"/>
      <c r="X6" s="243"/>
      <c r="Y6" s="509"/>
      <c r="Z6" s="661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159" t="s">
        <v>27</v>
      </c>
      <c r="B7" s="518">
        <v>44</v>
      </c>
      <c r="C7" s="518">
        <v>1158</v>
      </c>
      <c r="D7" s="518">
        <v>182</v>
      </c>
      <c r="E7" s="199">
        <v>600</v>
      </c>
      <c r="F7" s="519">
        <v>3</v>
      </c>
      <c r="G7" s="199">
        <v>1</v>
      </c>
      <c r="H7" s="519">
        <v>1</v>
      </c>
      <c r="I7" s="199">
        <v>0</v>
      </c>
      <c r="J7" s="519">
        <v>5</v>
      </c>
      <c r="K7" s="199">
        <v>2</v>
      </c>
      <c r="L7" s="519">
        <v>794</v>
      </c>
      <c r="M7" s="518">
        <v>0</v>
      </c>
      <c r="N7" s="199">
        <v>5</v>
      </c>
      <c r="O7" s="289">
        <f>D7+E7+F7+G7+H7+I7+J7+K7+N7</f>
        <v>799</v>
      </c>
      <c r="P7" s="519">
        <f>(O7/C7)*100</f>
        <v>68.9982728842833</v>
      </c>
      <c r="Q7" s="199">
        <f>(E7/O7)*100</f>
        <v>75.0938673341677</v>
      </c>
      <c r="R7" s="519">
        <f>(D7/O7)*100</f>
        <v>22.7784730913642</v>
      </c>
      <c r="S7" s="518">
        <f>(F7/O7)*100</f>
        <v>0.375469336670839</v>
      </c>
      <c r="T7" s="199">
        <f>(G7/O7)*100</f>
        <v>0.125156445556946</v>
      </c>
      <c r="U7" s="289">
        <f>((H7+I7+J7+K7)/O7)*100</f>
        <v>1.00125156445557</v>
      </c>
      <c r="V7" s="519">
        <f>(N7/O7)*100</f>
        <v>0.625782227784731</v>
      </c>
      <c r="W7" s="199">
        <f>Q7-R7</f>
        <v>52.3153942428035</v>
      </c>
      <c r="X7" s="289">
        <f>Q7-(R7+S7+T7+U7)</f>
        <v>50.8135168961201</v>
      </c>
      <c r="Y7" s="289" t="str">
        <f>IF(AND(W7&lt;0,W7&lt;=1),"LOST",IF(AND(W7&gt;1,W7&lt;=10),"NARROW",IF(AND(W7&gt;10,W7&lt;=40),"MEDIUM",IF(AND(W7&gt;40,W7&lt;=90),"STRONG",""))))</f>
        <v>STRONG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1157</v>
      </c>
      <c r="AC7">
        <v>772</v>
      </c>
      <c r="AD7">
        <v>527</v>
      </c>
      <c r="AE7">
        <v>342</v>
      </c>
      <c r="AF7">
        <v>630</v>
      </c>
      <c r="AG7">
        <v>430</v>
      </c>
      <c r="AH7">
        <v>1066</v>
      </c>
      <c r="AI7">
        <v>723</v>
      </c>
      <c r="AJ7">
        <v>0</v>
      </c>
      <c r="AK7">
        <v>0</v>
      </c>
      <c r="AL7">
        <v>91</v>
      </c>
      <c r="AM7">
        <v>49</v>
      </c>
      <c r="AN7" s="248">
        <f>(AD7/AB7)*100</f>
        <v>45.5488331892826</v>
      </c>
      <c r="AO7" s="316">
        <f>(AE7/AC7)*100</f>
        <v>44.300518134715</v>
      </c>
      <c r="AP7" s="317">
        <f>(AF7/AB7)*100</f>
        <v>54.4511668107174</v>
      </c>
      <c r="AQ7" s="318">
        <f>(AG7/AC7)*100</f>
        <v>55.699481865285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92.1348314606742</v>
      </c>
      <c r="AU7" s="317">
        <f>(AI7/AC7)*100</f>
        <v>93.6528497409326</v>
      </c>
      <c r="AV7" s="248">
        <f>(AJ7/AB7)*100</f>
        <v>0</v>
      </c>
      <c r="AW7" s="317">
        <f>(AK7/AC7)*100</f>
        <v>0</v>
      </c>
      <c r="AX7" s="248">
        <f>(AL7/AB7)*100</f>
        <v>7.86516853932584</v>
      </c>
      <c r="AY7" s="317">
        <f>(AM7/AC7)*100</f>
        <v>6.34715025906736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1:53">
      <c r="A8" s="317"/>
      <c r="B8" s="662">
        <v>189</v>
      </c>
      <c r="C8" s="662">
        <v>830</v>
      </c>
      <c r="D8" s="662">
        <v>250</v>
      </c>
      <c r="E8" s="329">
        <v>282</v>
      </c>
      <c r="F8" s="663">
        <v>0</v>
      </c>
      <c r="G8" s="329">
        <v>1</v>
      </c>
      <c r="H8" s="663">
        <v>0</v>
      </c>
      <c r="I8" s="329">
        <v>0</v>
      </c>
      <c r="J8" s="663">
        <v>1</v>
      </c>
      <c r="K8" s="329">
        <v>0</v>
      </c>
      <c r="L8" s="663">
        <v>534</v>
      </c>
      <c r="M8" s="662">
        <v>0</v>
      </c>
      <c r="N8" s="329">
        <v>2</v>
      </c>
      <c r="O8" s="664">
        <f t="shared" ref="O8:O13" si="0">D8+E8+F8+G8+H8+I8+J8+K8+N8</f>
        <v>536</v>
      </c>
      <c r="P8" s="663">
        <f t="shared" ref="P8:P13" si="1">(O8/C8)*100</f>
        <v>64.578313253012</v>
      </c>
      <c r="Q8" s="329">
        <f t="shared" ref="Q8:Q13" si="2">(E8/O8)*100</f>
        <v>52.6119402985075</v>
      </c>
      <c r="R8" s="663">
        <f t="shared" ref="R8:R13" si="3">(D8/O8)*100</f>
        <v>46.6417910447761</v>
      </c>
      <c r="S8" s="662">
        <f t="shared" ref="S8:S13" si="4">(F8/O8)*100</f>
        <v>0</v>
      </c>
      <c r="T8" s="329">
        <f t="shared" ref="T8:T13" si="5">(G8/O8)*100</f>
        <v>0.186567164179104</v>
      </c>
      <c r="U8" s="664">
        <f t="shared" ref="U8:U13" si="6">((H8+I8+J8+K8)/O8)*100</f>
        <v>0.186567164179104</v>
      </c>
      <c r="V8" s="663">
        <f t="shared" ref="V8:V13" si="7">(N8/O8)*100</f>
        <v>0.373134328358209</v>
      </c>
      <c r="W8" s="329">
        <f t="shared" ref="W8:W13" si="8">Q8-R8</f>
        <v>5.97014925373134</v>
      </c>
      <c r="X8" s="664">
        <f t="shared" ref="X8:X13" si="9">Q8-(R8+S8+T8+U8)</f>
        <v>5.59701492537314</v>
      </c>
      <c r="Y8" s="319" t="str">
        <f t="shared" ref="Y8:Y14" si="10">IF(AND(W8&lt;0,W8&lt;=1),"LOST",IF(AND(W8&gt;1,W8&lt;=10),"NARROW",IF(AND(W8&gt;10,W8&lt;=40),"MEDIUM",IF(AND(W8&gt;40,W8&lt;=90),"STRONG",""))))</f>
        <v>NARROW</v>
      </c>
      <c r="Z8" s="283" t="str">
        <f t="shared" ref="Z8:Z14" si="11">IF(AND(P8&lt;0,P8&lt;=10),"WEAK",IF(AND(P8&gt;10,P8&lt;20),"BELOW AVG",IF(AND(P8&gt;20,P8&lt;=60),"MEDIUM",IF(AND(P8&gt;60,P8&lt;=90),"STRONG",""))))</f>
        <v>STRONG</v>
      </c>
      <c r="AA8" s="289" t="str">
        <f t="shared" ref="AA8:AA14" si="12">IF(Q8&gt;R8,"BJP","CONGRESS")</f>
        <v>BJP</v>
      </c>
      <c r="AB8">
        <v>826</v>
      </c>
      <c r="AD8">
        <v>415</v>
      </c>
      <c r="AF8">
        <v>410</v>
      </c>
      <c r="AH8">
        <v>488</v>
      </c>
      <c r="AJ8">
        <v>36</v>
      </c>
      <c r="AL8">
        <v>302</v>
      </c>
      <c r="AN8" s="248">
        <f t="shared" ref="AN8:AO13" si="13">(AD8/AB8)*100</f>
        <v>50.2421307506053</v>
      </c>
      <c r="AO8" s="316" t="e">
        <f t="shared" si="13"/>
        <v>#DIV/0!</v>
      </c>
      <c r="AP8" s="317">
        <f t="shared" ref="AP8:AP13" si="14">(AF8/AB8)*100</f>
        <v>49.636803874092</v>
      </c>
      <c r="AQ8" s="318" t="e">
        <f t="shared" ref="AQ8:AQ13" si="15">(AG8/AC8)*100</f>
        <v>#DIV/0!</v>
      </c>
      <c r="AR8" s="318" t="str">
        <f t="shared" ref="AR8:AR14" si="16">IF(AN8&gt;AP8,"MALE DOM","FEMALE DOM")</f>
        <v>MALE DOM</v>
      </c>
      <c r="AS8" s="319" t="e">
        <f t="shared" ref="AS8:AS14" si="17">IF(AO8&gt;AP8,"MALE","FEMALE")</f>
        <v>#DIV/0!</v>
      </c>
      <c r="AT8" s="317">
        <f t="shared" ref="AT8:AU13" si="18">(AH8/AB8)*100</f>
        <v>59.0799031476998</v>
      </c>
      <c r="AU8" s="317" t="e">
        <f t="shared" si="18"/>
        <v>#DIV/0!</v>
      </c>
      <c r="AV8" s="248">
        <f t="shared" ref="AV8:AW13" si="19">(AJ8/AB8)*100</f>
        <v>4.35835351089588</v>
      </c>
      <c r="AW8" s="317" t="e">
        <f t="shared" si="19"/>
        <v>#DIV/0!</v>
      </c>
      <c r="AX8" s="248">
        <f t="shared" ref="AX8:AY13" si="20">(AL8/AB8)*100</f>
        <v>36.5617433414044</v>
      </c>
      <c r="AY8" s="317" t="e">
        <f t="shared" si="20"/>
        <v>#DIV/0!</v>
      </c>
      <c r="AZ8" s="248" t="str">
        <f t="shared" ref="AZ8:AZ13" si="21">IF(AT8&gt;(AV8+AX8),"HINDU","MINORITY")</f>
        <v>HINDU</v>
      </c>
      <c r="BA8" s="318" t="e">
        <f t="shared" ref="BA8:BA13" si="22">IF(AU8&gt;(AW8+AY8),"HIND","MINORITY")</f>
        <v>#DIV/0!</v>
      </c>
    </row>
    <row r="9" spans="1:53">
      <c r="A9" s="317"/>
      <c r="B9" s="228">
        <v>191</v>
      </c>
      <c r="C9" s="228">
        <v>1339</v>
      </c>
      <c r="D9" s="228">
        <v>418</v>
      </c>
      <c r="E9" s="520">
        <v>376</v>
      </c>
      <c r="F9" s="254">
        <v>6</v>
      </c>
      <c r="G9" s="520">
        <v>4</v>
      </c>
      <c r="H9" s="254">
        <v>1</v>
      </c>
      <c r="I9" s="520">
        <v>2</v>
      </c>
      <c r="J9" s="254">
        <v>1</v>
      </c>
      <c r="K9" s="520">
        <v>1</v>
      </c>
      <c r="L9" s="254">
        <v>809</v>
      </c>
      <c r="M9" s="228">
        <v>0</v>
      </c>
      <c r="N9" s="520">
        <v>6</v>
      </c>
      <c r="O9" s="255">
        <v>815</v>
      </c>
      <c r="P9" s="254">
        <f t="shared" si="1"/>
        <v>60.8663181478715</v>
      </c>
      <c r="Q9" s="520">
        <f t="shared" si="2"/>
        <v>46.1349693251534</v>
      </c>
      <c r="R9" s="254">
        <f t="shared" si="3"/>
        <v>51.2883435582822</v>
      </c>
      <c r="S9" s="590">
        <f t="shared" si="4"/>
        <v>0.736196319018405</v>
      </c>
      <c r="T9" s="198">
        <f t="shared" si="5"/>
        <v>0.49079754601227</v>
      </c>
      <c r="U9" s="255">
        <f t="shared" si="6"/>
        <v>0.613496932515337</v>
      </c>
      <c r="V9" s="254">
        <f t="shared" si="7"/>
        <v>0.736196319018405</v>
      </c>
      <c r="W9" s="198">
        <f t="shared" si="8"/>
        <v>-5.15337423312884</v>
      </c>
      <c r="X9" s="511">
        <f t="shared" si="9"/>
        <v>-6.99386503067485</v>
      </c>
      <c r="Y9" s="318" t="str">
        <f t="shared" si="10"/>
        <v>LOST</v>
      </c>
      <c r="Z9" s="283" t="str">
        <f t="shared" si="11"/>
        <v>STRONG</v>
      </c>
      <c r="AA9" s="284" t="str">
        <f t="shared" si="12"/>
        <v>CONGRESS</v>
      </c>
      <c r="AB9">
        <v>1331</v>
      </c>
      <c r="AC9">
        <v>822</v>
      </c>
      <c r="AD9">
        <v>646</v>
      </c>
      <c r="AE9">
        <v>396</v>
      </c>
      <c r="AF9">
        <v>685</v>
      </c>
      <c r="AG9">
        <v>426</v>
      </c>
      <c r="AH9">
        <v>780</v>
      </c>
      <c r="AI9">
        <v>483</v>
      </c>
      <c r="AJ9">
        <v>31</v>
      </c>
      <c r="AK9">
        <v>18</v>
      </c>
      <c r="AL9">
        <v>520</v>
      </c>
      <c r="AM9">
        <v>321</v>
      </c>
      <c r="AN9" s="248">
        <f t="shared" si="13"/>
        <v>48.5349361382419</v>
      </c>
      <c r="AO9" s="316">
        <f t="shared" si="13"/>
        <v>48.1751824817518</v>
      </c>
      <c r="AP9" s="317">
        <f t="shared" si="14"/>
        <v>51.4650638617581</v>
      </c>
      <c r="AQ9" s="318">
        <f t="shared" si="15"/>
        <v>51.8248175182482</v>
      </c>
      <c r="AR9" s="318" t="str">
        <f t="shared" si="16"/>
        <v>FEMALE DOM</v>
      </c>
      <c r="AS9" s="319" t="str">
        <f t="shared" si="17"/>
        <v>FEMALE</v>
      </c>
      <c r="AT9" s="317">
        <f t="shared" si="18"/>
        <v>58.6025544703231</v>
      </c>
      <c r="AU9" s="317">
        <f t="shared" si="18"/>
        <v>58.7591240875912</v>
      </c>
      <c r="AV9" s="248">
        <f t="shared" si="19"/>
        <v>2.32907588279489</v>
      </c>
      <c r="AW9" s="317">
        <f t="shared" si="19"/>
        <v>2.18978102189781</v>
      </c>
      <c r="AX9" s="248">
        <f t="shared" si="20"/>
        <v>39.068369646882</v>
      </c>
      <c r="AY9" s="317">
        <f t="shared" si="20"/>
        <v>39.051094890511</v>
      </c>
      <c r="AZ9" s="248" t="str">
        <f t="shared" si="21"/>
        <v>HINDU</v>
      </c>
      <c r="BA9" s="318" t="str">
        <f t="shared" si="22"/>
        <v>HIND</v>
      </c>
    </row>
    <row r="10" spans="1:53">
      <c r="A10" s="317"/>
      <c r="B10" s="588">
        <v>190</v>
      </c>
      <c r="C10" s="588">
        <v>774</v>
      </c>
      <c r="D10" s="588">
        <v>241</v>
      </c>
      <c r="E10" s="197">
        <v>251</v>
      </c>
      <c r="F10" s="592">
        <v>1</v>
      </c>
      <c r="G10" s="197">
        <v>0</v>
      </c>
      <c r="H10" s="592">
        <v>1</v>
      </c>
      <c r="I10" s="197">
        <v>0</v>
      </c>
      <c r="J10" s="592">
        <v>0</v>
      </c>
      <c r="K10" s="197">
        <v>0</v>
      </c>
      <c r="L10" s="592">
        <v>494</v>
      </c>
      <c r="M10" s="588">
        <v>0</v>
      </c>
      <c r="N10" s="197">
        <v>2</v>
      </c>
      <c r="O10" s="591">
        <v>496</v>
      </c>
      <c r="P10" s="592">
        <f t="shared" si="1"/>
        <v>64.0826873385013</v>
      </c>
      <c r="Q10" s="197">
        <f t="shared" si="2"/>
        <v>50.6048387096774</v>
      </c>
      <c r="R10" s="592">
        <f t="shared" si="3"/>
        <v>48.5887096774194</v>
      </c>
      <c r="S10" s="588">
        <f t="shared" si="4"/>
        <v>0.201612903225806</v>
      </c>
      <c r="T10" s="197">
        <f t="shared" si="5"/>
        <v>0</v>
      </c>
      <c r="U10" s="591">
        <f t="shared" si="6"/>
        <v>0.201612903225806</v>
      </c>
      <c r="V10" s="591">
        <f t="shared" si="7"/>
        <v>0.403225806451613</v>
      </c>
      <c r="W10" s="591">
        <f t="shared" si="8"/>
        <v>2.01612903225806</v>
      </c>
      <c r="X10" s="591">
        <f t="shared" si="9"/>
        <v>1.61290322580645</v>
      </c>
      <c r="Y10" s="667" t="str">
        <f t="shared" si="10"/>
        <v>NARROW</v>
      </c>
      <c r="Z10" s="283" t="str">
        <f t="shared" si="11"/>
        <v>STRONG</v>
      </c>
      <c r="AA10" s="289" t="str">
        <f t="shared" si="12"/>
        <v>BJP</v>
      </c>
      <c r="AB10">
        <v>773</v>
      </c>
      <c r="AD10">
        <v>383</v>
      </c>
      <c r="AF10">
        <v>390</v>
      </c>
      <c r="AH10">
        <v>445</v>
      </c>
      <c r="AJ10">
        <v>18</v>
      </c>
      <c r="AL10">
        <v>310</v>
      </c>
      <c r="AN10" s="248">
        <f t="shared" si="13"/>
        <v>49.5472186287193</v>
      </c>
      <c r="AO10" s="316" t="e">
        <f t="shared" si="13"/>
        <v>#DIV/0!</v>
      </c>
      <c r="AP10" s="317">
        <f t="shared" si="14"/>
        <v>50.4527813712807</v>
      </c>
      <c r="AQ10" s="318" t="e">
        <f t="shared" si="15"/>
        <v>#DIV/0!</v>
      </c>
      <c r="AR10" s="318" t="str">
        <f t="shared" si="16"/>
        <v>FEMALE DOM</v>
      </c>
      <c r="AS10" s="319" t="e">
        <f t="shared" si="17"/>
        <v>#DIV/0!</v>
      </c>
      <c r="AT10" s="317">
        <f t="shared" si="18"/>
        <v>57.5679172056921</v>
      </c>
      <c r="AU10" s="317" t="e">
        <f t="shared" si="18"/>
        <v>#DIV/0!</v>
      </c>
      <c r="AV10" s="248">
        <f t="shared" si="19"/>
        <v>2.32858990944373</v>
      </c>
      <c r="AW10" s="317" t="e">
        <f t="shared" si="19"/>
        <v>#DIV/0!</v>
      </c>
      <c r="AX10" s="248">
        <f t="shared" si="20"/>
        <v>40.1034928848642</v>
      </c>
      <c r="AY10" s="317" t="e">
        <f t="shared" si="20"/>
        <v>#DIV/0!</v>
      </c>
      <c r="AZ10" s="248" t="str">
        <f t="shared" si="21"/>
        <v>HINDU</v>
      </c>
      <c r="BA10" s="318" t="e">
        <f t="shared" si="22"/>
        <v>#DIV/0!</v>
      </c>
    </row>
    <row r="11" spans="1:53">
      <c r="A11" s="317"/>
      <c r="B11" s="249">
        <v>192</v>
      </c>
      <c r="C11" s="249">
        <v>1034</v>
      </c>
      <c r="D11" s="249">
        <v>330</v>
      </c>
      <c r="E11" s="589">
        <v>337</v>
      </c>
      <c r="F11" s="250">
        <v>2</v>
      </c>
      <c r="G11" s="589">
        <v>1</v>
      </c>
      <c r="H11" s="250">
        <v>1</v>
      </c>
      <c r="I11" s="589">
        <v>0</v>
      </c>
      <c r="J11" s="250">
        <v>2</v>
      </c>
      <c r="K11" s="589">
        <v>0</v>
      </c>
      <c r="L11" s="250">
        <v>673</v>
      </c>
      <c r="M11" s="249">
        <v>0</v>
      </c>
      <c r="N11" s="589">
        <v>5</v>
      </c>
      <c r="O11" s="665">
        <v>678</v>
      </c>
      <c r="P11" s="250">
        <f t="shared" si="1"/>
        <v>65.5705996131528</v>
      </c>
      <c r="Q11" s="589">
        <f t="shared" si="2"/>
        <v>49.7050147492625</v>
      </c>
      <c r="R11" s="250">
        <f t="shared" si="3"/>
        <v>48.6725663716814</v>
      </c>
      <c r="S11" s="249">
        <f t="shared" si="4"/>
        <v>0.294985250737463</v>
      </c>
      <c r="T11" s="589">
        <f t="shared" si="5"/>
        <v>0.147492625368732</v>
      </c>
      <c r="U11" s="665">
        <f t="shared" si="6"/>
        <v>0.442477876106195</v>
      </c>
      <c r="V11" s="665">
        <f t="shared" si="7"/>
        <v>0.737463126843658</v>
      </c>
      <c r="W11" s="665">
        <f t="shared" si="8"/>
        <v>1.03244837758113</v>
      </c>
      <c r="X11" s="665">
        <f t="shared" si="9"/>
        <v>0.147492625368734</v>
      </c>
      <c r="Y11" s="581" t="str">
        <f t="shared" si="10"/>
        <v>NARROW</v>
      </c>
      <c r="Z11" s="283" t="str">
        <f t="shared" si="11"/>
        <v>STRONG</v>
      </c>
      <c r="AA11" s="289" t="str">
        <f t="shared" si="12"/>
        <v>BJP</v>
      </c>
      <c r="AB11">
        <v>1028</v>
      </c>
      <c r="AC11">
        <v>609</v>
      </c>
      <c r="AD11">
        <v>484</v>
      </c>
      <c r="AE11">
        <v>286</v>
      </c>
      <c r="AF11">
        <v>544</v>
      </c>
      <c r="AG11">
        <v>323</v>
      </c>
      <c r="AH11">
        <v>605</v>
      </c>
      <c r="AI11">
        <v>386</v>
      </c>
      <c r="AJ11">
        <v>14</v>
      </c>
      <c r="AK11">
        <v>7</v>
      </c>
      <c r="AL11">
        <v>409</v>
      </c>
      <c r="AM11">
        <v>216</v>
      </c>
      <c r="AN11" s="248">
        <f t="shared" si="13"/>
        <v>47.0817120622568</v>
      </c>
      <c r="AO11" s="316">
        <f t="shared" si="13"/>
        <v>46.9622331691297</v>
      </c>
      <c r="AP11" s="317">
        <f t="shared" si="14"/>
        <v>52.9182879377432</v>
      </c>
      <c r="AQ11" s="318">
        <f t="shared" si="15"/>
        <v>53.0377668308703</v>
      </c>
      <c r="AR11" s="318" t="str">
        <f t="shared" si="16"/>
        <v>FEMALE DOM</v>
      </c>
      <c r="AS11" s="319" t="str">
        <f t="shared" si="17"/>
        <v>FEMALE</v>
      </c>
      <c r="AT11" s="317">
        <f t="shared" si="18"/>
        <v>58.852140077821</v>
      </c>
      <c r="AU11" s="317">
        <f t="shared" si="18"/>
        <v>63.3825944170772</v>
      </c>
      <c r="AV11" s="248">
        <f t="shared" si="19"/>
        <v>1.36186770428016</v>
      </c>
      <c r="AW11" s="317">
        <f t="shared" si="19"/>
        <v>1.14942528735632</v>
      </c>
      <c r="AX11" s="248">
        <f t="shared" si="20"/>
        <v>39.7859922178988</v>
      </c>
      <c r="AY11" s="317">
        <f t="shared" si="20"/>
        <v>35.4679802955665</v>
      </c>
      <c r="AZ11" s="248" t="str">
        <f t="shared" si="21"/>
        <v>HINDU</v>
      </c>
      <c r="BA11" s="318" t="str">
        <f t="shared" si="22"/>
        <v>HIND</v>
      </c>
    </row>
    <row r="12" spans="1:53">
      <c r="A12" s="317"/>
      <c r="B12" s="576">
        <v>197</v>
      </c>
      <c r="C12" s="576">
        <v>1294</v>
      </c>
      <c r="D12" s="576">
        <v>360</v>
      </c>
      <c r="E12" s="579">
        <v>543</v>
      </c>
      <c r="F12" s="578">
        <v>1</v>
      </c>
      <c r="G12" s="579">
        <v>1</v>
      </c>
      <c r="H12" s="578">
        <v>0</v>
      </c>
      <c r="I12" s="579">
        <v>0</v>
      </c>
      <c r="J12" s="578">
        <v>2</v>
      </c>
      <c r="K12" s="579">
        <v>1</v>
      </c>
      <c r="L12" s="578">
        <v>908</v>
      </c>
      <c r="M12" s="576">
        <v>0</v>
      </c>
      <c r="N12" s="579">
        <v>9</v>
      </c>
      <c r="O12" s="539">
        <v>917</v>
      </c>
      <c r="P12" s="253">
        <f t="shared" si="1"/>
        <v>70.8655332302937</v>
      </c>
      <c r="Q12" s="537">
        <f t="shared" si="2"/>
        <v>59.2148309705562</v>
      </c>
      <c r="R12" s="253">
        <f t="shared" si="3"/>
        <v>39.2584514721919</v>
      </c>
      <c r="S12" s="252">
        <f t="shared" si="4"/>
        <v>0.109051254089422</v>
      </c>
      <c r="T12" s="579">
        <f t="shared" si="5"/>
        <v>0.109051254089422</v>
      </c>
      <c r="U12" s="577">
        <f t="shared" si="6"/>
        <v>0.327153762268266</v>
      </c>
      <c r="V12" s="539">
        <f t="shared" si="7"/>
        <v>0.981461286804798</v>
      </c>
      <c r="W12" s="539">
        <f t="shared" si="8"/>
        <v>19.9563794983642</v>
      </c>
      <c r="X12" s="539">
        <f t="shared" si="9"/>
        <v>19.4111232279171</v>
      </c>
      <c r="Y12" s="539" t="str">
        <f t="shared" si="10"/>
        <v>MEDIUM</v>
      </c>
      <c r="Z12" s="283" t="str">
        <f t="shared" si="11"/>
        <v>STRONG</v>
      </c>
      <c r="AA12" s="289" t="str">
        <f t="shared" si="12"/>
        <v>BJP</v>
      </c>
      <c r="AB12">
        <v>1290</v>
      </c>
      <c r="AC12">
        <v>894</v>
      </c>
      <c r="AD12">
        <v>606</v>
      </c>
      <c r="AE12">
        <v>419</v>
      </c>
      <c r="AF12">
        <v>684</v>
      </c>
      <c r="AG12">
        <v>475</v>
      </c>
      <c r="AH12">
        <v>906</v>
      </c>
      <c r="AI12">
        <v>664</v>
      </c>
      <c r="AJ12">
        <v>3</v>
      </c>
      <c r="AK12">
        <v>0</v>
      </c>
      <c r="AL12">
        <v>381</v>
      </c>
      <c r="AM12">
        <v>230</v>
      </c>
      <c r="AN12" s="248">
        <f t="shared" si="13"/>
        <v>46.9767441860465</v>
      </c>
      <c r="AO12" s="316">
        <f t="shared" si="13"/>
        <v>46.8680089485459</v>
      </c>
      <c r="AP12" s="317">
        <f t="shared" si="14"/>
        <v>53.0232558139535</v>
      </c>
      <c r="AQ12" s="318">
        <f t="shared" si="15"/>
        <v>53.1319910514541</v>
      </c>
      <c r="AR12" s="318" t="str">
        <f t="shared" si="16"/>
        <v>FEMALE DOM</v>
      </c>
      <c r="AS12" s="319" t="str">
        <f t="shared" si="17"/>
        <v>FEMALE</v>
      </c>
      <c r="AT12" s="317">
        <f t="shared" si="18"/>
        <v>70.2325581395349</v>
      </c>
      <c r="AU12" s="317">
        <f t="shared" si="18"/>
        <v>74.2729306487696</v>
      </c>
      <c r="AV12" s="248">
        <f t="shared" si="19"/>
        <v>0.232558139534884</v>
      </c>
      <c r="AW12" s="317">
        <f t="shared" si="19"/>
        <v>0</v>
      </c>
      <c r="AX12" s="248">
        <f t="shared" si="20"/>
        <v>29.5348837209302</v>
      </c>
      <c r="AY12" s="317">
        <f t="shared" si="20"/>
        <v>25.7270693512304</v>
      </c>
      <c r="AZ12" s="248" t="str">
        <f t="shared" si="21"/>
        <v>HINDU</v>
      </c>
      <c r="BA12" s="318" t="str">
        <f t="shared" si="22"/>
        <v>HIND</v>
      </c>
    </row>
    <row r="13" spans="1:53">
      <c r="A13" s="317"/>
      <c r="B13" s="531">
        <v>45</v>
      </c>
      <c r="C13" s="531">
        <v>704</v>
      </c>
      <c r="D13" s="531">
        <v>171</v>
      </c>
      <c r="E13" s="345">
        <v>350</v>
      </c>
      <c r="F13" s="574">
        <v>1</v>
      </c>
      <c r="G13" s="345">
        <v>0</v>
      </c>
      <c r="H13" s="574">
        <v>0</v>
      </c>
      <c r="I13" s="345">
        <v>0</v>
      </c>
      <c r="J13" s="574">
        <v>0</v>
      </c>
      <c r="K13" s="345">
        <v>2</v>
      </c>
      <c r="L13" s="574">
        <v>524</v>
      </c>
      <c r="M13" s="531">
        <v>0</v>
      </c>
      <c r="N13" s="345">
        <v>2</v>
      </c>
      <c r="O13" s="345">
        <f t="shared" si="0"/>
        <v>526</v>
      </c>
      <c r="P13" s="574">
        <f t="shared" si="1"/>
        <v>74.7159090909091</v>
      </c>
      <c r="Q13" s="345">
        <f t="shared" si="2"/>
        <v>66.5399239543726</v>
      </c>
      <c r="R13" s="574">
        <f t="shared" si="3"/>
        <v>32.5095057034221</v>
      </c>
      <c r="S13" s="345">
        <f t="shared" si="4"/>
        <v>0.190114068441065</v>
      </c>
      <c r="T13" s="573">
        <f t="shared" si="5"/>
        <v>0</v>
      </c>
      <c r="U13" s="574">
        <f t="shared" si="6"/>
        <v>0.380228136882129</v>
      </c>
      <c r="V13" s="345">
        <f t="shared" si="7"/>
        <v>0.380228136882129</v>
      </c>
      <c r="W13" s="573">
        <f t="shared" si="8"/>
        <v>34.0304182509506</v>
      </c>
      <c r="X13" s="573">
        <f t="shared" si="9"/>
        <v>33.4600760456274</v>
      </c>
      <c r="Y13" s="573" t="str">
        <f t="shared" si="10"/>
        <v>MEDIUM</v>
      </c>
      <c r="Z13" s="283" t="str">
        <f t="shared" si="11"/>
        <v>STRONG</v>
      </c>
      <c r="AA13" s="289" t="str">
        <f t="shared" si="12"/>
        <v>BJP</v>
      </c>
      <c r="AB13">
        <v>704</v>
      </c>
      <c r="AC13">
        <v>535</v>
      </c>
      <c r="AD13">
        <v>338</v>
      </c>
      <c r="AE13">
        <v>263</v>
      </c>
      <c r="AF13">
        <v>366</v>
      </c>
      <c r="AG13">
        <v>272</v>
      </c>
      <c r="AH13">
        <v>587</v>
      </c>
      <c r="AI13">
        <v>455</v>
      </c>
      <c r="AJ13">
        <v>0</v>
      </c>
      <c r="AK13">
        <v>0</v>
      </c>
      <c r="AL13">
        <v>117</v>
      </c>
      <c r="AM13">
        <v>80</v>
      </c>
      <c r="AN13" s="248">
        <f t="shared" si="13"/>
        <v>48.0113636363636</v>
      </c>
      <c r="AO13" s="316">
        <f t="shared" si="13"/>
        <v>49.1588785046729</v>
      </c>
      <c r="AP13" s="317">
        <f t="shared" si="14"/>
        <v>51.9886363636364</v>
      </c>
      <c r="AQ13" s="318">
        <f t="shared" si="15"/>
        <v>50.8411214953271</v>
      </c>
      <c r="AR13" s="318" t="str">
        <f t="shared" si="16"/>
        <v>FEMALE DOM</v>
      </c>
      <c r="AS13" s="319" t="str">
        <f t="shared" si="17"/>
        <v>FEMALE</v>
      </c>
      <c r="AT13" s="317">
        <f t="shared" si="18"/>
        <v>83.3806818181818</v>
      </c>
      <c r="AU13" s="317">
        <f t="shared" si="18"/>
        <v>85.0467289719626</v>
      </c>
      <c r="AV13" s="248">
        <f t="shared" si="19"/>
        <v>0</v>
      </c>
      <c r="AW13" s="317">
        <f t="shared" si="19"/>
        <v>0</v>
      </c>
      <c r="AX13" s="248">
        <f t="shared" si="20"/>
        <v>16.6193181818182</v>
      </c>
      <c r="AY13" s="317">
        <f t="shared" si="20"/>
        <v>14.9532710280374</v>
      </c>
      <c r="AZ13" s="248" t="str">
        <f t="shared" si="21"/>
        <v>HINDU</v>
      </c>
      <c r="BA13" s="318" t="str">
        <f t="shared" si="22"/>
        <v>HIND</v>
      </c>
    </row>
    <row r="14" ht="21" spans="2:46">
      <c r="B14" s="359"/>
      <c r="C14" s="405">
        <f t="shared" ref="C14:L14" si="23">SUM(C7:C13)</f>
        <v>7133</v>
      </c>
      <c r="D14" s="407">
        <f t="shared" si="23"/>
        <v>1952</v>
      </c>
      <c r="E14" s="407">
        <f t="shared" si="23"/>
        <v>2739</v>
      </c>
      <c r="F14" s="407">
        <f t="shared" si="23"/>
        <v>14</v>
      </c>
      <c r="G14" s="407">
        <f t="shared" si="23"/>
        <v>8</v>
      </c>
      <c r="H14" s="407">
        <f t="shared" si="23"/>
        <v>4</v>
      </c>
      <c r="I14" s="407">
        <f t="shared" si="23"/>
        <v>2</v>
      </c>
      <c r="J14" s="407">
        <f t="shared" si="23"/>
        <v>11</v>
      </c>
      <c r="K14" s="411">
        <f t="shared" si="23"/>
        <v>6</v>
      </c>
      <c r="L14" s="407">
        <f t="shared" si="23"/>
        <v>4736</v>
      </c>
      <c r="M14" s="405"/>
      <c r="N14" s="406"/>
      <c r="O14" s="411">
        <f>SUM(O7:O13)</f>
        <v>4767</v>
      </c>
      <c r="P14" s="407">
        <f t="shared" ref="P14:X14" si="24">AVERAGE(P7:P13)</f>
        <v>67.0968047940034</v>
      </c>
      <c r="Q14" s="406">
        <f t="shared" si="24"/>
        <v>57.1293407630996</v>
      </c>
      <c r="R14" s="407">
        <f t="shared" si="24"/>
        <v>41.3911201313053</v>
      </c>
      <c r="S14" s="406">
        <f t="shared" si="24"/>
        <v>0.272489876026143</v>
      </c>
      <c r="T14" s="411">
        <f t="shared" si="24"/>
        <v>0.151295005029496</v>
      </c>
      <c r="U14" s="407">
        <f t="shared" si="24"/>
        <v>0.450398334233201</v>
      </c>
      <c r="V14" s="406">
        <f t="shared" si="24"/>
        <v>0.60535589030622</v>
      </c>
      <c r="W14" s="411">
        <f t="shared" si="24"/>
        <v>15.7382206317943</v>
      </c>
      <c r="X14" s="666">
        <f t="shared" si="24"/>
        <v>14.8640374165054</v>
      </c>
      <c r="Y14" s="411" t="str">
        <f t="shared" si="10"/>
        <v>MEDIUM</v>
      </c>
      <c r="Z14" s="283" t="str">
        <f t="shared" si="11"/>
        <v>STRONG</v>
      </c>
      <c r="AA14" s="289" t="str">
        <f t="shared" si="12"/>
        <v>BJP</v>
      </c>
      <c r="AB14">
        <f>SUM(AB7:AB13)</f>
        <v>7109</v>
      </c>
      <c r="AD14">
        <f>SUM(AD7:AD13)</f>
        <v>3399</v>
      </c>
      <c r="AF14">
        <f>SUM(AF7:AF13)</f>
        <v>3709</v>
      </c>
      <c r="AH14">
        <f>SUM(AH7:AH13)</f>
        <v>4877</v>
      </c>
      <c r="AJ14">
        <f>SUM(AJ7:AJ13)</f>
        <v>102</v>
      </c>
      <c r="AL14">
        <f>SUM(AL7:AL13)</f>
        <v>2130</v>
      </c>
      <c r="AN14" s="569">
        <f>AVERAGE(AN7:AN13)</f>
        <v>47.9918483702166</v>
      </c>
      <c r="AO14" s="570">
        <f>AVERAGE(AO11:AO13)</f>
        <v>47.6630402074495</v>
      </c>
      <c r="AP14" s="317">
        <f>AVERAGE(AP7:AP13)</f>
        <v>51.9908565761687</v>
      </c>
      <c r="AQ14" s="571">
        <f>AVERAGE(AQ11:AQ13)</f>
        <v>52.3369597925505</v>
      </c>
      <c r="AR14" s="571" t="str">
        <f t="shared" si="16"/>
        <v>FEMALE DOM</v>
      </c>
      <c r="AS14" s="571" t="str">
        <f t="shared" si="17"/>
        <v>FEMALE</v>
      </c>
      <c r="AT14" s="317">
        <f>AVERAGE(AT7:AT13)</f>
        <v>68.5500837599895</v>
      </c>
    </row>
    <row r="19" spans="3:21">
      <c r="C19" s="225" t="s">
        <v>96</v>
      </c>
      <c r="D19" s="237"/>
      <c r="E19" s="237"/>
      <c r="F19" s="238"/>
      <c r="H19" s="225" t="s">
        <v>97</v>
      </c>
      <c r="I19" s="237"/>
      <c r="J19" s="237"/>
      <c r="K19" s="238"/>
      <c r="N19" s="265" t="s">
        <v>98</v>
      </c>
      <c r="O19" s="265"/>
      <c r="P19" s="265"/>
      <c r="Q19" s="265"/>
      <c r="R19" s="265"/>
      <c r="S19" s="265"/>
      <c r="T19" s="265"/>
      <c r="U19" s="265"/>
    </row>
    <row r="20" spans="3:21">
      <c r="C20" s="226"/>
      <c r="D20" s="239"/>
      <c r="E20" s="239"/>
      <c r="F20" s="240"/>
      <c r="H20" s="241"/>
      <c r="I20" s="242"/>
      <c r="J20" s="242"/>
      <c r="K20" s="243"/>
      <c r="N20" s="265"/>
      <c r="O20" s="265"/>
      <c r="P20" s="265"/>
      <c r="Q20" s="265"/>
      <c r="R20" s="265"/>
      <c r="S20" s="265"/>
      <c r="T20" s="265"/>
      <c r="U20" s="265"/>
    </row>
    <row r="21" spans="3:21">
      <c r="C21" s="227" t="s">
        <v>99</v>
      </c>
      <c r="D21" s="244"/>
      <c r="E21" s="245"/>
      <c r="F21" s="245">
        <f>COUNTIF(AA7:AA13,"BJP")</f>
        <v>6</v>
      </c>
      <c r="H21" s="246" t="s">
        <v>100</v>
      </c>
      <c r="I21" s="247"/>
      <c r="J21" s="247"/>
      <c r="K21" s="248">
        <f>COUNTIF(Y7:Y13,"NARROW")</f>
        <v>3</v>
      </c>
      <c r="N21" s="265" t="s">
        <v>101</v>
      </c>
      <c r="O21" s="265"/>
      <c r="P21" s="265"/>
      <c r="Q21" s="265">
        <f>'ALAPE-N18'!E9</f>
        <v>51.0426677049756</v>
      </c>
      <c r="R21" s="265" t="s">
        <v>102</v>
      </c>
      <c r="S21" s="265"/>
      <c r="T21" s="265"/>
      <c r="U21" s="265">
        <f>Q14</f>
        <v>57.1293407630996</v>
      </c>
    </row>
    <row r="22" spans="3:21">
      <c r="C22" s="227"/>
      <c r="D22" s="244"/>
      <c r="E22" s="245"/>
      <c r="F22" s="245"/>
      <c r="H22" s="249"/>
      <c r="I22" s="250"/>
      <c r="J22" s="250"/>
      <c r="K22" s="251"/>
      <c r="N22" s="265"/>
      <c r="O22" s="265"/>
      <c r="P22" s="265"/>
      <c r="Q22" s="265"/>
      <c r="R22" s="265"/>
      <c r="S22" s="265"/>
      <c r="T22" s="265"/>
      <c r="U22" s="265"/>
    </row>
    <row r="23" spans="3:21">
      <c r="C23" s="227"/>
      <c r="D23" s="244"/>
      <c r="E23" s="245"/>
      <c r="F23" s="245"/>
      <c r="H23" s="252" t="s">
        <v>103</v>
      </c>
      <c r="I23" s="253"/>
      <c r="J23" s="253"/>
      <c r="K23" s="248">
        <f>COUNTIF(Y7:Y13,"MEDIUM")</f>
        <v>2</v>
      </c>
      <c r="N23" s="265" t="s">
        <v>104</v>
      </c>
      <c r="O23" s="265"/>
      <c r="P23" s="265"/>
      <c r="Q23" s="265">
        <f>'ALAPE-N18'!G9</f>
        <v>45.5243973866245</v>
      </c>
      <c r="R23" s="265" t="s">
        <v>105</v>
      </c>
      <c r="S23" s="265"/>
      <c r="T23" s="265"/>
      <c r="U23" s="265">
        <f>R14</f>
        <v>41.3911201313053</v>
      </c>
    </row>
    <row r="24" spans="3:21">
      <c r="C24" s="228" t="s">
        <v>106</v>
      </c>
      <c r="D24" s="254"/>
      <c r="E24" s="255"/>
      <c r="F24" s="255">
        <f>COUNTIF(AA7:AA13,"CONGRESS")</f>
        <v>1</v>
      </c>
      <c r="H24" s="252"/>
      <c r="I24" s="253"/>
      <c r="J24" s="253"/>
      <c r="K24" s="251"/>
      <c r="N24" s="265"/>
      <c r="O24" s="265"/>
      <c r="P24" s="265"/>
      <c r="Q24" s="265"/>
      <c r="R24" s="265"/>
      <c r="S24" s="265"/>
      <c r="T24" s="265"/>
      <c r="U24" s="265"/>
    </row>
    <row r="25" spans="3:21">
      <c r="C25" s="229"/>
      <c r="D25" s="256"/>
      <c r="E25" s="257"/>
      <c r="F25" s="257"/>
      <c r="H25" s="258" t="s">
        <v>107</v>
      </c>
      <c r="I25" s="259"/>
      <c r="J25" s="259"/>
      <c r="K25" s="248">
        <f>COUNTIF(Y7:Y13,"STRONG")</f>
        <v>1</v>
      </c>
      <c r="N25" s="265" t="s">
        <v>108</v>
      </c>
      <c r="O25" s="265"/>
      <c r="P25" s="265"/>
      <c r="Q25" s="265">
        <f>'ALAPE-N18'!C9</f>
        <v>4851</v>
      </c>
      <c r="R25" s="265" t="s">
        <v>109</v>
      </c>
      <c r="S25" s="265"/>
      <c r="T25" s="265"/>
      <c r="U25" s="265">
        <f>O14</f>
        <v>4767</v>
      </c>
    </row>
    <row r="26" spans="3:21">
      <c r="C26" s="230"/>
      <c r="D26" s="260"/>
      <c r="E26" s="261"/>
      <c r="F26" s="261"/>
      <c r="H26" s="262"/>
      <c r="I26" s="263"/>
      <c r="J26" s="263"/>
      <c r="K26" s="251"/>
      <c r="N26" s="265"/>
      <c r="O26" s="265"/>
      <c r="P26" s="265"/>
      <c r="Q26" s="265"/>
      <c r="R26" s="265"/>
      <c r="S26" s="265"/>
      <c r="T26" s="265"/>
      <c r="U26" s="265"/>
    </row>
    <row r="27" spans="8:21">
      <c r="H27" s="229" t="s">
        <v>110</v>
      </c>
      <c r="I27" s="256"/>
      <c r="J27" s="256"/>
      <c r="K27" s="248">
        <f>COUNTIF(Y7:Y13,"LOST")</f>
        <v>1</v>
      </c>
      <c r="N27" s="265" t="s">
        <v>111</v>
      </c>
      <c r="O27" s="265"/>
      <c r="P27" s="265"/>
      <c r="Q27" s="265">
        <f>Q21-Q23</f>
        <v>5.51827031835108</v>
      </c>
      <c r="R27" s="265" t="s">
        <v>111</v>
      </c>
      <c r="S27" s="265"/>
      <c r="T27" s="265"/>
      <c r="U27" s="265">
        <f>U21-U23</f>
        <v>15.7382206317943</v>
      </c>
    </row>
    <row r="28" spans="8:21">
      <c r="H28" s="230"/>
      <c r="I28" s="260"/>
      <c r="J28" s="260"/>
      <c r="K28" s="251"/>
      <c r="N28" s="265"/>
      <c r="O28" s="265"/>
      <c r="P28" s="265"/>
      <c r="Q28" s="265"/>
      <c r="R28" s="265"/>
      <c r="S28" s="265"/>
      <c r="T28" s="265"/>
      <c r="U28" s="265"/>
    </row>
    <row r="29" spans="14:20">
      <c r="N29" s="265" t="s">
        <v>112</v>
      </c>
      <c r="O29" s="265"/>
      <c r="P29" s="265"/>
      <c r="Q29" s="265">
        <f>U21-Q21</f>
        <v>6.086673058124</v>
      </c>
      <c r="R29" s="265"/>
      <c r="S29" s="265"/>
      <c r="T29" s="265"/>
    </row>
    <row r="30" spans="14:20">
      <c r="N30" s="265"/>
      <c r="O30" s="265"/>
      <c r="P30" s="265"/>
      <c r="Q30" s="265"/>
      <c r="R30" s="265"/>
      <c r="S30" s="265"/>
      <c r="T30" s="265"/>
    </row>
    <row r="31" spans="14:20">
      <c r="N31" s="265" t="s">
        <v>113</v>
      </c>
      <c r="O31" s="265"/>
      <c r="P31" s="265"/>
      <c r="Q31" s="265">
        <f>U23-Q23</f>
        <v>-4.1332772553192</v>
      </c>
      <c r="R31" s="265"/>
      <c r="S31" s="265"/>
      <c r="T31" s="265"/>
    </row>
    <row r="32" spans="14:20">
      <c r="N32" s="265"/>
      <c r="O32" s="265"/>
      <c r="P32" s="265"/>
      <c r="Q32" s="265"/>
      <c r="R32" s="265"/>
      <c r="S32" s="265"/>
      <c r="T32" s="265"/>
    </row>
    <row r="33" spans="14:20">
      <c r="N33" s="265" t="s">
        <v>114</v>
      </c>
      <c r="O33" s="265"/>
      <c r="P33" s="265"/>
      <c r="Q33" s="265" t="str">
        <f>IF(Q29&gt;Q31,"INCREASE","DECREASE")</f>
        <v>INCREASE</v>
      </c>
      <c r="R33" s="265"/>
      <c r="S33" s="265"/>
      <c r="T33" s="265"/>
    </row>
    <row r="34" spans="14:20">
      <c r="N34" s="265"/>
      <c r="O34" s="265"/>
      <c r="P34" s="265"/>
      <c r="Q34" s="265"/>
      <c r="R34" s="265"/>
      <c r="S34" s="265"/>
      <c r="T34" s="265"/>
    </row>
    <row r="35" spans="14:21">
      <c r="N35" s="265" t="s">
        <v>115</v>
      </c>
      <c r="O35" s="265"/>
      <c r="P35" s="265"/>
      <c r="Q35" s="265"/>
      <c r="R35" s="265"/>
      <c r="S35" s="265"/>
      <c r="T35" s="265"/>
      <c r="U35" s="265"/>
    </row>
    <row r="36" spans="14:21">
      <c r="N36" s="265"/>
      <c r="O36" s="265"/>
      <c r="P36" s="265"/>
      <c r="Q36" s="265"/>
      <c r="R36" s="265"/>
      <c r="S36" s="265"/>
      <c r="T36" s="265"/>
      <c r="U36" s="265"/>
    </row>
    <row r="37" spans="14:21">
      <c r="N37" s="265"/>
      <c r="O37" s="265"/>
      <c r="P37" s="265"/>
      <c r="Q37" s="265"/>
      <c r="R37" s="265"/>
      <c r="S37" s="265"/>
      <c r="T37" s="265"/>
      <c r="U37" s="265"/>
    </row>
  </sheetData>
  <mergeCells count="93">
    <mergeCell ref="A1:A6"/>
    <mergeCell ref="B1:B6"/>
    <mergeCell ref="C1:C6"/>
    <mergeCell ref="D3:D6"/>
    <mergeCell ref="E3:E6"/>
    <mergeCell ref="F3:F6"/>
    <mergeCell ref="F21:F23"/>
    <mergeCell ref="F24:F26"/>
    <mergeCell ref="G3:G6"/>
    <mergeCell ref="H3:H6"/>
    <mergeCell ref="I3:I6"/>
    <mergeCell ref="J3:J6"/>
    <mergeCell ref="K3:K6"/>
    <mergeCell ref="K21:K22"/>
    <mergeCell ref="K23:K24"/>
    <mergeCell ref="K25:K26"/>
    <mergeCell ref="K27:K28"/>
    <mergeCell ref="L1:L6"/>
    <mergeCell ref="M1:M6"/>
    <mergeCell ref="N1:N6"/>
    <mergeCell ref="O1:O6"/>
    <mergeCell ref="P1:P6"/>
    <mergeCell ref="Q1:Q6"/>
    <mergeCell ref="Q21:Q22"/>
    <mergeCell ref="Q23:Q24"/>
    <mergeCell ref="Q25:Q26"/>
    <mergeCell ref="Q27:Q28"/>
    <mergeCell ref="R1:R6"/>
    <mergeCell ref="S1:S6"/>
    <mergeCell ref="T1:T6"/>
    <mergeCell ref="U1:U6"/>
    <mergeCell ref="U21:U22"/>
    <mergeCell ref="U23:U24"/>
    <mergeCell ref="U25:U26"/>
    <mergeCell ref="U27:U28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C19:F20"/>
    <mergeCell ref="H19:K20"/>
    <mergeCell ref="H27:J28"/>
    <mergeCell ref="N27:P28"/>
    <mergeCell ref="C21:E23"/>
    <mergeCell ref="H21:J22"/>
    <mergeCell ref="N21:P22"/>
    <mergeCell ref="H23:J24"/>
    <mergeCell ref="N23:P24"/>
    <mergeCell ref="C24:E26"/>
    <mergeCell ref="H25:J26"/>
    <mergeCell ref="N25:P26"/>
    <mergeCell ref="N19:U20"/>
    <mergeCell ref="R21:T22"/>
    <mergeCell ref="R23:T24"/>
    <mergeCell ref="R25:T26"/>
    <mergeCell ref="N35:U37"/>
    <mergeCell ref="N31:P32"/>
    <mergeCell ref="Q31:T32"/>
    <mergeCell ref="N33:P34"/>
    <mergeCell ref="Q33:R34"/>
    <mergeCell ref="S33:T34"/>
    <mergeCell ref="R27:T28"/>
    <mergeCell ref="N29:P30"/>
    <mergeCell ref="Q29:T30"/>
  </mergeCells>
  <conditionalFormatting sqref="Q7">
    <cfRule type="containsText" dxfId="2" priority="6" operator="between" text="MEDIUM">
      <formula>NOT(ISERROR(SEARCH("MEDIUM",Q7)))</formula>
    </cfRule>
  </conditionalFormatting>
  <conditionalFormatting sqref="Y7:Y14">
    <cfRule type="containsText" dxfId="0" priority="7" operator="between" text="LOST">
      <formula>NOT(ISERROR(SEARCH("LOST",Y7)))</formula>
    </cfRule>
    <cfRule type="containsText" dxfId="3" priority="8" operator="between" text="NARROW">
      <formula>NOT(ISERROR(SEARCH("NARROW",Y7)))</formula>
    </cfRule>
    <cfRule type="containsText" dxfId="3" priority="9" operator="between" text="NARROW ">
      <formula>NOT(ISERROR(SEARCH("NARROW ",Y7)))</formula>
    </cfRule>
    <cfRule type="containsText" dxfId="1" priority="10" operator="between" text="STRONG">
      <formula>NOT(ISERROR(SEARCH("STRONG",Y7)))</formula>
    </cfRule>
  </conditionalFormatting>
  <conditionalFormatting sqref="AR7:AR14">
    <cfRule type="containsText" dxfId="6" priority="1" operator="between" text="FEMALE DOM">
      <formula>NOT(ISERROR(SEARCH("FEMALE DOM",AR7)))</formula>
    </cfRule>
  </conditionalFormatting>
  <conditionalFormatting sqref="AZ7:AZ13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3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"/>
  <sheetViews>
    <sheetView workbookViewId="0">
      <selection activeCell="A1" sqref="A1:AJ1"/>
    </sheetView>
  </sheetViews>
  <sheetFormatPr defaultColWidth="9" defaultRowHeight="14.5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40</v>
      </c>
      <c r="B2" s="185" t="s">
        <v>170</v>
      </c>
      <c r="C2" s="184">
        <v>793</v>
      </c>
      <c r="D2" s="184">
        <v>598</v>
      </c>
      <c r="E2" s="184">
        <f t="shared" ref="E2:E8" si="0">(D2/C2)*100</f>
        <v>75.4098360655738</v>
      </c>
      <c r="F2" s="184">
        <v>154</v>
      </c>
      <c r="G2" s="184">
        <f t="shared" ref="G2:G8" si="1">(F2/C2)*100</f>
        <v>19.4199243379571</v>
      </c>
      <c r="H2" s="184">
        <v>6</v>
      </c>
      <c r="I2" s="184">
        <f t="shared" ref="I2:I8" si="2">(H2/C2)*100</f>
        <v>0.756620428751576</v>
      </c>
      <c r="J2" s="184">
        <v>13</v>
      </c>
      <c r="K2" s="184">
        <f t="shared" ref="K2:K8" si="3">(J2/C2)*100</f>
        <v>1.63934426229508</v>
      </c>
      <c r="L2" s="189">
        <v>512</v>
      </c>
      <c r="M2" s="189">
        <v>600</v>
      </c>
      <c r="N2" s="189">
        <f t="shared" ref="N2:N8" si="4">L2+M2</f>
        <v>1112</v>
      </c>
      <c r="O2" s="184">
        <v>793</v>
      </c>
      <c r="P2" s="190">
        <f t="shared" ref="P2:P8" si="5">O2/N2*100</f>
        <v>71.3129496402878</v>
      </c>
      <c r="Q2" s="184">
        <v>1030</v>
      </c>
      <c r="R2" s="184">
        <f t="shared" ref="R2:R8" si="6">(Q2/N2)*100</f>
        <v>92.6258992805755</v>
      </c>
      <c r="S2" s="184">
        <f t="shared" ref="S2:S8" si="7">Q2-U2</f>
        <v>313</v>
      </c>
      <c r="T2" s="184">
        <f t="shared" ref="T2:T8" si="8">(S2/Q2)*100</f>
        <v>30.3883495145631</v>
      </c>
      <c r="U2" s="184">
        <v>717</v>
      </c>
      <c r="V2" s="191">
        <f t="shared" ref="V2:V8" si="9">IFERROR(U2/Q2*100,0)</f>
        <v>69.6116504854369</v>
      </c>
      <c r="W2" s="184">
        <v>82</v>
      </c>
      <c r="X2" s="184">
        <f t="shared" ref="X2:X8" si="10">100-R2</f>
        <v>7.37410071942446</v>
      </c>
      <c r="Y2" s="196">
        <f t="shared" ref="Y2:Y8" si="11">W2-AA2</f>
        <v>11</v>
      </c>
      <c r="Z2" s="193">
        <f t="shared" ref="Z2:Z8" si="12">(Y2/W2)*100</f>
        <v>13.4146341463415</v>
      </c>
      <c r="AA2" s="193">
        <v>71</v>
      </c>
      <c r="AB2" s="194">
        <f t="shared" ref="AB2:AB8" si="13">IFERROR(AA2/W2*100,0)</f>
        <v>86.5853658536585</v>
      </c>
      <c r="AC2" s="193">
        <f t="shared" ref="AC2:AC8" si="14">U2+AA2</f>
        <v>788</v>
      </c>
      <c r="AD2" s="193" t="str">
        <f t="shared" ref="AD2:AD3" si="15">IF(P2&gt;80,"EXCELLENT",IF(P2&gt;70,"STRONG",IF(P2&gt;60,"AVG",IF(P2&gt;50,"WEAK",IF(P2&lt;50,"VLOW")))))</f>
        <v>STRONG</v>
      </c>
      <c r="AE2" s="195" t="str">
        <f t="shared" ref="AE2:AE3" si="16">IF(R2&gt;80,"EXCELLENT",IF(R2&gt;70,"STRONG",IF(R2&gt;60,"AVG",IF(R2&gt;50,"WEAK",IF(R2&lt;50,"VLOW")))))</f>
        <v>EXCELLENT</v>
      </c>
      <c r="AF2" s="193" t="str">
        <f t="shared" ref="AF2:AF3" si="17">IF(X2&gt;80,"EXCELLENT",IF(X2&gt;70,"STRONG",IF(X2&gt;60,"AVG",IF(X2&gt;50,"WEAK",IF(X2&lt;50,"VLOW")))))</f>
        <v>VLOW</v>
      </c>
      <c r="AG2" s="193" t="str">
        <f t="shared" ref="AG2:AG3" si="18">IF(M2&gt;L2,"FEMALE DOM","MEN")</f>
        <v>FEMALE DOM</v>
      </c>
      <c r="AH2" s="193" t="str">
        <f t="shared" ref="AH2:AH3" si="19">IF(T2&gt;Z2,"H","O")</f>
        <v>H</v>
      </c>
      <c r="AI2" s="197">
        <f>E2-G2</f>
        <v>55.9899117276166</v>
      </c>
      <c r="AJ2" s="199" t="str">
        <f t="shared" ref="AJ2:AJ3" si="20">IF(E2&gt;G2,"BJP GAIN","CONGRESSGAIN")</f>
        <v>BJP GAIN</v>
      </c>
    </row>
    <row r="3" spans="1:36">
      <c r="A3" s="184">
        <v>41</v>
      </c>
      <c r="B3" s="185" t="s">
        <v>171</v>
      </c>
      <c r="C3" s="184">
        <v>573</v>
      </c>
      <c r="D3" s="184">
        <v>361</v>
      </c>
      <c r="E3" s="184">
        <f t="shared" si="0"/>
        <v>63.0017452006981</v>
      </c>
      <c r="F3" s="184">
        <v>190</v>
      </c>
      <c r="G3" s="184">
        <f t="shared" si="1"/>
        <v>33.1588132635253</v>
      </c>
      <c r="H3" s="184">
        <v>3</v>
      </c>
      <c r="I3" s="184">
        <f t="shared" si="2"/>
        <v>0.523560209424084</v>
      </c>
      <c r="J3" s="184">
        <v>7</v>
      </c>
      <c r="K3" s="184">
        <f t="shared" si="3"/>
        <v>1.2216404886562</v>
      </c>
      <c r="L3" s="189">
        <v>355</v>
      </c>
      <c r="M3" s="189">
        <v>382</v>
      </c>
      <c r="N3" s="189">
        <f t="shared" si="4"/>
        <v>737</v>
      </c>
      <c r="O3" s="184">
        <v>573</v>
      </c>
      <c r="P3" s="190">
        <f t="shared" si="5"/>
        <v>77.7476255088195</v>
      </c>
      <c r="Q3" s="184">
        <v>612</v>
      </c>
      <c r="R3" s="184">
        <f t="shared" si="6"/>
        <v>83.0393487109905</v>
      </c>
      <c r="S3" s="184">
        <f t="shared" si="7"/>
        <v>143</v>
      </c>
      <c r="T3" s="184">
        <f t="shared" si="8"/>
        <v>23.3660130718954</v>
      </c>
      <c r="U3" s="184">
        <v>469</v>
      </c>
      <c r="V3" s="191">
        <f t="shared" si="9"/>
        <v>76.6339869281046</v>
      </c>
      <c r="W3" s="184">
        <v>125</v>
      </c>
      <c r="X3" s="184">
        <f t="shared" si="10"/>
        <v>16.9606512890095</v>
      </c>
      <c r="Y3" s="184">
        <f t="shared" si="11"/>
        <v>39</v>
      </c>
      <c r="Z3" s="193">
        <f t="shared" si="12"/>
        <v>31.2</v>
      </c>
      <c r="AA3" s="193">
        <v>86</v>
      </c>
      <c r="AB3" s="194">
        <f t="shared" si="13"/>
        <v>68.8</v>
      </c>
      <c r="AC3" s="193">
        <f t="shared" si="14"/>
        <v>555</v>
      </c>
      <c r="AD3" s="193" t="str">
        <f t="shared" si="15"/>
        <v>STRONG</v>
      </c>
      <c r="AE3" s="195" t="str">
        <f t="shared" si="16"/>
        <v>EXCELLENT</v>
      </c>
      <c r="AF3" s="193" t="str">
        <f t="shared" si="17"/>
        <v>VLOW</v>
      </c>
      <c r="AG3" s="193" t="str">
        <f t="shared" si="18"/>
        <v>FEMALE DOM</v>
      </c>
      <c r="AH3" s="193" t="str">
        <f t="shared" si="19"/>
        <v>O</v>
      </c>
      <c r="AI3" s="197">
        <f>E3-G3</f>
        <v>29.8429319371728</v>
      </c>
      <c r="AJ3" s="199" t="str">
        <f t="shared" si="20"/>
        <v>BJP GAIN</v>
      </c>
    </row>
    <row r="4" spans="1:29">
      <c r="A4" s="184">
        <v>171</v>
      </c>
      <c r="B4" s="185" t="s">
        <v>172</v>
      </c>
      <c r="C4" s="184">
        <v>747</v>
      </c>
      <c r="D4" s="184">
        <v>465</v>
      </c>
      <c r="E4" s="184">
        <f t="shared" si="0"/>
        <v>62.2489959839357</v>
      </c>
      <c r="F4" s="184">
        <v>272</v>
      </c>
      <c r="G4" s="184">
        <f t="shared" si="1"/>
        <v>36.4123159303882</v>
      </c>
      <c r="H4" s="184">
        <v>0</v>
      </c>
      <c r="I4" s="184">
        <f t="shared" si="2"/>
        <v>0</v>
      </c>
      <c r="J4" s="184">
        <v>4</v>
      </c>
      <c r="K4" s="184">
        <f t="shared" si="3"/>
        <v>0.535475234270415</v>
      </c>
      <c r="L4" s="189">
        <v>502</v>
      </c>
      <c r="M4" s="189">
        <v>552</v>
      </c>
      <c r="N4" s="189">
        <f t="shared" si="4"/>
        <v>1054</v>
      </c>
      <c r="O4" s="184">
        <v>747</v>
      </c>
      <c r="P4" s="190">
        <f t="shared" si="5"/>
        <v>70.8728652751423</v>
      </c>
      <c r="Q4" s="184">
        <v>781</v>
      </c>
      <c r="R4" s="184">
        <f t="shared" si="6"/>
        <v>74.0986717267552</v>
      </c>
      <c r="S4" s="184">
        <f t="shared" si="7"/>
        <v>221</v>
      </c>
      <c r="T4" s="184">
        <f t="shared" si="8"/>
        <v>28.2970550576184</v>
      </c>
      <c r="U4" s="184">
        <v>560</v>
      </c>
      <c r="V4" s="191">
        <f t="shared" si="9"/>
        <v>71.7029449423816</v>
      </c>
      <c r="W4" s="184">
        <f>35+238</f>
        <v>273</v>
      </c>
      <c r="X4" s="184">
        <f t="shared" si="10"/>
        <v>25.9013282732448</v>
      </c>
      <c r="Y4" s="184">
        <f t="shared" si="11"/>
        <v>89</v>
      </c>
      <c r="Z4" s="193">
        <f t="shared" si="12"/>
        <v>32.6007326007326</v>
      </c>
      <c r="AA4" s="193">
        <f>24+160</f>
        <v>184</v>
      </c>
      <c r="AB4" s="194">
        <f t="shared" si="13"/>
        <v>67.3992673992674</v>
      </c>
      <c r="AC4" s="193">
        <f t="shared" si="14"/>
        <v>744</v>
      </c>
    </row>
    <row r="5" spans="1:29">
      <c r="A5" s="184">
        <v>172</v>
      </c>
      <c r="B5" s="185" t="s">
        <v>173</v>
      </c>
      <c r="C5" s="184">
        <v>586</v>
      </c>
      <c r="D5" s="184">
        <v>303</v>
      </c>
      <c r="E5" s="184">
        <f t="shared" si="0"/>
        <v>51.7064846416382</v>
      </c>
      <c r="F5" s="184">
        <v>270</v>
      </c>
      <c r="G5" s="184">
        <f t="shared" si="1"/>
        <v>46.0750853242321</v>
      </c>
      <c r="H5" s="184">
        <v>3</v>
      </c>
      <c r="I5" s="184">
        <f t="shared" si="2"/>
        <v>0.511945392491468</v>
      </c>
      <c r="J5" s="184">
        <v>1</v>
      </c>
      <c r="K5" s="184">
        <f t="shared" si="3"/>
        <v>0.170648464163823</v>
      </c>
      <c r="L5" s="189">
        <v>412</v>
      </c>
      <c r="M5" s="189">
        <v>409</v>
      </c>
      <c r="N5" s="189">
        <f t="shared" si="4"/>
        <v>821</v>
      </c>
      <c r="O5" s="184">
        <v>586</v>
      </c>
      <c r="P5" s="190">
        <f t="shared" si="5"/>
        <v>71.3763702801462</v>
      </c>
      <c r="Q5" s="184">
        <v>485</v>
      </c>
      <c r="R5" s="184">
        <f t="shared" si="6"/>
        <v>59.074299634592</v>
      </c>
      <c r="S5" s="192">
        <f t="shared" si="7"/>
        <v>135</v>
      </c>
      <c r="T5" s="184">
        <f t="shared" si="8"/>
        <v>27.8350515463918</v>
      </c>
      <c r="U5" s="184">
        <v>350</v>
      </c>
      <c r="V5" s="191">
        <f t="shared" si="9"/>
        <v>72.1649484536082</v>
      </c>
      <c r="W5" s="184">
        <v>336</v>
      </c>
      <c r="X5" s="184">
        <f t="shared" si="10"/>
        <v>40.925700365408</v>
      </c>
      <c r="Y5" s="196">
        <f t="shared" si="11"/>
        <v>100</v>
      </c>
      <c r="Z5" s="193">
        <f t="shared" si="12"/>
        <v>29.7619047619048</v>
      </c>
      <c r="AA5" s="193">
        <v>236</v>
      </c>
      <c r="AB5" s="194">
        <f t="shared" si="13"/>
        <v>70.2380952380952</v>
      </c>
      <c r="AC5" s="193">
        <f t="shared" si="14"/>
        <v>586</v>
      </c>
    </row>
    <row r="6" spans="1:29">
      <c r="A6" s="184">
        <v>173</v>
      </c>
      <c r="B6" s="185" t="s">
        <v>174</v>
      </c>
      <c r="C6" s="184">
        <v>502</v>
      </c>
      <c r="D6" s="184">
        <v>248</v>
      </c>
      <c r="E6" s="184">
        <f t="shared" si="0"/>
        <v>49.402390438247</v>
      </c>
      <c r="F6" s="184">
        <v>245</v>
      </c>
      <c r="G6" s="184">
        <f t="shared" si="1"/>
        <v>48.804780876494</v>
      </c>
      <c r="H6" s="184">
        <v>2</v>
      </c>
      <c r="I6" s="184">
        <f t="shared" si="2"/>
        <v>0.398406374501992</v>
      </c>
      <c r="J6" s="184">
        <v>1</v>
      </c>
      <c r="K6" s="184">
        <f t="shared" si="3"/>
        <v>0.199203187250996</v>
      </c>
      <c r="L6" s="189">
        <v>371</v>
      </c>
      <c r="M6" s="189">
        <v>388</v>
      </c>
      <c r="N6" s="189">
        <f t="shared" si="4"/>
        <v>759</v>
      </c>
      <c r="O6" s="184">
        <v>502</v>
      </c>
      <c r="P6" s="190">
        <f t="shared" si="5"/>
        <v>66.1396574440053</v>
      </c>
      <c r="Q6" s="184">
        <v>410</v>
      </c>
      <c r="R6" s="184">
        <f t="shared" si="6"/>
        <v>54.0184453227931</v>
      </c>
      <c r="S6" s="184">
        <f t="shared" si="7"/>
        <v>123</v>
      </c>
      <c r="T6" s="184">
        <f t="shared" si="8"/>
        <v>30</v>
      </c>
      <c r="U6" s="184">
        <v>287</v>
      </c>
      <c r="V6" s="191">
        <f t="shared" si="9"/>
        <v>70</v>
      </c>
      <c r="W6" s="184">
        <v>349</v>
      </c>
      <c r="X6" s="184">
        <f t="shared" si="10"/>
        <v>45.9815546772069</v>
      </c>
      <c r="Y6" s="184">
        <f t="shared" si="11"/>
        <v>134</v>
      </c>
      <c r="Z6" s="193">
        <f t="shared" si="12"/>
        <v>38.3954154727794</v>
      </c>
      <c r="AA6" s="193">
        <v>215</v>
      </c>
      <c r="AB6" s="194">
        <f t="shared" si="13"/>
        <v>61.6045845272206</v>
      </c>
      <c r="AC6" s="193">
        <f t="shared" si="14"/>
        <v>502</v>
      </c>
    </row>
    <row r="7" spans="1:29">
      <c r="A7" s="184">
        <v>174</v>
      </c>
      <c r="B7" s="185" t="s">
        <v>175</v>
      </c>
      <c r="C7" s="184">
        <v>684</v>
      </c>
      <c r="D7" s="184">
        <v>343</v>
      </c>
      <c r="E7" s="184">
        <f t="shared" si="0"/>
        <v>50.1461988304094</v>
      </c>
      <c r="F7" s="184">
        <v>323</v>
      </c>
      <c r="G7" s="184">
        <f t="shared" si="1"/>
        <v>47.2222222222222</v>
      </c>
      <c r="H7" s="184">
        <v>3</v>
      </c>
      <c r="I7" s="184">
        <f t="shared" si="2"/>
        <v>0.43859649122807</v>
      </c>
      <c r="J7" s="184">
        <v>3</v>
      </c>
      <c r="K7" s="184">
        <f t="shared" si="3"/>
        <v>0.43859649122807</v>
      </c>
      <c r="L7" s="189">
        <v>535</v>
      </c>
      <c r="M7" s="189">
        <v>579</v>
      </c>
      <c r="N7" s="189">
        <f t="shared" si="4"/>
        <v>1114</v>
      </c>
      <c r="O7" s="184">
        <v>684</v>
      </c>
      <c r="P7" s="190">
        <f t="shared" si="5"/>
        <v>61.4003590664273</v>
      </c>
      <c r="Q7" s="184">
        <v>652</v>
      </c>
      <c r="R7" s="184">
        <f t="shared" si="6"/>
        <v>58.5278276481149</v>
      </c>
      <c r="S7" s="184">
        <f t="shared" si="7"/>
        <v>203</v>
      </c>
      <c r="T7" s="184">
        <f t="shared" si="8"/>
        <v>31.1349693251534</v>
      </c>
      <c r="U7" s="184">
        <v>449</v>
      </c>
      <c r="V7" s="191">
        <f t="shared" si="9"/>
        <v>68.8650306748466</v>
      </c>
      <c r="W7" s="184">
        <v>459</v>
      </c>
      <c r="X7" s="184">
        <f t="shared" si="10"/>
        <v>41.4721723518851</v>
      </c>
      <c r="Y7" s="184">
        <f t="shared" si="11"/>
        <v>224</v>
      </c>
      <c r="Z7" s="193">
        <f t="shared" si="12"/>
        <v>48.80174291939</v>
      </c>
      <c r="AA7" s="193">
        <v>235</v>
      </c>
      <c r="AB7" s="194">
        <f t="shared" si="13"/>
        <v>51.19825708061</v>
      </c>
      <c r="AC7" s="193">
        <f t="shared" si="14"/>
        <v>684</v>
      </c>
    </row>
    <row r="8" spans="1:29">
      <c r="A8" s="184">
        <v>179</v>
      </c>
      <c r="B8" s="185" t="s">
        <v>176</v>
      </c>
      <c r="C8" s="184">
        <v>966</v>
      </c>
      <c r="D8" s="184">
        <v>52</v>
      </c>
      <c r="E8" s="184">
        <f t="shared" si="0"/>
        <v>5.38302277432712</v>
      </c>
      <c r="F8" s="184">
        <v>846</v>
      </c>
      <c r="G8" s="184">
        <f t="shared" si="1"/>
        <v>87.5776397515528</v>
      </c>
      <c r="H8" s="184">
        <v>2</v>
      </c>
      <c r="I8" s="184">
        <f t="shared" si="2"/>
        <v>0.20703933747412</v>
      </c>
      <c r="J8" s="184">
        <v>45</v>
      </c>
      <c r="K8" s="184">
        <f t="shared" si="3"/>
        <v>4.6583850931677</v>
      </c>
      <c r="L8" s="189">
        <v>703</v>
      </c>
      <c r="M8" s="189">
        <v>656</v>
      </c>
      <c r="N8" s="189">
        <f t="shared" si="4"/>
        <v>1359</v>
      </c>
      <c r="O8" s="184">
        <v>966</v>
      </c>
      <c r="P8" s="190">
        <f t="shared" si="5"/>
        <v>71.0816777041943</v>
      </c>
      <c r="Q8" s="184">
        <v>74</v>
      </c>
      <c r="R8" s="184">
        <f t="shared" si="6"/>
        <v>5.44518027961737</v>
      </c>
      <c r="S8" s="184">
        <f t="shared" si="7"/>
        <v>25</v>
      </c>
      <c r="T8" s="184">
        <f t="shared" si="8"/>
        <v>33.7837837837838</v>
      </c>
      <c r="U8" s="184">
        <v>49</v>
      </c>
      <c r="V8" s="191">
        <f t="shared" si="9"/>
        <v>66.2162162162162</v>
      </c>
      <c r="W8" s="184">
        <v>1285</v>
      </c>
      <c r="X8" s="184">
        <f t="shared" si="10"/>
        <v>94.5548197203826</v>
      </c>
      <c r="Y8" s="184">
        <f t="shared" si="11"/>
        <v>416</v>
      </c>
      <c r="Z8" s="193">
        <f t="shared" si="12"/>
        <v>32.3735408560311</v>
      </c>
      <c r="AA8" s="193">
        <v>869</v>
      </c>
      <c r="AB8" s="194">
        <f t="shared" si="13"/>
        <v>67.6264591439689</v>
      </c>
      <c r="AC8" s="193">
        <f t="shared" si="14"/>
        <v>918</v>
      </c>
    </row>
    <row r="9" spans="3:11">
      <c r="C9">
        <f>SUM(C2:C8)</f>
        <v>4851</v>
      </c>
      <c r="D9">
        <f>SUM(D2:D8)</f>
        <v>2370</v>
      </c>
      <c r="E9" s="186">
        <f>AVERAGE(E2:E8)</f>
        <v>51.0426677049756</v>
      </c>
      <c r="F9">
        <f>SUM(F2:F8)</f>
        <v>2300</v>
      </c>
      <c r="G9" s="186">
        <f>AVERAGE(G2:G8)</f>
        <v>45.5243973866245</v>
      </c>
      <c r="H9">
        <f>SUM(H2:H8)</f>
        <v>19</v>
      </c>
      <c r="I9" s="186">
        <f>SUM(I2:I8)</f>
        <v>2.83616823387131</v>
      </c>
      <c r="J9">
        <f>AVERAGE(J2:J8)</f>
        <v>10.5714285714286</v>
      </c>
      <c r="K9" s="186">
        <f>AVERAGE(K2:K8)</f>
        <v>1.26618474586175</v>
      </c>
    </row>
  </sheetData>
  <conditionalFormatting sqref="AD2:AD3">
    <cfRule type="containsText" dxfId="8" priority="15" operator="between" text="AVG">
      <formula>NOT(ISERROR(SEARCH("AVG",AD2)))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NOT(ISERROR(SEARCH("VSTRONG",AD2)))</formula>
    </cfRule>
    <cfRule type="containsText" dxfId="10" priority="5" operator="between" text="AVG">
      <formula>NOT(ISERROR(SEARCH("AVG",AD2)))</formula>
    </cfRule>
  </conditionalFormatting>
  <conditionalFormatting sqref="AE2:AE3">
    <cfRule type="containsText" dxfId="3" priority="9" operator="between" text="STRONG">
      <formula>NOT(ISERROR(SEARCH("STRONG",AE2)))</formula>
    </cfRule>
    <cfRule type="containsText" dxfId="1" priority="7" operator="between" text="VSTRONG">
      <formula>NOT(ISERROR(SEARCH("VSTRONG",AE2)))</formula>
    </cfRule>
  </conditionalFormatting>
  <conditionalFormatting sqref="AF2:AF3">
    <cfRule type="cellIs" dxfId="11" priority="3" operator="equal">
      <formula>"VWEAK"</formula>
    </cfRule>
    <cfRule type="containsText" dxfId="0" priority="2" operator="between" text="VSTRONG">
      <formula>NOT(ISERROR(SEARCH("VSTRONG",AF2)))</formula>
    </cfRule>
  </conditionalFormatting>
  <conditionalFormatting sqref="AG2:AG3">
    <cfRule type="containsText" dxfId="12" priority="6" operator="between" text="FEMALE DOM">
      <formula>NOT(ISERROR(SEARCH("FEMALE DOM",AG2)))</formula>
    </cfRule>
    <cfRule type="containsText" dxfId="10" priority="1" operator="between" text="MEN">
      <formula>NOT(ISERROR(SEARCH("MEN",AG2)))</formula>
    </cfRule>
  </conditionalFormatting>
  <conditionalFormatting sqref="AH2:AH3">
    <cfRule type="containsText" dxfId="0" priority="12" operator="between" text="O">
      <formula>NOT(ISERROR(SEARCH("O",AH2)))</formula>
    </cfRule>
    <cfRule type="containsText" dxfId="3" priority="10" operator="between" text="H">
      <formula>NOT(ISERROR(SEARCH("H",AH2)))</formula>
    </cfRule>
    <cfRule type="containsText" dxfId="13" priority="11" operator="between" text="H">
      <formula>NOT(ISERROR(SEARCH("H",AH2)))</formula>
    </cfRule>
    <cfRule type="containsText" dxfId="1" priority="4" operator="between" text="H">
      <formula>NOT(ISERROR(SEARCH("H",AH2)))</formula>
    </cfRule>
  </conditionalFormatting>
  <conditionalFormatting sqref="AE2:AF3">
    <cfRule type="containsText" dxfId="2" priority="8" operator="between" text="AVG">
      <formula>NOT(ISERROR(SEARCH("AVG",AE2)))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7"/>
  <sheetViews>
    <sheetView topLeftCell="A7" workbookViewId="0">
      <selection activeCell="D7" sqref="D7:D14"/>
    </sheetView>
  </sheetViews>
  <sheetFormatPr defaultColWidth="9" defaultRowHeight="14.5"/>
  <cols>
    <col min="3" max="15" width="9.28181818181818" customWidth="1"/>
    <col min="16" max="16" width="16.2818181818182" customWidth="1"/>
    <col min="17" max="22" width="18" customWidth="1"/>
    <col min="23" max="24" width="18.8545454545455" customWidth="1"/>
    <col min="26" max="26" width="13.4272727272727" customWidth="1"/>
    <col min="27" max="27" width="14.5727272727273" customWidth="1"/>
  </cols>
  <sheetData>
    <row r="1" ht="15" customHeight="1" spans="1:53">
      <c r="A1" s="509" t="s">
        <v>16</v>
      </c>
      <c r="B1" s="267" t="s">
        <v>177</v>
      </c>
      <c r="C1" s="267" t="s">
        <v>15</v>
      </c>
      <c r="D1" s="267" t="s">
        <v>1</v>
      </c>
      <c r="E1" s="513"/>
      <c r="F1" s="513"/>
      <c r="G1" s="513"/>
      <c r="H1" s="513"/>
      <c r="I1" s="513"/>
      <c r="J1" s="513"/>
      <c r="K1" s="508"/>
      <c r="L1" s="513" t="s">
        <v>2</v>
      </c>
      <c r="M1" s="267" t="s">
        <v>3</v>
      </c>
      <c r="N1" s="268" t="s">
        <v>4</v>
      </c>
      <c r="O1" s="508" t="s">
        <v>5</v>
      </c>
      <c r="P1" s="513" t="s">
        <v>17</v>
      </c>
      <c r="Q1" s="267" t="s">
        <v>18</v>
      </c>
      <c r="R1" s="268" t="s">
        <v>19</v>
      </c>
      <c r="S1" s="513" t="s">
        <v>20</v>
      </c>
      <c r="T1" s="268" t="s">
        <v>21</v>
      </c>
      <c r="U1" s="268" t="s">
        <v>22</v>
      </c>
      <c r="V1" s="267" t="s">
        <v>23</v>
      </c>
      <c r="W1" s="268" t="s">
        <v>156</v>
      </c>
      <c r="X1" s="508" t="s">
        <v>66</v>
      </c>
      <c r="Y1" s="508" t="s">
        <v>67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509"/>
      <c r="B2" s="273"/>
      <c r="C2" s="273"/>
      <c r="D2" s="273"/>
      <c r="E2" s="514"/>
      <c r="F2" s="514"/>
      <c r="G2" s="514"/>
      <c r="H2" s="514"/>
      <c r="I2" s="514"/>
      <c r="J2" s="514"/>
      <c r="K2" s="509"/>
      <c r="L2" s="514"/>
      <c r="M2" s="273"/>
      <c r="N2" s="274"/>
      <c r="O2" s="509"/>
      <c r="P2" s="514"/>
      <c r="Q2" s="273"/>
      <c r="R2" s="274"/>
      <c r="S2" s="514"/>
      <c r="T2" s="274"/>
      <c r="U2" s="274"/>
      <c r="V2" s="273"/>
      <c r="W2" s="274"/>
      <c r="X2" s="509"/>
      <c r="Y2" s="509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ht="15" customHeight="1" spans="1:53">
      <c r="A3" s="509"/>
      <c r="B3" s="273"/>
      <c r="C3" s="273"/>
      <c r="D3" s="268" t="s">
        <v>7</v>
      </c>
      <c r="E3" s="513" t="s">
        <v>8</v>
      </c>
      <c r="F3" s="268" t="s">
        <v>9</v>
      </c>
      <c r="G3" s="508" t="s">
        <v>10</v>
      </c>
      <c r="H3" s="513" t="s">
        <v>11</v>
      </c>
      <c r="I3" s="268" t="s">
        <v>12</v>
      </c>
      <c r="J3" s="508" t="s">
        <v>9</v>
      </c>
      <c r="K3" s="508" t="s">
        <v>13</v>
      </c>
      <c r="L3" s="514"/>
      <c r="M3" s="273"/>
      <c r="N3" s="274"/>
      <c r="O3" s="509"/>
      <c r="P3" s="514"/>
      <c r="Q3" s="273"/>
      <c r="R3" s="274"/>
      <c r="S3" s="514"/>
      <c r="T3" s="274"/>
      <c r="U3" s="274"/>
      <c r="V3" s="273"/>
      <c r="W3" s="274"/>
      <c r="X3" s="509"/>
      <c r="Y3" s="509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509"/>
      <c r="B4" s="273"/>
      <c r="C4" s="273"/>
      <c r="D4" s="274"/>
      <c r="E4" s="514"/>
      <c r="F4" s="274"/>
      <c r="G4" s="509"/>
      <c r="H4" s="514"/>
      <c r="I4" s="274"/>
      <c r="J4" s="509"/>
      <c r="K4" s="509"/>
      <c r="L4" s="514"/>
      <c r="M4" s="273"/>
      <c r="N4" s="274"/>
      <c r="O4" s="509"/>
      <c r="P4" s="514"/>
      <c r="Q4" s="273"/>
      <c r="R4" s="274"/>
      <c r="S4" s="514"/>
      <c r="T4" s="274"/>
      <c r="U4" s="274"/>
      <c r="V4" s="273"/>
      <c r="W4" s="274"/>
      <c r="X4" s="509"/>
      <c r="Y4" s="509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509"/>
      <c r="B5" s="273"/>
      <c r="C5" s="273"/>
      <c r="D5" s="274"/>
      <c r="E5" s="514"/>
      <c r="F5" s="274"/>
      <c r="G5" s="509"/>
      <c r="H5" s="514"/>
      <c r="I5" s="274"/>
      <c r="J5" s="509"/>
      <c r="K5" s="509"/>
      <c r="L5" s="514"/>
      <c r="M5" s="273"/>
      <c r="N5" s="274"/>
      <c r="O5" s="509"/>
      <c r="P5" s="514"/>
      <c r="Q5" s="273"/>
      <c r="R5" s="274"/>
      <c r="S5" s="514"/>
      <c r="T5" s="274"/>
      <c r="U5" s="274"/>
      <c r="V5" s="273"/>
      <c r="W5" s="274"/>
      <c r="X5" s="509"/>
      <c r="Y5" s="509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510"/>
      <c r="B6" s="273"/>
      <c r="C6" s="273"/>
      <c r="D6" s="274"/>
      <c r="E6" s="514"/>
      <c r="F6" s="274"/>
      <c r="G6" s="509"/>
      <c r="H6" s="514"/>
      <c r="I6" s="274"/>
      <c r="J6" s="509"/>
      <c r="K6" s="509"/>
      <c r="L6" s="514"/>
      <c r="M6" s="273"/>
      <c r="N6" s="274"/>
      <c r="O6" s="509"/>
      <c r="P6" s="514"/>
      <c r="Q6" s="273"/>
      <c r="R6" s="274"/>
      <c r="S6" s="514"/>
      <c r="T6" s="274"/>
      <c r="U6" s="274"/>
      <c r="V6" s="273"/>
      <c r="W6" s="274"/>
      <c r="X6" s="509"/>
      <c r="Y6" s="509"/>
      <c r="Z6" s="661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554" t="s">
        <v>30</v>
      </c>
      <c r="B7" s="554">
        <v>202</v>
      </c>
      <c r="C7" s="554">
        <v>1128</v>
      </c>
      <c r="D7" s="555">
        <v>574</v>
      </c>
      <c r="E7" s="557">
        <v>251</v>
      </c>
      <c r="F7" s="555">
        <v>6</v>
      </c>
      <c r="G7" s="556">
        <v>2</v>
      </c>
      <c r="H7" s="557">
        <v>1</v>
      </c>
      <c r="I7" s="555">
        <v>1</v>
      </c>
      <c r="J7" s="556">
        <v>1</v>
      </c>
      <c r="K7" s="556">
        <v>1</v>
      </c>
      <c r="L7" s="557">
        <v>837</v>
      </c>
      <c r="M7" s="554">
        <v>0</v>
      </c>
      <c r="N7" s="555">
        <v>1</v>
      </c>
      <c r="O7" s="556">
        <f t="shared" ref="O7:O14" si="0">D7+E7+F7+G7+H7+I7+J7+K7+N7</f>
        <v>838</v>
      </c>
      <c r="P7" s="557">
        <f t="shared" ref="P7:P14" si="1">(O7/C7)*100</f>
        <v>74.290780141844</v>
      </c>
      <c r="Q7" s="554">
        <f t="shared" ref="Q7:Q14" si="2">(E7/O7)*100</f>
        <v>29.9522673031026</v>
      </c>
      <c r="R7" s="555">
        <f t="shared" ref="R7:R14" si="3">(D7/O7)*100</f>
        <v>68.4964200477327</v>
      </c>
      <c r="S7" s="557">
        <f t="shared" ref="S7:S14" si="4">(F7/O7)*100</f>
        <v>0.715990453460621</v>
      </c>
      <c r="T7" s="555">
        <f t="shared" ref="T7:T14" si="5">(G7/O7)*100</f>
        <v>0.238663484486874</v>
      </c>
      <c r="U7" s="555">
        <f t="shared" ref="U7:U14" si="6">((H7+I7+J7+K7)/O7)*100</f>
        <v>0.477326968973747</v>
      </c>
      <c r="V7" s="554">
        <f t="shared" ref="V7:V14" si="7">(N7/O7)*100</f>
        <v>0.119331742243437</v>
      </c>
      <c r="W7" s="555">
        <f>Q7-R7</f>
        <v>-38.5441527446301</v>
      </c>
      <c r="X7" s="556">
        <f>Q7-(R7+S7+T7+U7)</f>
        <v>-39.9761336515513</v>
      </c>
      <c r="Y7" s="556" t="str">
        <f>IF(AND(W7&lt;0,W7&lt;=1),"LOST",IF(AND(W7&gt;1,W7&lt;=10),"NARROW",IF(AND(W7&gt;10,W7&lt;=40),"MEDIUM",IF(AND(W7&gt;40,W7&lt;=90),"STRONG",""))))</f>
        <v>LOST</v>
      </c>
      <c r="Z7" s="283" t="str">
        <f>IF(AND(P7&lt;0,P7&lt;=10),"WEAK",IF(AND(P7&gt;10,P7&lt;20),"BELOW AVG",IF(AND(P7&gt;20,P7&lt;=60),"MEDIUM",IF(AND(P7&gt;60,P7&lt;=90),"STRONG",""))))</f>
        <v>STRONG</v>
      </c>
      <c r="AA7" s="511" t="str">
        <f>IF(Q7&gt;R7,"BJP","CONGRESS")</f>
        <v>CONGRESS</v>
      </c>
      <c r="AB7">
        <v>1117</v>
      </c>
      <c r="AD7">
        <v>563</v>
      </c>
      <c r="AF7">
        <v>554</v>
      </c>
      <c r="AH7">
        <v>352</v>
      </c>
      <c r="AJ7">
        <v>712</v>
      </c>
      <c r="AL7">
        <v>53</v>
      </c>
      <c r="AN7" s="248">
        <f>(AD7/AB7)*100</f>
        <v>50.4028648164727</v>
      </c>
      <c r="AO7" s="316" t="e">
        <f>(AE7/AC7)*100</f>
        <v>#DIV/0!</v>
      </c>
      <c r="AP7" s="317">
        <f>(AF7/AB7)*100</f>
        <v>49.5971351835273</v>
      </c>
      <c r="AQ7" s="318" t="e">
        <f>(AG7/AC7)*100</f>
        <v>#DIV/0!</v>
      </c>
      <c r="AR7" s="318" t="str">
        <f>IF(AN7&gt;AP7,"MALE DOM","FEMALE DOM")</f>
        <v>MALE DOM</v>
      </c>
      <c r="AS7" s="319" t="e">
        <f>IF(AO7&gt;AP7,"MALE","FEMALE")</f>
        <v>#DIV/0!</v>
      </c>
      <c r="AT7" s="317">
        <f>(AH7/AB7)*100</f>
        <v>31.5129811996419</v>
      </c>
      <c r="AU7" s="317" t="e">
        <f>(AI7/AC7)*100</f>
        <v>#DIV/0!</v>
      </c>
      <c r="AV7" s="248">
        <f>(AJ7/AB7)*100</f>
        <v>63.7421665174575</v>
      </c>
      <c r="AW7" s="317" t="e">
        <f>(AK7/AC7)*100</f>
        <v>#DIV/0!</v>
      </c>
      <c r="AX7" s="248">
        <f>(AL7/AB7)*100</f>
        <v>4.74485228290063</v>
      </c>
      <c r="AY7" s="317" t="e">
        <f>(AM7/AC7)*100</f>
        <v>#DIV/0!</v>
      </c>
      <c r="AZ7" s="248" t="str">
        <f>IF(AT7&gt;(AV7+AX7),"HINDU","MINORITY")</f>
        <v>MINORITY</v>
      </c>
      <c r="BA7" s="318" t="e">
        <f>IF(AU7&gt;(AW7+AY7),"HIND","MINORITY")</f>
        <v>#DIV/0!</v>
      </c>
    </row>
    <row r="8" spans="1:53">
      <c r="A8" s="545"/>
      <c r="B8" s="633">
        <v>201</v>
      </c>
      <c r="C8" s="633">
        <v>1223</v>
      </c>
      <c r="D8" s="567">
        <v>717</v>
      </c>
      <c r="E8" s="566">
        <v>66</v>
      </c>
      <c r="F8" s="567">
        <v>6</v>
      </c>
      <c r="G8" s="560">
        <v>0</v>
      </c>
      <c r="H8" s="566">
        <v>0</v>
      </c>
      <c r="I8" s="567">
        <v>0</v>
      </c>
      <c r="J8" s="560">
        <v>1</v>
      </c>
      <c r="K8" s="560">
        <v>1</v>
      </c>
      <c r="L8" s="566">
        <v>791</v>
      </c>
      <c r="M8" s="633">
        <v>0</v>
      </c>
      <c r="N8" s="567">
        <v>7</v>
      </c>
      <c r="O8" s="560">
        <f t="shared" si="0"/>
        <v>798</v>
      </c>
      <c r="P8" s="566">
        <f t="shared" si="1"/>
        <v>65.2493867538839</v>
      </c>
      <c r="Q8" s="633">
        <f t="shared" si="2"/>
        <v>8.27067669172932</v>
      </c>
      <c r="R8" s="567">
        <f t="shared" si="3"/>
        <v>89.8496240601504</v>
      </c>
      <c r="S8" s="566">
        <f t="shared" si="4"/>
        <v>0.75187969924812</v>
      </c>
      <c r="T8" s="567">
        <f t="shared" si="5"/>
        <v>0</v>
      </c>
      <c r="U8" s="567">
        <f t="shared" si="6"/>
        <v>0.25062656641604</v>
      </c>
      <c r="V8" s="633">
        <f t="shared" si="7"/>
        <v>0.87719298245614</v>
      </c>
      <c r="W8" s="567">
        <f t="shared" ref="W8:W14" si="8">Q8-R8</f>
        <v>-81.5789473684211</v>
      </c>
      <c r="X8" s="560">
        <f t="shared" ref="X8:X14" si="9">Q8-(R8+S8+T8+U8)</f>
        <v>-82.5814536340852</v>
      </c>
      <c r="Y8" s="556" t="str">
        <f t="shared" ref="Y8:Y15" si="10">IF(AND(W8&lt;0,W8&lt;=1),"LOST",IF(AND(W8&gt;1,W8&lt;=10),"NARROW",IF(AND(W8&gt;10,W8&lt;=40),"MEDIUM",IF(AND(W8&gt;40,W8&lt;=90),"STRONG",""))))</f>
        <v>LOST</v>
      </c>
      <c r="Z8" s="283" t="str">
        <f t="shared" ref="Z8:Z15" si="11">IF(AND(P8&lt;0,P8&lt;=10),"WEAK",IF(AND(P8&gt;10,P8&lt;20),"BELOW AVG",IF(AND(P8&gt;20,P8&lt;=60),"MEDIUM",IF(AND(P8&gt;60,P8&lt;=90),"STRONG",""))))</f>
        <v>STRONG</v>
      </c>
      <c r="AA8" s="511" t="str">
        <f t="shared" ref="AA8:AA15" si="12">IF(Q8&gt;R8,"BJP","CONGRESS")</f>
        <v>CONGRESS</v>
      </c>
      <c r="AB8">
        <v>1209</v>
      </c>
      <c r="AC8">
        <v>658</v>
      </c>
      <c r="AD8">
        <v>581</v>
      </c>
      <c r="AE8">
        <v>327</v>
      </c>
      <c r="AF8">
        <v>628</v>
      </c>
      <c r="AG8">
        <v>331</v>
      </c>
      <c r="AH8">
        <v>97</v>
      </c>
      <c r="AI8">
        <v>63</v>
      </c>
      <c r="AJ8">
        <v>1108</v>
      </c>
      <c r="AK8">
        <v>594</v>
      </c>
      <c r="AL8">
        <v>4</v>
      </c>
      <c r="AM8">
        <v>1</v>
      </c>
      <c r="AN8" s="248">
        <f t="shared" ref="AN8:AO14" si="13">(AD8/AB8)*100</f>
        <v>48.0562448304384</v>
      </c>
      <c r="AO8" s="316">
        <f t="shared" si="13"/>
        <v>49.6960486322188</v>
      </c>
      <c r="AP8" s="317">
        <f t="shared" ref="AP8:AP14" si="14">(AF8/AB8)*100</f>
        <v>51.9437551695616</v>
      </c>
      <c r="AQ8" s="318">
        <f t="shared" ref="AQ8:AQ14" si="15">(AG8/AC8)*100</f>
        <v>50.3039513677812</v>
      </c>
      <c r="AR8" s="318" t="str">
        <f t="shared" ref="AR8:AR14" si="16">IF(AN8&gt;AP8,"MALE DOM","FEMALE DOM")</f>
        <v>FEMALE DOM</v>
      </c>
      <c r="AS8" s="319" t="str">
        <f t="shared" ref="AS8:AS14" si="17">IF(AO8&gt;AP8,"MALE","FEMALE")</f>
        <v>FEMALE</v>
      </c>
      <c r="AT8" s="317">
        <f t="shared" ref="AT8:AU14" si="18">(AH8/AB8)*100</f>
        <v>8.02315963606286</v>
      </c>
      <c r="AU8" s="317">
        <f t="shared" si="18"/>
        <v>9.57446808510638</v>
      </c>
      <c r="AV8" s="248">
        <f t="shared" ref="AV8:AW14" si="19">(AJ8/AB8)*100</f>
        <v>91.645988420182</v>
      </c>
      <c r="AW8" s="317">
        <f t="shared" si="19"/>
        <v>90.273556231003</v>
      </c>
      <c r="AX8" s="248">
        <f t="shared" ref="AX8:AY14" si="20">(AL8/AB8)*100</f>
        <v>0.33085194375517</v>
      </c>
      <c r="AY8" s="317">
        <f t="shared" si="20"/>
        <v>0.151975683890578</v>
      </c>
      <c r="AZ8" s="248" t="str">
        <f t="shared" ref="AZ8:AZ14" si="21">IF(AT8&gt;(AV8+AX8),"HINDU","MINORITY")</f>
        <v>MINORITY</v>
      </c>
      <c r="BA8" s="318" t="str">
        <f t="shared" ref="BA8:BA14" si="22">IF(AU8&gt;(AW8+AY8),"HIND","MINORITY")</f>
        <v>MINORITY</v>
      </c>
    </row>
    <row r="9" spans="1:53">
      <c r="A9" s="545"/>
      <c r="B9" s="554">
        <v>203</v>
      </c>
      <c r="C9" s="554">
        <v>1423</v>
      </c>
      <c r="D9" s="555">
        <v>740</v>
      </c>
      <c r="E9" s="557">
        <v>260</v>
      </c>
      <c r="F9" s="555">
        <v>38</v>
      </c>
      <c r="G9" s="556">
        <v>1</v>
      </c>
      <c r="H9" s="557">
        <v>0</v>
      </c>
      <c r="I9" s="555">
        <v>2</v>
      </c>
      <c r="J9" s="556">
        <v>0</v>
      </c>
      <c r="K9" s="556">
        <v>1</v>
      </c>
      <c r="L9" s="557">
        <v>1042</v>
      </c>
      <c r="M9" s="554">
        <v>0</v>
      </c>
      <c r="N9" s="555">
        <v>1</v>
      </c>
      <c r="O9" s="556">
        <f t="shared" si="0"/>
        <v>1043</v>
      </c>
      <c r="P9" s="557">
        <f t="shared" si="1"/>
        <v>73.2958538299367</v>
      </c>
      <c r="Q9" s="554">
        <f t="shared" si="2"/>
        <v>24.928092042186</v>
      </c>
      <c r="R9" s="555">
        <f t="shared" si="3"/>
        <v>70.9491850431448</v>
      </c>
      <c r="S9" s="557">
        <f t="shared" si="4"/>
        <v>3.64333652924257</v>
      </c>
      <c r="T9" s="555">
        <f t="shared" si="5"/>
        <v>0.0958772770853308</v>
      </c>
      <c r="U9" s="555">
        <f t="shared" si="6"/>
        <v>0.287631831255992</v>
      </c>
      <c r="V9" s="554">
        <f t="shared" si="7"/>
        <v>0.0958772770853308</v>
      </c>
      <c r="W9" s="555">
        <f t="shared" si="8"/>
        <v>-46.0210930009588</v>
      </c>
      <c r="X9" s="556">
        <f t="shared" si="9"/>
        <v>-50.0479386385427</v>
      </c>
      <c r="Y9" s="556" t="str">
        <f t="shared" si="10"/>
        <v>LOST</v>
      </c>
      <c r="Z9" s="283" t="str">
        <f t="shared" si="11"/>
        <v>STRONG</v>
      </c>
      <c r="AA9" s="511" t="str">
        <f t="shared" si="12"/>
        <v>CONGRESS</v>
      </c>
      <c r="AB9">
        <v>1412</v>
      </c>
      <c r="AD9">
        <v>692</v>
      </c>
      <c r="AF9">
        <v>720</v>
      </c>
      <c r="AH9">
        <v>349</v>
      </c>
      <c r="AJ9">
        <v>1035</v>
      </c>
      <c r="AL9">
        <v>28</v>
      </c>
      <c r="AN9" s="248">
        <f t="shared" si="13"/>
        <v>49.0084985835694</v>
      </c>
      <c r="AO9" s="316" t="e">
        <f t="shared" si="13"/>
        <v>#DIV/0!</v>
      </c>
      <c r="AP9" s="317">
        <f t="shared" si="14"/>
        <v>50.9915014164306</v>
      </c>
      <c r="AQ9" s="318" t="e">
        <f t="shared" si="15"/>
        <v>#DIV/0!</v>
      </c>
      <c r="AR9" s="318" t="str">
        <f t="shared" si="16"/>
        <v>FEMALE DOM</v>
      </c>
      <c r="AS9" s="319" t="e">
        <f t="shared" si="17"/>
        <v>#DIV/0!</v>
      </c>
      <c r="AT9" s="317">
        <f t="shared" si="18"/>
        <v>24.7167138810198</v>
      </c>
      <c r="AU9" s="317" t="e">
        <f t="shared" si="18"/>
        <v>#DIV/0!</v>
      </c>
      <c r="AV9" s="248">
        <f t="shared" si="19"/>
        <v>73.300283286119</v>
      </c>
      <c r="AW9" s="317" t="e">
        <f t="shared" si="19"/>
        <v>#DIV/0!</v>
      </c>
      <c r="AX9" s="248">
        <f t="shared" si="20"/>
        <v>1.98300283286119</v>
      </c>
      <c r="AY9" s="317" t="e">
        <f t="shared" si="20"/>
        <v>#DIV/0!</v>
      </c>
      <c r="AZ9" s="248" t="str">
        <f t="shared" si="21"/>
        <v>MINORITY</v>
      </c>
      <c r="BA9" s="318" t="e">
        <f t="shared" si="22"/>
        <v>#DIV/0!</v>
      </c>
    </row>
    <row r="10" spans="1:53">
      <c r="A10" s="545"/>
      <c r="B10" s="644">
        <v>204</v>
      </c>
      <c r="C10" s="297">
        <v>933</v>
      </c>
      <c r="D10" s="297">
        <v>141</v>
      </c>
      <c r="E10" s="33">
        <v>527</v>
      </c>
      <c r="F10" s="297">
        <v>1</v>
      </c>
      <c r="G10" s="645">
        <v>0</v>
      </c>
      <c r="H10" s="33">
        <v>0</v>
      </c>
      <c r="I10" s="297">
        <v>1</v>
      </c>
      <c r="J10" s="645">
        <v>0</v>
      </c>
      <c r="K10" s="657">
        <v>3</v>
      </c>
      <c r="L10" s="33">
        <v>673</v>
      </c>
      <c r="M10" s="644">
        <v>0</v>
      </c>
      <c r="N10" s="297">
        <v>7</v>
      </c>
      <c r="O10" s="645">
        <f t="shared" si="0"/>
        <v>680</v>
      </c>
      <c r="P10" s="33">
        <f t="shared" si="1"/>
        <v>72.8831725616292</v>
      </c>
      <c r="Q10" s="644">
        <f t="shared" si="2"/>
        <v>77.5</v>
      </c>
      <c r="R10" s="297">
        <f t="shared" si="3"/>
        <v>20.7352941176471</v>
      </c>
      <c r="S10" s="33">
        <f t="shared" si="4"/>
        <v>0.147058823529412</v>
      </c>
      <c r="T10" s="297">
        <f t="shared" si="5"/>
        <v>0</v>
      </c>
      <c r="U10" s="297">
        <f t="shared" si="6"/>
        <v>0.588235294117647</v>
      </c>
      <c r="V10" s="644">
        <f t="shared" si="7"/>
        <v>1.02941176470588</v>
      </c>
      <c r="W10" s="297">
        <f t="shared" si="8"/>
        <v>56.7647058823529</v>
      </c>
      <c r="X10" s="645">
        <f t="shared" si="9"/>
        <v>56.0294117647059</v>
      </c>
      <c r="Y10" s="565" t="str">
        <f t="shared" si="10"/>
        <v>STRONG</v>
      </c>
      <c r="Z10" s="283" t="str">
        <f t="shared" si="11"/>
        <v>STRONG</v>
      </c>
      <c r="AA10" s="289" t="str">
        <f t="shared" si="12"/>
        <v>BJP</v>
      </c>
      <c r="AB10">
        <v>924</v>
      </c>
      <c r="AC10">
        <v>687</v>
      </c>
      <c r="AD10">
        <v>458</v>
      </c>
      <c r="AE10">
        <v>343</v>
      </c>
      <c r="AF10">
        <v>466</v>
      </c>
      <c r="AG10">
        <v>344</v>
      </c>
      <c r="AH10">
        <v>841</v>
      </c>
      <c r="AI10">
        <v>635</v>
      </c>
      <c r="AJ10">
        <v>25</v>
      </c>
      <c r="AK10">
        <v>19</v>
      </c>
      <c r="AL10">
        <v>58</v>
      </c>
      <c r="AM10">
        <v>33</v>
      </c>
      <c r="AN10" s="248">
        <f t="shared" si="13"/>
        <v>49.5670995670996</v>
      </c>
      <c r="AO10" s="316">
        <f t="shared" si="13"/>
        <v>49.9272197962154</v>
      </c>
      <c r="AP10" s="317">
        <f t="shared" si="14"/>
        <v>50.4329004329004</v>
      </c>
      <c r="AQ10" s="318">
        <f t="shared" si="15"/>
        <v>50.0727802037846</v>
      </c>
      <c r="AR10" s="318" t="str">
        <f t="shared" si="16"/>
        <v>FEMALE DOM</v>
      </c>
      <c r="AS10" s="319" t="str">
        <f t="shared" si="17"/>
        <v>FEMALE</v>
      </c>
      <c r="AT10" s="317">
        <f t="shared" si="18"/>
        <v>91.017316017316</v>
      </c>
      <c r="AU10" s="317">
        <f t="shared" si="18"/>
        <v>92.4308588064047</v>
      </c>
      <c r="AV10" s="248">
        <f t="shared" si="19"/>
        <v>2.70562770562771</v>
      </c>
      <c r="AW10" s="317">
        <f t="shared" si="19"/>
        <v>2.76564774381368</v>
      </c>
      <c r="AX10" s="248">
        <f t="shared" si="20"/>
        <v>6.27705627705628</v>
      </c>
      <c r="AY10" s="317">
        <f t="shared" si="20"/>
        <v>4.80349344978166</v>
      </c>
      <c r="AZ10" s="248" t="str">
        <f t="shared" si="21"/>
        <v>HINDU</v>
      </c>
      <c r="BA10" s="318" t="str">
        <f t="shared" si="22"/>
        <v>HIND</v>
      </c>
    </row>
    <row r="11" spans="1:53">
      <c r="A11" s="545"/>
      <c r="B11" s="554">
        <v>206</v>
      </c>
      <c r="C11" s="555">
        <v>721</v>
      </c>
      <c r="D11" s="555">
        <v>254</v>
      </c>
      <c r="E11" s="557">
        <v>215</v>
      </c>
      <c r="F11" s="555">
        <v>26</v>
      </c>
      <c r="G11" s="556">
        <v>0</v>
      </c>
      <c r="H11" s="557">
        <v>0</v>
      </c>
      <c r="I11" s="555">
        <v>0</v>
      </c>
      <c r="J11" s="556">
        <v>0</v>
      </c>
      <c r="K11" s="556">
        <v>1</v>
      </c>
      <c r="L11" s="557">
        <v>496</v>
      </c>
      <c r="M11" s="554">
        <v>0</v>
      </c>
      <c r="N11" s="555">
        <v>2</v>
      </c>
      <c r="O11" s="556">
        <f t="shared" si="0"/>
        <v>498</v>
      </c>
      <c r="P11" s="557">
        <f t="shared" si="1"/>
        <v>69.0707350901526</v>
      </c>
      <c r="Q11" s="554">
        <f t="shared" si="2"/>
        <v>43.1726907630522</v>
      </c>
      <c r="R11" s="555">
        <f t="shared" si="3"/>
        <v>51.004016064257</v>
      </c>
      <c r="S11" s="557">
        <f t="shared" si="4"/>
        <v>5.22088353413655</v>
      </c>
      <c r="T11" s="555">
        <f t="shared" si="5"/>
        <v>0</v>
      </c>
      <c r="U11" s="555">
        <f t="shared" si="6"/>
        <v>0.200803212851406</v>
      </c>
      <c r="V11" s="554">
        <f t="shared" si="7"/>
        <v>0.401606425702811</v>
      </c>
      <c r="W11" s="555">
        <f t="shared" si="8"/>
        <v>-7.83132530120482</v>
      </c>
      <c r="X11" s="556">
        <f t="shared" si="9"/>
        <v>-13.2530120481928</v>
      </c>
      <c r="Y11" s="556" t="str">
        <f t="shared" si="10"/>
        <v>LOST</v>
      </c>
      <c r="Z11" s="283" t="str">
        <f t="shared" si="11"/>
        <v>STRONG</v>
      </c>
      <c r="AA11" s="511" t="str">
        <f t="shared" si="12"/>
        <v>CONGRESS</v>
      </c>
      <c r="AB11">
        <v>720</v>
      </c>
      <c r="AC11">
        <v>486</v>
      </c>
      <c r="AD11">
        <v>349</v>
      </c>
      <c r="AE11">
        <v>236</v>
      </c>
      <c r="AF11">
        <v>371</v>
      </c>
      <c r="AG11">
        <v>250</v>
      </c>
      <c r="AH11">
        <v>380</v>
      </c>
      <c r="AI11">
        <v>256</v>
      </c>
      <c r="AJ11">
        <v>288</v>
      </c>
      <c r="AK11">
        <v>194</v>
      </c>
      <c r="AL11">
        <v>52</v>
      </c>
      <c r="AM11">
        <v>36</v>
      </c>
      <c r="AN11" s="248">
        <f t="shared" si="13"/>
        <v>48.4722222222222</v>
      </c>
      <c r="AO11" s="316">
        <f t="shared" si="13"/>
        <v>48.559670781893</v>
      </c>
      <c r="AP11" s="317">
        <f t="shared" si="14"/>
        <v>51.5277777777778</v>
      </c>
      <c r="AQ11" s="318">
        <f t="shared" si="15"/>
        <v>51.440329218107</v>
      </c>
      <c r="AR11" s="318" t="str">
        <f t="shared" si="16"/>
        <v>FEMALE DOM</v>
      </c>
      <c r="AS11" s="319" t="str">
        <f t="shared" si="17"/>
        <v>FEMALE</v>
      </c>
      <c r="AT11" s="317">
        <f t="shared" si="18"/>
        <v>52.7777777777778</v>
      </c>
      <c r="AU11" s="317">
        <f t="shared" si="18"/>
        <v>52.6748971193416</v>
      </c>
      <c r="AV11" s="248">
        <f t="shared" si="19"/>
        <v>40</v>
      </c>
      <c r="AW11" s="317">
        <f t="shared" si="19"/>
        <v>39.917695473251</v>
      </c>
      <c r="AX11" s="248">
        <f t="shared" si="20"/>
        <v>7.22222222222222</v>
      </c>
      <c r="AY11" s="317">
        <f t="shared" si="20"/>
        <v>7.40740740740741</v>
      </c>
      <c r="AZ11" s="248" t="str">
        <f t="shared" si="21"/>
        <v>HINDU</v>
      </c>
      <c r="BA11" s="318" t="str">
        <f t="shared" si="22"/>
        <v>HIND</v>
      </c>
    </row>
    <row r="12" spans="1:53">
      <c r="A12" s="545"/>
      <c r="B12" s="646">
        <v>205</v>
      </c>
      <c r="C12" s="647">
        <v>1015</v>
      </c>
      <c r="D12" s="647">
        <v>320</v>
      </c>
      <c r="E12" s="648">
        <v>350</v>
      </c>
      <c r="F12" s="647">
        <v>13</v>
      </c>
      <c r="G12" s="649">
        <v>0</v>
      </c>
      <c r="H12" s="648">
        <v>0</v>
      </c>
      <c r="I12" s="647">
        <v>1</v>
      </c>
      <c r="J12" s="649">
        <v>4</v>
      </c>
      <c r="K12" s="649">
        <v>1</v>
      </c>
      <c r="L12" s="648">
        <v>689</v>
      </c>
      <c r="M12" s="646">
        <v>0</v>
      </c>
      <c r="N12" s="647">
        <v>3</v>
      </c>
      <c r="O12" s="649">
        <f t="shared" si="0"/>
        <v>692</v>
      </c>
      <c r="P12" s="648">
        <f t="shared" si="1"/>
        <v>68.1773399014778</v>
      </c>
      <c r="Q12" s="646">
        <f t="shared" si="2"/>
        <v>50.5780346820809</v>
      </c>
      <c r="R12" s="647">
        <f t="shared" si="3"/>
        <v>46.242774566474</v>
      </c>
      <c r="S12" s="648">
        <f t="shared" si="4"/>
        <v>1.87861271676301</v>
      </c>
      <c r="T12" s="647">
        <f t="shared" si="5"/>
        <v>0</v>
      </c>
      <c r="U12" s="647">
        <f t="shared" si="6"/>
        <v>0.867052023121387</v>
      </c>
      <c r="V12" s="646">
        <f t="shared" si="7"/>
        <v>0.433526011560694</v>
      </c>
      <c r="W12" s="647">
        <f t="shared" si="8"/>
        <v>4.33526011560694</v>
      </c>
      <c r="X12" s="649">
        <f t="shared" si="9"/>
        <v>1.58959537572255</v>
      </c>
      <c r="Y12" s="543" t="str">
        <f t="shared" si="10"/>
        <v>NARROW</v>
      </c>
      <c r="Z12" s="283" t="str">
        <f t="shared" si="11"/>
        <v>STRONG</v>
      </c>
      <c r="AA12" s="289" t="str">
        <f t="shared" si="12"/>
        <v>BJP</v>
      </c>
      <c r="AB12">
        <v>1008</v>
      </c>
      <c r="AD12">
        <v>475</v>
      </c>
      <c r="AF12">
        <v>533</v>
      </c>
      <c r="AH12">
        <v>609</v>
      </c>
      <c r="AJ12">
        <v>340</v>
      </c>
      <c r="AL12">
        <v>59</v>
      </c>
      <c r="AN12" s="248">
        <f t="shared" si="13"/>
        <v>47.1230158730159</v>
      </c>
      <c r="AO12" s="316" t="e">
        <f t="shared" si="13"/>
        <v>#DIV/0!</v>
      </c>
      <c r="AP12" s="317">
        <f t="shared" si="14"/>
        <v>52.8769841269841</v>
      </c>
      <c r="AQ12" s="318" t="e">
        <f t="shared" si="15"/>
        <v>#DIV/0!</v>
      </c>
      <c r="AR12" s="318" t="str">
        <f t="shared" si="16"/>
        <v>FEMALE DOM</v>
      </c>
      <c r="AS12" s="319" t="e">
        <f t="shared" si="17"/>
        <v>#DIV/0!</v>
      </c>
      <c r="AT12" s="317">
        <f t="shared" si="18"/>
        <v>60.4166666666667</v>
      </c>
      <c r="AU12" s="317" t="e">
        <f t="shared" si="18"/>
        <v>#DIV/0!</v>
      </c>
      <c r="AV12" s="248">
        <f t="shared" si="19"/>
        <v>33.7301587301587</v>
      </c>
      <c r="AW12" s="317" t="e">
        <f t="shared" si="19"/>
        <v>#DIV/0!</v>
      </c>
      <c r="AX12" s="248">
        <f t="shared" si="20"/>
        <v>5.8531746031746</v>
      </c>
      <c r="AY12" s="317" t="e">
        <f t="shared" si="20"/>
        <v>#DIV/0!</v>
      </c>
      <c r="AZ12" s="248" t="str">
        <f t="shared" si="21"/>
        <v>HINDU</v>
      </c>
      <c r="BA12" s="318" t="e">
        <f t="shared" si="22"/>
        <v>#DIV/0!</v>
      </c>
    </row>
    <row r="13" spans="1:53">
      <c r="A13" s="545"/>
      <c r="B13" s="650">
        <v>207</v>
      </c>
      <c r="C13" s="651">
        <v>1230</v>
      </c>
      <c r="D13" s="651">
        <v>275</v>
      </c>
      <c r="E13" s="43">
        <v>556</v>
      </c>
      <c r="F13" s="652">
        <v>3</v>
      </c>
      <c r="G13" s="653">
        <v>0</v>
      </c>
      <c r="H13" s="654">
        <v>0</v>
      </c>
      <c r="I13" s="651">
        <v>0</v>
      </c>
      <c r="J13" s="653">
        <v>0</v>
      </c>
      <c r="K13" s="653">
        <v>1</v>
      </c>
      <c r="L13" s="658">
        <v>835</v>
      </c>
      <c r="M13" s="654">
        <v>0</v>
      </c>
      <c r="N13" s="651">
        <v>7</v>
      </c>
      <c r="O13" s="516">
        <f t="shared" si="0"/>
        <v>842</v>
      </c>
      <c r="P13" s="43">
        <f t="shared" si="1"/>
        <v>68.4552845528455</v>
      </c>
      <c r="Q13" s="659">
        <f t="shared" si="2"/>
        <v>66.0332541567696</v>
      </c>
      <c r="R13" s="652">
        <f t="shared" si="3"/>
        <v>32.6603325415677</v>
      </c>
      <c r="S13" s="43">
        <f t="shared" si="4"/>
        <v>0.356294536817102</v>
      </c>
      <c r="T13" s="652">
        <f t="shared" si="5"/>
        <v>0</v>
      </c>
      <c r="U13" s="652">
        <f t="shared" si="6"/>
        <v>0.118764845605701</v>
      </c>
      <c r="V13" s="659">
        <f t="shared" si="7"/>
        <v>0.831353919239905</v>
      </c>
      <c r="W13" s="652">
        <f t="shared" si="8"/>
        <v>33.3729216152019</v>
      </c>
      <c r="X13" s="653">
        <f t="shared" si="9"/>
        <v>32.8978622327791</v>
      </c>
      <c r="Y13" s="655" t="str">
        <f t="shared" si="10"/>
        <v>MEDIUM</v>
      </c>
      <c r="Z13" s="283" t="str">
        <f t="shared" si="11"/>
        <v>STRONG</v>
      </c>
      <c r="AA13" s="289" t="str">
        <f t="shared" si="12"/>
        <v>BJP</v>
      </c>
      <c r="AB13">
        <v>1220</v>
      </c>
      <c r="AD13">
        <v>562</v>
      </c>
      <c r="AF13">
        <v>657</v>
      </c>
      <c r="AH13">
        <v>953</v>
      </c>
      <c r="AJ13">
        <v>108</v>
      </c>
      <c r="AL13">
        <v>159</v>
      </c>
      <c r="AN13" s="248">
        <f t="shared" si="13"/>
        <v>46.0655737704918</v>
      </c>
      <c r="AO13" s="316" t="e">
        <f t="shared" si="13"/>
        <v>#DIV/0!</v>
      </c>
      <c r="AP13" s="317">
        <f t="shared" si="14"/>
        <v>53.8524590163934</v>
      </c>
      <c r="AQ13" s="318" t="e">
        <f t="shared" si="15"/>
        <v>#DIV/0!</v>
      </c>
      <c r="AR13" s="318" t="str">
        <f t="shared" si="16"/>
        <v>FEMALE DOM</v>
      </c>
      <c r="AS13" s="319" t="e">
        <f t="shared" si="17"/>
        <v>#DIV/0!</v>
      </c>
      <c r="AT13" s="317">
        <f t="shared" si="18"/>
        <v>78.1147540983606</v>
      </c>
      <c r="AU13" s="317" t="e">
        <f t="shared" si="18"/>
        <v>#DIV/0!</v>
      </c>
      <c r="AV13" s="248">
        <f t="shared" si="19"/>
        <v>8.85245901639344</v>
      </c>
      <c r="AW13" s="317" t="e">
        <f t="shared" si="19"/>
        <v>#DIV/0!</v>
      </c>
      <c r="AX13" s="248">
        <f t="shared" si="20"/>
        <v>13.0327868852459</v>
      </c>
      <c r="AY13" s="317" t="e">
        <f t="shared" si="20"/>
        <v>#DIV/0!</v>
      </c>
      <c r="AZ13" s="248" t="str">
        <f t="shared" si="21"/>
        <v>HINDU</v>
      </c>
      <c r="BA13" s="318" t="e">
        <f t="shared" si="22"/>
        <v>#DIV/0!</v>
      </c>
    </row>
    <row r="14" spans="1:53">
      <c r="A14" s="545"/>
      <c r="B14" s="516">
        <v>208</v>
      </c>
      <c r="C14" s="655">
        <v>500</v>
      </c>
      <c r="D14" s="516">
        <v>141</v>
      </c>
      <c r="E14" s="655">
        <v>181</v>
      </c>
      <c r="F14" s="655">
        <v>1</v>
      </c>
      <c r="G14" s="655">
        <v>1</v>
      </c>
      <c r="H14" s="656">
        <v>0</v>
      </c>
      <c r="I14" s="516">
        <v>0</v>
      </c>
      <c r="J14" s="655">
        <v>0</v>
      </c>
      <c r="K14" s="655">
        <v>0</v>
      </c>
      <c r="L14" s="655">
        <v>324</v>
      </c>
      <c r="M14" s="656">
        <v>0</v>
      </c>
      <c r="N14" s="516">
        <v>0</v>
      </c>
      <c r="O14" s="516">
        <f t="shared" si="0"/>
        <v>324</v>
      </c>
      <c r="P14" s="656">
        <f t="shared" si="1"/>
        <v>64.8</v>
      </c>
      <c r="Q14" s="660">
        <f t="shared" si="2"/>
        <v>55.8641975308642</v>
      </c>
      <c r="R14" s="516">
        <f t="shared" si="3"/>
        <v>43.5185185185185</v>
      </c>
      <c r="S14" s="656">
        <f t="shared" si="4"/>
        <v>0.308641975308642</v>
      </c>
      <c r="T14" s="656">
        <f t="shared" si="5"/>
        <v>0.308641975308642</v>
      </c>
      <c r="U14" s="516">
        <f t="shared" si="6"/>
        <v>0</v>
      </c>
      <c r="V14" s="660">
        <f t="shared" si="7"/>
        <v>0</v>
      </c>
      <c r="W14" s="516">
        <f t="shared" si="8"/>
        <v>12.3456790123457</v>
      </c>
      <c r="X14" s="516">
        <f t="shared" si="9"/>
        <v>11.7283950617284</v>
      </c>
      <c r="Y14" s="655" t="str">
        <f t="shared" si="10"/>
        <v>MEDIUM</v>
      </c>
      <c r="Z14" s="283" t="str">
        <f t="shared" si="11"/>
        <v>STRONG</v>
      </c>
      <c r="AA14" s="289" t="str">
        <f t="shared" si="12"/>
        <v>BJP</v>
      </c>
      <c r="AB14">
        <v>498</v>
      </c>
      <c r="AD14">
        <v>236</v>
      </c>
      <c r="AF14">
        <v>262</v>
      </c>
      <c r="AH14">
        <v>292</v>
      </c>
      <c r="AJ14">
        <v>48</v>
      </c>
      <c r="AL14">
        <v>158</v>
      </c>
      <c r="AN14" s="248">
        <f t="shared" si="13"/>
        <v>47.3895582329317</v>
      </c>
      <c r="AO14" s="316" t="e">
        <f t="shared" si="13"/>
        <v>#DIV/0!</v>
      </c>
      <c r="AP14" s="317">
        <f t="shared" si="14"/>
        <v>52.6104417670683</v>
      </c>
      <c r="AQ14" s="318" t="e">
        <f t="shared" si="15"/>
        <v>#DIV/0!</v>
      </c>
      <c r="AR14" s="318" t="str">
        <f t="shared" si="16"/>
        <v>FEMALE DOM</v>
      </c>
      <c r="AS14" s="319" t="e">
        <f t="shared" si="17"/>
        <v>#DIV/0!</v>
      </c>
      <c r="AT14" s="317">
        <f t="shared" si="18"/>
        <v>58.6345381526104</v>
      </c>
      <c r="AU14" s="317" t="e">
        <f t="shared" si="18"/>
        <v>#DIV/0!</v>
      </c>
      <c r="AV14" s="248">
        <f t="shared" si="19"/>
        <v>9.63855421686747</v>
      </c>
      <c r="AW14" s="317" t="e">
        <f t="shared" si="19"/>
        <v>#DIV/0!</v>
      </c>
      <c r="AX14" s="248">
        <f t="shared" si="20"/>
        <v>31.7269076305221</v>
      </c>
      <c r="AY14" s="317" t="e">
        <f t="shared" si="20"/>
        <v>#DIV/0!</v>
      </c>
      <c r="AZ14" s="248" t="str">
        <f t="shared" si="21"/>
        <v>HINDU</v>
      </c>
      <c r="BA14" s="318" t="e">
        <f t="shared" si="22"/>
        <v>#DIV/0!</v>
      </c>
    </row>
    <row r="15" ht="21" spans="1:27">
      <c r="A15" s="545"/>
      <c r="B15" s="561"/>
      <c r="C15" s="562">
        <f t="shared" ref="C15:O15" si="23">SUM(C7:C14)</f>
        <v>8173</v>
      </c>
      <c r="D15" s="563">
        <f t="shared" si="23"/>
        <v>3162</v>
      </c>
      <c r="E15" s="562">
        <f t="shared" si="23"/>
        <v>2406</v>
      </c>
      <c r="F15" s="562">
        <f t="shared" si="23"/>
        <v>94</v>
      </c>
      <c r="G15" s="562">
        <f t="shared" si="23"/>
        <v>4</v>
      </c>
      <c r="H15" s="568">
        <f t="shared" si="23"/>
        <v>1</v>
      </c>
      <c r="I15" s="563">
        <f t="shared" si="23"/>
        <v>5</v>
      </c>
      <c r="J15" s="562">
        <f t="shared" si="23"/>
        <v>6</v>
      </c>
      <c r="K15" s="562">
        <f t="shared" si="23"/>
        <v>9</v>
      </c>
      <c r="L15" s="562">
        <f t="shared" si="23"/>
        <v>5687</v>
      </c>
      <c r="M15" s="568">
        <f t="shared" si="23"/>
        <v>0</v>
      </c>
      <c r="N15" s="563">
        <f t="shared" si="23"/>
        <v>28</v>
      </c>
      <c r="O15" s="563">
        <f t="shared" si="23"/>
        <v>5715</v>
      </c>
      <c r="P15" s="568">
        <f t="shared" ref="P15:X15" si="24">AVERAGE(P7:P14)</f>
        <v>69.5278191039712</v>
      </c>
      <c r="Q15" s="634">
        <f t="shared" si="24"/>
        <v>44.5374016462231</v>
      </c>
      <c r="R15" s="563">
        <f t="shared" si="24"/>
        <v>52.9320206199365</v>
      </c>
      <c r="S15" s="568">
        <f t="shared" si="24"/>
        <v>1.62783728356325</v>
      </c>
      <c r="T15" s="568">
        <f t="shared" si="24"/>
        <v>0.0803978421101058</v>
      </c>
      <c r="U15" s="568">
        <f t="shared" si="24"/>
        <v>0.34880509279274</v>
      </c>
      <c r="V15" s="568">
        <f t="shared" si="24"/>
        <v>0.473537515374275</v>
      </c>
      <c r="W15" s="568">
        <f t="shared" si="24"/>
        <v>-8.3946189737134</v>
      </c>
      <c r="X15" s="568">
        <f t="shared" si="24"/>
        <v>-10.4516591921795</v>
      </c>
      <c r="Y15" s="564" t="str">
        <f t="shared" si="10"/>
        <v>LOST</v>
      </c>
      <c r="Z15" s="512" t="str">
        <f t="shared" si="11"/>
        <v>STRONG</v>
      </c>
      <c r="AA15" s="512" t="str">
        <f t="shared" si="12"/>
        <v>CONGRESS</v>
      </c>
    </row>
    <row r="19" spans="4:23">
      <c r="D19" s="225" t="s">
        <v>96</v>
      </c>
      <c r="E19" s="237"/>
      <c r="F19" s="237"/>
      <c r="G19" s="238"/>
      <c r="I19" s="225" t="s">
        <v>97</v>
      </c>
      <c r="J19" s="237"/>
      <c r="K19" s="237"/>
      <c r="L19" s="238"/>
      <c r="P19" s="265" t="s">
        <v>98</v>
      </c>
      <c r="Q19" s="265"/>
      <c r="R19" s="265"/>
      <c r="S19" s="265"/>
      <c r="T19" s="265"/>
      <c r="U19" s="265"/>
      <c r="V19" s="265"/>
      <c r="W19" s="265"/>
    </row>
    <row r="20" spans="4:23">
      <c r="D20" s="226"/>
      <c r="E20" s="239"/>
      <c r="F20" s="239"/>
      <c r="G20" s="240"/>
      <c r="I20" s="241"/>
      <c r="J20" s="242"/>
      <c r="K20" s="242"/>
      <c r="L20" s="243"/>
      <c r="P20" s="265"/>
      <c r="Q20" s="265"/>
      <c r="R20" s="265"/>
      <c r="S20" s="265"/>
      <c r="T20" s="265"/>
      <c r="U20" s="265"/>
      <c r="V20" s="265"/>
      <c r="W20" s="265"/>
    </row>
    <row r="21" spans="4:23">
      <c r="D21" s="227" t="s">
        <v>99</v>
      </c>
      <c r="E21" s="244"/>
      <c r="F21" s="245"/>
      <c r="G21" s="245">
        <f>COUNTIF(AA7:AA14,"BJP")</f>
        <v>4</v>
      </c>
      <c r="I21" s="246" t="s">
        <v>100</v>
      </c>
      <c r="J21" s="247"/>
      <c r="K21" s="247"/>
      <c r="L21" s="248">
        <f>COUNTIF(Y7:Y14,"NARROW")</f>
        <v>1</v>
      </c>
      <c r="P21" s="265" t="s">
        <v>101</v>
      </c>
      <c r="Q21" s="265"/>
      <c r="R21" s="265"/>
      <c r="S21" s="265">
        <f>'BAJAL-18'!E9</f>
        <v>39.2351435092843</v>
      </c>
      <c r="T21" s="265" t="s">
        <v>102</v>
      </c>
      <c r="U21" s="265"/>
      <c r="V21" s="265"/>
      <c r="W21" s="265">
        <f>Q15</f>
        <v>44.5374016462231</v>
      </c>
    </row>
    <row r="22" spans="4:23">
      <c r="D22" s="227"/>
      <c r="E22" s="244"/>
      <c r="F22" s="245"/>
      <c r="G22" s="245"/>
      <c r="I22" s="249"/>
      <c r="J22" s="250"/>
      <c r="K22" s="250"/>
      <c r="L22" s="251"/>
      <c r="P22" s="265"/>
      <c r="Q22" s="265"/>
      <c r="R22" s="265"/>
      <c r="S22" s="265"/>
      <c r="T22" s="265"/>
      <c r="U22" s="265"/>
      <c r="V22" s="265"/>
      <c r="W22" s="265"/>
    </row>
    <row r="23" spans="4:23">
      <c r="D23" s="227"/>
      <c r="E23" s="244"/>
      <c r="F23" s="245"/>
      <c r="G23" s="245"/>
      <c r="I23" s="252" t="s">
        <v>103</v>
      </c>
      <c r="J23" s="253"/>
      <c r="K23" s="253"/>
      <c r="L23" s="248">
        <f>COUNTIF(Y7:Y14,"MEDIUM")</f>
        <v>2</v>
      </c>
      <c r="P23" s="265" t="s">
        <v>104</v>
      </c>
      <c r="Q23" s="265"/>
      <c r="R23" s="265"/>
      <c r="S23" s="265">
        <f>'BAJAL-18'!G9</f>
        <v>54.1841288816802</v>
      </c>
      <c r="T23" s="265" t="s">
        <v>105</v>
      </c>
      <c r="U23" s="265"/>
      <c r="V23" s="265"/>
      <c r="W23" s="265">
        <f>R15</f>
        <v>52.9320206199365</v>
      </c>
    </row>
    <row r="24" spans="4:23">
      <c r="D24" s="228" t="s">
        <v>106</v>
      </c>
      <c r="E24" s="254"/>
      <c r="F24" s="255"/>
      <c r="G24" s="255">
        <f>COUNTIF(AA7:AA14,"CONGRESS")</f>
        <v>4</v>
      </c>
      <c r="I24" s="252"/>
      <c r="J24" s="253"/>
      <c r="K24" s="253"/>
      <c r="L24" s="251"/>
      <c r="P24" s="265"/>
      <c r="Q24" s="265"/>
      <c r="R24" s="265"/>
      <c r="S24" s="265"/>
      <c r="T24" s="265"/>
      <c r="U24" s="265"/>
      <c r="V24" s="265"/>
      <c r="W24" s="265"/>
    </row>
    <row r="25" spans="4:23">
      <c r="D25" s="229"/>
      <c r="E25" s="256"/>
      <c r="F25" s="257"/>
      <c r="G25" s="257"/>
      <c r="I25" s="258" t="s">
        <v>107</v>
      </c>
      <c r="J25" s="259"/>
      <c r="K25" s="259"/>
      <c r="L25" s="248">
        <f>COUNTIF(Y7:Y14,"STRONG")</f>
        <v>1</v>
      </c>
      <c r="P25" s="265" t="s">
        <v>108</v>
      </c>
      <c r="Q25" s="265"/>
      <c r="R25" s="265"/>
      <c r="S25" s="265">
        <f>'BAJAL-18'!C9</f>
        <v>5027</v>
      </c>
      <c r="T25" s="265" t="s">
        <v>109</v>
      </c>
      <c r="U25" s="265"/>
      <c r="V25" s="265"/>
      <c r="W25" s="265">
        <f>Q14</f>
        <v>55.8641975308642</v>
      </c>
    </row>
    <row r="26" spans="4:23">
      <c r="D26" s="230"/>
      <c r="E26" s="260"/>
      <c r="F26" s="261"/>
      <c r="G26" s="261"/>
      <c r="I26" s="262"/>
      <c r="J26" s="263"/>
      <c r="K26" s="263"/>
      <c r="L26" s="251"/>
      <c r="P26" s="265"/>
      <c r="Q26" s="265"/>
      <c r="R26" s="265"/>
      <c r="S26" s="265"/>
      <c r="T26" s="265"/>
      <c r="U26" s="265"/>
      <c r="V26" s="265"/>
      <c r="W26" s="265"/>
    </row>
    <row r="27" spans="9:23">
      <c r="I27" s="229" t="s">
        <v>110</v>
      </c>
      <c r="J27" s="256"/>
      <c r="K27" s="256"/>
      <c r="L27" s="248">
        <f>COUNTIF(Y7:Y14,"LOST")</f>
        <v>4</v>
      </c>
      <c r="P27" s="265" t="s">
        <v>111</v>
      </c>
      <c r="Q27" s="265"/>
      <c r="R27" s="265"/>
      <c r="S27" s="265">
        <f>S21-S23</f>
        <v>-14.9489853723959</v>
      </c>
      <c r="T27" s="265" t="s">
        <v>111</v>
      </c>
      <c r="U27" s="265"/>
      <c r="V27" s="265"/>
      <c r="W27" s="265">
        <f>W21-W23</f>
        <v>-8.39461897371341</v>
      </c>
    </row>
    <row r="28" spans="9:23">
      <c r="I28" s="230"/>
      <c r="J28" s="260"/>
      <c r="K28" s="260"/>
      <c r="L28" s="251"/>
      <c r="P28" s="265"/>
      <c r="Q28" s="265"/>
      <c r="R28" s="265"/>
      <c r="S28" s="265"/>
      <c r="T28" s="265"/>
      <c r="U28" s="265"/>
      <c r="V28" s="265"/>
      <c r="W28" s="265"/>
    </row>
    <row r="29" spans="16:22">
      <c r="P29" s="265" t="s">
        <v>112</v>
      </c>
      <c r="Q29" s="265"/>
      <c r="R29" s="265"/>
      <c r="S29" s="265">
        <f>W21-S21</f>
        <v>5.30225813693877</v>
      </c>
      <c r="T29" s="265"/>
      <c r="U29" s="265"/>
      <c r="V29" s="265"/>
    </row>
    <row r="30" spans="16:22">
      <c r="P30" s="265"/>
      <c r="Q30" s="265"/>
      <c r="R30" s="265"/>
      <c r="S30" s="265"/>
      <c r="T30" s="265"/>
      <c r="U30" s="265"/>
      <c r="V30" s="265"/>
    </row>
    <row r="31" spans="16:22">
      <c r="P31" s="265" t="s">
        <v>113</v>
      </c>
      <c r="Q31" s="265"/>
      <c r="R31" s="265"/>
      <c r="S31" s="265">
        <f>W23-S23</f>
        <v>-1.25210826174371</v>
      </c>
      <c r="T31" s="265"/>
      <c r="U31" s="265"/>
      <c r="V31" s="265"/>
    </row>
    <row r="32" spans="16:22">
      <c r="P32" s="265"/>
      <c r="Q32" s="265"/>
      <c r="R32" s="265"/>
      <c r="S32" s="265"/>
      <c r="T32" s="265"/>
      <c r="U32" s="265"/>
      <c r="V32" s="265"/>
    </row>
    <row r="33" spans="16:22">
      <c r="P33" s="265" t="s">
        <v>114</v>
      </c>
      <c r="Q33" s="265"/>
      <c r="R33" s="265"/>
      <c r="S33" s="265" t="str">
        <f>IF(S29&gt;S31,"INCREASE","DECREASE")</f>
        <v>INCREASE</v>
      </c>
      <c r="T33" s="265"/>
      <c r="U33" s="265"/>
      <c r="V33" s="265"/>
    </row>
    <row r="34" spans="16:22">
      <c r="P34" s="265"/>
      <c r="Q34" s="265"/>
      <c r="R34" s="265"/>
      <c r="S34" s="265"/>
      <c r="T34" s="265"/>
      <c r="U34" s="265"/>
      <c r="V34" s="265"/>
    </row>
    <row r="35" spans="16:23">
      <c r="P35" s="265" t="s">
        <v>178</v>
      </c>
      <c r="Q35" s="265"/>
      <c r="R35" s="265"/>
      <c r="S35" s="265"/>
      <c r="T35" s="265"/>
      <c r="U35" s="265"/>
      <c r="V35" s="265"/>
      <c r="W35" s="265"/>
    </row>
    <row r="36" spans="16:23">
      <c r="P36" s="265"/>
      <c r="Q36" s="265"/>
      <c r="R36" s="265"/>
      <c r="S36" s="265"/>
      <c r="T36" s="265"/>
      <c r="U36" s="265"/>
      <c r="V36" s="265"/>
      <c r="W36" s="265"/>
    </row>
    <row r="37" spans="16:23">
      <c r="P37" s="265"/>
      <c r="Q37" s="265"/>
      <c r="R37" s="265"/>
      <c r="S37" s="265"/>
      <c r="T37" s="265"/>
      <c r="U37" s="265"/>
      <c r="V37" s="265"/>
      <c r="W37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G21:G23"/>
    <mergeCell ref="G24:G26"/>
    <mergeCell ref="H3:H6"/>
    <mergeCell ref="I3:I6"/>
    <mergeCell ref="J3:J6"/>
    <mergeCell ref="K3:K6"/>
    <mergeCell ref="L1:L6"/>
    <mergeCell ref="L21:L22"/>
    <mergeCell ref="L23:L24"/>
    <mergeCell ref="L25:L26"/>
    <mergeCell ref="L27:L28"/>
    <mergeCell ref="M1:M6"/>
    <mergeCell ref="N1:N6"/>
    <mergeCell ref="O1:O6"/>
    <mergeCell ref="P1:P6"/>
    <mergeCell ref="Q1:Q6"/>
    <mergeCell ref="R1:R6"/>
    <mergeCell ref="S1:S6"/>
    <mergeCell ref="S21:S22"/>
    <mergeCell ref="S23:S24"/>
    <mergeCell ref="S25:S26"/>
    <mergeCell ref="S27:S28"/>
    <mergeCell ref="T1:T6"/>
    <mergeCell ref="U1:U6"/>
    <mergeCell ref="V1:V6"/>
    <mergeCell ref="W1:W6"/>
    <mergeCell ref="W21:W22"/>
    <mergeCell ref="W23:W24"/>
    <mergeCell ref="W25:W26"/>
    <mergeCell ref="W27:W28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I27:K28"/>
    <mergeCell ref="D19:G20"/>
    <mergeCell ref="I19:L20"/>
    <mergeCell ref="D21:F23"/>
    <mergeCell ref="I21:K22"/>
    <mergeCell ref="I23:K24"/>
    <mergeCell ref="D24:F26"/>
    <mergeCell ref="I25:K26"/>
    <mergeCell ref="P19:W20"/>
    <mergeCell ref="P21:R22"/>
    <mergeCell ref="T21:V22"/>
    <mergeCell ref="P23:R24"/>
    <mergeCell ref="T23:V24"/>
    <mergeCell ref="P25:R26"/>
    <mergeCell ref="T25:V26"/>
    <mergeCell ref="P35:W37"/>
    <mergeCell ref="P31:R32"/>
    <mergeCell ref="S31:V32"/>
    <mergeCell ref="P33:R34"/>
    <mergeCell ref="S33:T34"/>
    <mergeCell ref="U33:V34"/>
    <mergeCell ref="P27:R28"/>
    <mergeCell ref="T27:V28"/>
    <mergeCell ref="P29:R30"/>
    <mergeCell ref="S29:V30"/>
  </mergeCells>
  <conditionalFormatting sqref="AR7:AR14">
    <cfRule type="containsText" dxfId="6" priority="1" operator="between" text="FEMALE DOM">
      <formula>NOT(ISERROR(SEARCH("FEMALE DOM",AR7)))</formula>
    </cfRule>
  </conditionalFormatting>
  <conditionalFormatting sqref="AZ7:AZ14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4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"/>
  <sheetViews>
    <sheetView topLeftCell="A2" workbookViewId="0">
      <selection activeCell="A1" sqref="A1:AJ1"/>
    </sheetView>
  </sheetViews>
  <sheetFormatPr defaultColWidth="9" defaultRowHeight="14.5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182</v>
      </c>
      <c r="B2" s="185" t="s">
        <v>179</v>
      </c>
      <c r="C2" s="184">
        <v>620</v>
      </c>
      <c r="D2" s="184">
        <v>345</v>
      </c>
      <c r="E2" s="184">
        <f t="shared" ref="E2:E8" si="0">(D2/C2)*100</f>
        <v>55.6451612903226</v>
      </c>
      <c r="F2" s="184">
        <v>228</v>
      </c>
      <c r="G2" s="184">
        <f t="shared" ref="G2:G8" si="1">(F2/C2)*100</f>
        <v>36.7741935483871</v>
      </c>
      <c r="H2" s="184">
        <v>4</v>
      </c>
      <c r="I2" s="184">
        <f t="shared" ref="I2:I8" si="2">(H2/C2)*100</f>
        <v>0.645161290322581</v>
      </c>
      <c r="J2" s="184">
        <v>25</v>
      </c>
      <c r="K2" s="184">
        <f t="shared" ref="K2:K8" si="3">(J2/C2)*100</f>
        <v>4.03225806451613</v>
      </c>
      <c r="L2" s="189">
        <v>434</v>
      </c>
      <c r="M2" s="189">
        <v>458</v>
      </c>
      <c r="N2" s="189">
        <f t="shared" ref="N2:N8" si="4">L2+M2</f>
        <v>892</v>
      </c>
      <c r="O2" s="184">
        <v>620</v>
      </c>
      <c r="P2" s="190">
        <f t="shared" ref="P2:P8" si="5">O2/N2*100</f>
        <v>69.5067264573991</v>
      </c>
      <c r="Q2" s="184">
        <v>554</v>
      </c>
      <c r="R2" s="184">
        <f t="shared" ref="R2:R8" si="6">(Q2/N2)*100</f>
        <v>62.1076233183856</v>
      </c>
      <c r="S2" s="184">
        <f t="shared" ref="S2:S8" si="7">Q2-U2</f>
        <v>154</v>
      </c>
      <c r="T2" s="184">
        <f t="shared" ref="T2:T8" si="8">(S2/Q2)*100</f>
        <v>27.7978339350181</v>
      </c>
      <c r="U2" s="184">
        <v>400</v>
      </c>
      <c r="V2" s="191">
        <f t="shared" ref="V2:V8" si="9">IFERROR(U2/Q2*100,0)</f>
        <v>72.202166064982</v>
      </c>
      <c r="W2" s="184">
        <v>338</v>
      </c>
      <c r="X2" s="184">
        <f t="shared" ref="X2:X8" si="10">100-R2</f>
        <v>37.8923766816144</v>
      </c>
      <c r="Y2" s="184">
        <f t="shared" ref="Y2:Y8" si="11">W2-AA2</f>
        <v>118</v>
      </c>
      <c r="Z2" s="193">
        <f t="shared" ref="Z2:Z8" si="12">(Y2/W2)*100</f>
        <v>34.9112426035503</v>
      </c>
      <c r="AA2" s="193">
        <v>220</v>
      </c>
      <c r="AB2" s="194">
        <f t="shared" ref="AB2:AB8" si="13">IFERROR(AA2/W2*100,0)</f>
        <v>65.0887573964497</v>
      </c>
      <c r="AC2" s="193">
        <f t="shared" ref="AC2:AC8" si="14">U2+AA2</f>
        <v>620</v>
      </c>
      <c r="AD2" s="193" t="str">
        <f t="shared" ref="AD2:AD8" si="15">IF(P2&gt;80,"EXCELLENT",IF(P2&gt;70,"STRONG",IF(P2&gt;60,"AVG",IF(P2&gt;50,"WEAK",IF(P2&lt;50,"VLOW")))))</f>
        <v>AVG</v>
      </c>
      <c r="AE2" s="195" t="str">
        <f t="shared" ref="AE2:AE8" si="16">IF(R2&gt;80,"EXCELLENT",IF(R2&gt;70,"STRONG",IF(R2&gt;60,"AVG",IF(R2&gt;50,"WEAK",IF(R2&lt;50,"VLOW")))))</f>
        <v>AVG</v>
      </c>
      <c r="AF2" s="193" t="str">
        <f t="shared" ref="AF2:AF8" si="17">IF(X2&gt;80,"EXCELLENT",IF(X2&gt;70,"STRONG",IF(X2&gt;60,"AVG",IF(X2&gt;50,"WEAK",IF(X2&lt;50,"VLOW")))))</f>
        <v>VLOW</v>
      </c>
      <c r="AG2" s="193" t="str">
        <f t="shared" ref="AG2:AG8" si="18">IF(M2&gt;L2,"FEMALE DOM","MEN")</f>
        <v>FEMALE DOM</v>
      </c>
      <c r="AH2" s="193" t="str">
        <f t="shared" ref="AH2:AH8" si="19">IF(T2&gt;Z2,"H","O")</f>
        <v>O</v>
      </c>
      <c r="AI2" s="197">
        <f>E2-G2</f>
        <v>18.8709677419355</v>
      </c>
      <c r="AJ2" s="199" t="str">
        <f t="shared" ref="AJ2:AJ9" si="20">IF(E2&gt;G2,"BJP GAIN","CONGRESSGAIN")</f>
        <v>BJP GAIN</v>
      </c>
    </row>
    <row r="3" spans="1:36">
      <c r="A3" s="184">
        <v>183</v>
      </c>
      <c r="B3" s="185" t="s">
        <v>180</v>
      </c>
      <c r="C3" s="184">
        <v>851</v>
      </c>
      <c r="D3" s="184">
        <v>67</v>
      </c>
      <c r="E3" s="184">
        <f t="shared" si="0"/>
        <v>7.87309048178613</v>
      </c>
      <c r="F3" s="184">
        <v>735</v>
      </c>
      <c r="G3" s="184">
        <f t="shared" si="1"/>
        <v>86.3689776733255</v>
      </c>
      <c r="H3" s="184">
        <v>5</v>
      </c>
      <c r="I3" s="184">
        <f t="shared" si="2"/>
        <v>0.587544065804935</v>
      </c>
      <c r="J3" s="184">
        <v>20</v>
      </c>
      <c r="K3" s="184">
        <f t="shared" si="3"/>
        <v>2.35017626321974</v>
      </c>
      <c r="L3" s="189">
        <v>562</v>
      </c>
      <c r="M3" s="189">
        <v>620</v>
      </c>
      <c r="N3" s="189">
        <f t="shared" si="4"/>
        <v>1182</v>
      </c>
      <c r="O3" s="184">
        <v>851</v>
      </c>
      <c r="P3" s="190">
        <f t="shared" si="5"/>
        <v>71.9966159052453</v>
      </c>
      <c r="Q3" s="184">
        <v>100</v>
      </c>
      <c r="R3" s="184">
        <f t="shared" si="6"/>
        <v>8.46023688663283</v>
      </c>
      <c r="S3" s="184">
        <f t="shared" si="7"/>
        <v>32</v>
      </c>
      <c r="T3" s="184">
        <f t="shared" si="8"/>
        <v>32</v>
      </c>
      <c r="U3" s="184">
        <v>68</v>
      </c>
      <c r="V3" s="191">
        <f t="shared" si="9"/>
        <v>68</v>
      </c>
      <c r="W3" s="184">
        <f>1020+3</f>
        <v>1023</v>
      </c>
      <c r="X3" s="184">
        <f t="shared" si="10"/>
        <v>91.5397631133672</v>
      </c>
      <c r="Y3" s="184">
        <f t="shared" si="11"/>
        <v>271</v>
      </c>
      <c r="Z3" s="193">
        <f t="shared" si="12"/>
        <v>26.4907135874878</v>
      </c>
      <c r="AA3" s="193">
        <f>749+3</f>
        <v>752</v>
      </c>
      <c r="AB3" s="194">
        <f t="shared" si="13"/>
        <v>73.5092864125122</v>
      </c>
      <c r="AC3" s="193">
        <f t="shared" si="14"/>
        <v>820</v>
      </c>
      <c r="AD3" s="193" t="str">
        <f t="shared" si="15"/>
        <v>STRONG</v>
      </c>
      <c r="AE3" s="195" t="str">
        <f t="shared" si="16"/>
        <v>VLOW</v>
      </c>
      <c r="AF3" s="193" t="str">
        <f t="shared" si="17"/>
        <v>EXCELLENT</v>
      </c>
      <c r="AG3" s="193" t="str">
        <f t="shared" si="18"/>
        <v>FEMALE DOM</v>
      </c>
      <c r="AH3" s="193" t="str">
        <f t="shared" si="19"/>
        <v>H</v>
      </c>
      <c r="AI3" s="197">
        <f>G3-E3</f>
        <v>78.4958871915394</v>
      </c>
      <c r="AJ3" s="198" t="str">
        <f t="shared" si="20"/>
        <v>CONGRESSGAIN</v>
      </c>
    </row>
    <row r="4" spans="1:36">
      <c r="A4" s="184">
        <v>184</v>
      </c>
      <c r="B4" s="185" t="s">
        <v>181</v>
      </c>
      <c r="C4" s="184">
        <v>857</v>
      </c>
      <c r="D4" s="184">
        <v>229</v>
      </c>
      <c r="E4" s="184">
        <f t="shared" si="0"/>
        <v>26.7211201866978</v>
      </c>
      <c r="F4" s="184">
        <v>587</v>
      </c>
      <c r="G4" s="184">
        <f t="shared" si="1"/>
        <v>68.4947491248541</v>
      </c>
      <c r="H4" s="184">
        <v>16</v>
      </c>
      <c r="I4" s="184">
        <f t="shared" si="2"/>
        <v>1.86697782963827</v>
      </c>
      <c r="J4" s="184">
        <v>9</v>
      </c>
      <c r="K4" s="184">
        <f t="shared" si="3"/>
        <v>1.05017502917153</v>
      </c>
      <c r="L4" s="189">
        <v>550</v>
      </c>
      <c r="M4" s="189">
        <v>560</v>
      </c>
      <c r="N4" s="189">
        <f t="shared" si="4"/>
        <v>1110</v>
      </c>
      <c r="O4" s="184">
        <v>857</v>
      </c>
      <c r="P4" s="190">
        <f t="shared" si="5"/>
        <v>77.2072072072072</v>
      </c>
      <c r="Q4" s="184">
        <v>365</v>
      </c>
      <c r="R4" s="184">
        <f t="shared" si="6"/>
        <v>32.8828828828829</v>
      </c>
      <c r="S4" s="192">
        <f t="shared" si="7"/>
        <v>79</v>
      </c>
      <c r="T4" s="184">
        <f t="shared" si="8"/>
        <v>21.6438356164384</v>
      </c>
      <c r="U4" s="184">
        <v>286</v>
      </c>
      <c r="V4" s="191">
        <f t="shared" si="9"/>
        <v>78.3561643835616</v>
      </c>
      <c r="W4" s="184">
        <f>687+58</f>
        <v>745</v>
      </c>
      <c r="X4" s="184">
        <f t="shared" si="10"/>
        <v>67.1171171171171</v>
      </c>
      <c r="Y4" s="196">
        <f t="shared" si="11"/>
        <v>161</v>
      </c>
      <c r="Z4" s="193">
        <f t="shared" si="12"/>
        <v>21.6107382550336</v>
      </c>
      <c r="AA4" s="193">
        <f>544+40</f>
        <v>584</v>
      </c>
      <c r="AB4" s="194">
        <f t="shared" si="13"/>
        <v>78.3892617449664</v>
      </c>
      <c r="AC4" s="193">
        <f t="shared" si="14"/>
        <v>870</v>
      </c>
      <c r="AD4" s="193" t="str">
        <f t="shared" si="15"/>
        <v>STRONG</v>
      </c>
      <c r="AE4" s="195" t="str">
        <f t="shared" si="16"/>
        <v>VLOW</v>
      </c>
      <c r="AF4" s="193" t="str">
        <f t="shared" si="17"/>
        <v>AVG</v>
      </c>
      <c r="AG4" s="193" t="str">
        <f t="shared" si="18"/>
        <v>FEMALE DOM</v>
      </c>
      <c r="AH4" s="193" t="str">
        <f t="shared" si="19"/>
        <v>H</v>
      </c>
      <c r="AI4" s="197">
        <f>G4-E4</f>
        <v>41.7736289381564</v>
      </c>
      <c r="AJ4" s="198" t="str">
        <f t="shared" si="20"/>
        <v>CONGRESSGAIN</v>
      </c>
    </row>
    <row r="5" spans="1:36">
      <c r="A5" s="184">
        <v>185</v>
      </c>
      <c r="B5" s="185" t="s">
        <v>182</v>
      </c>
      <c r="C5" s="184">
        <v>867</v>
      </c>
      <c r="D5" s="184">
        <v>219</v>
      </c>
      <c r="E5" s="184">
        <f t="shared" si="0"/>
        <v>25.2595155709343</v>
      </c>
      <c r="F5" s="184">
        <v>616</v>
      </c>
      <c r="G5" s="184">
        <f t="shared" si="1"/>
        <v>71.0495963091119</v>
      </c>
      <c r="H5" s="184">
        <v>8</v>
      </c>
      <c r="I5" s="184">
        <f t="shared" si="2"/>
        <v>0.922722029988466</v>
      </c>
      <c r="J5" s="184">
        <v>18</v>
      </c>
      <c r="K5" s="184">
        <f t="shared" si="3"/>
        <v>2.07612456747405</v>
      </c>
      <c r="L5" s="189">
        <v>651</v>
      </c>
      <c r="M5" s="189">
        <v>682</v>
      </c>
      <c r="N5" s="189">
        <f t="shared" si="4"/>
        <v>1333</v>
      </c>
      <c r="O5" s="184">
        <v>867</v>
      </c>
      <c r="P5" s="190">
        <f t="shared" si="5"/>
        <v>65.0412603150788</v>
      </c>
      <c r="Q5" s="184">
        <v>345</v>
      </c>
      <c r="R5" s="184">
        <f t="shared" si="6"/>
        <v>25.8814703675919</v>
      </c>
      <c r="S5" s="184">
        <f t="shared" si="7"/>
        <v>78</v>
      </c>
      <c r="T5" s="184">
        <f t="shared" si="8"/>
        <v>22.6086956521739</v>
      </c>
      <c r="U5" s="184">
        <v>267</v>
      </c>
      <c r="V5" s="191">
        <f t="shared" si="9"/>
        <v>77.3913043478261</v>
      </c>
      <c r="W5" s="184">
        <f>963+31</f>
        <v>994</v>
      </c>
      <c r="X5" s="184">
        <f t="shared" si="10"/>
        <v>74.1185296324081</v>
      </c>
      <c r="Y5" s="184">
        <f t="shared" si="11"/>
        <v>385</v>
      </c>
      <c r="Z5" s="193">
        <f t="shared" si="12"/>
        <v>38.7323943661972</v>
      </c>
      <c r="AA5" s="193">
        <f>581+28</f>
        <v>609</v>
      </c>
      <c r="AB5" s="194">
        <f t="shared" si="13"/>
        <v>61.2676056338028</v>
      </c>
      <c r="AC5" s="193">
        <f t="shared" si="14"/>
        <v>876</v>
      </c>
      <c r="AD5" s="193" t="str">
        <f t="shared" si="15"/>
        <v>AVG</v>
      </c>
      <c r="AE5" s="195" t="str">
        <f t="shared" si="16"/>
        <v>VLOW</v>
      </c>
      <c r="AF5" s="193" t="str">
        <f t="shared" si="17"/>
        <v>STRONG</v>
      </c>
      <c r="AG5" s="193" t="str">
        <f t="shared" si="18"/>
        <v>FEMALE DOM</v>
      </c>
      <c r="AH5" s="193" t="str">
        <f t="shared" si="19"/>
        <v>O</v>
      </c>
      <c r="AI5" s="197">
        <f>G5-E5</f>
        <v>45.7900807381776</v>
      </c>
      <c r="AJ5" s="198" t="str">
        <f t="shared" si="20"/>
        <v>CONGRESSGAIN</v>
      </c>
    </row>
    <row r="6" spans="1:36">
      <c r="A6" s="184">
        <v>186</v>
      </c>
      <c r="B6" s="185" t="s">
        <v>183</v>
      </c>
      <c r="C6" s="184">
        <v>691</v>
      </c>
      <c r="D6" s="184">
        <v>497</v>
      </c>
      <c r="E6" s="184">
        <f t="shared" si="0"/>
        <v>71.9247467438495</v>
      </c>
      <c r="F6" s="184">
        <v>156</v>
      </c>
      <c r="G6" s="184">
        <f t="shared" si="1"/>
        <v>22.575976845152</v>
      </c>
      <c r="H6" s="184">
        <v>3</v>
      </c>
      <c r="I6" s="184">
        <f t="shared" si="2"/>
        <v>0.434153400868307</v>
      </c>
      <c r="J6" s="184">
        <v>20</v>
      </c>
      <c r="K6" s="184">
        <f t="shared" si="3"/>
        <v>2.89435600578871</v>
      </c>
      <c r="L6" s="189">
        <v>444</v>
      </c>
      <c r="M6" s="189">
        <v>449</v>
      </c>
      <c r="N6" s="189">
        <f t="shared" si="4"/>
        <v>893</v>
      </c>
      <c r="O6" s="184">
        <v>691</v>
      </c>
      <c r="P6" s="190">
        <f t="shared" si="5"/>
        <v>77.3796192609182</v>
      </c>
      <c r="Q6" s="184">
        <v>711</v>
      </c>
      <c r="R6" s="184">
        <f t="shared" si="6"/>
        <v>79.6192609182531</v>
      </c>
      <c r="S6" s="184">
        <f t="shared" si="7"/>
        <v>149</v>
      </c>
      <c r="T6" s="184">
        <f t="shared" si="8"/>
        <v>20.9563994374121</v>
      </c>
      <c r="U6" s="184">
        <v>562</v>
      </c>
      <c r="V6" s="191">
        <f t="shared" si="9"/>
        <v>79.0436005625879</v>
      </c>
      <c r="W6" s="184">
        <f>49+26</f>
        <v>75</v>
      </c>
      <c r="X6" s="184">
        <f t="shared" si="10"/>
        <v>20.3807390817469</v>
      </c>
      <c r="Y6" s="184">
        <f t="shared" si="11"/>
        <v>29</v>
      </c>
      <c r="Z6" s="193">
        <f t="shared" si="12"/>
        <v>38.6666666666667</v>
      </c>
      <c r="AA6" s="193">
        <f>31+15</f>
        <v>46</v>
      </c>
      <c r="AB6" s="194">
        <f t="shared" si="13"/>
        <v>61.3333333333333</v>
      </c>
      <c r="AC6" s="193">
        <f t="shared" si="14"/>
        <v>608</v>
      </c>
      <c r="AD6" s="193" t="str">
        <f t="shared" si="15"/>
        <v>STRONG</v>
      </c>
      <c r="AE6" s="195" t="str">
        <f t="shared" si="16"/>
        <v>STRONG</v>
      </c>
      <c r="AF6" s="193" t="str">
        <f t="shared" si="17"/>
        <v>VLOW</v>
      </c>
      <c r="AG6" s="193" t="str">
        <f t="shared" si="18"/>
        <v>FEMALE DOM</v>
      </c>
      <c r="AH6" s="193" t="str">
        <f t="shared" si="19"/>
        <v>O</v>
      </c>
      <c r="AI6" s="197">
        <f>E6-G6</f>
        <v>49.3487698986975</v>
      </c>
      <c r="AJ6" s="199" t="str">
        <f t="shared" si="20"/>
        <v>BJP GAIN</v>
      </c>
    </row>
    <row r="7" spans="1:36">
      <c r="A7" s="184">
        <v>187</v>
      </c>
      <c r="B7" s="185" t="s">
        <v>184</v>
      </c>
      <c r="C7" s="184">
        <v>672</v>
      </c>
      <c r="D7" s="184">
        <v>301</v>
      </c>
      <c r="E7" s="184">
        <f t="shared" si="0"/>
        <v>44.7916666666667</v>
      </c>
      <c r="F7" s="184">
        <v>298</v>
      </c>
      <c r="G7" s="184">
        <f t="shared" si="1"/>
        <v>44.3452380952381</v>
      </c>
      <c r="H7" s="184">
        <v>9</v>
      </c>
      <c r="I7" s="184">
        <f t="shared" si="2"/>
        <v>1.33928571428571</v>
      </c>
      <c r="J7" s="184">
        <v>54</v>
      </c>
      <c r="K7" s="184">
        <f t="shared" si="3"/>
        <v>8.03571428571429</v>
      </c>
      <c r="L7" s="189">
        <v>445</v>
      </c>
      <c r="M7" s="189">
        <v>500</v>
      </c>
      <c r="N7" s="189">
        <f t="shared" si="4"/>
        <v>945</v>
      </c>
      <c r="O7" s="184">
        <v>672</v>
      </c>
      <c r="P7" s="190">
        <f t="shared" si="5"/>
        <v>71.1111111111111</v>
      </c>
      <c r="Q7" s="184">
        <v>574</v>
      </c>
      <c r="R7" s="184">
        <f t="shared" si="6"/>
        <v>60.7407407407407</v>
      </c>
      <c r="S7" s="184">
        <f t="shared" si="7"/>
        <v>227</v>
      </c>
      <c r="T7" s="184">
        <f t="shared" si="8"/>
        <v>39.5470383275261</v>
      </c>
      <c r="U7" s="184">
        <v>347</v>
      </c>
      <c r="V7" s="191">
        <f t="shared" si="9"/>
        <v>60.4529616724739</v>
      </c>
      <c r="W7" s="184">
        <v>371</v>
      </c>
      <c r="X7" s="184">
        <f t="shared" si="10"/>
        <v>39.2592592592593</v>
      </c>
      <c r="Y7" s="196">
        <f t="shared" si="11"/>
        <v>154</v>
      </c>
      <c r="Z7" s="193">
        <f t="shared" si="12"/>
        <v>41.5094339622642</v>
      </c>
      <c r="AA7" s="193">
        <v>217</v>
      </c>
      <c r="AB7" s="194">
        <f t="shared" si="13"/>
        <v>58.4905660377358</v>
      </c>
      <c r="AC7" s="193">
        <f t="shared" si="14"/>
        <v>564</v>
      </c>
      <c r="AD7" s="193" t="str">
        <f t="shared" si="15"/>
        <v>STRONG</v>
      </c>
      <c r="AE7" s="195" t="str">
        <f t="shared" si="16"/>
        <v>AVG</v>
      </c>
      <c r="AF7" s="193" t="str">
        <f t="shared" si="17"/>
        <v>VLOW</v>
      </c>
      <c r="AG7" s="193" t="str">
        <f t="shared" si="18"/>
        <v>FEMALE DOM</v>
      </c>
      <c r="AH7" s="193" t="str">
        <f t="shared" si="19"/>
        <v>O</v>
      </c>
      <c r="AI7" s="197">
        <f>E7-G7</f>
        <v>0.446428571428577</v>
      </c>
      <c r="AJ7" s="199" t="str">
        <f t="shared" si="20"/>
        <v>BJP GAIN</v>
      </c>
    </row>
    <row r="8" spans="1:36">
      <c r="A8" s="184">
        <v>188</v>
      </c>
      <c r="B8" s="185" t="s">
        <v>185</v>
      </c>
      <c r="C8" s="184">
        <v>469</v>
      </c>
      <c r="D8" s="184">
        <v>199</v>
      </c>
      <c r="E8" s="184">
        <f t="shared" si="0"/>
        <v>42.4307036247335</v>
      </c>
      <c r="F8" s="184">
        <v>233</v>
      </c>
      <c r="G8" s="184">
        <f t="shared" si="1"/>
        <v>49.680170575693</v>
      </c>
      <c r="H8" s="184">
        <v>7</v>
      </c>
      <c r="I8" s="184">
        <f t="shared" si="2"/>
        <v>1.49253731343284</v>
      </c>
      <c r="J8" s="184">
        <v>23</v>
      </c>
      <c r="K8" s="184">
        <f t="shared" si="3"/>
        <v>4.90405117270789</v>
      </c>
      <c r="L8" s="189">
        <v>333</v>
      </c>
      <c r="M8" s="189">
        <v>349</v>
      </c>
      <c r="N8" s="189">
        <f t="shared" si="4"/>
        <v>682</v>
      </c>
      <c r="O8" s="184">
        <v>469</v>
      </c>
      <c r="P8" s="190">
        <f t="shared" si="5"/>
        <v>68.7683284457478</v>
      </c>
      <c r="Q8" s="184">
        <v>368</v>
      </c>
      <c r="R8" s="184">
        <f t="shared" si="6"/>
        <v>53.9589442815249</v>
      </c>
      <c r="S8" s="192">
        <f t="shared" si="7"/>
        <v>122</v>
      </c>
      <c r="T8" s="184">
        <f t="shared" si="8"/>
        <v>33.1521739130435</v>
      </c>
      <c r="U8" s="184">
        <v>246</v>
      </c>
      <c r="V8" s="191">
        <f t="shared" si="9"/>
        <v>66.8478260869565</v>
      </c>
      <c r="W8" s="184">
        <f>277+35</f>
        <v>312</v>
      </c>
      <c r="X8" s="184">
        <f t="shared" si="10"/>
        <v>46.0410557184751</v>
      </c>
      <c r="Y8" s="184">
        <f t="shared" si="11"/>
        <v>89</v>
      </c>
      <c r="Z8" s="193">
        <f t="shared" si="12"/>
        <v>28.525641025641</v>
      </c>
      <c r="AA8" s="193">
        <f>192+23+8</f>
        <v>223</v>
      </c>
      <c r="AB8" s="194">
        <f t="shared" si="13"/>
        <v>71.474358974359</v>
      </c>
      <c r="AC8" s="193">
        <f t="shared" si="14"/>
        <v>469</v>
      </c>
      <c r="AD8" s="193" t="str">
        <f t="shared" si="15"/>
        <v>AVG</v>
      </c>
      <c r="AE8" s="195" t="str">
        <f t="shared" si="16"/>
        <v>WEAK</v>
      </c>
      <c r="AF8" s="193" t="str">
        <f t="shared" si="17"/>
        <v>VLOW</v>
      </c>
      <c r="AG8" s="193" t="str">
        <f t="shared" si="18"/>
        <v>FEMALE DOM</v>
      </c>
      <c r="AH8" s="193" t="str">
        <f t="shared" si="19"/>
        <v>H</v>
      </c>
      <c r="AI8" s="197">
        <f>G8-E8</f>
        <v>7.24946695095949</v>
      </c>
      <c r="AJ8" s="198" t="str">
        <f t="shared" si="20"/>
        <v>CONGRESSGAIN</v>
      </c>
    </row>
    <row r="9" spans="3:36">
      <c r="C9">
        <f>SUM(C2:C8)</f>
        <v>5027</v>
      </c>
      <c r="D9">
        <f>SUM(D2:D8)</f>
        <v>1857</v>
      </c>
      <c r="E9" s="186">
        <f>AVERAGE(E2:E8)</f>
        <v>39.2351435092843</v>
      </c>
      <c r="F9">
        <f>SUM(F2:F8)</f>
        <v>2853</v>
      </c>
      <c r="G9" s="186">
        <f>AVERAGE(G2:G8)</f>
        <v>54.1841288816802</v>
      </c>
      <c r="H9">
        <f>SUM(H2:H8)</f>
        <v>52</v>
      </c>
      <c r="I9" s="186">
        <f>AVERAGE(I2:I8)</f>
        <v>1.04119737776302</v>
      </c>
      <c r="J9">
        <f>SUM(J2:J8)</f>
        <v>169</v>
      </c>
      <c r="K9" s="186">
        <f>AVERAGE(K2:K8)</f>
        <v>3.62040791265605</v>
      </c>
      <c r="AJ9" s="200" t="str">
        <f t="shared" si="20"/>
        <v>CONGRESSGAIN</v>
      </c>
    </row>
  </sheetData>
  <conditionalFormatting sqref="AD2:AD8">
    <cfRule type="containsText" dxfId="8" priority="15" operator="between" text="AVG">
      <formula>NOT(ISERROR(SEARCH("AVG",AD2)))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NOT(ISERROR(SEARCH("VSTRONG",AD2)))</formula>
    </cfRule>
    <cfRule type="containsText" dxfId="10" priority="5" operator="between" text="AVG">
      <formula>NOT(ISERROR(SEARCH("AVG",AD2)))</formula>
    </cfRule>
  </conditionalFormatting>
  <conditionalFormatting sqref="AE2:AE8">
    <cfRule type="containsText" dxfId="3" priority="9" operator="between" text="STRONG">
      <formula>NOT(ISERROR(SEARCH("STRONG",AE2)))</formula>
    </cfRule>
    <cfRule type="containsText" dxfId="1" priority="7" operator="between" text="VSTRONG">
      <formula>NOT(ISERROR(SEARCH("VSTRONG",AE2)))</formula>
    </cfRule>
  </conditionalFormatting>
  <conditionalFormatting sqref="AF2:AF8">
    <cfRule type="cellIs" dxfId="11" priority="3" operator="equal">
      <formula>"VWEAK"</formula>
    </cfRule>
    <cfRule type="containsText" dxfId="0" priority="2" operator="between" text="VSTRONG">
      <formula>NOT(ISERROR(SEARCH("VSTRONG",AF2)))</formula>
    </cfRule>
  </conditionalFormatting>
  <conditionalFormatting sqref="AG2:AG8">
    <cfRule type="containsText" dxfId="12" priority="6" operator="between" text="FEMALE DOM">
      <formula>NOT(ISERROR(SEARCH("FEMALE DOM",AG2)))</formula>
    </cfRule>
    <cfRule type="containsText" dxfId="10" priority="1" operator="between" text="MEN">
      <formula>NOT(ISERROR(SEARCH("MEN",AG2)))</formula>
    </cfRule>
  </conditionalFormatting>
  <conditionalFormatting sqref="AH2:AH8">
    <cfRule type="containsText" dxfId="0" priority="12" operator="between" text="O">
      <formula>NOT(ISERROR(SEARCH("O",AH2)))</formula>
    </cfRule>
    <cfRule type="containsText" dxfId="3" priority="10" operator="between" text="H">
      <formula>NOT(ISERROR(SEARCH("H",AH2)))</formula>
    </cfRule>
    <cfRule type="containsText" dxfId="13" priority="11" operator="between" text="H">
      <formula>NOT(ISERROR(SEARCH("H",AH2)))</formula>
    </cfRule>
    <cfRule type="containsText" dxfId="1" priority="4" operator="between" text="H">
      <formula>NOT(ISERROR(SEARCH("H",AH2)))</formula>
    </cfRule>
  </conditionalFormatting>
  <conditionalFormatting sqref="AE2:AF8">
    <cfRule type="containsText" dxfId="2" priority="8" operator="between" text="AVG">
      <formula>NOT(ISERROR(SEARCH("AVG",AE2)))</formula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A35"/>
  <sheetViews>
    <sheetView tabSelected="1" workbookViewId="0">
      <selection activeCell="L7" sqref="L7:L13"/>
    </sheetView>
  </sheetViews>
  <sheetFormatPr defaultColWidth="9" defaultRowHeight="14.5"/>
  <cols>
    <col min="25" max="25" width="12.8545454545455" customWidth="1"/>
    <col min="27" max="27" width="12.4272727272727" customWidth="1"/>
  </cols>
  <sheetData>
    <row r="1" spans="1:53">
      <c r="A1" s="267" t="s">
        <v>16</v>
      </c>
      <c r="B1" s="268" t="s">
        <v>177</v>
      </c>
      <c r="C1" s="267" t="s">
        <v>15</v>
      </c>
      <c r="D1" s="513" t="s">
        <v>1</v>
      </c>
      <c r="E1" s="513"/>
      <c r="F1" s="513"/>
      <c r="G1" s="513"/>
      <c r="H1" s="513"/>
      <c r="I1" s="513"/>
      <c r="J1" s="513"/>
      <c r="K1" s="508"/>
      <c r="L1" s="513" t="s">
        <v>2</v>
      </c>
      <c r="M1" s="268" t="s">
        <v>3</v>
      </c>
      <c r="N1" s="268" t="s">
        <v>4</v>
      </c>
      <c r="O1" s="513" t="s">
        <v>5</v>
      </c>
      <c r="P1" s="267" t="s">
        <v>17</v>
      </c>
      <c r="Q1" s="268" t="s">
        <v>18</v>
      </c>
      <c r="R1" s="513" t="s">
        <v>19</v>
      </c>
      <c r="S1" s="268" t="s">
        <v>20</v>
      </c>
      <c r="T1" s="513" t="s">
        <v>21</v>
      </c>
      <c r="U1" s="268" t="s">
        <v>22</v>
      </c>
      <c r="V1" s="513" t="s">
        <v>23</v>
      </c>
      <c r="W1" s="268" t="s">
        <v>186</v>
      </c>
      <c r="X1" s="508" t="s">
        <v>66</v>
      </c>
      <c r="Y1" s="508" t="s">
        <v>67</v>
      </c>
      <c r="Z1" s="508" t="s">
        <v>159</v>
      </c>
      <c r="AA1" s="508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73"/>
      <c r="B2" s="274"/>
      <c r="C2" s="273"/>
      <c r="D2" s="514"/>
      <c r="E2" s="514"/>
      <c r="F2" s="514"/>
      <c r="G2" s="514"/>
      <c r="H2" s="514"/>
      <c r="I2" s="514"/>
      <c r="J2" s="514"/>
      <c r="K2" s="509"/>
      <c r="L2" s="514"/>
      <c r="M2" s="274"/>
      <c r="N2" s="274"/>
      <c r="O2" s="514"/>
      <c r="P2" s="273"/>
      <c r="Q2" s="274"/>
      <c r="R2" s="514"/>
      <c r="S2" s="274"/>
      <c r="T2" s="514"/>
      <c r="U2" s="274"/>
      <c r="V2" s="514"/>
      <c r="W2" s="274"/>
      <c r="X2" s="509"/>
      <c r="Y2" s="509"/>
      <c r="Z2" s="509"/>
      <c r="AA2" s="509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73"/>
      <c r="B3" s="274"/>
      <c r="C3" s="273"/>
      <c r="D3" s="267" t="s">
        <v>7</v>
      </c>
      <c r="E3" s="268" t="s">
        <v>8</v>
      </c>
      <c r="F3" s="513" t="s">
        <v>9</v>
      </c>
      <c r="G3" s="268" t="s">
        <v>10</v>
      </c>
      <c r="H3" s="513" t="s">
        <v>11</v>
      </c>
      <c r="I3" s="268" t="s">
        <v>12</v>
      </c>
      <c r="J3" s="513" t="s">
        <v>9</v>
      </c>
      <c r="K3" s="268" t="s">
        <v>13</v>
      </c>
      <c r="L3" s="514"/>
      <c r="M3" s="274"/>
      <c r="N3" s="274"/>
      <c r="O3" s="514"/>
      <c r="P3" s="273"/>
      <c r="Q3" s="274"/>
      <c r="R3" s="514"/>
      <c r="S3" s="274"/>
      <c r="T3" s="514"/>
      <c r="U3" s="274"/>
      <c r="V3" s="514"/>
      <c r="W3" s="274"/>
      <c r="X3" s="509"/>
      <c r="Y3" s="509"/>
      <c r="Z3" s="509"/>
      <c r="AA3" s="509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73"/>
      <c r="B4" s="274"/>
      <c r="C4" s="273"/>
      <c r="D4" s="273"/>
      <c r="E4" s="274"/>
      <c r="F4" s="514"/>
      <c r="G4" s="274"/>
      <c r="H4" s="514"/>
      <c r="I4" s="274"/>
      <c r="J4" s="514"/>
      <c r="K4" s="274"/>
      <c r="L4" s="514"/>
      <c r="M4" s="274"/>
      <c r="N4" s="274"/>
      <c r="O4" s="514"/>
      <c r="P4" s="273"/>
      <c r="Q4" s="274"/>
      <c r="R4" s="514"/>
      <c r="S4" s="274"/>
      <c r="T4" s="514"/>
      <c r="U4" s="274"/>
      <c r="V4" s="514"/>
      <c r="W4" s="274"/>
      <c r="X4" s="509"/>
      <c r="Y4" s="509"/>
      <c r="Z4" s="509"/>
      <c r="AA4" s="509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73"/>
      <c r="B5" s="274"/>
      <c r="C5" s="273"/>
      <c r="D5" s="273"/>
      <c r="E5" s="274"/>
      <c r="F5" s="514"/>
      <c r="G5" s="274"/>
      <c r="H5" s="514"/>
      <c r="I5" s="274"/>
      <c r="J5" s="514"/>
      <c r="K5" s="274"/>
      <c r="L5" s="514"/>
      <c r="M5" s="274"/>
      <c r="N5" s="274"/>
      <c r="O5" s="514"/>
      <c r="P5" s="273"/>
      <c r="Q5" s="274"/>
      <c r="R5" s="514"/>
      <c r="S5" s="274"/>
      <c r="T5" s="514"/>
      <c r="U5" s="274"/>
      <c r="V5" s="514"/>
      <c r="W5" s="274"/>
      <c r="X5" s="509"/>
      <c r="Y5" s="509"/>
      <c r="Z5" s="509"/>
      <c r="AA5" s="509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73"/>
      <c r="B6" s="279"/>
      <c r="C6" s="278"/>
      <c r="D6" s="278"/>
      <c r="E6" s="279"/>
      <c r="F6" s="515"/>
      <c r="G6" s="279"/>
      <c r="H6" s="515"/>
      <c r="I6" s="279"/>
      <c r="J6" s="515"/>
      <c r="K6" s="279"/>
      <c r="L6" s="514"/>
      <c r="M6" s="279"/>
      <c r="N6" s="279"/>
      <c r="O6" s="514"/>
      <c r="P6" s="273"/>
      <c r="Q6" s="279"/>
      <c r="R6" s="514"/>
      <c r="S6" s="279"/>
      <c r="T6" s="514"/>
      <c r="U6" s="279"/>
      <c r="V6" s="514"/>
      <c r="W6" s="279"/>
      <c r="X6" s="509"/>
      <c r="Y6" s="509"/>
      <c r="Z6" s="510"/>
      <c r="AA6" s="509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388" t="s">
        <v>31</v>
      </c>
      <c r="B7" s="388">
        <v>15</v>
      </c>
      <c r="C7" s="479">
        <v>489</v>
      </c>
      <c r="D7" s="479">
        <v>119</v>
      </c>
      <c r="E7" s="403">
        <v>168</v>
      </c>
      <c r="F7" s="402">
        <v>1</v>
      </c>
      <c r="G7" s="403">
        <v>2</v>
      </c>
      <c r="H7" s="402">
        <v>0</v>
      </c>
      <c r="I7" s="403">
        <v>2</v>
      </c>
      <c r="J7" s="402">
        <v>1</v>
      </c>
      <c r="K7" s="403">
        <v>0</v>
      </c>
      <c r="L7" s="402">
        <v>293</v>
      </c>
      <c r="M7" s="403">
        <v>0</v>
      </c>
      <c r="N7" s="403">
        <v>1</v>
      </c>
      <c r="O7" s="402">
        <f t="shared" ref="O7:O13" si="0">D7+E7+F7+G7+H7+I7+J7+K7+N7</f>
        <v>294</v>
      </c>
      <c r="P7" s="479">
        <f t="shared" ref="P7:P13" si="1">(O7/C7)*100</f>
        <v>60.1226993865031</v>
      </c>
      <c r="Q7" s="403">
        <f t="shared" ref="Q7:Q13" si="2">(E7/O7)*100</f>
        <v>57.1428571428571</v>
      </c>
      <c r="R7" s="402">
        <f t="shared" ref="R7:R13" si="3">(D7/O7)*100</f>
        <v>40.4761904761905</v>
      </c>
      <c r="S7" s="403">
        <f t="shared" ref="S7:S13" si="4">(F7/O7)*100</f>
        <v>0.340136054421769</v>
      </c>
      <c r="T7" s="402">
        <f t="shared" ref="T7:T13" si="5">(G7/O7)*100</f>
        <v>0.680272108843537</v>
      </c>
      <c r="U7" s="403">
        <f t="shared" ref="U7:U13" si="6">((H7+I7+J7+K7)/O7)*100</f>
        <v>1.02040816326531</v>
      </c>
      <c r="V7" s="402">
        <f t="shared" ref="V7:V13" si="7">(N7/O7)*100</f>
        <v>0.340136054421769</v>
      </c>
      <c r="W7" s="403">
        <f>Q7-R7</f>
        <v>16.6666666666667</v>
      </c>
      <c r="X7" s="409">
        <f>Q7-(R7+S7+T7+U7)</f>
        <v>14.625850340136</v>
      </c>
      <c r="Y7" s="409" t="str">
        <f>IF(AND(W7&lt;0,W7&lt;=1),"LOST",IF(AND(W7&gt;1,W7&lt;=10),"NARROW",IF(AND(W7&gt;10,W7&lt;=40),"MEDIUM",IF(AND(W7&gt;40,W7&lt;=90),"STRONG",""))))</f>
        <v>MEDIUM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483</v>
      </c>
      <c r="AC7">
        <v>258</v>
      </c>
      <c r="AD7">
        <v>220</v>
      </c>
      <c r="AE7">
        <v>118</v>
      </c>
      <c r="AF7">
        <v>263</v>
      </c>
      <c r="AG7">
        <v>140</v>
      </c>
      <c r="AH7">
        <v>307</v>
      </c>
      <c r="AI7">
        <v>175</v>
      </c>
      <c r="AJ7">
        <v>0</v>
      </c>
      <c r="AK7">
        <v>0</v>
      </c>
      <c r="AL7">
        <v>176</v>
      </c>
      <c r="AM7">
        <v>83</v>
      </c>
      <c r="AN7" s="248">
        <f>(AD7/AB7)*100</f>
        <v>45.5486542443064</v>
      </c>
      <c r="AO7" s="316">
        <f>(AE7/AC7)*100</f>
        <v>45.7364341085271</v>
      </c>
      <c r="AP7" s="317">
        <f>(AF7/AB7)*100</f>
        <v>54.4513457556936</v>
      </c>
      <c r="AQ7" s="318">
        <f>(AG7/AC7)*100</f>
        <v>54.2635658914729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63.5610766045549</v>
      </c>
      <c r="AU7" s="317">
        <f>(AI7/AC7)*100</f>
        <v>67.8294573643411</v>
      </c>
      <c r="AV7" s="248">
        <f>(AJ7/AB7)*100</f>
        <v>0</v>
      </c>
      <c r="AW7" s="317">
        <f>(AK7/AC7)*100</f>
        <v>0</v>
      </c>
      <c r="AX7" s="248">
        <f>(AL7/AB7)*100</f>
        <v>36.4389233954451</v>
      </c>
      <c r="AY7" s="317">
        <f>(AM7/AC7)*100</f>
        <v>32.1705426356589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1:53">
      <c r="A8" s="638"/>
      <c r="B8" s="221">
        <v>16</v>
      </c>
      <c r="C8" s="221">
        <v>1042</v>
      </c>
      <c r="D8" s="221">
        <v>192</v>
      </c>
      <c r="E8" s="222">
        <v>439</v>
      </c>
      <c r="F8" s="234">
        <v>2</v>
      </c>
      <c r="G8" s="222">
        <v>3</v>
      </c>
      <c r="H8" s="234">
        <v>1</v>
      </c>
      <c r="I8" s="222">
        <v>0</v>
      </c>
      <c r="J8" s="234">
        <v>0</v>
      </c>
      <c r="K8" s="222">
        <v>0</v>
      </c>
      <c r="L8" s="234">
        <v>637</v>
      </c>
      <c r="M8" s="222">
        <v>0</v>
      </c>
      <c r="N8" s="222">
        <v>9</v>
      </c>
      <c r="O8" s="234">
        <f t="shared" si="0"/>
        <v>646</v>
      </c>
      <c r="P8" s="221">
        <f t="shared" si="1"/>
        <v>61.9961612284069</v>
      </c>
      <c r="Q8" s="222">
        <f t="shared" si="2"/>
        <v>67.9566563467492</v>
      </c>
      <c r="R8" s="234">
        <f t="shared" si="3"/>
        <v>29.7213622291022</v>
      </c>
      <c r="S8" s="222">
        <f t="shared" si="4"/>
        <v>0.309597523219814</v>
      </c>
      <c r="T8" s="234">
        <f t="shared" si="5"/>
        <v>0.464396284829721</v>
      </c>
      <c r="U8" s="222">
        <f t="shared" si="6"/>
        <v>0.154798761609907</v>
      </c>
      <c r="V8" s="234">
        <f t="shared" si="7"/>
        <v>1.39318885448916</v>
      </c>
      <c r="W8" s="222">
        <f t="shared" ref="W8:W13" si="8">Q8-R8</f>
        <v>38.2352941176471</v>
      </c>
      <c r="X8" s="360">
        <f t="shared" ref="X8:X13" si="9">Q8-(R8+S8+T8+U8)</f>
        <v>37.3065015479876</v>
      </c>
      <c r="Y8" s="360" t="str">
        <f t="shared" ref="Y8:Y14" si="10">IF(AND(W8&lt;0,W8&lt;=1),"LOST",IF(AND(W8&gt;1,W8&lt;=10),"NARROW",IF(AND(W8&gt;10,W8&lt;=40),"MEDIUM",IF(AND(W8&gt;40,W8&lt;=90),"STRONG",""))))</f>
        <v>MEDIUM</v>
      </c>
      <c r="Z8" s="283" t="str">
        <f t="shared" ref="Z8:Z14" si="11">IF(AND(P8&lt;0,P8&lt;=10),"WEAK",IF(AND(P8&gt;10,P8&lt;20),"BELOW AVG",IF(AND(P8&gt;20,P8&lt;=60),"MEDIUM",IF(AND(P8&gt;60,P8&lt;=90),"STRONG",""))))</f>
        <v>STRONG</v>
      </c>
      <c r="AA8" s="289" t="str">
        <f t="shared" ref="AA8:AA14" si="12">IF(Q8&gt;R8,"BJP","CONGRESS")</f>
        <v>BJP</v>
      </c>
      <c r="AB8">
        <v>1040</v>
      </c>
      <c r="AC8">
        <v>603</v>
      </c>
      <c r="AD8">
        <v>517</v>
      </c>
      <c r="AE8">
        <v>305</v>
      </c>
      <c r="AF8">
        <v>523</v>
      </c>
      <c r="AG8">
        <v>298</v>
      </c>
      <c r="AH8">
        <v>786</v>
      </c>
      <c r="AI8">
        <v>481</v>
      </c>
      <c r="AJ8">
        <v>10</v>
      </c>
      <c r="AK8">
        <v>7</v>
      </c>
      <c r="AL8">
        <v>244</v>
      </c>
      <c r="AM8">
        <v>115</v>
      </c>
      <c r="AN8" s="248">
        <f t="shared" ref="AN8:AO14" si="13">(AD8/AB8)*100</f>
        <v>49.7115384615385</v>
      </c>
      <c r="AO8" s="316">
        <f t="shared" si="13"/>
        <v>50.5804311774461</v>
      </c>
      <c r="AP8" s="317">
        <f t="shared" ref="AP8:AP14" si="14">(AF8/AB8)*100</f>
        <v>50.2884615384615</v>
      </c>
      <c r="AQ8" s="318">
        <f t="shared" ref="AQ8:AQ13" si="15">(AG8/AC8)*100</f>
        <v>49.4195688225539</v>
      </c>
      <c r="AR8" s="318" t="str">
        <f t="shared" ref="AR8:AR14" si="16">IF(AN8&gt;AP8,"MALE DOM","FEMALE DOM")</f>
        <v>FEMALE DOM</v>
      </c>
      <c r="AS8" s="319" t="str">
        <f t="shared" ref="AS8:AS14" si="17">IF(AO8&gt;AP8,"MALE","FEMALE")</f>
        <v>MALE</v>
      </c>
      <c r="AT8" s="317">
        <f t="shared" ref="AT8:AU14" si="18">(AH8/AB8)*100</f>
        <v>75.5769230769231</v>
      </c>
      <c r="AU8" s="317">
        <f t="shared" si="18"/>
        <v>79.7678275290216</v>
      </c>
      <c r="AV8" s="248">
        <f t="shared" ref="AV8:AW14" si="19">(AJ8/AB8)*100</f>
        <v>0.961538461538462</v>
      </c>
      <c r="AW8" s="317">
        <f t="shared" si="19"/>
        <v>1.16086235489221</v>
      </c>
      <c r="AX8" s="248">
        <f t="shared" ref="AX8:AY14" si="20">(AL8/AB8)*100</f>
        <v>23.4615384615385</v>
      </c>
      <c r="AY8" s="317">
        <f t="shared" si="20"/>
        <v>19.0713101160862</v>
      </c>
      <c r="AZ8" s="248" t="str">
        <f t="shared" ref="AZ8:AZ14" si="21">IF(AT8&gt;(AV8+AX8),"HINDU","MINORITY")</f>
        <v>HINDU</v>
      </c>
      <c r="BA8" s="318" t="str">
        <f t="shared" ref="BA8:BA14" si="22">IF(AU8&gt;(AW8+AY8),"HIND","MINORITY")</f>
        <v>HIND</v>
      </c>
    </row>
    <row r="9" spans="1:53">
      <c r="A9" s="638"/>
      <c r="B9" s="359">
        <v>18</v>
      </c>
      <c r="C9" s="359">
        <v>1159</v>
      </c>
      <c r="D9" s="359">
        <v>293</v>
      </c>
      <c r="E9" s="404">
        <v>392</v>
      </c>
      <c r="F9" s="505">
        <v>1</v>
      </c>
      <c r="G9" s="404">
        <v>2</v>
      </c>
      <c r="H9" s="505">
        <v>1</v>
      </c>
      <c r="I9" s="404">
        <v>2</v>
      </c>
      <c r="J9" s="505">
        <v>0</v>
      </c>
      <c r="K9" s="404">
        <v>0</v>
      </c>
      <c r="L9" s="505">
        <v>691</v>
      </c>
      <c r="M9" s="404">
        <v>0</v>
      </c>
      <c r="N9" s="404">
        <v>5</v>
      </c>
      <c r="O9" s="505">
        <f t="shared" si="0"/>
        <v>696</v>
      </c>
      <c r="P9" s="359">
        <f t="shared" si="1"/>
        <v>60.0517687661777</v>
      </c>
      <c r="Q9" s="404">
        <f t="shared" si="2"/>
        <v>56.3218390804598</v>
      </c>
      <c r="R9" s="505">
        <f t="shared" si="3"/>
        <v>42.0977011494253</v>
      </c>
      <c r="S9" s="404">
        <f t="shared" si="4"/>
        <v>0.14367816091954</v>
      </c>
      <c r="T9" s="505">
        <f t="shared" si="5"/>
        <v>0.28735632183908</v>
      </c>
      <c r="U9" s="404">
        <f t="shared" si="6"/>
        <v>0.431034482758621</v>
      </c>
      <c r="V9" s="505">
        <f t="shared" si="7"/>
        <v>0.718390804597701</v>
      </c>
      <c r="W9" s="404">
        <f t="shared" si="8"/>
        <v>14.2241379310345</v>
      </c>
      <c r="X9" s="643">
        <f t="shared" si="9"/>
        <v>13.3620689655172</v>
      </c>
      <c r="Y9" s="643" t="str">
        <f t="shared" si="10"/>
        <v>MEDIUM</v>
      </c>
      <c r="Z9" s="283" t="str">
        <f t="shared" si="11"/>
        <v>STRONG</v>
      </c>
      <c r="AA9" s="289" t="str">
        <f t="shared" si="12"/>
        <v>BJP</v>
      </c>
      <c r="AB9">
        <v>1151</v>
      </c>
      <c r="AC9">
        <v>686</v>
      </c>
      <c r="AD9">
        <v>545</v>
      </c>
      <c r="AE9">
        <v>316</v>
      </c>
      <c r="AF9">
        <v>606</v>
      </c>
      <c r="AG9">
        <v>370</v>
      </c>
      <c r="AH9">
        <v>772</v>
      </c>
      <c r="AI9">
        <v>467</v>
      </c>
      <c r="AJ9">
        <v>16</v>
      </c>
      <c r="AK9">
        <v>7</v>
      </c>
      <c r="AL9">
        <v>363</v>
      </c>
      <c r="AM9">
        <v>212</v>
      </c>
      <c r="AN9" s="248">
        <f t="shared" si="13"/>
        <v>47.3501303214596</v>
      </c>
      <c r="AO9" s="316">
        <f t="shared" si="13"/>
        <v>46.064139941691</v>
      </c>
      <c r="AP9" s="317">
        <f t="shared" si="14"/>
        <v>52.6498696785404</v>
      </c>
      <c r="AQ9" s="318">
        <f t="shared" si="15"/>
        <v>53.935860058309</v>
      </c>
      <c r="AR9" s="318" t="str">
        <f t="shared" si="16"/>
        <v>FEMALE DOM</v>
      </c>
      <c r="AS9" s="319" t="str">
        <f t="shared" si="17"/>
        <v>FEMALE</v>
      </c>
      <c r="AT9" s="317">
        <f t="shared" si="18"/>
        <v>67.0721112076455</v>
      </c>
      <c r="AU9" s="317">
        <f t="shared" si="18"/>
        <v>68.0758017492711</v>
      </c>
      <c r="AV9" s="248">
        <f t="shared" si="19"/>
        <v>1.39009556907037</v>
      </c>
      <c r="AW9" s="317">
        <f t="shared" si="19"/>
        <v>1.02040816326531</v>
      </c>
      <c r="AX9" s="248">
        <f t="shared" si="20"/>
        <v>31.5377932232841</v>
      </c>
      <c r="AY9" s="317">
        <f t="shared" si="20"/>
        <v>30.9037900874636</v>
      </c>
      <c r="AZ9" s="248" t="str">
        <f t="shared" si="21"/>
        <v>HINDU</v>
      </c>
      <c r="BA9" s="318" t="str">
        <f t="shared" si="22"/>
        <v>HIND</v>
      </c>
    </row>
    <row r="10" spans="1:53">
      <c r="A10" s="638"/>
      <c r="B10" s="403">
        <v>19</v>
      </c>
      <c r="C10" s="233">
        <v>1142</v>
      </c>
      <c r="D10" s="388">
        <v>269</v>
      </c>
      <c r="E10" s="220">
        <v>472</v>
      </c>
      <c r="F10" s="233">
        <v>1</v>
      </c>
      <c r="G10" s="220">
        <v>2</v>
      </c>
      <c r="H10" s="233">
        <v>0</v>
      </c>
      <c r="I10" s="220">
        <v>0</v>
      </c>
      <c r="J10" s="233">
        <v>2</v>
      </c>
      <c r="K10" s="220">
        <v>0</v>
      </c>
      <c r="L10" s="233">
        <v>746</v>
      </c>
      <c r="M10" s="220">
        <v>0</v>
      </c>
      <c r="N10" s="220">
        <v>11</v>
      </c>
      <c r="O10" s="233">
        <f t="shared" si="0"/>
        <v>757</v>
      </c>
      <c r="P10" s="388">
        <f t="shared" si="1"/>
        <v>66.2872154115587</v>
      </c>
      <c r="Q10" s="220">
        <f t="shared" si="2"/>
        <v>62.3513870541612</v>
      </c>
      <c r="R10" s="233">
        <f t="shared" si="3"/>
        <v>35.5350066050198</v>
      </c>
      <c r="S10" s="220">
        <f t="shared" si="4"/>
        <v>0.132100396301189</v>
      </c>
      <c r="T10" s="233">
        <f t="shared" si="5"/>
        <v>0.264200792602378</v>
      </c>
      <c r="U10" s="220">
        <f t="shared" si="6"/>
        <v>0.264200792602378</v>
      </c>
      <c r="V10" s="233">
        <f t="shared" si="7"/>
        <v>1.45310435931308</v>
      </c>
      <c r="W10" s="220">
        <f t="shared" si="8"/>
        <v>26.8163804491413</v>
      </c>
      <c r="X10" s="418">
        <f t="shared" si="9"/>
        <v>26.1558784676354</v>
      </c>
      <c r="Y10" s="418" t="str">
        <f t="shared" si="10"/>
        <v>MEDIUM</v>
      </c>
      <c r="Z10" s="283" t="str">
        <f t="shared" si="11"/>
        <v>STRONG</v>
      </c>
      <c r="AA10" s="289" t="str">
        <f t="shared" si="12"/>
        <v>BJP</v>
      </c>
      <c r="AB10">
        <v>1136</v>
      </c>
      <c r="AC10">
        <v>746</v>
      </c>
      <c r="AD10">
        <v>537</v>
      </c>
      <c r="AE10">
        <v>352</v>
      </c>
      <c r="AF10">
        <v>599</v>
      </c>
      <c r="AG10">
        <v>394</v>
      </c>
      <c r="AH10">
        <v>878</v>
      </c>
      <c r="AI10">
        <v>595</v>
      </c>
      <c r="AJ10">
        <v>14</v>
      </c>
      <c r="AK10">
        <v>8</v>
      </c>
      <c r="AL10">
        <v>244</v>
      </c>
      <c r="AM10">
        <v>143</v>
      </c>
      <c r="AN10" s="248">
        <f t="shared" si="13"/>
        <v>47.2711267605634</v>
      </c>
      <c r="AO10" s="316">
        <f t="shared" si="13"/>
        <v>47.1849865951743</v>
      </c>
      <c r="AP10" s="317">
        <f t="shared" si="14"/>
        <v>52.7288732394366</v>
      </c>
      <c r="AQ10" s="318">
        <f t="shared" si="15"/>
        <v>52.8150134048257</v>
      </c>
      <c r="AR10" s="318" t="str">
        <f t="shared" si="16"/>
        <v>FEMALE DOM</v>
      </c>
      <c r="AS10" s="319" t="str">
        <f t="shared" si="17"/>
        <v>FEMALE</v>
      </c>
      <c r="AT10" s="317">
        <f t="shared" si="18"/>
        <v>77.2887323943662</v>
      </c>
      <c r="AU10" s="317">
        <f t="shared" si="18"/>
        <v>79.7587131367292</v>
      </c>
      <c r="AV10" s="248">
        <f t="shared" si="19"/>
        <v>1.23239436619718</v>
      </c>
      <c r="AW10" s="317">
        <f t="shared" si="19"/>
        <v>1.07238605898123</v>
      </c>
      <c r="AX10" s="248">
        <f t="shared" si="20"/>
        <v>21.4788732394366</v>
      </c>
      <c r="AY10" s="317">
        <f t="shared" si="20"/>
        <v>19.1689008042895</v>
      </c>
      <c r="AZ10" s="248" t="str">
        <f t="shared" si="21"/>
        <v>HINDU</v>
      </c>
      <c r="BA10" s="318" t="str">
        <f t="shared" si="22"/>
        <v>HIND</v>
      </c>
    </row>
    <row r="11" spans="1:53">
      <c r="A11" s="638"/>
      <c r="B11" s="222">
        <v>23</v>
      </c>
      <c r="C11" s="234">
        <v>1102</v>
      </c>
      <c r="D11" s="639">
        <v>270</v>
      </c>
      <c r="E11" s="640">
        <v>458</v>
      </c>
      <c r="F11" s="641">
        <v>0</v>
      </c>
      <c r="G11" s="640">
        <v>5</v>
      </c>
      <c r="H11" s="641">
        <v>0</v>
      </c>
      <c r="I11" s="640">
        <v>0</v>
      </c>
      <c r="J11" s="641">
        <v>0</v>
      </c>
      <c r="K11" s="640">
        <v>0</v>
      </c>
      <c r="L11" s="641">
        <v>733</v>
      </c>
      <c r="M11" s="640">
        <v>0</v>
      </c>
      <c r="N11" s="640">
        <v>7</v>
      </c>
      <c r="O11" s="234">
        <f t="shared" si="0"/>
        <v>740</v>
      </c>
      <c r="P11" s="221">
        <f t="shared" si="1"/>
        <v>67.1506352087114</v>
      </c>
      <c r="Q11" s="222">
        <f t="shared" si="2"/>
        <v>61.8918918918919</v>
      </c>
      <c r="R11" s="234">
        <f t="shared" si="3"/>
        <v>36.4864864864865</v>
      </c>
      <c r="S11" s="222">
        <f t="shared" si="4"/>
        <v>0</v>
      </c>
      <c r="T11" s="234">
        <f t="shared" si="5"/>
        <v>0.675675675675676</v>
      </c>
      <c r="U11" s="222">
        <f t="shared" si="6"/>
        <v>0</v>
      </c>
      <c r="V11" s="234">
        <f t="shared" si="7"/>
        <v>0.945945945945946</v>
      </c>
      <c r="W11" s="222">
        <f t="shared" si="8"/>
        <v>25.4054054054054</v>
      </c>
      <c r="X11" s="360">
        <f t="shared" si="9"/>
        <v>24.7297297297297</v>
      </c>
      <c r="Y11" s="360" t="str">
        <f t="shared" si="10"/>
        <v>MEDIUM</v>
      </c>
      <c r="Z11" s="283" t="str">
        <f t="shared" si="11"/>
        <v>STRONG</v>
      </c>
      <c r="AA11" s="289" t="str">
        <f t="shared" si="12"/>
        <v>BJP</v>
      </c>
      <c r="AB11">
        <v>1094</v>
      </c>
      <c r="AC11">
        <v>715</v>
      </c>
      <c r="AD11">
        <v>527</v>
      </c>
      <c r="AE11">
        <v>342</v>
      </c>
      <c r="AF11">
        <v>567</v>
      </c>
      <c r="AG11">
        <v>373</v>
      </c>
      <c r="AH11">
        <v>752</v>
      </c>
      <c r="AI11">
        <v>502</v>
      </c>
      <c r="AJ11">
        <v>84</v>
      </c>
      <c r="AK11">
        <v>54</v>
      </c>
      <c r="AL11">
        <v>258</v>
      </c>
      <c r="AM11">
        <v>159</v>
      </c>
      <c r="AN11" s="248">
        <f t="shared" si="13"/>
        <v>48.1718464351005</v>
      </c>
      <c r="AO11" s="316">
        <f t="shared" si="13"/>
        <v>47.8321678321678</v>
      </c>
      <c r="AP11" s="317">
        <f t="shared" si="14"/>
        <v>51.8281535648995</v>
      </c>
      <c r="AQ11" s="318">
        <f t="shared" si="15"/>
        <v>52.1678321678322</v>
      </c>
      <c r="AR11" s="318" t="str">
        <f t="shared" si="16"/>
        <v>FEMALE DOM</v>
      </c>
      <c r="AS11" s="319" t="str">
        <f t="shared" si="17"/>
        <v>FEMALE</v>
      </c>
      <c r="AT11" s="317">
        <f t="shared" si="18"/>
        <v>68.7385740402194</v>
      </c>
      <c r="AU11" s="317">
        <f t="shared" si="18"/>
        <v>70.2097902097902</v>
      </c>
      <c r="AV11" s="248">
        <f t="shared" si="19"/>
        <v>7.6782449725777</v>
      </c>
      <c r="AW11" s="317">
        <f t="shared" si="19"/>
        <v>7.55244755244755</v>
      </c>
      <c r="AX11" s="248">
        <f t="shared" si="20"/>
        <v>23.5831809872029</v>
      </c>
      <c r="AY11" s="317">
        <f t="shared" si="20"/>
        <v>22.2377622377622</v>
      </c>
      <c r="AZ11" s="248" t="str">
        <f t="shared" si="21"/>
        <v>HINDU</v>
      </c>
      <c r="BA11" s="318" t="str">
        <f t="shared" si="22"/>
        <v>HIND</v>
      </c>
    </row>
    <row r="12" spans="1:53">
      <c r="A12" s="638"/>
      <c r="B12" s="220">
        <v>21</v>
      </c>
      <c r="C12" s="418">
        <v>896</v>
      </c>
      <c r="D12" s="233">
        <v>222</v>
      </c>
      <c r="E12" s="404">
        <v>284</v>
      </c>
      <c r="F12" s="505">
        <v>4</v>
      </c>
      <c r="G12" s="404">
        <v>6</v>
      </c>
      <c r="H12" s="505">
        <v>0</v>
      </c>
      <c r="I12" s="404">
        <v>0</v>
      </c>
      <c r="J12" s="505">
        <v>1</v>
      </c>
      <c r="K12" s="404">
        <v>0</v>
      </c>
      <c r="L12" s="505">
        <v>517</v>
      </c>
      <c r="M12" s="404">
        <v>0</v>
      </c>
      <c r="N12" s="404">
        <v>6</v>
      </c>
      <c r="O12" s="505">
        <f t="shared" si="0"/>
        <v>523</v>
      </c>
      <c r="P12" s="359">
        <f t="shared" si="1"/>
        <v>58.3705357142857</v>
      </c>
      <c r="Q12" s="404">
        <f t="shared" si="2"/>
        <v>54.302103250478</v>
      </c>
      <c r="R12" s="505">
        <f t="shared" si="3"/>
        <v>42.4474187380497</v>
      </c>
      <c r="S12" s="404">
        <f t="shared" si="4"/>
        <v>0.764818355640535</v>
      </c>
      <c r="T12" s="505">
        <f t="shared" si="5"/>
        <v>1.1472275334608</v>
      </c>
      <c r="U12" s="404">
        <f t="shared" si="6"/>
        <v>0.191204588910134</v>
      </c>
      <c r="V12" s="505">
        <f t="shared" si="7"/>
        <v>1.1472275334608</v>
      </c>
      <c r="W12" s="404">
        <f t="shared" si="8"/>
        <v>11.8546845124283</v>
      </c>
      <c r="X12" s="643">
        <f t="shared" si="9"/>
        <v>9.75143403441682</v>
      </c>
      <c r="Y12" s="643" t="str">
        <f t="shared" si="10"/>
        <v>MEDIUM</v>
      </c>
      <c r="Z12" s="283" t="str">
        <f t="shared" si="11"/>
        <v>MEDIUM</v>
      </c>
      <c r="AA12" s="289" t="str">
        <f t="shared" si="12"/>
        <v>BJP</v>
      </c>
      <c r="AB12">
        <v>888</v>
      </c>
      <c r="AC12">
        <v>519</v>
      </c>
      <c r="AD12">
        <v>423</v>
      </c>
      <c r="AE12">
        <v>240</v>
      </c>
      <c r="AF12">
        <v>464</v>
      </c>
      <c r="AG12">
        <v>279</v>
      </c>
      <c r="AH12">
        <v>560</v>
      </c>
      <c r="AI12">
        <v>329</v>
      </c>
      <c r="AJ12">
        <v>35</v>
      </c>
      <c r="AK12">
        <v>22</v>
      </c>
      <c r="AL12">
        <v>293</v>
      </c>
      <c r="AM12">
        <v>168</v>
      </c>
      <c r="AN12" s="248">
        <f t="shared" si="13"/>
        <v>47.6351351351351</v>
      </c>
      <c r="AO12" s="316">
        <f t="shared" si="13"/>
        <v>46.242774566474</v>
      </c>
      <c r="AP12" s="317">
        <f t="shared" si="14"/>
        <v>52.2522522522522</v>
      </c>
      <c r="AQ12" s="318">
        <f t="shared" si="15"/>
        <v>53.757225433526</v>
      </c>
      <c r="AR12" s="318" t="str">
        <f t="shared" si="16"/>
        <v>FEMALE DOM</v>
      </c>
      <c r="AS12" s="319" t="str">
        <f t="shared" si="17"/>
        <v>FEMALE</v>
      </c>
      <c r="AT12" s="317">
        <f t="shared" si="18"/>
        <v>63.0630630630631</v>
      </c>
      <c r="AU12" s="317">
        <f t="shared" si="18"/>
        <v>63.3911368015414</v>
      </c>
      <c r="AV12" s="248">
        <f t="shared" si="19"/>
        <v>3.94144144144144</v>
      </c>
      <c r="AW12" s="317">
        <f t="shared" si="19"/>
        <v>4.23892100192678</v>
      </c>
      <c r="AX12" s="248">
        <f t="shared" si="20"/>
        <v>32.9954954954955</v>
      </c>
      <c r="AY12" s="317">
        <f t="shared" si="20"/>
        <v>32.3699421965318</v>
      </c>
      <c r="AZ12" s="248" t="str">
        <f t="shared" si="21"/>
        <v>HINDU</v>
      </c>
      <c r="BA12" s="318" t="str">
        <f t="shared" si="22"/>
        <v>HIND</v>
      </c>
    </row>
    <row r="13" spans="1:53">
      <c r="A13" s="638"/>
      <c r="B13" s="222">
        <v>20</v>
      </c>
      <c r="C13" s="360">
        <v>1386</v>
      </c>
      <c r="D13" s="360">
        <v>325</v>
      </c>
      <c r="E13" s="222">
        <v>439</v>
      </c>
      <c r="F13" s="505">
        <v>5</v>
      </c>
      <c r="G13" s="404">
        <v>1</v>
      </c>
      <c r="H13" s="505">
        <v>0</v>
      </c>
      <c r="I13" s="404">
        <v>0</v>
      </c>
      <c r="J13" s="505">
        <v>3</v>
      </c>
      <c r="K13" s="404">
        <v>1</v>
      </c>
      <c r="L13" s="505">
        <v>774</v>
      </c>
      <c r="M13" s="404">
        <v>0</v>
      </c>
      <c r="N13" s="404">
        <v>8</v>
      </c>
      <c r="O13" s="505">
        <f t="shared" si="0"/>
        <v>782</v>
      </c>
      <c r="P13" s="359">
        <f t="shared" si="1"/>
        <v>56.4213564213564</v>
      </c>
      <c r="Q13" s="404">
        <f t="shared" si="2"/>
        <v>56.1381074168798</v>
      </c>
      <c r="R13" s="505">
        <f t="shared" si="3"/>
        <v>41.5601023017903</v>
      </c>
      <c r="S13" s="404">
        <f t="shared" si="4"/>
        <v>0.639386189258312</v>
      </c>
      <c r="T13" s="505">
        <f t="shared" si="5"/>
        <v>0.127877237851662</v>
      </c>
      <c r="U13" s="404">
        <f t="shared" si="6"/>
        <v>0.51150895140665</v>
      </c>
      <c r="V13" s="505">
        <f t="shared" si="7"/>
        <v>1.0230179028133</v>
      </c>
      <c r="W13" s="404">
        <f t="shared" si="8"/>
        <v>14.5780051150895</v>
      </c>
      <c r="X13" s="643">
        <f t="shared" si="9"/>
        <v>13.2992327365729</v>
      </c>
      <c r="Y13" s="643" t="str">
        <f t="shared" si="10"/>
        <v>MEDIUM</v>
      </c>
      <c r="Z13" s="283" t="str">
        <f t="shared" si="11"/>
        <v>MEDIUM</v>
      </c>
      <c r="AA13" s="289" t="str">
        <f t="shared" si="12"/>
        <v>BJP</v>
      </c>
      <c r="AB13">
        <v>1373</v>
      </c>
      <c r="AC13">
        <v>763</v>
      </c>
      <c r="AD13">
        <v>676</v>
      </c>
      <c r="AE13">
        <v>359</v>
      </c>
      <c r="AF13">
        <v>697</v>
      </c>
      <c r="AG13">
        <v>404</v>
      </c>
      <c r="AH13">
        <v>861</v>
      </c>
      <c r="AI13">
        <v>506</v>
      </c>
      <c r="AJ13">
        <v>177</v>
      </c>
      <c r="AK13">
        <v>94</v>
      </c>
      <c r="AL13">
        <v>335</v>
      </c>
      <c r="AM13">
        <v>163</v>
      </c>
      <c r="AN13" s="248">
        <f t="shared" si="13"/>
        <v>49.2352512745812</v>
      </c>
      <c r="AO13" s="316">
        <f t="shared" si="13"/>
        <v>47.0511140235911</v>
      </c>
      <c r="AP13" s="317">
        <f t="shared" si="14"/>
        <v>50.7647487254188</v>
      </c>
      <c r="AQ13" s="318">
        <f t="shared" si="15"/>
        <v>52.9488859764089</v>
      </c>
      <c r="AR13" s="318" t="str">
        <f t="shared" si="16"/>
        <v>FEMALE DOM</v>
      </c>
      <c r="AS13" s="319" t="str">
        <f t="shared" si="17"/>
        <v>FEMALE</v>
      </c>
      <c r="AT13" s="317">
        <f t="shared" si="18"/>
        <v>62.7093954843409</v>
      </c>
      <c r="AU13" s="317">
        <f t="shared" si="18"/>
        <v>66.3171690694627</v>
      </c>
      <c r="AV13" s="248">
        <f t="shared" si="19"/>
        <v>12.8914785142025</v>
      </c>
      <c r="AW13" s="317">
        <f t="shared" si="19"/>
        <v>12.3197903014417</v>
      </c>
      <c r="AX13" s="248">
        <f t="shared" si="20"/>
        <v>24.3991260014567</v>
      </c>
      <c r="AY13" s="317">
        <f t="shared" si="20"/>
        <v>21.3630406290957</v>
      </c>
      <c r="AZ13" s="248" t="str">
        <f t="shared" si="21"/>
        <v>HINDU</v>
      </c>
      <c r="BA13" s="318" t="str">
        <f t="shared" si="22"/>
        <v>HIND</v>
      </c>
    </row>
    <row r="14" ht="21" spans="1:53">
      <c r="A14" s="642"/>
      <c r="B14" s="406"/>
      <c r="C14" s="411">
        <f t="shared" ref="C14:O14" si="23">SUM(C7:C13)</f>
        <v>7216</v>
      </c>
      <c r="D14" s="411">
        <f t="shared" si="23"/>
        <v>1690</v>
      </c>
      <c r="E14" s="406">
        <f t="shared" si="23"/>
        <v>2652</v>
      </c>
      <c r="F14" s="407">
        <f t="shared" si="23"/>
        <v>14</v>
      </c>
      <c r="G14" s="406">
        <f t="shared" si="23"/>
        <v>21</v>
      </c>
      <c r="H14" s="407">
        <f t="shared" si="23"/>
        <v>2</v>
      </c>
      <c r="I14" s="406">
        <f t="shared" si="23"/>
        <v>4</v>
      </c>
      <c r="J14" s="407">
        <f t="shared" si="23"/>
        <v>7</v>
      </c>
      <c r="K14" s="406">
        <f t="shared" si="23"/>
        <v>1</v>
      </c>
      <c r="L14" s="407">
        <f t="shared" si="23"/>
        <v>4391</v>
      </c>
      <c r="M14" s="406">
        <f t="shared" si="23"/>
        <v>0</v>
      </c>
      <c r="N14" s="406">
        <f t="shared" si="23"/>
        <v>47</v>
      </c>
      <c r="O14" s="407">
        <f t="shared" si="23"/>
        <v>4438</v>
      </c>
      <c r="P14" s="405">
        <f t="shared" ref="P14:X14" si="24">AVERAGE(P7:P13)</f>
        <v>61.4857674481428</v>
      </c>
      <c r="Q14" s="406">
        <f t="shared" si="24"/>
        <v>59.4435488833539</v>
      </c>
      <c r="R14" s="407">
        <f t="shared" si="24"/>
        <v>38.3320382837235</v>
      </c>
      <c r="S14" s="406">
        <f t="shared" si="24"/>
        <v>0.332816668537309</v>
      </c>
      <c r="T14" s="407">
        <f t="shared" si="24"/>
        <v>0.52100085072898</v>
      </c>
      <c r="U14" s="406">
        <f t="shared" si="24"/>
        <v>0.367593677221856</v>
      </c>
      <c r="V14" s="407">
        <f t="shared" si="24"/>
        <v>1.00300163643454</v>
      </c>
      <c r="W14" s="406">
        <f t="shared" si="24"/>
        <v>21.1115105996304</v>
      </c>
      <c r="X14" s="411">
        <f t="shared" si="24"/>
        <v>19.8900994031423</v>
      </c>
      <c r="Y14" s="411" t="str">
        <f t="shared" si="10"/>
        <v>MEDIUM</v>
      </c>
      <c r="Z14" s="350" t="str">
        <f t="shared" si="11"/>
        <v>STRONG</v>
      </c>
      <c r="AA14" s="351" t="str">
        <f t="shared" si="12"/>
        <v>BJP</v>
      </c>
      <c r="AB14">
        <f t="shared" ref="AB14:AM14" si="25">SUM(AB7:AB13)</f>
        <v>7165</v>
      </c>
      <c r="AC14">
        <f t="shared" si="25"/>
        <v>4290</v>
      </c>
      <c r="AD14">
        <f t="shared" si="25"/>
        <v>3445</v>
      </c>
      <c r="AE14">
        <f t="shared" si="25"/>
        <v>2032</v>
      </c>
      <c r="AF14">
        <f t="shared" si="25"/>
        <v>3719</v>
      </c>
      <c r="AG14">
        <f t="shared" si="25"/>
        <v>2258</v>
      </c>
      <c r="AH14">
        <f t="shared" si="25"/>
        <v>4916</v>
      </c>
      <c r="AI14">
        <f t="shared" si="25"/>
        <v>3055</v>
      </c>
      <c r="AJ14">
        <f t="shared" si="25"/>
        <v>336</v>
      </c>
      <c r="AK14">
        <f t="shared" si="25"/>
        <v>192</v>
      </c>
      <c r="AL14">
        <f t="shared" si="25"/>
        <v>1913</v>
      </c>
      <c r="AM14">
        <f t="shared" si="25"/>
        <v>1043</v>
      </c>
      <c r="AN14" s="248">
        <f t="shared" si="13"/>
        <v>48.0809490579204</v>
      </c>
      <c r="AO14" s="316">
        <f t="shared" si="13"/>
        <v>47.3659673659674</v>
      </c>
      <c r="AP14" s="317">
        <f t="shared" si="14"/>
        <v>51.9050942079553</v>
      </c>
      <c r="AQ14" s="318">
        <f>AVERAGE(AQ7:AQ13)</f>
        <v>52.7582788221327</v>
      </c>
      <c r="AR14" s="318" t="str">
        <f t="shared" si="16"/>
        <v>FEMALE DOM</v>
      </c>
      <c r="AS14" s="319" t="str">
        <f t="shared" si="17"/>
        <v>FEMALE</v>
      </c>
      <c r="AT14" s="317">
        <f t="shared" si="18"/>
        <v>68.6113049546406</v>
      </c>
      <c r="AU14" s="317">
        <f t="shared" si="18"/>
        <v>71.2121212121212</v>
      </c>
      <c r="AV14" s="248">
        <f t="shared" si="19"/>
        <v>4.68946266573622</v>
      </c>
      <c r="AW14" s="317">
        <f t="shared" si="19"/>
        <v>4.47552447552448</v>
      </c>
      <c r="AX14" s="248">
        <f t="shared" si="20"/>
        <v>26.6992323796232</v>
      </c>
      <c r="AY14" s="317">
        <f t="shared" si="20"/>
        <v>24.3123543123543</v>
      </c>
      <c r="AZ14" s="248" t="str">
        <f t="shared" si="21"/>
        <v>HINDU</v>
      </c>
      <c r="BA14" s="318" t="str">
        <f t="shared" si="22"/>
        <v>HIND</v>
      </c>
    </row>
    <row r="15" spans="40:53">
      <c r="AN15" s="569"/>
      <c r="AO15" s="570"/>
      <c r="AP15" s="317"/>
      <c r="AQ15" s="571"/>
      <c r="AR15" s="571"/>
      <c r="AS15" s="571"/>
      <c r="AT15" s="317"/>
      <c r="AU15" s="317"/>
      <c r="AV15" s="569"/>
      <c r="AW15" s="317"/>
      <c r="AX15" s="569"/>
      <c r="AY15" s="317"/>
      <c r="AZ15" s="569"/>
      <c r="BA15" s="571"/>
    </row>
    <row r="17" spans="5:22">
      <c r="E17" s="225" t="s">
        <v>96</v>
      </c>
      <c r="F17" s="237"/>
      <c r="G17" s="237"/>
      <c r="H17" s="238"/>
      <c r="J17" s="225" t="s">
        <v>97</v>
      </c>
      <c r="K17" s="237"/>
      <c r="L17" s="237"/>
      <c r="M17" s="238"/>
      <c r="O17" s="265" t="s">
        <v>98</v>
      </c>
      <c r="P17" s="265"/>
      <c r="Q17" s="265"/>
      <c r="R17" s="265"/>
      <c r="S17" s="265"/>
      <c r="T17" s="265"/>
      <c r="U17" s="265"/>
      <c r="V17" s="265"/>
    </row>
    <row r="18" spans="5:22">
      <c r="E18" s="226"/>
      <c r="F18" s="239"/>
      <c r="G18" s="239"/>
      <c r="H18" s="240"/>
      <c r="J18" s="241"/>
      <c r="K18" s="242"/>
      <c r="L18" s="242"/>
      <c r="M18" s="243"/>
      <c r="O18" s="265"/>
      <c r="P18" s="265"/>
      <c r="Q18" s="265"/>
      <c r="R18" s="265"/>
      <c r="S18" s="265"/>
      <c r="T18" s="265"/>
      <c r="U18" s="265"/>
      <c r="V18" s="265"/>
    </row>
    <row r="19" spans="5:22">
      <c r="E19" s="227" t="s">
        <v>99</v>
      </c>
      <c r="F19" s="244"/>
      <c r="G19" s="245"/>
      <c r="H19" s="245">
        <f>COUNTIF(AA7:AA13,"BJP")</f>
        <v>7</v>
      </c>
      <c r="J19" s="246" t="s">
        <v>100</v>
      </c>
      <c r="K19" s="247"/>
      <c r="L19" s="247"/>
      <c r="M19" s="248">
        <f>COUNTIF(Y7:Y13,"NARROW")</f>
        <v>0</v>
      </c>
      <c r="O19" s="265" t="s">
        <v>101</v>
      </c>
      <c r="P19" s="265"/>
      <c r="Q19" s="265"/>
      <c r="R19" s="265">
        <f>'BEJAI-18'!E8</f>
        <v>54.0478376989011</v>
      </c>
      <c r="S19" s="265" t="s">
        <v>102</v>
      </c>
      <c r="T19" s="265"/>
      <c r="U19" s="265"/>
      <c r="V19" s="265">
        <f>Q14</f>
        <v>59.4435488833539</v>
      </c>
    </row>
    <row r="20" spans="5:22">
      <c r="E20" s="227"/>
      <c r="F20" s="244"/>
      <c r="G20" s="245"/>
      <c r="H20" s="245"/>
      <c r="J20" s="249"/>
      <c r="K20" s="250"/>
      <c r="L20" s="250"/>
      <c r="M20" s="251"/>
      <c r="O20" s="265"/>
      <c r="P20" s="265"/>
      <c r="Q20" s="265"/>
      <c r="R20" s="265"/>
      <c r="S20" s="265"/>
      <c r="T20" s="265"/>
      <c r="U20" s="265"/>
      <c r="V20" s="265"/>
    </row>
    <row r="21" spans="5:22">
      <c r="E21" s="227"/>
      <c r="F21" s="244"/>
      <c r="G21" s="245"/>
      <c r="H21" s="245"/>
      <c r="J21" s="252" t="s">
        <v>103</v>
      </c>
      <c r="K21" s="253"/>
      <c r="L21" s="253"/>
      <c r="M21" s="248">
        <f>COUNTIF(Y7:Y13,"MEDIUM")</f>
        <v>7</v>
      </c>
      <c r="O21" s="265" t="s">
        <v>104</v>
      </c>
      <c r="P21" s="265"/>
      <c r="Q21" s="265"/>
      <c r="R21" s="265">
        <f>'BEJAI-18'!G8</f>
        <v>41.6351352486823</v>
      </c>
      <c r="S21" s="265" t="s">
        <v>105</v>
      </c>
      <c r="T21" s="265"/>
      <c r="U21" s="265"/>
      <c r="V21" s="265">
        <f>R14</f>
        <v>38.3320382837235</v>
      </c>
    </row>
    <row r="22" spans="5:22">
      <c r="E22" s="228" t="s">
        <v>106</v>
      </c>
      <c r="F22" s="254"/>
      <c r="G22" s="255"/>
      <c r="H22" s="255">
        <f>COUNTIF(AA7:AA13,"CONGRESS")</f>
        <v>0</v>
      </c>
      <c r="J22" s="252"/>
      <c r="K22" s="253"/>
      <c r="L22" s="253"/>
      <c r="M22" s="251"/>
      <c r="O22" s="265"/>
      <c r="P22" s="265"/>
      <c r="Q22" s="265"/>
      <c r="R22" s="265"/>
      <c r="S22" s="265"/>
      <c r="T22" s="265"/>
      <c r="U22" s="265"/>
      <c r="V22" s="265"/>
    </row>
    <row r="23" spans="5:22">
      <c r="E23" s="229"/>
      <c r="F23" s="256"/>
      <c r="G23" s="257"/>
      <c r="H23" s="257"/>
      <c r="J23" s="258" t="s">
        <v>107</v>
      </c>
      <c r="K23" s="259"/>
      <c r="L23" s="259"/>
      <c r="M23" s="248">
        <f>COUNTIF(Y7:Y13,"STRONG")</f>
        <v>0</v>
      </c>
      <c r="O23" s="265" t="s">
        <v>108</v>
      </c>
      <c r="P23" s="265"/>
      <c r="Q23" s="265"/>
      <c r="R23" s="265">
        <f>'BEJAI-18'!C8</f>
        <v>4460</v>
      </c>
      <c r="S23" s="265" t="s">
        <v>109</v>
      </c>
      <c r="T23" s="265"/>
      <c r="U23" s="265"/>
      <c r="V23" s="265">
        <f>O14</f>
        <v>4438</v>
      </c>
    </row>
    <row r="24" spans="5:22">
      <c r="E24" s="230"/>
      <c r="F24" s="260"/>
      <c r="G24" s="261"/>
      <c r="H24" s="261"/>
      <c r="J24" s="262"/>
      <c r="K24" s="263"/>
      <c r="L24" s="263"/>
      <c r="M24" s="251"/>
      <c r="O24" s="265"/>
      <c r="P24" s="265"/>
      <c r="Q24" s="265"/>
      <c r="R24" s="265"/>
      <c r="S24" s="265"/>
      <c r="T24" s="265"/>
      <c r="U24" s="265"/>
      <c r="V24" s="265"/>
    </row>
    <row r="25" spans="10:22">
      <c r="J25" s="229" t="s">
        <v>110</v>
      </c>
      <c r="K25" s="256"/>
      <c r="L25" s="256"/>
      <c r="M25" s="248">
        <f>COUNTIF(Y7:Y13,"LOST")</f>
        <v>0</v>
      </c>
      <c r="O25" s="265" t="s">
        <v>111</v>
      </c>
      <c r="P25" s="265"/>
      <c r="Q25" s="265"/>
      <c r="R25" s="265">
        <f>R19-R21</f>
        <v>12.4127024502188</v>
      </c>
      <c r="S25" s="265" t="s">
        <v>111</v>
      </c>
      <c r="T25" s="265"/>
      <c r="U25" s="265"/>
      <c r="V25" s="265">
        <f>V19-V21</f>
        <v>21.1115105996304</v>
      </c>
    </row>
    <row r="26" spans="10:22">
      <c r="J26" s="230"/>
      <c r="K26" s="260"/>
      <c r="L26" s="260"/>
      <c r="M26" s="251"/>
      <c r="O26" s="265"/>
      <c r="P26" s="265"/>
      <c r="Q26" s="265"/>
      <c r="R26" s="265"/>
      <c r="S26" s="265"/>
      <c r="T26" s="265"/>
      <c r="U26" s="265"/>
      <c r="V26" s="265"/>
    </row>
    <row r="27" spans="15:21">
      <c r="O27" s="265" t="s">
        <v>112</v>
      </c>
      <c r="P27" s="265"/>
      <c r="Q27" s="265"/>
      <c r="R27" s="265">
        <f>V19-R19</f>
        <v>5.39571118445272</v>
      </c>
      <c r="S27" s="265"/>
      <c r="T27" s="265"/>
      <c r="U27" s="265"/>
    </row>
    <row r="28" spans="15:21">
      <c r="O28" s="265"/>
      <c r="P28" s="265"/>
      <c r="Q28" s="265"/>
      <c r="R28" s="265"/>
      <c r="S28" s="265"/>
      <c r="T28" s="265"/>
      <c r="U28" s="265"/>
    </row>
    <row r="29" spans="15:21">
      <c r="O29" s="265" t="s">
        <v>113</v>
      </c>
      <c r="P29" s="265"/>
      <c r="Q29" s="265"/>
      <c r="R29" s="265">
        <f>V21-R21</f>
        <v>-3.30309696495888</v>
      </c>
      <c r="S29" s="265"/>
      <c r="T29" s="265"/>
      <c r="U29" s="265"/>
    </row>
    <row r="30" spans="15:21">
      <c r="O30" s="265"/>
      <c r="P30" s="265"/>
      <c r="Q30" s="265"/>
      <c r="R30" s="265"/>
      <c r="S30" s="265"/>
      <c r="T30" s="265"/>
      <c r="U30" s="265"/>
    </row>
    <row r="31" spans="15:21">
      <c r="O31" s="265" t="s">
        <v>114</v>
      </c>
      <c r="P31" s="265"/>
      <c r="Q31" s="265"/>
      <c r="R31" s="265" t="str">
        <f>IF(R27&gt;R29,"INCREASE","DECREASE")</f>
        <v>INCREASE</v>
      </c>
      <c r="S31" s="265"/>
      <c r="T31" s="265"/>
      <c r="U31" s="265"/>
    </row>
    <row r="32" spans="15:21">
      <c r="O32" s="265"/>
      <c r="P32" s="265"/>
      <c r="Q32" s="265"/>
      <c r="R32" s="265"/>
      <c r="S32" s="265"/>
      <c r="T32" s="265"/>
      <c r="U32" s="265"/>
    </row>
    <row r="33" spans="15:22">
      <c r="O33" s="265" t="s">
        <v>178</v>
      </c>
      <c r="P33" s="265"/>
      <c r="Q33" s="265"/>
      <c r="R33" s="265"/>
      <c r="S33" s="265"/>
      <c r="T33" s="265"/>
      <c r="U33" s="265"/>
      <c r="V33" s="265"/>
    </row>
    <row r="34" spans="15:22">
      <c r="O34" s="265"/>
      <c r="P34" s="265"/>
      <c r="Q34" s="265"/>
      <c r="R34" s="265"/>
      <c r="S34" s="265"/>
      <c r="T34" s="265"/>
      <c r="U34" s="265"/>
      <c r="V34" s="265"/>
    </row>
    <row r="35" spans="15:22">
      <c r="O35" s="265"/>
      <c r="P35" s="265"/>
      <c r="Q35" s="265"/>
      <c r="R35" s="265"/>
      <c r="S35" s="265"/>
      <c r="T35" s="265"/>
      <c r="U35" s="265"/>
      <c r="V35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H19:H21"/>
    <mergeCell ref="H22:H24"/>
    <mergeCell ref="I3:I6"/>
    <mergeCell ref="J3:J6"/>
    <mergeCell ref="K3:K6"/>
    <mergeCell ref="L1:L6"/>
    <mergeCell ref="M1:M6"/>
    <mergeCell ref="M19:M20"/>
    <mergeCell ref="M21:M22"/>
    <mergeCell ref="M23:M24"/>
    <mergeCell ref="M25:M26"/>
    <mergeCell ref="N1:N6"/>
    <mergeCell ref="O1:O6"/>
    <mergeCell ref="P1:P6"/>
    <mergeCell ref="Q1:Q6"/>
    <mergeCell ref="R1:R6"/>
    <mergeCell ref="R19:R20"/>
    <mergeCell ref="R21:R22"/>
    <mergeCell ref="R23:R24"/>
    <mergeCell ref="R25:R26"/>
    <mergeCell ref="S1:S6"/>
    <mergeCell ref="T1:T6"/>
    <mergeCell ref="U1:U6"/>
    <mergeCell ref="V1:V6"/>
    <mergeCell ref="V19:V20"/>
    <mergeCell ref="V21:V22"/>
    <mergeCell ref="V23:V24"/>
    <mergeCell ref="V25:V2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J25:L26"/>
    <mergeCell ref="S25:U26"/>
    <mergeCell ref="E17:H18"/>
    <mergeCell ref="J17:M18"/>
    <mergeCell ref="E19:G21"/>
    <mergeCell ref="J19:L20"/>
    <mergeCell ref="S19:U20"/>
    <mergeCell ref="J21:L22"/>
    <mergeCell ref="S21:U22"/>
    <mergeCell ref="E22:G24"/>
    <mergeCell ref="J23:L24"/>
    <mergeCell ref="S23:U24"/>
    <mergeCell ref="O17:V18"/>
    <mergeCell ref="O19:Q20"/>
    <mergeCell ref="O21:Q22"/>
    <mergeCell ref="O23:Q24"/>
    <mergeCell ref="O33:V35"/>
    <mergeCell ref="O29:Q30"/>
    <mergeCell ref="R29:U30"/>
    <mergeCell ref="O31:Q32"/>
    <mergeCell ref="R31:S32"/>
    <mergeCell ref="T31:U32"/>
    <mergeCell ref="O25:Q26"/>
    <mergeCell ref="O27:Q28"/>
    <mergeCell ref="R27:U28"/>
  </mergeCells>
  <conditionalFormatting sqref="AR7:AR15">
    <cfRule type="containsText" dxfId="6" priority="1" operator="between" text="FEMALE DOM">
      <formula>NOT(ISERROR(SEARCH("FEMALE DOM",AR7)))</formula>
    </cfRule>
  </conditionalFormatting>
  <conditionalFormatting sqref="AZ7:AZ15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5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workbookViewId="0">
      <selection activeCell="A1" sqref="A1:AJ1"/>
    </sheetView>
  </sheetViews>
  <sheetFormatPr defaultColWidth="9" defaultRowHeight="14.5" outlineLevelRow="7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14</v>
      </c>
      <c r="B2" s="185" t="s">
        <v>187</v>
      </c>
      <c r="C2" s="184">
        <v>921</v>
      </c>
      <c r="D2" s="184">
        <v>517</v>
      </c>
      <c r="E2" s="184">
        <f t="shared" ref="E2:E7" si="0">(D2/C2)*100</f>
        <v>56.1346362649294</v>
      </c>
      <c r="F2" s="184">
        <v>366</v>
      </c>
      <c r="G2" s="184">
        <f t="shared" ref="G2:G7" si="1">(F2/C2)*100</f>
        <v>39.7394136807818</v>
      </c>
      <c r="H2" s="184">
        <v>2</v>
      </c>
      <c r="I2" s="184">
        <f t="shared" ref="I2:I7" si="2">(H2/C2)*100</f>
        <v>0.217155266015201</v>
      </c>
      <c r="J2" s="184">
        <v>5</v>
      </c>
      <c r="K2" s="184">
        <f t="shared" ref="K2:K7" si="3">(J2/C2)*100</f>
        <v>0.542888165038002</v>
      </c>
      <c r="L2" s="189">
        <v>662</v>
      </c>
      <c r="M2" s="189">
        <v>740</v>
      </c>
      <c r="N2" s="189">
        <f t="shared" ref="N2:N7" si="4">L2+M2</f>
        <v>1402</v>
      </c>
      <c r="O2" s="184">
        <v>921</v>
      </c>
      <c r="P2" s="190">
        <f t="shared" ref="P2:P7" si="5">O2/N2*100</f>
        <v>65.6918687589158</v>
      </c>
      <c r="Q2" s="184">
        <v>1004</v>
      </c>
      <c r="R2" s="184">
        <f t="shared" ref="R2:R7" si="6">(Q2/N2)*100</f>
        <v>71.6119828815977</v>
      </c>
      <c r="S2" s="192">
        <f t="shared" ref="S2:S7" si="7">Q2-U2</f>
        <v>856</v>
      </c>
      <c r="T2" s="184">
        <f t="shared" ref="T2:T7" si="8">(S2/Q2)*100</f>
        <v>85.2589641434263</v>
      </c>
      <c r="U2" s="184">
        <v>148</v>
      </c>
      <c r="V2" s="191">
        <f t="shared" ref="V2:V7" si="9">IFERROR(U2/Q2*100,0)</f>
        <v>14.7410358565737</v>
      </c>
      <c r="W2" s="184">
        <v>398</v>
      </c>
      <c r="X2" s="184">
        <f t="shared" ref="X2:X7" si="10">100-R2</f>
        <v>28.3880171184023</v>
      </c>
      <c r="Y2" s="184">
        <f t="shared" ref="Y2:Y7" si="11">W2-AA2</f>
        <v>327</v>
      </c>
      <c r="Z2" s="193">
        <f t="shared" ref="Z2:Z7" si="12">(Y2/W2)*100</f>
        <v>82.1608040201005</v>
      </c>
      <c r="AA2" s="193">
        <v>71</v>
      </c>
      <c r="AB2" s="194">
        <f t="shared" ref="AB2:AB7" si="13">IFERROR(AA2/W2*100,0)</f>
        <v>17.8391959798995</v>
      </c>
      <c r="AC2" s="193">
        <f t="shared" ref="AC2:AC7" si="14">U2+AA2</f>
        <v>219</v>
      </c>
      <c r="AD2" s="193" t="str">
        <f t="shared" ref="AD2:AD7" si="15">IF(P2&gt;80,"EXCELLENT",IF(P2&gt;70,"STRONG",IF(P2&gt;60,"AVG",IF(P2&gt;50,"WEAK",IF(P2&lt;50,"VLOW")))))</f>
        <v>AVG</v>
      </c>
      <c r="AE2" s="195" t="str">
        <f t="shared" ref="AE2:AE7" si="16">IF(R2&gt;80,"EXCELLENT",IF(R2&gt;70,"STRONG",IF(R2&gt;60,"AVG",IF(R2&gt;50,"WEAK",IF(R2&lt;50,"VLOW")))))</f>
        <v>STRONG</v>
      </c>
      <c r="AF2" s="193" t="str">
        <f t="shared" ref="AF2:AF7" si="17">IF(X2&gt;80,"EXCELLENT",IF(X2&gt;70,"STRONG",IF(X2&gt;60,"AVG",IF(X2&gt;50,"WEAK",IF(X2&lt;50,"VLOW")))))</f>
        <v>VLOW</v>
      </c>
      <c r="AG2" s="193" t="str">
        <f t="shared" ref="AG2:AG7" si="18">IF(M2&gt;L2,"FEMALE DOM","MEN")</f>
        <v>FEMALE DOM</v>
      </c>
      <c r="AH2" s="193" t="str">
        <f t="shared" ref="AH2:AH7" si="19">IF(T2&gt;Z2,"H","O")</f>
        <v>H</v>
      </c>
      <c r="AI2" s="197">
        <f t="shared" ref="AI2:AI8" si="20">E2-G2</f>
        <v>16.3952225841477</v>
      </c>
      <c r="AJ2" s="199" t="str">
        <f t="shared" ref="AJ2:AJ8" si="21">IF(E2&gt;G2,"BJP GAIN","CONGRESSGAIN")</f>
        <v>BJP GAIN</v>
      </c>
    </row>
    <row r="3" spans="1:36">
      <c r="A3" s="184">
        <v>16</v>
      </c>
      <c r="B3" s="185" t="s">
        <v>188</v>
      </c>
      <c r="C3" s="184">
        <v>676</v>
      </c>
      <c r="D3" s="184">
        <v>339</v>
      </c>
      <c r="E3" s="184">
        <f t="shared" si="0"/>
        <v>50.1479289940828</v>
      </c>
      <c r="F3" s="184">
        <v>307</v>
      </c>
      <c r="G3" s="184">
        <f t="shared" si="1"/>
        <v>45.4142011834319</v>
      </c>
      <c r="H3" s="184">
        <v>0</v>
      </c>
      <c r="I3" s="184">
        <f t="shared" si="2"/>
        <v>0</v>
      </c>
      <c r="J3" s="184">
        <v>5</v>
      </c>
      <c r="K3" s="184">
        <f t="shared" si="3"/>
        <v>0.739644970414201</v>
      </c>
      <c r="L3" s="189">
        <v>480</v>
      </c>
      <c r="M3" s="189">
        <v>514</v>
      </c>
      <c r="N3" s="189">
        <f t="shared" si="4"/>
        <v>994</v>
      </c>
      <c r="O3" s="184">
        <v>676</v>
      </c>
      <c r="P3" s="190">
        <f t="shared" si="5"/>
        <v>68.0080482897384</v>
      </c>
      <c r="Q3" s="184">
        <v>621</v>
      </c>
      <c r="R3" s="184">
        <f t="shared" si="6"/>
        <v>62.4748490945674</v>
      </c>
      <c r="S3" s="184">
        <f t="shared" si="7"/>
        <v>170</v>
      </c>
      <c r="T3" s="184">
        <f t="shared" si="8"/>
        <v>27.3752012882448</v>
      </c>
      <c r="U3" s="184">
        <v>451</v>
      </c>
      <c r="V3" s="191">
        <f t="shared" si="9"/>
        <v>72.6247987117552</v>
      </c>
      <c r="W3" s="184">
        <v>373</v>
      </c>
      <c r="X3" s="184">
        <f t="shared" si="10"/>
        <v>37.5251509054326</v>
      </c>
      <c r="Y3" s="196">
        <f t="shared" si="11"/>
        <v>148</v>
      </c>
      <c r="Z3" s="193">
        <f t="shared" si="12"/>
        <v>39.6782841823056</v>
      </c>
      <c r="AA3" s="193">
        <v>225</v>
      </c>
      <c r="AB3" s="194">
        <f t="shared" si="13"/>
        <v>60.3217158176944</v>
      </c>
      <c r="AC3" s="193">
        <f t="shared" si="14"/>
        <v>676</v>
      </c>
      <c r="AD3" s="193" t="str">
        <f t="shared" si="15"/>
        <v>AVG</v>
      </c>
      <c r="AE3" s="195" t="str">
        <f t="shared" si="16"/>
        <v>AVG</v>
      </c>
      <c r="AF3" s="193" t="str">
        <f t="shared" si="17"/>
        <v>VLOW</v>
      </c>
      <c r="AG3" s="193" t="str">
        <f t="shared" si="18"/>
        <v>FEMALE DOM</v>
      </c>
      <c r="AH3" s="193" t="str">
        <f t="shared" si="19"/>
        <v>O</v>
      </c>
      <c r="AI3" s="197">
        <f t="shared" si="20"/>
        <v>4.73372781065088</v>
      </c>
      <c r="AJ3" s="199" t="str">
        <f t="shared" si="21"/>
        <v>BJP GAIN</v>
      </c>
    </row>
    <row r="4" spans="1:36">
      <c r="A4" s="184">
        <v>17</v>
      </c>
      <c r="B4" s="185" t="s">
        <v>189</v>
      </c>
      <c r="C4" s="184">
        <v>814</v>
      </c>
      <c r="D4" s="184">
        <v>484</v>
      </c>
      <c r="E4" s="184">
        <f t="shared" si="0"/>
        <v>59.4594594594595</v>
      </c>
      <c r="F4" s="184">
        <v>297</v>
      </c>
      <c r="G4" s="184">
        <f t="shared" si="1"/>
        <v>36.4864864864865</v>
      </c>
      <c r="H4" s="184">
        <v>5</v>
      </c>
      <c r="I4" s="184">
        <f t="shared" si="2"/>
        <v>0.614250614250614</v>
      </c>
      <c r="J4" s="184">
        <v>2</v>
      </c>
      <c r="K4" s="184">
        <f t="shared" si="3"/>
        <v>0.245700245700246</v>
      </c>
      <c r="L4" s="189">
        <v>545</v>
      </c>
      <c r="M4" s="189">
        <v>593</v>
      </c>
      <c r="N4" s="189">
        <f t="shared" si="4"/>
        <v>1138</v>
      </c>
      <c r="O4" s="184">
        <v>814</v>
      </c>
      <c r="P4" s="190">
        <f t="shared" si="5"/>
        <v>71.5289982425307</v>
      </c>
      <c r="Q4" s="184">
        <v>911</v>
      </c>
      <c r="R4" s="184">
        <f t="shared" si="6"/>
        <v>80.0527240773286</v>
      </c>
      <c r="S4" s="184">
        <f t="shared" si="7"/>
        <v>331</v>
      </c>
      <c r="T4" s="184">
        <f t="shared" si="8"/>
        <v>36.3336992316136</v>
      </c>
      <c r="U4" s="184">
        <v>580</v>
      </c>
      <c r="V4" s="191">
        <f t="shared" si="9"/>
        <v>63.6663007683864</v>
      </c>
      <c r="W4" s="184">
        <v>270</v>
      </c>
      <c r="X4" s="184">
        <f t="shared" si="10"/>
        <v>19.9472759226714</v>
      </c>
      <c r="Y4" s="184">
        <f t="shared" si="11"/>
        <v>40</v>
      </c>
      <c r="Z4" s="193">
        <f t="shared" si="12"/>
        <v>14.8148148148148</v>
      </c>
      <c r="AA4" s="193">
        <v>230</v>
      </c>
      <c r="AB4" s="194">
        <f t="shared" si="13"/>
        <v>85.1851851851852</v>
      </c>
      <c r="AC4" s="193">
        <f t="shared" si="14"/>
        <v>810</v>
      </c>
      <c r="AD4" s="193" t="str">
        <f t="shared" si="15"/>
        <v>STRONG</v>
      </c>
      <c r="AE4" s="195" t="str">
        <f t="shared" si="16"/>
        <v>EXCELLENT</v>
      </c>
      <c r="AF4" s="193" t="str">
        <f t="shared" si="17"/>
        <v>VLOW</v>
      </c>
      <c r="AG4" s="193" t="str">
        <f t="shared" si="18"/>
        <v>FEMALE DOM</v>
      </c>
      <c r="AH4" s="193" t="str">
        <f t="shared" si="19"/>
        <v>H</v>
      </c>
      <c r="AI4" s="197">
        <f t="shared" si="20"/>
        <v>22.972972972973</v>
      </c>
      <c r="AJ4" s="199" t="str">
        <f t="shared" si="21"/>
        <v>BJP GAIN</v>
      </c>
    </row>
    <row r="5" spans="1:36">
      <c r="A5" s="184">
        <v>18</v>
      </c>
      <c r="B5" s="185" t="s">
        <v>190</v>
      </c>
      <c r="C5" s="184">
        <v>765</v>
      </c>
      <c r="D5" s="184">
        <v>406</v>
      </c>
      <c r="E5" s="184">
        <f t="shared" si="0"/>
        <v>53.0718954248366</v>
      </c>
      <c r="F5" s="184">
        <v>338</v>
      </c>
      <c r="G5" s="184">
        <f t="shared" si="1"/>
        <v>44.1830065359477</v>
      </c>
      <c r="H5" s="184">
        <v>2</v>
      </c>
      <c r="I5" s="184">
        <f t="shared" si="2"/>
        <v>0.261437908496732</v>
      </c>
      <c r="J5" s="184">
        <v>1</v>
      </c>
      <c r="K5" s="184">
        <f t="shared" si="3"/>
        <v>0.130718954248366</v>
      </c>
      <c r="L5" s="189">
        <v>668</v>
      </c>
      <c r="M5" s="189">
        <v>664</v>
      </c>
      <c r="N5" s="189">
        <f t="shared" si="4"/>
        <v>1332</v>
      </c>
      <c r="O5" s="184">
        <v>765</v>
      </c>
      <c r="P5" s="190">
        <f t="shared" si="5"/>
        <v>57.4324324324324</v>
      </c>
      <c r="Q5" s="184">
        <v>848</v>
      </c>
      <c r="R5" s="184">
        <f t="shared" si="6"/>
        <v>63.6636636636637</v>
      </c>
      <c r="S5" s="192">
        <f t="shared" si="7"/>
        <v>347</v>
      </c>
      <c r="T5" s="184">
        <f t="shared" si="8"/>
        <v>40.9198113207547</v>
      </c>
      <c r="U5" s="184">
        <v>501</v>
      </c>
      <c r="V5" s="191">
        <f t="shared" si="9"/>
        <v>59.0801886792453</v>
      </c>
      <c r="W5" s="184">
        <f>155+329</f>
        <v>484</v>
      </c>
      <c r="X5" s="184">
        <f t="shared" si="10"/>
        <v>36.3363363363363</v>
      </c>
      <c r="Y5" s="184">
        <f t="shared" si="11"/>
        <v>225</v>
      </c>
      <c r="Z5" s="193">
        <f t="shared" si="12"/>
        <v>46.4876033057851</v>
      </c>
      <c r="AA5" s="193">
        <f>79+180</f>
        <v>259</v>
      </c>
      <c r="AB5" s="194">
        <f t="shared" si="13"/>
        <v>53.5123966942149</v>
      </c>
      <c r="AC5" s="193">
        <f t="shared" si="14"/>
        <v>760</v>
      </c>
      <c r="AD5" s="193" t="str">
        <f t="shared" si="15"/>
        <v>WEAK</v>
      </c>
      <c r="AE5" s="195" t="str">
        <f t="shared" si="16"/>
        <v>AVG</v>
      </c>
      <c r="AF5" s="193" t="str">
        <f t="shared" si="17"/>
        <v>VLOW</v>
      </c>
      <c r="AG5" s="193" t="str">
        <f t="shared" si="18"/>
        <v>MEN</v>
      </c>
      <c r="AH5" s="193" t="str">
        <f t="shared" si="19"/>
        <v>O</v>
      </c>
      <c r="AI5" s="197">
        <f t="shared" si="20"/>
        <v>8.88888888888889</v>
      </c>
      <c r="AJ5" s="199" t="str">
        <f t="shared" si="21"/>
        <v>BJP GAIN</v>
      </c>
    </row>
    <row r="6" spans="1:36">
      <c r="A6" s="184">
        <v>19</v>
      </c>
      <c r="B6" s="185" t="s">
        <v>191</v>
      </c>
      <c r="C6" s="184">
        <v>517</v>
      </c>
      <c r="D6" s="184">
        <v>275</v>
      </c>
      <c r="E6" s="184">
        <f t="shared" si="0"/>
        <v>53.1914893617021</v>
      </c>
      <c r="F6" s="184">
        <v>232</v>
      </c>
      <c r="G6" s="184">
        <f t="shared" si="1"/>
        <v>44.8742746615087</v>
      </c>
      <c r="H6" s="184">
        <v>0</v>
      </c>
      <c r="I6" s="184">
        <f t="shared" si="2"/>
        <v>0</v>
      </c>
      <c r="J6" s="184">
        <v>1</v>
      </c>
      <c r="K6" s="184">
        <f t="shared" si="3"/>
        <v>0.193423597678917</v>
      </c>
      <c r="L6" s="189">
        <v>384</v>
      </c>
      <c r="M6" s="189">
        <v>423</v>
      </c>
      <c r="N6" s="189">
        <f t="shared" si="4"/>
        <v>807</v>
      </c>
      <c r="O6" s="184">
        <v>517</v>
      </c>
      <c r="P6" s="439">
        <f t="shared" si="5"/>
        <v>64.0644361833953</v>
      </c>
      <c r="Q6" s="184">
        <v>530</v>
      </c>
      <c r="R6" s="184">
        <f t="shared" si="6"/>
        <v>65.6753407682776</v>
      </c>
      <c r="S6" s="184">
        <f t="shared" si="7"/>
        <v>187</v>
      </c>
      <c r="T6" s="184">
        <f t="shared" si="8"/>
        <v>35.2830188679245</v>
      </c>
      <c r="U6" s="184">
        <v>343</v>
      </c>
      <c r="V6" s="191">
        <f t="shared" si="9"/>
        <v>64.7169811320755</v>
      </c>
      <c r="W6" s="184">
        <f>5+282</f>
        <v>287</v>
      </c>
      <c r="X6" s="184">
        <f t="shared" si="10"/>
        <v>34.3246592317224</v>
      </c>
      <c r="Y6" s="196">
        <f t="shared" si="11"/>
        <v>113</v>
      </c>
      <c r="Z6" s="193">
        <f t="shared" si="12"/>
        <v>39.3728222996516</v>
      </c>
      <c r="AA6" s="193">
        <f>17+157</f>
        <v>174</v>
      </c>
      <c r="AB6" s="194">
        <f t="shared" si="13"/>
        <v>60.6271777003484</v>
      </c>
      <c r="AC6" s="193">
        <f t="shared" si="14"/>
        <v>517</v>
      </c>
      <c r="AD6" s="193" t="str">
        <f t="shared" si="15"/>
        <v>AVG</v>
      </c>
      <c r="AE6" s="195" t="str">
        <f t="shared" si="16"/>
        <v>AVG</v>
      </c>
      <c r="AF6" s="193" t="str">
        <f t="shared" si="17"/>
        <v>VLOW</v>
      </c>
      <c r="AG6" s="193" t="str">
        <f t="shared" si="18"/>
        <v>FEMALE DOM</v>
      </c>
      <c r="AH6" s="193" t="str">
        <f t="shared" si="19"/>
        <v>O</v>
      </c>
      <c r="AI6" s="197">
        <f t="shared" si="20"/>
        <v>8.31721470019342</v>
      </c>
      <c r="AJ6" s="199" t="str">
        <f t="shared" si="21"/>
        <v>BJP GAIN</v>
      </c>
    </row>
    <row r="7" spans="1:36">
      <c r="A7" s="184">
        <v>21</v>
      </c>
      <c r="B7" s="185" t="s">
        <v>192</v>
      </c>
      <c r="C7" s="184">
        <v>767</v>
      </c>
      <c r="D7" s="184">
        <v>401</v>
      </c>
      <c r="E7" s="184">
        <f t="shared" si="0"/>
        <v>52.2816166883963</v>
      </c>
      <c r="F7" s="184">
        <v>300</v>
      </c>
      <c r="G7" s="184">
        <f t="shared" si="1"/>
        <v>39.1134289439374</v>
      </c>
      <c r="H7" s="184">
        <v>2</v>
      </c>
      <c r="I7" s="184">
        <f t="shared" si="2"/>
        <v>0.260756192959583</v>
      </c>
      <c r="J7" s="184">
        <v>0</v>
      </c>
      <c r="K7" s="184">
        <f t="shared" si="3"/>
        <v>0</v>
      </c>
      <c r="L7" s="189">
        <v>583</v>
      </c>
      <c r="M7" s="189">
        <v>598</v>
      </c>
      <c r="N7" s="189">
        <f t="shared" si="4"/>
        <v>1181</v>
      </c>
      <c r="O7" s="184">
        <v>767</v>
      </c>
      <c r="P7" s="190">
        <f t="shared" si="5"/>
        <v>64.9449618966977</v>
      </c>
      <c r="Q7" s="184">
        <v>911</v>
      </c>
      <c r="R7" s="184">
        <f t="shared" si="6"/>
        <v>77.1380186282811</v>
      </c>
      <c r="S7" s="184">
        <f t="shared" si="7"/>
        <v>446</v>
      </c>
      <c r="T7" s="184">
        <f t="shared" si="8"/>
        <v>48.9571899012075</v>
      </c>
      <c r="U7" s="184">
        <v>465</v>
      </c>
      <c r="V7" s="191">
        <f t="shared" si="9"/>
        <v>51.0428100987925</v>
      </c>
      <c r="W7" s="184">
        <f>24+246</f>
        <v>270</v>
      </c>
      <c r="X7" s="184">
        <f t="shared" si="10"/>
        <v>22.8619813717189</v>
      </c>
      <c r="Y7" s="184">
        <f t="shared" si="11"/>
        <v>110</v>
      </c>
      <c r="Z7" s="193">
        <f t="shared" si="12"/>
        <v>40.7407407407407</v>
      </c>
      <c r="AA7" s="193">
        <f>10+150</f>
        <v>160</v>
      </c>
      <c r="AB7" s="194">
        <f t="shared" si="13"/>
        <v>59.2592592592593</v>
      </c>
      <c r="AC7" s="193">
        <f t="shared" si="14"/>
        <v>625</v>
      </c>
      <c r="AD7" s="193" t="str">
        <f t="shared" si="15"/>
        <v>AVG</v>
      </c>
      <c r="AE7" s="195" t="str">
        <f t="shared" si="16"/>
        <v>STRONG</v>
      </c>
      <c r="AF7" s="193" t="str">
        <f t="shared" si="17"/>
        <v>VLOW</v>
      </c>
      <c r="AG7" s="193" t="str">
        <f t="shared" si="18"/>
        <v>FEMALE DOM</v>
      </c>
      <c r="AH7" s="193" t="str">
        <f t="shared" si="19"/>
        <v>H</v>
      </c>
      <c r="AI7" s="197">
        <f t="shared" si="20"/>
        <v>13.1681877444589</v>
      </c>
      <c r="AJ7" s="199" t="str">
        <f t="shared" si="21"/>
        <v>BJP GAIN</v>
      </c>
    </row>
    <row r="8" spans="3:36">
      <c r="C8">
        <f>SUM(C2:C7)</f>
        <v>4460</v>
      </c>
      <c r="D8">
        <f>SUM(D2:D7)</f>
        <v>2422</v>
      </c>
      <c r="E8" s="186">
        <f>AVERAGE(E2:E7)</f>
        <v>54.0478376989011</v>
      </c>
      <c r="F8">
        <f>SUM(F2:F7)</f>
        <v>1840</v>
      </c>
      <c r="G8" s="186">
        <f>AVERAGE(G2:G7)</f>
        <v>41.6351352486823</v>
      </c>
      <c r="H8">
        <f>SUM(H2:H7)</f>
        <v>11</v>
      </c>
      <c r="I8" s="186">
        <f>AVERAGE(I2:I7)</f>
        <v>0.225599996953688</v>
      </c>
      <c r="J8">
        <f>SUM(J2:J7)</f>
        <v>14</v>
      </c>
      <c r="K8" s="186">
        <f>AVERAGE(K2:K7)</f>
        <v>0.308729322179955</v>
      </c>
      <c r="AI8" s="329">
        <f t="shared" si="20"/>
        <v>12.4127024502188</v>
      </c>
      <c r="AJ8" s="335" t="str">
        <f t="shared" si="21"/>
        <v>BJP GAIN</v>
      </c>
    </row>
  </sheetData>
  <conditionalFormatting sqref="AD2">
    <cfRule type="containsText" dxfId="8" priority="59" operator="between" text="AVG">
      <formula>NOT(ISERROR(SEARCH("AVG",AD2)))</formula>
    </cfRule>
    <cfRule type="cellIs" dxfId="9" priority="58" operator="equal">
      <formula>"STRONG"</formula>
    </cfRule>
    <cfRule type="containsText" dxfId="3" priority="57" operator="between" text="VSTRONG">
      <formula>NOT(ISERROR(SEARCH("VSTRONG",AD2)))</formula>
    </cfRule>
    <cfRule type="containsText" dxfId="10" priority="49" operator="between" text="AVG">
      <formula>NOT(ISERROR(SEARCH("AVG",AD2)))</formula>
    </cfRule>
  </conditionalFormatting>
  <conditionalFormatting sqref="AE2">
    <cfRule type="containsText" dxfId="3" priority="53" operator="between" text="STRONG">
      <formula>NOT(ISERROR(SEARCH("STRONG",AE2)))</formula>
    </cfRule>
    <cfRule type="containsText" dxfId="1" priority="51" operator="between" text="VSTRONG">
      <formula>NOT(ISERROR(SEARCH("VSTRONG",AE2)))</formula>
    </cfRule>
  </conditionalFormatting>
  <conditionalFormatting sqref="AF2">
    <cfRule type="containsText" dxfId="2" priority="52" operator="between" text="AVG">
      <formula>NOT(ISERROR(SEARCH("AVG",AF2)))</formula>
    </cfRule>
    <cfRule type="cellIs" dxfId="11" priority="47" operator="equal">
      <formula>"VWEAK"</formula>
    </cfRule>
    <cfRule type="containsText" dxfId="0" priority="46" operator="between" text="VSTRONG">
      <formula>NOT(ISERROR(SEARCH("VSTRONG",AF2)))</formula>
    </cfRule>
  </conditionalFormatting>
  <conditionalFormatting sqref="AG2">
    <cfRule type="containsText" dxfId="12" priority="50" operator="between" text="FEMALE DOM">
      <formula>NOT(ISERROR(SEARCH("FEMALE DOM",AG2)))</formula>
    </cfRule>
  </conditionalFormatting>
  <conditionalFormatting sqref="AH2">
    <cfRule type="containsText" dxfId="0" priority="56" operator="between" text="O">
      <formula>NOT(ISERROR(SEARCH("O",AH2)))</formula>
    </cfRule>
    <cfRule type="containsText" dxfId="3" priority="54" operator="between" text="H">
      <formula>NOT(ISERROR(SEARCH("H",AH2)))</formula>
    </cfRule>
    <cfRule type="containsText" dxfId="13" priority="55" operator="between" text="H">
      <formula>NOT(ISERROR(SEARCH("H",AH2)))</formula>
    </cfRule>
    <cfRule type="containsText" dxfId="1" priority="48" operator="between" text="H">
      <formula>NOT(ISERROR(SEARCH("H",AH2)))</formula>
    </cfRule>
  </conditionalFormatting>
  <conditionalFormatting sqref="AG5">
    <cfRule type="containsText" dxfId="10" priority="31" operator="between" text="MEN">
      <formula>NOT(ISERROR(SEARCH("MEN",AG5)))</formula>
    </cfRule>
  </conditionalFormatting>
  <conditionalFormatting sqref="AD6">
    <cfRule type="containsText" dxfId="8" priority="30" operator="between" text="AVG">
      <formula>NOT(ISERROR(SEARCH("AVG",AD6)))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NOT(ISERROR(SEARCH("VSTRONG",AD6)))</formula>
    </cfRule>
    <cfRule type="containsText" dxfId="10" priority="20" operator="between" text="AVG">
      <formula>NOT(ISERROR(SEARCH("AVG",AD6)))</formula>
    </cfRule>
  </conditionalFormatting>
  <conditionalFormatting sqref="AE6">
    <cfRule type="containsText" dxfId="3" priority="24" operator="between" text="STRONG">
      <formula>NOT(ISERROR(SEARCH("STRONG",AE6)))</formula>
    </cfRule>
    <cfRule type="containsText" dxfId="1" priority="22" operator="between" text="VSTRONG">
      <formula>NOT(ISERROR(SEARCH("VSTRONG",AE6)))</formula>
    </cfRule>
  </conditionalFormatting>
  <conditionalFormatting sqref="AE6:AF6">
    <cfRule type="containsText" dxfId="2" priority="23" operator="between" text="AVG">
      <formula>NOT(ISERROR(SEARCH("AVG",AE6)))</formula>
    </cfRule>
  </conditionalFormatting>
  <conditionalFormatting sqref="AF6">
    <cfRule type="cellIs" dxfId="11" priority="18" operator="equal">
      <formula>"VWEAK"</formula>
    </cfRule>
    <cfRule type="containsText" dxfId="0" priority="17" operator="between" text="VSTRONG">
      <formula>NOT(ISERROR(SEARCH("VSTRONG",AF6)))</formula>
    </cfRule>
  </conditionalFormatting>
  <conditionalFormatting sqref="AG6">
    <cfRule type="containsText" dxfId="12" priority="21" operator="between" text="FEMALE DOM">
      <formula>NOT(ISERROR(SEARCH("FEMALE DOM",AG6)))</formula>
    </cfRule>
    <cfRule type="containsText" dxfId="10" priority="16" operator="between" text="MEN">
      <formula>NOT(ISERROR(SEARCH("MEN",AG6)))</formula>
    </cfRule>
  </conditionalFormatting>
  <conditionalFormatting sqref="AH6">
    <cfRule type="containsText" dxfId="0" priority="27" operator="between" text="O">
      <formula>NOT(ISERROR(SEARCH("O",AH6)))</formula>
    </cfRule>
    <cfRule type="containsText" dxfId="3" priority="25" operator="between" text="H">
      <formula>NOT(ISERROR(SEARCH("H",AH6)))</formula>
    </cfRule>
    <cfRule type="containsText" dxfId="13" priority="26" operator="between" text="H">
      <formula>NOT(ISERROR(SEARCH("H",AH6)))</formula>
    </cfRule>
    <cfRule type="containsText" dxfId="1" priority="19" operator="between" text="H">
      <formula>NOT(ISERROR(SEARCH("H",AH6)))</formula>
    </cfRule>
  </conditionalFormatting>
  <conditionalFormatting sqref="AD7">
    <cfRule type="containsText" dxfId="8" priority="15" operator="between" text="AVG">
      <formula>NOT(ISERROR(SEARCH("AVG",AD7)))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NOT(ISERROR(SEARCH("VSTRONG",AD7)))</formula>
    </cfRule>
    <cfRule type="containsText" dxfId="10" priority="5" operator="between" text="AVG">
      <formula>NOT(ISERROR(SEARCH("AVG",AD7)))</formula>
    </cfRule>
  </conditionalFormatting>
  <conditionalFormatting sqref="AE7">
    <cfRule type="containsText" dxfId="3" priority="9" operator="between" text="STRONG">
      <formula>NOT(ISERROR(SEARCH("STRONG",AE7)))</formula>
    </cfRule>
    <cfRule type="containsText" dxfId="1" priority="7" operator="between" text="VSTRONG">
      <formula>NOT(ISERROR(SEARCH("VSTRONG",AE7)))</formula>
    </cfRule>
  </conditionalFormatting>
  <conditionalFormatting sqref="AE7:AF7">
    <cfRule type="containsText" dxfId="2" priority="8" operator="between" text="AVG">
      <formula>NOT(ISERROR(SEARCH("AVG",AE7)))</formula>
    </cfRule>
  </conditionalFormatting>
  <conditionalFormatting sqref="AF7">
    <cfRule type="cellIs" dxfId="11" priority="3" operator="equal">
      <formula>"VWEAK"</formula>
    </cfRule>
    <cfRule type="containsText" dxfId="0" priority="2" operator="between" text="VSTRONG">
      <formula>NOT(ISERROR(SEARCH("VSTRONG",AF7)))</formula>
    </cfRule>
  </conditionalFormatting>
  <conditionalFormatting sqref="AG7">
    <cfRule type="containsText" dxfId="12" priority="6" operator="between" text="FEMALE DOM">
      <formula>NOT(ISERROR(SEARCH("FEMALE DOM",AG7)))</formula>
    </cfRule>
    <cfRule type="containsText" dxfId="10" priority="1" operator="between" text="MEN">
      <formula>NOT(ISERROR(SEARCH("MEN",AG7)))</formula>
    </cfRule>
  </conditionalFormatting>
  <conditionalFormatting sqref="AH7">
    <cfRule type="containsText" dxfId="0" priority="12" operator="between" text="O">
      <formula>NOT(ISERROR(SEARCH("O",AH7)))</formula>
    </cfRule>
    <cfRule type="containsText" dxfId="3" priority="10" operator="between" text="H">
      <formula>NOT(ISERROR(SEARCH("H",AH7)))</formula>
    </cfRule>
    <cfRule type="containsText" dxfId="13" priority="11" operator="between" text="H">
      <formula>NOT(ISERROR(SEARCH("H",AH7)))</formula>
    </cfRule>
    <cfRule type="containsText" dxfId="1" priority="4" operator="between" text="H">
      <formula>NOT(ISERROR(SEARCH("H",AH7)))</formula>
    </cfRule>
  </conditionalFormatting>
  <conditionalFormatting sqref="AD3:AD5">
    <cfRule type="containsText" dxfId="8" priority="45" operator="between" text="AVG">
      <formula>NOT(ISERROR(SEARCH("AVG",AD3)))</formula>
    </cfRule>
    <cfRule type="cellIs" dxfId="9" priority="44" operator="equal">
      <formula>"STRONG"</formula>
    </cfRule>
    <cfRule type="containsText" dxfId="3" priority="43" operator="between" text="VSTRONG">
      <formula>NOT(ISERROR(SEARCH("VSTRONG",AD3)))</formula>
    </cfRule>
    <cfRule type="containsText" dxfId="10" priority="35" operator="between" text="AVG">
      <formula>NOT(ISERROR(SEARCH("AVG",AD3)))</formula>
    </cfRule>
  </conditionalFormatting>
  <conditionalFormatting sqref="AE3:AE5">
    <cfRule type="containsText" dxfId="3" priority="39" operator="between" text="STRONG">
      <formula>NOT(ISERROR(SEARCH("STRONG",AE3)))</formula>
    </cfRule>
    <cfRule type="containsText" dxfId="1" priority="37" operator="between" text="VSTRONG">
      <formula>NOT(ISERROR(SEARCH("VSTRONG",AE3)))</formula>
    </cfRule>
  </conditionalFormatting>
  <conditionalFormatting sqref="AF3:AF5">
    <cfRule type="cellIs" dxfId="11" priority="33" operator="equal">
      <formula>"VWEAK"</formula>
    </cfRule>
    <cfRule type="containsText" dxfId="0" priority="32" operator="between" text="VSTRONG">
      <formula>NOT(ISERROR(SEARCH("VSTRONG",AF3)))</formula>
    </cfRule>
  </conditionalFormatting>
  <conditionalFormatting sqref="AG3:AG5">
    <cfRule type="containsText" dxfId="12" priority="36" operator="between" text="FEMALE DOM">
      <formula>NOT(ISERROR(SEARCH("FEMALE DOM",AG3)))</formula>
    </cfRule>
  </conditionalFormatting>
  <conditionalFormatting sqref="AH3:AH5">
    <cfRule type="containsText" dxfId="0" priority="42" operator="between" text="O">
      <formula>NOT(ISERROR(SEARCH("O",AH3)))</formula>
    </cfRule>
    <cfRule type="containsText" dxfId="3" priority="40" operator="between" text="H">
      <formula>NOT(ISERROR(SEARCH("H",AH3)))</formula>
    </cfRule>
    <cfRule type="containsText" dxfId="13" priority="41" operator="between" text="H">
      <formula>NOT(ISERROR(SEARCH("H",AH3)))</formula>
    </cfRule>
    <cfRule type="containsText" dxfId="1" priority="34" operator="between" text="H">
      <formula>NOT(ISERROR(SEARCH("H",AH3)))</formula>
    </cfRule>
  </conditionalFormatting>
  <conditionalFormatting sqref="AE3:AF5">
    <cfRule type="containsText" dxfId="2" priority="38" operator="between" text="AVG">
      <formula>NOT(ISERROR(SEARCH("AVG",AE3)))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A34"/>
  <sheetViews>
    <sheetView topLeftCell="AI1" workbookViewId="0">
      <selection activeCell="AN7" sqref="AN7:BA13"/>
    </sheetView>
  </sheetViews>
  <sheetFormatPr defaultColWidth="9" defaultRowHeight="14.5"/>
  <cols>
    <col min="3" max="15" width="9.28181818181818" customWidth="1"/>
    <col min="16" max="22" width="18" customWidth="1"/>
    <col min="23" max="24" width="18.8545454545455" customWidth="1"/>
    <col min="26" max="26" width="11.2818181818182" customWidth="1"/>
    <col min="27" max="27" width="12.8545454545455" customWidth="1"/>
  </cols>
  <sheetData>
    <row r="1" spans="1:53">
      <c r="A1" s="629" t="s">
        <v>16</v>
      </c>
      <c r="B1" s="267" t="s">
        <v>177</v>
      </c>
      <c r="C1" s="268" t="s">
        <v>15</v>
      </c>
      <c r="D1" s="513" t="s">
        <v>1</v>
      </c>
      <c r="E1" s="513"/>
      <c r="F1" s="513"/>
      <c r="G1" s="513"/>
      <c r="H1" s="513"/>
      <c r="I1" s="513"/>
      <c r="J1" s="513"/>
      <c r="K1" s="508"/>
      <c r="L1" s="513" t="s">
        <v>2</v>
      </c>
      <c r="M1" s="268" t="s">
        <v>3</v>
      </c>
      <c r="N1" s="513" t="s">
        <v>4</v>
      </c>
      <c r="O1" s="267" t="s">
        <v>5</v>
      </c>
      <c r="P1" s="268" t="s">
        <v>17</v>
      </c>
      <c r="Q1" s="508" t="s">
        <v>18</v>
      </c>
      <c r="R1" s="267" t="s">
        <v>19</v>
      </c>
      <c r="S1" s="268" t="s">
        <v>20</v>
      </c>
      <c r="T1" s="513" t="s">
        <v>21</v>
      </c>
      <c r="U1" s="268" t="s">
        <v>22</v>
      </c>
      <c r="V1" s="513" t="s">
        <v>23</v>
      </c>
      <c r="W1" s="268" t="s">
        <v>156</v>
      </c>
      <c r="X1" s="508" t="s">
        <v>66</v>
      </c>
      <c r="Y1" s="508" t="s">
        <v>67</v>
      </c>
      <c r="Z1" s="508" t="s">
        <v>159</v>
      </c>
      <c r="AA1" s="508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629"/>
      <c r="B2" s="273"/>
      <c r="C2" s="274"/>
      <c r="D2" s="514"/>
      <c r="E2" s="514"/>
      <c r="F2" s="514"/>
      <c r="G2" s="514"/>
      <c r="H2" s="514"/>
      <c r="I2" s="514"/>
      <c r="J2" s="514"/>
      <c r="K2" s="509"/>
      <c r="L2" s="514"/>
      <c r="M2" s="274"/>
      <c r="N2" s="514"/>
      <c r="O2" s="273"/>
      <c r="P2" s="274"/>
      <c r="Q2" s="509"/>
      <c r="R2" s="273"/>
      <c r="S2" s="274"/>
      <c r="T2" s="514"/>
      <c r="U2" s="274"/>
      <c r="V2" s="514"/>
      <c r="W2" s="274"/>
      <c r="X2" s="509"/>
      <c r="Y2" s="509"/>
      <c r="Z2" s="509"/>
      <c r="AA2" s="509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629"/>
      <c r="B3" s="273"/>
      <c r="C3" s="274"/>
      <c r="D3" s="267" t="s">
        <v>7</v>
      </c>
      <c r="E3" s="268" t="s">
        <v>8</v>
      </c>
      <c r="F3" s="513" t="s">
        <v>9</v>
      </c>
      <c r="G3" s="268" t="s">
        <v>10</v>
      </c>
      <c r="H3" s="513" t="s">
        <v>11</v>
      </c>
      <c r="I3" s="267" t="s">
        <v>12</v>
      </c>
      <c r="J3" s="268" t="s">
        <v>9</v>
      </c>
      <c r="K3" s="508" t="s">
        <v>13</v>
      </c>
      <c r="L3" s="514"/>
      <c r="M3" s="274"/>
      <c r="N3" s="514"/>
      <c r="O3" s="273"/>
      <c r="P3" s="274"/>
      <c r="Q3" s="509"/>
      <c r="R3" s="273"/>
      <c r="S3" s="274"/>
      <c r="T3" s="514"/>
      <c r="U3" s="274"/>
      <c r="V3" s="514"/>
      <c r="W3" s="274"/>
      <c r="X3" s="509"/>
      <c r="Y3" s="509"/>
      <c r="Z3" s="509"/>
      <c r="AA3" s="509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629"/>
      <c r="B4" s="273"/>
      <c r="C4" s="274"/>
      <c r="D4" s="273"/>
      <c r="E4" s="274"/>
      <c r="F4" s="514"/>
      <c r="G4" s="274"/>
      <c r="H4" s="514"/>
      <c r="I4" s="273"/>
      <c r="J4" s="274"/>
      <c r="K4" s="509"/>
      <c r="L4" s="514"/>
      <c r="M4" s="274"/>
      <c r="N4" s="514"/>
      <c r="O4" s="273"/>
      <c r="P4" s="274"/>
      <c r="Q4" s="509"/>
      <c r="R4" s="273"/>
      <c r="S4" s="274"/>
      <c r="T4" s="514"/>
      <c r="U4" s="274"/>
      <c r="V4" s="514"/>
      <c r="W4" s="274"/>
      <c r="X4" s="509"/>
      <c r="Y4" s="509"/>
      <c r="Z4" s="509"/>
      <c r="AA4" s="509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629"/>
      <c r="B5" s="273"/>
      <c r="C5" s="274"/>
      <c r="D5" s="273"/>
      <c r="E5" s="274"/>
      <c r="F5" s="514"/>
      <c r="G5" s="274"/>
      <c r="H5" s="514"/>
      <c r="I5" s="273"/>
      <c r="J5" s="274"/>
      <c r="K5" s="509"/>
      <c r="L5" s="514"/>
      <c r="M5" s="274"/>
      <c r="N5" s="514"/>
      <c r="O5" s="273"/>
      <c r="P5" s="274"/>
      <c r="Q5" s="509"/>
      <c r="R5" s="273"/>
      <c r="S5" s="274"/>
      <c r="T5" s="514"/>
      <c r="U5" s="274"/>
      <c r="V5" s="514"/>
      <c r="W5" s="274"/>
      <c r="X5" s="509"/>
      <c r="Y5" s="509"/>
      <c r="Z5" s="509"/>
      <c r="AA5" s="509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629"/>
      <c r="B6" s="273"/>
      <c r="C6" s="279"/>
      <c r="D6" s="278"/>
      <c r="E6" s="279"/>
      <c r="F6" s="515"/>
      <c r="G6" s="279"/>
      <c r="H6" s="515"/>
      <c r="I6" s="278"/>
      <c r="J6" s="279"/>
      <c r="K6" s="510"/>
      <c r="L6" s="514"/>
      <c r="M6" s="279"/>
      <c r="N6" s="514"/>
      <c r="O6" s="273"/>
      <c r="P6" s="274"/>
      <c r="Q6" s="509"/>
      <c r="R6" s="273"/>
      <c r="S6" s="279"/>
      <c r="T6" s="514"/>
      <c r="U6" s="279"/>
      <c r="V6" s="514"/>
      <c r="W6" s="274"/>
      <c r="X6" s="509"/>
      <c r="Y6" s="509"/>
      <c r="Z6" s="510"/>
      <c r="AA6" s="509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540" t="s">
        <v>32</v>
      </c>
      <c r="B7" s="546">
        <v>162</v>
      </c>
      <c r="C7" s="630">
        <v>1088</v>
      </c>
      <c r="D7" s="549">
        <v>431</v>
      </c>
      <c r="E7" s="630">
        <v>118</v>
      </c>
      <c r="F7" s="549">
        <v>7</v>
      </c>
      <c r="G7" s="630">
        <v>1</v>
      </c>
      <c r="H7" s="549">
        <v>0</v>
      </c>
      <c r="I7" s="546">
        <v>0</v>
      </c>
      <c r="J7" s="547">
        <v>0</v>
      </c>
      <c r="K7" s="548">
        <v>0</v>
      </c>
      <c r="L7" s="549">
        <v>557</v>
      </c>
      <c r="M7" s="630">
        <v>0</v>
      </c>
      <c r="N7" s="549">
        <v>4</v>
      </c>
      <c r="O7" s="546">
        <f t="shared" ref="O7:O12" si="0">D7+E7+F7+G7+H7+I7+J7+K7+N7</f>
        <v>561</v>
      </c>
      <c r="P7" s="547">
        <f t="shared" ref="P7:P12" si="1">(O7/C7)*100</f>
        <v>51.5625</v>
      </c>
      <c r="Q7" s="548">
        <f t="shared" ref="Q7:Q12" si="2">(E7/O7)*100</f>
        <v>21.0338680926916</v>
      </c>
      <c r="R7" s="546">
        <f t="shared" ref="R7:R12" si="3">(D7/O7)*100</f>
        <v>76.8270944741533</v>
      </c>
      <c r="S7" s="630">
        <f t="shared" ref="S7:S12" si="4">(F7/O7)*100</f>
        <v>1.24777183600713</v>
      </c>
      <c r="T7" s="549">
        <f t="shared" ref="T7:T12" si="5">(G7/O7)*100</f>
        <v>0.17825311942959</v>
      </c>
      <c r="U7" s="630">
        <f t="shared" ref="U7:U12" si="6">((H7+I7+J7+K7)/O7)*100</f>
        <v>0</v>
      </c>
      <c r="V7" s="549">
        <f t="shared" ref="V7:V12" si="7">(N7/O7)*100</f>
        <v>0.71301247771836</v>
      </c>
      <c r="W7" s="547">
        <f>Q7-R7</f>
        <v>-55.7932263814617</v>
      </c>
      <c r="X7" s="548">
        <f>Q7-(R7+S7+T7+U7)</f>
        <v>-57.2192513368984</v>
      </c>
      <c r="Y7" s="548" t="str">
        <f>IF(AND(W7&lt;0,W7&lt;=1),"LOST",IF(AND(W7&gt;1,W7&lt;=10),"NARROW",IF(AND(W7&gt;10,W7&lt;=40),"MEDIUM",IF(AND(W7&gt;40,W7&lt;=90),"STRONG",""))))</f>
        <v>LOST</v>
      </c>
      <c r="Z7" s="288" t="str">
        <f>IF(AND(P7&lt;0,P7&lt;=10),"WEAK",IF(AND(P7&gt;10,P7&lt;20),"BELOW AVG",IF(AND(P7&gt;20,P7&lt;=60),"MEDIUM",IF(AND(P7&gt;60,P7&lt;=90),"STRONG",""))))</f>
        <v>MEDIUM</v>
      </c>
      <c r="AA7" s="511" t="str">
        <f>IF(Q7&gt;R7,"BJP","CONGRESS")</f>
        <v>CONGRESS</v>
      </c>
      <c r="AB7">
        <v>1076</v>
      </c>
      <c r="AC7">
        <v>553</v>
      </c>
      <c r="AD7">
        <v>492</v>
      </c>
      <c r="AE7">
        <v>240</v>
      </c>
      <c r="AF7">
        <v>584</v>
      </c>
      <c r="AG7">
        <v>313</v>
      </c>
      <c r="AH7">
        <v>225</v>
      </c>
      <c r="AI7">
        <v>135</v>
      </c>
      <c r="AJ7">
        <v>497</v>
      </c>
      <c r="AK7">
        <v>252</v>
      </c>
      <c r="AL7">
        <v>354</v>
      </c>
      <c r="AM7">
        <v>166</v>
      </c>
      <c r="AN7" s="248">
        <f>(AD7/AB7)*100</f>
        <v>45.724907063197</v>
      </c>
      <c r="AO7" s="316">
        <f>(AE7/AC7)*100</f>
        <v>43.3996383363472</v>
      </c>
      <c r="AP7" s="317">
        <f>(AF7/AB7)*100</f>
        <v>54.275092936803</v>
      </c>
      <c r="AQ7" s="318">
        <f>(AG7/AC7)*100</f>
        <v>56.6003616636528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20.910780669145</v>
      </c>
      <c r="AU7" s="317">
        <f>(AI7/AC7)*100</f>
        <v>24.4122965641953</v>
      </c>
      <c r="AV7" s="248">
        <f>(AJ7/AB7)*100</f>
        <v>46.1895910780669</v>
      </c>
      <c r="AW7" s="317">
        <f>(AK7/AC7)*100</f>
        <v>45.5696202531646</v>
      </c>
      <c r="AX7" s="248">
        <f>(AL7/AB7)*100</f>
        <v>32.8996282527881</v>
      </c>
      <c r="AY7" s="317">
        <f>(AM7/AC7)*100</f>
        <v>30.0180831826401</v>
      </c>
      <c r="AZ7" s="248" t="str">
        <f>IF(AT7&gt;(AV7+AX7),"HINDU","MINORITY")</f>
        <v>MINORITY</v>
      </c>
      <c r="BA7" s="318" t="str">
        <f>IF(AU7&gt;(AW7+AY7),"HIND","MINORITY")</f>
        <v>MINORITY</v>
      </c>
    </row>
    <row r="8" spans="1:53">
      <c r="A8" s="545"/>
      <c r="B8" s="631">
        <v>163</v>
      </c>
      <c r="C8" s="630">
        <v>1123</v>
      </c>
      <c r="D8" s="632">
        <v>492</v>
      </c>
      <c r="E8" s="630">
        <v>151</v>
      </c>
      <c r="F8" s="632">
        <v>5</v>
      </c>
      <c r="G8" s="630">
        <v>5</v>
      </c>
      <c r="H8" s="632">
        <v>0</v>
      </c>
      <c r="I8" s="631">
        <v>0</v>
      </c>
      <c r="J8" s="630">
        <v>0</v>
      </c>
      <c r="K8" s="635">
        <v>0</v>
      </c>
      <c r="L8" s="632">
        <v>653</v>
      </c>
      <c r="M8" s="630">
        <v>0</v>
      </c>
      <c r="N8" s="632">
        <v>5</v>
      </c>
      <c r="O8" s="631">
        <f t="shared" si="0"/>
        <v>658</v>
      </c>
      <c r="P8" s="630">
        <f t="shared" si="1"/>
        <v>58.593054318789</v>
      </c>
      <c r="Q8" s="635">
        <f t="shared" si="2"/>
        <v>22.9483282674772</v>
      </c>
      <c r="R8" s="631">
        <f t="shared" si="3"/>
        <v>74.7720364741641</v>
      </c>
      <c r="S8" s="630">
        <f t="shared" si="4"/>
        <v>0.759878419452888</v>
      </c>
      <c r="T8" s="632">
        <f t="shared" si="5"/>
        <v>0.759878419452888</v>
      </c>
      <c r="U8" s="630">
        <f t="shared" si="6"/>
        <v>0</v>
      </c>
      <c r="V8" s="632">
        <f t="shared" si="7"/>
        <v>0.759878419452888</v>
      </c>
      <c r="W8" s="630">
        <f t="shared" ref="W8:W12" si="8">Q8-R8</f>
        <v>-51.8237082066869</v>
      </c>
      <c r="X8" s="635">
        <f t="shared" ref="X8:X12" si="9">Q8-(R8+S8+T8+U8)</f>
        <v>-53.3434650455927</v>
      </c>
      <c r="Y8" s="635" t="str">
        <f t="shared" ref="Y8:Y13" si="10">IF(AND(W8&lt;0,W8&lt;=1),"LOST",IF(AND(W8&gt;1,W8&lt;=10),"NARROW",IF(AND(W8&gt;10,W8&lt;=40),"MEDIUM",IF(AND(W8&gt;40,W8&lt;=90),"STRONG",""))))</f>
        <v>LOST</v>
      </c>
      <c r="Z8" s="288" t="str">
        <f t="shared" ref="Z8:Z14" si="11">IF(AND(P8&lt;0,P8&lt;=10),"WEAK",IF(AND(P8&gt;10,P8&lt;20),"BELOW AVG",IF(AND(P8&gt;20,P8&lt;=60),"MEDIUM",IF(AND(P8&gt;60,P8&lt;=90),"STRONG",""))))</f>
        <v>MEDIUM</v>
      </c>
      <c r="AA8" s="511" t="str">
        <f t="shared" ref="AA8:AA13" si="12">IF(Q8&gt;R8,"BJP","CONGRESS")</f>
        <v>CONGRESS</v>
      </c>
      <c r="AB8">
        <v>1112</v>
      </c>
      <c r="AC8">
        <v>544</v>
      </c>
      <c r="AD8">
        <v>512</v>
      </c>
      <c r="AE8">
        <v>254</v>
      </c>
      <c r="AF8">
        <v>600</v>
      </c>
      <c r="AG8">
        <v>290</v>
      </c>
      <c r="AH8">
        <v>235</v>
      </c>
      <c r="AI8">
        <v>130</v>
      </c>
      <c r="AJ8">
        <v>484</v>
      </c>
      <c r="AK8">
        <v>198</v>
      </c>
      <c r="AL8">
        <v>393</v>
      </c>
      <c r="AM8">
        <v>216</v>
      </c>
      <c r="AN8" s="248">
        <f t="shared" ref="AN8:AO12" si="13">(AD8/AB8)*100</f>
        <v>46.0431654676259</v>
      </c>
      <c r="AO8" s="316">
        <f t="shared" si="13"/>
        <v>46.6911764705882</v>
      </c>
      <c r="AP8" s="317">
        <f t="shared" ref="AP8:AP12" si="14">(AF8/AB8)*100</f>
        <v>53.9568345323741</v>
      </c>
      <c r="AQ8" s="318">
        <f t="shared" ref="AQ8:AQ12" si="15">(AG8/AC8)*100</f>
        <v>53.3088235294118</v>
      </c>
      <c r="AR8" s="318" t="str">
        <f t="shared" ref="AR8:AR13" si="16">IF(AN8&gt;AP8,"MALE DOM","FEMALE DOM")</f>
        <v>FEMALE DOM</v>
      </c>
      <c r="AS8" s="319" t="str">
        <f t="shared" ref="AS8:AS13" si="17">IF(AO8&gt;AP8,"MALE","FEMALE")</f>
        <v>FEMALE</v>
      </c>
      <c r="AT8" s="317">
        <f t="shared" ref="AT8:AU13" si="18">(AH8/AB8)*100</f>
        <v>21.1330935251799</v>
      </c>
      <c r="AU8" s="317">
        <f t="shared" si="18"/>
        <v>23.8970588235294</v>
      </c>
      <c r="AV8" s="248">
        <f t="shared" ref="AV8:AW13" si="19">(AJ8/AB8)*100</f>
        <v>43.5251798561151</v>
      </c>
      <c r="AW8" s="317">
        <f t="shared" si="19"/>
        <v>36.3970588235294</v>
      </c>
      <c r="AX8" s="248">
        <f t="shared" ref="AX8:AY13" si="20">(AL8/AB8)*100</f>
        <v>35.341726618705</v>
      </c>
      <c r="AY8" s="317">
        <f t="shared" si="20"/>
        <v>39.7058823529412</v>
      </c>
      <c r="AZ8" s="248" t="str">
        <f t="shared" ref="AZ8:AZ13" si="21">IF(AT8&gt;(AV8+AX8),"HINDU","MINORITY")</f>
        <v>MINORITY</v>
      </c>
      <c r="BA8" s="318" t="str">
        <f t="shared" ref="BA8:BA13" si="22">IF(AU8&gt;(AW8+AY8),"HIND","MINORITY")</f>
        <v>MINORITY</v>
      </c>
    </row>
    <row r="9" spans="1:53">
      <c r="A9" s="545"/>
      <c r="B9" s="554">
        <v>134</v>
      </c>
      <c r="C9" s="555">
        <v>809</v>
      </c>
      <c r="D9" s="557">
        <v>329</v>
      </c>
      <c r="E9" s="555">
        <v>190</v>
      </c>
      <c r="F9" s="557">
        <v>0</v>
      </c>
      <c r="G9" s="555">
        <v>3</v>
      </c>
      <c r="H9" s="557">
        <v>0</v>
      </c>
      <c r="I9" s="554">
        <v>2</v>
      </c>
      <c r="J9" s="555">
        <v>0</v>
      </c>
      <c r="K9" s="556">
        <v>0</v>
      </c>
      <c r="L9" s="557">
        <v>524</v>
      </c>
      <c r="M9" s="555">
        <v>0</v>
      </c>
      <c r="N9" s="557">
        <v>4</v>
      </c>
      <c r="O9" s="554">
        <f t="shared" si="0"/>
        <v>528</v>
      </c>
      <c r="P9" s="555">
        <f t="shared" si="1"/>
        <v>65.265760197775</v>
      </c>
      <c r="Q9" s="556">
        <f t="shared" si="2"/>
        <v>35.9848484848485</v>
      </c>
      <c r="R9" s="554">
        <f t="shared" si="3"/>
        <v>62.3106060606061</v>
      </c>
      <c r="S9" s="555">
        <f t="shared" si="4"/>
        <v>0</v>
      </c>
      <c r="T9" s="557">
        <f t="shared" si="5"/>
        <v>0.568181818181818</v>
      </c>
      <c r="U9" s="555">
        <f t="shared" si="6"/>
        <v>0.378787878787879</v>
      </c>
      <c r="V9" s="557">
        <f t="shared" si="7"/>
        <v>0.757575757575758</v>
      </c>
      <c r="W9" s="555">
        <f t="shared" si="8"/>
        <v>-26.3257575757576</v>
      </c>
      <c r="X9" s="556">
        <f t="shared" si="9"/>
        <v>-27.2727272727273</v>
      </c>
      <c r="Y9" s="556" t="str">
        <f t="shared" si="10"/>
        <v>LOST</v>
      </c>
      <c r="Z9" s="283" t="str">
        <f t="shared" si="11"/>
        <v>STRONG</v>
      </c>
      <c r="AA9" s="511" t="str">
        <f t="shared" si="12"/>
        <v>CONGRESS</v>
      </c>
      <c r="AB9">
        <v>805</v>
      </c>
      <c r="AC9">
        <v>523</v>
      </c>
      <c r="AD9">
        <v>365</v>
      </c>
      <c r="AE9">
        <v>236</v>
      </c>
      <c r="AF9">
        <v>440</v>
      </c>
      <c r="AG9">
        <v>287</v>
      </c>
      <c r="AH9">
        <v>329</v>
      </c>
      <c r="AI9">
        <v>224</v>
      </c>
      <c r="AJ9">
        <v>117</v>
      </c>
      <c r="AK9">
        <v>59</v>
      </c>
      <c r="AL9">
        <v>359</v>
      </c>
      <c r="AM9">
        <v>240</v>
      </c>
      <c r="AN9" s="248">
        <f t="shared" si="13"/>
        <v>45.3416149068323</v>
      </c>
      <c r="AO9" s="316">
        <f t="shared" si="13"/>
        <v>45.1242829827916</v>
      </c>
      <c r="AP9" s="317">
        <f t="shared" si="14"/>
        <v>54.6583850931677</v>
      </c>
      <c r="AQ9" s="318">
        <f t="shared" si="15"/>
        <v>54.8757170172084</v>
      </c>
      <c r="AR9" s="318" t="str">
        <f t="shared" si="16"/>
        <v>FEMALE DOM</v>
      </c>
      <c r="AS9" s="319" t="str">
        <f t="shared" si="17"/>
        <v>FEMALE</v>
      </c>
      <c r="AT9" s="317">
        <f t="shared" si="18"/>
        <v>40.8695652173913</v>
      </c>
      <c r="AU9" s="317">
        <f t="shared" si="18"/>
        <v>42.82982791587</v>
      </c>
      <c r="AV9" s="248">
        <f t="shared" si="19"/>
        <v>14.5341614906832</v>
      </c>
      <c r="AW9" s="317">
        <f t="shared" si="19"/>
        <v>11.2810707456979</v>
      </c>
      <c r="AX9" s="248">
        <f t="shared" si="20"/>
        <v>44.5962732919255</v>
      </c>
      <c r="AY9" s="317">
        <f t="shared" si="20"/>
        <v>45.8891013384321</v>
      </c>
      <c r="AZ9" s="248" t="str">
        <f t="shared" si="21"/>
        <v>MINORITY</v>
      </c>
      <c r="BA9" s="318" t="str">
        <f t="shared" si="22"/>
        <v>MINORITY</v>
      </c>
    </row>
    <row r="10" spans="1:53">
      <c r="A10" s="545"/>
      <c r="B10" s="554">
        <v>136</v>
      </c>
      <c r="C10" s="555">
        <v>1154</v>
      </c>
      <c r="D10" s="557">
        <v>383</v>
      </c>
      <c r="E10" s="555">
        <v>262</v>
      </c>
      <c r="F10" s="557">
        <v>0</v>
      </c>
      <c r="G10" s="555">
        <v>5</v>
      </c>
      <c r="H10" s="557">
        <v>0</v>
      </c>
      <c r="I10" s="554">
        <v>0</v>
      </c>
      <c r="J10" s="555">
        <v>0</v>
      </c>
      <c r="K10" s="556">
        <v>1</v>
      </c>
      <c r="L10" s="557">
        <v>651</v>
      </c>
      <c r="M10" s="555">
        <v>0</v>
      </c>
      <c r="N10" s="557">
        <v>4</v>
      </c>
      <c r="O10" s="554">
        <f t="shared" si="0"/>
        <v>655</v>
      </c>
      <c r="P10" s="555">
        <f t="shared" si="1"/>
        <v>56.7590987868284</v>
      </c>
      <c r="Q10" s="556">
        <f t="shared" si="2"/>
        <v>40</v>
      </c>
      <c r="R10" s="554">
        <f t="shared" si="3"/>
        <v>58.4732824427481</v>
      </c>
      <c r="S10" s="555">
        <f t="shared" si="4"/>
        <v>0</v>
      </c>
      <c r="T10" s="557">
        <f t="shared" si="5"/>
        <v>0.763358778625954</v>
      </c>
      <c r="U10" s="555">
        <f t="shared" si="6"/>
        <v>0.152671755725191</v>
      </c>
      <c r="V10" s="557">
        <f t="shared" si="7"/>
        <v>0.610687022900763</v>
      </c>
      <c r="W10" s="555">
        <f t="shared" si="8"/>
        <v>-18.4732824427481</v>
      </c>
      <c r="X10" s="556">
        <f t="shared" si="9"/>
        <v>-19.3893129770992</v>
      </c>
      <c r="Y10" s="556" t="str">
        <f t="shared" si="10"/>
        <v>LOST</v>
      </c>
      <c r="Z10" s="288" t="str">
        <f t="shared" si="11"/>
        <v>MEDIUM</v>
      </c>
      <c r="AA10" s="511" t="str">
        <f t="shared" si="12"/>
        <v>CONGRESS</v>
      </c>
      <c r="AB10">
        <v>1149</v>
      </c>
      <c r="AC10">
        <v>640</v>
      </c>
      <c r="AD10">
        <v>523</v>
      </c>
      <c r="AE10">
        <v>307</v>
      </c>
      <c r="AF10">
        <v>626</v>
      </c>
      <c r="AG10">
        <v>333</v>
      </c>
      <c r="AH10">
        <v>535</v>
      </c>
      <c r="AI10">
        <v>318</v>
      </c>
      <c r="AJ10">
        <v>77</v>
      </c>
      <c r="AK10">
        <v>48</v>
      </c>
      <c r="AL10">
        <v>537</v>
      </c>
      <c r="AM10">
        <v>274</v>
      </c>
      <c r="AN10" s="248">
        <f t="shared" si="13"/>
        <v>45.5178416013925</v>
      </c>
      <c r="AO10" s="316">
        <f t="shared" si="13"/>
        <v>47.96875</v>
      </c>
      <c r="AP10" s="317">
        <f t="shared" si="14"/>
        <v>54.4821583986075</v>
      </c>
      <c r="AQ10" s="318">
        <f t="shared" si="15"/>
        <v>52.03125</v>
      </c>
      <c r="AR10" s="318" t="str">
        <f t="shared" si="16"/>
        <v>FEMALE DOM</v>
      </c>
      <c r="AS10" s="319" t="str">
        <f t="shared" si="17"/>
        <v>FEMALE</v>
      </c>
      <c r="AT10" s="317">
        <f t="shared" si="18"/>
        <v>46.562228024369</v>
      </c>
      <c r="AU10" s="317">
        <f t="shared" si="18"/>
        <v>49.6875</v>
      </c>
      <c r="AV10" s="248">
        <f t="shared" si="19"/>
        <v>6.70147954743255</v>
      </c>
      <c r="AW10" s="317">
        <f t="shared" si="19"/>
        <v>7.5</v>
      </c>
      <c r="AX10" s="248">
        <f t="shared" si="20"/>
        <v>46.7362924281984</v>
      </c>
      <c r="AY10" s="317">
        <f t="shared" si="20"/>
        <v>42.8125</v>
      </c>
      <c r="AZ10" s="248" t="str">
        <f t="shared" si="21"/>
        <v>MINORITY</v>
      </c>
      <c r="BA10" s="318" t="str">
        <f t="shared" si="22"/>
        <v>MINORITY</v>
      </c>
    </row>
    <row r="11" spans="1:53">
      <c r="A11" s="545"/>
      <c r="B11" s="633">
        <v>129</v>
      </c>
      <c r="C11" s="567">
        <v>922</v>
      </c>
      <c r="D11" s="566">
        <v>365</v>
      </c>
      <c r="E11" s="567">
        <v>179</v>
      </c>
      <c r="F11" s="566">
        <v>2</v>
      </c>
      <c r="G11" s="567">
        <v>2</v>
      </c>
      <c r="H11" s="566">
        <v>0</v>
      </c>
      <c r="I11" s="633">
        <v>1</v>
      </c>
      <c r="J11" s="567">
        <v>0</v>
      </c>
      <c r="K11" s="560">
        <v>0</v>
      </c>
      <c r="L11" s="566">
        <v>549</v>
      </c>
      <c r="M11" s="567">
        <v>0</v>
      </c>
      <c r="N11" s="566">
        <v>5</v>
      </c>
      <c r="O11" s="633">
        <f t="shared" si="0"/>
        <v>554</v>
      </c>
      <c r="P11" s="567">
        <f t="shared" si="1"/>
        <v>60.0867678958785</v>
      </c>
      <c r="Q11" s="560">
        <f t="shared" si="2"/>
        <v>32.3104693140794</v>
      </c>
      <c r="R11" s="566">
        <f t="shared" si="3"/>
        <v>65.884476534296</v>
      </c>
      <c r="S11" s="567">
        <f t="shared" si="4"/>
        <v>0.36101083032491</v>
      </c>
      <c r="T11" s="566">
        <f t="shared" si="5"/>
        <v>0.36101083032491</v>
      </c>
      <c r="U11" s="567">
        <f t="shared" si="6"/>
        <v>0.180505415162455</v>
      </c>
      <c r="V11" s="566">
        <f t="shared" si="7"/>
        <v>0.902527075812274</v>
      </c>
      <c r="W11" s="567">
        <f t="shared" si="8"/>
        <v>-33.5740072202166</v>
      </c>
      <c r="X11" s="560">
        <f t="shared" si="9"/>
        <v>-34.4765342960289</v>
      </c>
      <c r="Y11" s="560" t="str">
        <f t="shared" si="10"/>
        <v>LOST</v>
      </c>
      <c r="Z11" s="283" t="str">
        <f t="shared" si="11"/>
        <v>STRONG</v>
      </c>
      <c r="AA11" s="511" t="str">
        <f t="shared" si="12"/>
        <v>CONGRESS</v>
      </c>
      <c r="AB11">
        <v>918</v>
      </c>
      <c r="AC11">
        <v>550</v>
      </c>
      <c r="AD11">
        <v>404</v>
      </c>
      <c r="AE11">
        <v>248</v>
      </c>
      <c r="AF11">
        <v>514</v>
      </c>
      <c r="AG11">
        <v>302</v>
      </c>
      <c r="AH11">
        <v>332</v>
      </c>
      <c r="AI11">
        <v>218</v>
      </c>
      <c r="AJ11">
        <v>93</v>
      </c>
      <c r="AK11">
        <v>47</v>
      </c>
      <c r="AL11">
        <v>493</v>
      </c>
      <c r="AM11">
        <v>285</v>
      </c>
      <c r="AN11" s="248">
        <f t="shared" si="13"/>
        <v>44.0087145969499</v>
      </c>
      <c r="AO11" s="316">
        <f t="shared" si="13"/>
        <v>45.0909090909091</v>
      </c>
      <c r="AP11" s="317">
        <f t="shared" si="14"/>
        <v>55.9912854030501</v>
      </c>
      <c r="AQ11" s="318">
        <f t="shared" si="15"/>
        <v>54.9090909090909</v>
      </c>
      <c r="AR11" s="318" t="str">
        <f t="shared" si="16"/>
        <v>FEMALE DOM</v>
      </c>
      <c r="AS11" s="319" t="str">
        <f t="shared" si="17"/>
        <v>FEMALE</v>
      </c>
      <c r="AT11" s="317">
        <f t="shared" si="18"/>
        <v>36.1655773420479</v>
      </c>
      <c r="AU11" s="317">
        <f t="shared" si="18"/>
        <v>39.6363636363636</v>
      </c>
      <c r="AV11" s="248">
        <f t="shared" si="19"/>
        <v>10.1307189542484</v>
      </c>
      <c r="AW11" s="317">
        <f t="shared" si="19"/>
        <v>8.54545454545454</v>
      </c>
      <c r="AX11" s="248">
        <f t="shared" si="20"/>
        <v>53.7037037037037</v>
      </c>
      <c r="AY11" s="317">
        <f t="shared" si="20"/>
        <v>51.8181818181818</v>
      </c>
      <c r="AZ11" s="248" t="str">
        <f t="shared" si="21"/>
        <v>MINORITY</v>
      </c>
      <c r="BA11" s="318" t="str">
        <f t="shared" si="22"/>
        <v>MINORITY</v>
      </c>
    </row>
    <row r="12" spans="1:53">
      <c r="A12" s="545"/>
      <c r="B12" s="633">
        <v>167</v>
      </c>
      <c r="C12" s="567">
        <v>836</v>
      </c>
      <c r="D12" s="566">
        <v>306</v>
      </c>
      <c r="E12" s="567">
        <v>99</v>
      </c>
      <c r="F12" s="566">
        <v>3</v>
      </c>
      <c r="G12" s="567">
        <v>0</v>
      </c>
      <c r="H12" s="566">
        <v>0</v>
      </c>
      <c r="I12" s="633">
        <v>0</v>
      </c>
      <c r="J12" s="567">
        <v>0</v>
      </c>
      <c r="K12" s="560">
        <v>0</v>
      </c>
      <c r="L12" s="566">
        <v>408</v>
      </c>
      <c r="M12" s="567">
        <v>0</v>
      </c>
      <c r="N12" s="566">
        <v>2</v>
      </c>
      <c r="O12" s="633">
        <f t="shared" si="0"/>
        <v>410</v>
      </c>
      <c r="P12" s="567">
        <f t="shared" si="1"/>
        <v>49.0430622009569</v>
      </c>
      <c r="Q12" s="560">
        <f t="shared" si="2"/>
        <v>24.1463414634146</v>
      </c>
      <c r="R12" s="566">
        <f t="shared" si="3"/>
        <v>74.6341463414634</v>
      </c>
      <c r="S12" s="567">
        <f t="shared" si="4"/>
        <v>0.731707317073171</v>
      </c>
      <c r="T12" s="566">
        <f t="shared" si="5"/>
        <v>0</v>
      </c>
      <c r="U12" s="567">
        <f t="shared" si="6"/>
        <v>0</v>
      </c>
      <c r="V12" s="566">
        <f t="shared" si="7"/>
        <v>0.48780487804878</v>
      </c>
      <c r="W12" s="567">
        <f t="shared" si="8"/>
        <v>-50.4878048780488</v>
      </c>
      <c r="X12" s="560">
        <f t="shared" si="9"/>
        <v>-51.219512195122</v>
      </c>
      <c r="Y12" s="560" t="str">
        <f t="shared" si="10"/>
        <v>LOST</v>
      </c>
      <c r="Z12" s="288" t="str">
        <f t="shared" si="11"/>
        <v>MEDIUM</v>
      </c>
      <c r="AA12" s="511" t="str">
        <f t="shared" si="12"/>
        <v>CONGRESS</v>
      </c>
      <c r="AB12">
        <v>830</v>
      </c>
      <c r="AC12">
        <v>402</v>
      </c>
      <c r="AD12">
        <v>394</v>
      </c>
      <c r="AE12">
        <v>188</v>
      </c>
      <c r="AF12">
        <v>436</v>
      </c>
      <c r="AG12">
        <v>214</v>
      </c>
      <c r="AH12">
        <v>237</v>
      </c>
      <c r="AI12">
        <v>121</v>
      </c>
      <c r="AJ12">
        <v>216</v>
      </c>
      <c r="AK12">
        <v>111</v>
      </c>
      <c r="AL12">
        <v>377</v>
      </c>
      <c r="AM12">
        <v>170</v>
      </c>
      <c r="AN12" s="248">
        <f t="shared" si="13"/>
        <v>47.4698795180723</v>
      </c>
      <c r="AO12" s="316">
        <f t="shared" si="13"/>
        <v>46.7661691542289</v>
      </c>
      <c r="AP12" s="317">
        <f t="shared" si="14"/>
        <v>52.5301204819277</v>
      </c>
      <c r="AQ12" s="318">
        <f t="shared" si="15"/>
        <v>53.2338308457711</v>
      </c>
      <c r="AR12" s="318" t="str">
        <f t="shared" si="16"/>
        <v>FEMALE DOM</v>
      </c>
      <c r="AS12" s="319" t="str">
        <f t="shared" si="17"/>
        <v>FEMALE</v>
      </c>
      <c r="AT12" s="317">
        <f t="shared" si="18"/>
        <v>28.5542168674699</v>
      </c>
      <c r="AU12" s="317">
        <f t="shared" si="18"/>
        <v>30.0995024875622</v>
      </c>
      <c r="AV12" s="248">
        <f t="shared" si="19"/>
        <v>26.0240963855422</v>
      </c>
      <c r="AW12" s="317">
        <f t="shared" si="19"/>
        <v>27.6119402985075</v>
      </c>
      <c r="AX12" s="248">
        <f t="shared" si="20"/>
        <v>45.421686746988</v>
      </c>
      <c r="AY12" s="317">
        <f t="shared" si="20"/>
        <v>42.2885572139304</v>
      </c>
      <c r="AZ12" s="248" t="str">
        <f t="shared" si="21"/>
        <v>MINORITY</v>
      </c>
      <c r="BA12" s="318" t="str">
        <f t="shared" si="22"/>
        <v>MINORITY</v>
      </c>
    </row>
    <row r="13" ht="21" spans="1:53">
      <c r="A13" s="545"/>
      <c r="B13" s="634"/>
      <c r="C13" s="563">
        <f t="shared" ref="C13:O13" si="23">SUM(C7:C12)</f>
        <v>5932</v>
      </c>
      <c r="D13" s="568">
        <f t="shared" si="23"/>
        <v>2306</v>
      </c>
      <c r="E13" s="563">
        <f t="shared" si="23"/>
        <v>999</v>
      </c>
      <c r="F13" s="568">
        <f t="shared" si="23"/>
        <v>17</v>
      </c>
      <c r="G13" s="563">
        <f t="shared" si="23"/>
        <v>16</v>
      </c>
      <c r="H13" s="568">
        <f t="shared" si="23"/>
        <v>0</v>
      </c>
      <c r="I13" s="634">
        <f t="shared" si="23"/>
        <v>3</v>
      </c>
      <c r="J13" s="563">
        <f t="shared" si="23"/>
        <v>0</v>
      </c>
      <c r="K13" s="562">
        <f t="shared" si="23"/>
        <v>1</v>
      </c>
      <c r="L13" s="568">
        <f t="shared" si="23"/>
        <v>3342</v>
      </c>
      <c r="M13" s="563">
        <f t="shared" si="23"/>
        <v>0</v>
      </c>
      <c r="N13" s="568">
        <f t="shared" si="23"/>
        <v>24</v>
      </c>
      <c r="O13" s="634">
        <f t="shared" si="23"/>
        <v>3366</v>
      </c>
      <c r="P13" s="563">
        <f t="shared" ref="P13:X13" si="24">AVERAGE(P7:P12)</f>
        <v>56.8850405667046</v>
      </c>
      <c r="Q13" s="562">
        <f t="shared" si="24"/>
        <v>29.4039759370852</v>
      </c>
      <c r="R13" s="568">
        <f t="shared" si="24"/>
        <v>68.8169403879052</v>
      </c>
      <c r="S13" s="563">
        <f t="shared" si="24"/>
        <v>0.516728067143016</v>
      </c>
      <c r="T13" s="568">
        <f t="shared" si="24"/>
        <v>0.438447161002527</v>
      </c>
      <c r="U13" s="563">
        <f t="shared" si="24"/>
        <v>0.118660841612587</v>
      </c>
      <c r="V13" s="568">
        <f t="shared" si="24"/>
        <v>0.705247605251471</v>
      </c>
      <c r="W13" s="563">
        <f t="shared" si="24"/>
        <v>-39.4129644508199</v>
      </c>
      <c r="X13" s="562">
        <f t="shared" si="24"/>
        <v>-40.4868005205781</v>
      </c>
      <c r="Y13" s="562" t="str">
        <f t="shared" si="10"/>
        <v>LOST</v>
      </c>
      <c r="Z13" s="636" t="str">
        <f t="shared" si="11"/>
        <v>MEDIUM</v>
      </c>
      <c r="AA13" s="637" t="str">
        <f t="shared" si="12"/>
        <v>CONGRESS</v>
      </c>
      <c r="AB13">
        <f t="shared" ref="AB13:AM13" si="25">SUM(AB7:AB12)</f>
        <v>5890</v>
      </c>
      <c r="AC13">
        <f t="shared" si="25"/>
        <v>3212</v>
      </c>
      <c r="AD13">
        <f t="shared" si="25"/>
        <v>2690</v>
      </c>
      <c r="AE13">
        <f t="shared" si="25"/>
        <v>1473</v>
      </c>
      <c r="AF13">
        <f t="shared" si="25"/>
        <v>3200</v>
      </c>
      <c r="AG13">
        <f t="shared" si="25"/>
        <v>1739</v>
      </c>
      <c r="AH13">
        <f t="shared" si="25"/>
        <v>1893</v>
      </c>
      <c r="AI13">
        <f t="shared" si="25"/>
        <v>1146</v>
      </c>
      <c r="AJ13">
        <f t="shared" si="25"/>
        <v>1484</v>
      </c>
      <c r="AK13">
        <f t="shared" si="25"/>
        <v>715</v>
      </c>
      <c r="AL13">
        <f t="shared" si="25"/>
        <v>2513</v>
      </c>
      <c r="AM13">
        <f t="shared" si="25"/>
        <v>1351</v>
      </c>
      <c r="AN13" s="248">
        <f>AVERAGE(AN7:AN12)</f>
        <v>45.6843538590117</v>
      </c>
      <c r="AO13" s="316">
        <f>AVERAGE(AO7:AO12)</f>
        <v>45.8401543391442</v>
      </c>
      <c r="AP13" s="317">
        <f>AVERAGE(AP7:AP12)</f>
        <v>54.3156461409883</v>
      </c>
      <c r="AQ13" s="318">
        <f>AVERAGE(AQ7:AQ12)</f>
        <v>54.1598456608558</v>
      </c>
      <c r="AR13" s="318" t="str">
        <f t="shared" si="16"/>
        <v>FEMALE DOM</v>
      </c>
      <c r="AS13" s="319" t="str">
        <f t="shared" si="17"/>
        <v>FEMALE</v>
      </c>
      <c r="AT13" s="317">
        <f t="shared" si="18"/>
        <v>32.1392190152801</v>
      </c>
      <c r="AU13" s="317">
        <f t="shared" si="18"/>
        <v>35.678704856787</v>
      </c>
      <c r="AV13" s="248">
        <f t="shared" si="19"/>
        <v>25.195246179966</v>
      </c>
      <c r="AW13" s="317">
        <f t="shared" si="19"/>
        <v>22.2602739726027</v>
      </c>
      <c r="AX13" s="248">
        <f t="shared" si="20"/>
        <v>42.6655348047538</v>
      </c>
      <c r="AY13" s="317">
        <f t="shared" si="20"/>
        <v>42.0610211706102</v>
      </c>
      <c r="AZ13" s="248" t="str">
        <f t="shared" si="21"/>
        <v>MINORITY</v>
      </c>
      <c r="BA13" s="318" t="str">
        <f t="shared" si="22"/>
        <v>MINORITY</v>
      </c>
    </row>
    <row r="14" spans="7:28">
      <c r="G14" s="445"/>
      <c r="Z14" s="570" t="str">
        <f t="shared" si="11"/>
        <v/>
      </c>
      <c r="AA14" s="570"/>
      <c r="AB14" s="462"/>
    </row>
    <row r="16" spans="4:21">
      <c r="D16" s="225" t="s">
        <v>96</v>
      </c>
      <c r="E16" s="237"/>
      <c r="F16" s="237"/>
      <c r="G16" s="238"/>
      <c r="I16" s="225" t="s">
        <v>97</v>
      </c>
      <c r="J16" s="237"/>
      <c r="K16" s="237"/>
      <c r="L16" s="238"/>
      <c r="N16" s="265" t="s">
        <v>98</v>
      </c>
      <c r="O16" s="265"/>
      <c r="P16" s="265"/>
      <c r="Q16" s="265"/>
      <c r="R16" s="265"/>
      <c r="S16" s="265"/>
      <c r="T16" s="265"/>
      <c r="U16" s="265"/>
    </row>
    <row r="17" spans="4:21">
      <c r="D17" s="226"/>
      <c r="E17" s="239"/>
      <c r="F17" s="239"/>
      <c r="G17" s="240"/>
      <c r="I17" s="241"/>
      <c r="J17" s="242"/>
      <c r="K17" s="242"/>
      <c r="L17" s="243"/>
      <c r="N17" s="265"/>
      <c r="O17" s="265"/>
      <c r="P17" s="265"/>
      <c r="Q17" s="265"/>
      <c r="R17" s="265"/>
      <c r="S17" s="265"/>
      <c r="T17" s="265"/>
      <c r="U17" s="265"/>
    </row>
    <row r="18" spans="4:21">
      <c r="D18" s="227" t="s">
        <v>99</v>
      </c>
      <c r="E18" s="244"/>
      <c r="F18" s="245"/>
      <c r="G18" s="245">
        <f>COUNTIF(AA7:AA12,"BJP")</f>
        <v>0</v>
      </c>
      <c r="I18" s="246" t="s">
        <v>100</v>
      </c>
      <c r="J18" s="247"/>
      <c r="K18" s="247"/>
      <c r="L18" s="248">
        <f>COUNTIF(Y7:Y12,"NARROW")</f>
        <v>0</v>
      </c>
      <c r="N18" s="265" t="s">
        <v>101</v>
      </c>
      <c r="O18" s="265"/>
      <c r="P18" s="265"/>
      <c r="Q18" s="265">
        <f>'BENDR-18'!E9</f>
        <v>28.9927780034827</v>
      </c>
      <c r="R18" s="265" t="s">
        <v>102</v>
      </c>
      <c r="S18" s="265"/>
      <c r="T18" s="265"/>
      <c r="U18" s="265">
        <f>Q13</f>
        <v>29.4039759370852</v>
      </c>
    </row>
    <row r="19" spans="4:21">
      <c r="D19" s="227"/>
      <c r="E19" s="244"/>
      <c r="F19" s="245"/>
      <c r="G19" s="245"/>
      <c r="I19" s="249"/>
      <c r="J19" s="250"/>
      <c r="K19" s="250"/>
      <c r="L19" s="251"/>
      <c r="N19" s="265"/>
      <c r="O19" s="265"/>
      <c r="P19" s="265"/>
      <c r="Q19" s="265"/>
      <c r="R19" s="265"/>
      <c r="S19" s="265"/>
      <c r="T19" s="265"/>
      <c r="U19" s="265"/>
    </row>
    <row r="20" spans="4:21">
      <c r="D20" s="227"/>
      <c r="E20" s="244"/>
      <c r="F20" s="245"/>
      <c r="G20" s="245"/>
      <c r="I20" s="252" t="s">
        <v>103</v>
      </c>
      <c r="J20" s="253"/>
      <c r="K20" s="253"/>
      <c r="L20" s="248">
        <f>COUNTIF(Y7:Y12,"MEDIUM")</f>
        <v>0</v>
      </c>
      <c r="N20" s="265" t="s">
        <v>104</v>
      </c>
      <c r="O20" s="265"/>
      <c r="P20" s="265"/>
      <c r="Q20" s="265">
        <f>'BENDR-18'!G9</f>
        <v>69.3632902463954</v>
      </c>
      <c r="R20" s="265" t="s">
        <v>105</v>
      </c>
      <c r="S20" s="265"/>
      <c r="T20" s="265"/>
      <c r="U20" s="265">
        <f>R13</f>
        <v>68.8169403879052</v>
      </c>
    </row>
    <row r="21" spans="4:21">
      <c r="D21" s="228" t="s">
        <v>106</v>
      </c>
      <c r="E21" s="254"/>
      <c r="F21" s="255"/>
      <c r="G21" s="255">
        <f>COUNTIF(AA7:AA12,"CONGRESS")</f>
        <v>6</v>
      </c>
      <c r="I21" s="252"/>
      <c r="J21" s="253"/>
      <c r="K21" s="253"/>
      <c r="L21" s="251"/>
      <c r="N21" s="265"/>
      <c r="O21" s="265"/>
      <c r="P21" s="265"/>
      <c r="Q21" s="265"/>
      <c r="R21" s="265"/>
      <c r="S21" s="265"/>
      <c r="T21" s="265"/>
      <c r="U21" s="265"/>
    </row>
    <row r="22" spans="4:21">
      <c r="D22" s="229"/>
      <c r="E22" s="256"/>
      <c r="F22" s="257"/>
      <c r="G22" s="257"/>
      <c r="I22" s="258" t="s">
        <v>107</v>
      </c>
      <c r="J22" s="259"/>
      <c r="K22" s="259"/>
      <c r="L22" s="248">
        <f>COUNTIF(Y7:Y12,"STRONG")</f>
        <v>0</v>
      </c>
      <c r="N22" s="265" t="s">
        <v>108</v>
      </c>
      <c r="O22" s="265"/>
      <c r="P22" s="265"/>
      <c r="Q22" s="265">
        <f>'BENDR-18'!C9</f>
        <v>4119</v>
      </c>
      <c r="R22" s="265" t="s">
        <v>109</v>
      </c>
      <c r="S22" s="265"/>
      <c r="T22" s="265"/>
      <c r="U22" s="265">
        <f>L13</f>
        <v>3342</v>
      </c>
    </row>
    <row r="23" spans="4:21">
      <c r="D23" s="230"/>
      <c r="E23" s="260"/>
      <c r="F23" s="261"/>
      <c r="G23" s="261"/>
      <c r="I23" s="262"/>
      <c r="J23" s="263"/>
      <c r="K23" s="263"/>
      <c r="L23" s="251"/>
      <c r="N23" s="265"/>
      <c r="O23" s="265"/>
      <c r="P23" s="265"/>
      <c r="Q23" s="265"/>
      <c r="R23" s="265"/>
      <c r="S23" s="265"/>
      <c r="T23" s="265"/>
      <c r="U23" s="265"/>
    </row>
    <row r="24" spans="9:21">
      <c r="I24" s="229" t="s">
        <v>110</v>
      </c>
      <c r="J24" s="256"/>
      <c r="K24" s="256"/>
      <c r="L24" s="248">
        <f>COUNTIF(Y7:Y12,"LOST")</f>
        <v>6</v>
      </c>
      <c r="N24" s="265" t="s">
        <v>111</v>
      </c>
      <c r="O24" s="265"/>
      <c r="P24" s="265"/>
      <c r="Q24" s="265">
        <f>Q18-Q20</f>
        <v>-40.3705122429127</v>
      </c>
      <c r="R24" s="265" t="s">
        <v>111</v>
      </c>
      <c r="S24" s="265"/>
      <c r="T24" s="265"/>
      <c r="U24" s="265">
        <f>U18-U20</f>
        <v>-39.4129644508199</v>
      </c>
    </row>
    <row r="25" spans="9:21">
      <c r="I25" s="230"/>
      <c r="J25" s="260"/>
      <c r="K25" s="260"/>
      <c r="L25" s="251"/>
      <c r="N25" s="265"/>
      <c r="O25" s="265"/>
      <c r="P25" s="265"/>
      <c r="Q25" s="265"/>
      <c r="R25" s="265"/>
      <c r="S25" s="265"/>
      <c r="T25" s="265"/>
      <c r="U25" s="265"/>
    </row>
    <row r="26" spans="14:20">
      <c r="N26" s="265" t="s">
        <v>112</v>
      </c>
      <c r="O26" s="265"/>
      <c r="P26" s="265"/>
      <c r="Q26" s="265">
        <f>U18-Q18</f>
        <v>0.411197933602509</v>
      </c>
      <c r="R26" s="265"/>
      <c r="S26" s="265"/>
      <c r="T26" s="265"/>
    </row>
    <row r="27" spans="14:20">
      <c r="N27" s="265"/>
      <c r="O27" s="265"/>
      <c r="P27" s="265"/>
      <c r="Q27" s="265"/>
      <c r="R27" s="265"/>
      <c r="S27" s="265"/>
      <c r="T27" s="265"/>
    </row>
    <row r="28" spans="14:20">
      <c r="N28" s="265" t="s">
        <v>113</v>
      </c>
      <c r="O28" s="265"/>
      <c r="P28" s="265"/>
      <c r="Q28" s="265">
        <f>U20-Q20</f>
        <v>-0.546349858490231</v>
      </c>
      <c r="R28" s="265"/>
      <c r="S28" s="265"/>
      <c r="T28" s="265"/>
    </row>
    <row r="29" spans="14:20">
      <c r="N29" s="265"/>
      <c r="O29" s="265"/>
      <c r="P29" s="265"/>
      <c r="Q29" s="265"/>
      <c r="R29" s="265"/>
      <c r="S29" s="265"/>
      <c r="T29" s="265"/>
    </row>
    <row r="30" spans="14:20">
      <c r="N30" s="265" t="s">
        <v>114</v>
      </c>
      <c r="O30" s="265"/>
      <c r="P30" s="265"/>
      <c r="Q30" s="265" t="str">
        <f>IF(Q26&gt;Q28,"INCREASE","DECREASE")</f>
        <v>INCREASE</v>
      </c>
      <c r="R30" s="265"/>
      <c r="S30" s="265"/>
      <c r="T30" s="265"/>
    </row>
    <row r="31" spans="14:20">
      <c r="N31" s="265"/>
      <c r="O31" s="265"/>
      <c r="P31" s="265"/>
      <c r="Q31" s="265"/>
      <c r="R31" s="265"/>
      <c r="S31" s="265"/>
      <c r="T31" s="265"/>
    </row>
    <row r="32" spans="14:21">
      <c r="N32" s="265" t="s">
        <v>193</v>
      </c>
      <c r="O32" s="265"/>
      <c r="P32" s="265"/>
      <c r="Q32" s="265"/>
      <c r="R32" s="265"/>
      <c r="S32" s="265"/>
      <c r="T32" s="265"/>
      <c r="U32" s="265"/>
    </row>
    <row r="33" spans="14:21">
      <c r="N33" s="265"/>
      <c r="O33" s="265"/>
      <c r="P33" s="265"/>
      <c r="Q33" s="265"/>
      <c r="R33" s="265"/>
      <c r="S33" s="265"/>
      <c r="T33" s="265"/>
      <c r="U33" s="265"/>
    </row>
    <row r="34" spans="14:21">
      <c r="N34" s="265"/>
      <c r="O34" s="265"/>
      <c r="P34" s="265"/>
      <c r="Q34" s="265"/>
      <c r="R34" s="265"/>
      <c r="S34" s="265"/>
      <c r="T34" s="265"/>
      <c r="U34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G18:G20"/>
    <mergeCell ref="G21:G23"/>
    <mergeCell ref="H3:H6"/>
    <mergeCell ref="I3:I6"/>
    <mergeCell ref="J3:J6"/>
    <mergeCell ref="K3:K6"/>
    <mergeCell ref="L1:L6"/>
    <mergeCell ref="L18:L19"/>
    <mergeCell ref="L20:L21"/>
    <mergeCell ref="L22:L23"/>
    <mergeCell ref="L24:L25"/>
    <mergeCell ref="M1:M6"/>
    <mergeCell ref="N1:N6"/>
    <mergeCell ref="O1:O6"/>
    <mergeCell ref="P1:P6"/>
    <mergeCell ref="Q1:Q6"/>
    <mergeCell ref="Q18:Q19"/>
    <mergeCell ref="Q20:Q21"/>
    <mergeCell ref="Q22:Q23"/>
    <mergeCell ref="Q24:Q25"/>
    <mergeCell ref="R1:R6"/>
    <mergeCell ref="S1:S6"/>
    <mergeCell ref="T1:T6"/>
    <mergeCell ref="U1:U6"/>
    <mergeCell ref="U18:U19"/>
    <mergeCell ref="U20:U21"/>
    <mergeCell ref="U22:U23"/>
    <mergeCell ref="U24:U25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I24:K25"/>
    <mergeCell ref="R24:T25"/>
    <mergeCell ref="D16:G17"/>
    <mergeCell ref="I16:L17"/>
    <mergeCell ref="D18:F20"/>
    <mergeCell ref="I18:K19"/>
    <mergeCell ref="R18:T19"/>
    <mergeCell ref="I20:K21"/>
    <mergeCell ref="R20:T21"/>
    <mergeCell ref="D21:F23"/>
    <mergeCell ref="I22:K23"/>
    <mergeCell ref="R22:T23"/>
    <mergeCell ref="N16:U17"/>
    <mergeCell ref="N18:P19"/>
    <mergeCell ref="N20:P21"/>
    <mergeCell ref="N22:P23"/>
    <mergeCell ref="N32:U34"/>
    <mergeCell ref="N28:P29"/>
    <mergeCell ref="Q28:T29"/>
    <mergeCell ref="N30:P31"/>
    <mergeCell ref="Q30:R31"/>
    <mergeCell ref="S30:T31"/>
    <mergeCell ref="N24:P25"/>
    <mergeCell ref="N26:P27"/>
    <mergeCell ref="Q26:T27"/>
  </mergeCells>
  <conditionalFormatting sqref="AR7:AR13">
    <cfRule type="containsText" dxfId="6" priority="1" operator="between" text="FEMALE DOM">
      <formula>NOT(ISERROR(SEARCH("FEMALE DOM",AR7)))</formula>
    </cfRule>
  </conditionalFormatting>
  <conditionalFormatting sqref="AZ7:AZ13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3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"/>
  <sheetViews>
    <sheetView workbookViewId="0">
      <selection activeCell="A1" sqref="A1:AJ1"/>
    </sheetView>
  </sheetViews>
  <sheetFormatPr defaultColWidth="9" defaultRowHeight="14.5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117</v>
      </c>
      <c r="B2" s="185" t="s">
        <v>194</v>
      </c>
      <c r="C2" s="184">
        <v>634</v>
      </c>
      <c r="D2" s="184">
        <v>291</v>
      </c>
      <c r="E2" s="184">
        <f t="shared" ref="E2:E8" si="0">(D2/C2)*100</f>
        <v>45.8990536277603</v>
      </c>
      <c r="F2" s="184">
        <v>318</v>
      </c>
      <c r="G2" s="184">
        <f t="shared" ref="G2:G8" si="1">(F2/C2)*100</f>
        <v>50.1577287066246</v>
      </c>
      <c r="H2" s="184">
        <v>5</v>
      </c>
      <c r="I2" s="184">
        <f t="shared" ref="I2:I8" si="2">(H2/C2)*100</f>
        <v>0.788643533123028</v>
      </c>
      <c r="J2" s="184">
        <v>6</v>
      </c>
      <c r="K2" s="184">
        <f t="shared" ref="K2:K8" si="3">(J2/C2)*100</f>
        <v>0.946372239747634</v>
      </c>
      <c r="L2" s="189">
        <v>496</v>
      </c>
      <c r="M2" s="189">
        <v>549</v>
      </c>
      <c r="N2" s="189">
        <f t="shared" ref="N2:N8" si="4">L2+M2</f>
        <v>1045</v>
      </c>
      <c r="O2" s="184">
        <v>634</v>
      </c>
      <c r="P2" s="190">
        <f t="shared" ref="P2:P8" si="5">O2/N2*100</f>
        <v>60.6698564593301</v>
      </c>
      <c r="Q2" s="184">
        <v>531</v>
      </c>
      <c r="R2" s="184">
        <f t="shared" ref="R2:R8" si="6">(Q2/N2)*100</f>
        <v>50.8133971291866</v>
      </c>
      <c r="S2" s="184">
        <f t="shared" ref="S2:S8" si="7">Q2-U2</f>
        <v>148</v>
      </c>
      <c r="T2" s="184">
        <f t="shared" ref="T2:T8" si="8">(S2/Q2)*100</f>
        <v>27.8719397363465</v>
      </c>
      <c r="U2" s="184">
        <v>383</v>
      </c>
      <c r="V2" s="191">
        <f t="shared" ref="V2:V8" si="9">IFERROR(U2/Q2*100,0)</f>
        <v>72.1280602636535</v>
      </c>
      <c r="W2" s="184">
        <v>438</v>
      </c>
      <c r="X2" s="184">
        <f t="shared" ref="X2:X8" si="10">100-R2</f>
        <v>49.1866028708134</v>
      </c>
      <c r="Y2" s="184">
        <f t="shared" ref="Y2:Y8" si="11">W2-AA2</f>
        <v>215</v>
      </c>
      <c r="Z2" s="193">
        <f t="shared" ref="Z2:Z8" si="12">(Y2/W2)*100</f>
        <v>49.0867579908676</v>
      </c>
      <c r="AA2" s="193">
        <v>223</v>
      </c>
      <c r="AB2" s="194">
        <f t="shared" ref="AB2:AB8" si="13">IFERROR(AA2/W2*100,0)</f>
        <v>50.9132420091324</v>
      </c>
      <c r="AC2" s="193">
        <f t="shared" ref="AC2:AC8" si="14">U2+AA2</f>
        <v>606</v>
      </c>
      <c r="AD2" s="193" t="str">
        <f t="shared" ref="AD2:AD8" si="15">IF(P2&gt;80,"EXCELLENT",IF(P2&gt;70,"STRONG",IF(P2&gt;60,"AVG",IF(P2&gt;50,"WEAK",IF(P2&lt;50,"VLOW")))))</f>
        <v>AVG</v>
      </c>
      <c r="AE2" s="195" t="str">
        <f t="shared" ref="AE2:AE8" si="16">IF(R2&gt;80,"EXCELLENT",IF(R2&gt;70,"STRONG",IF(R2&gt;60,"AVG",IF(R2&gt;50,"WEAK",IF(R2&lt;50,"VLOW")))))</f>
        <v>WEAK</v>
      </c>
      <c r="AF2" s="193" t="str">
        <f t="shared" ref="AF2:AF8" si="17">IF(X2&gt;80,"EXCELLENT",IF(X2&gt;70,"STRONG",IF(X2&gt;60,"AVG",IF(X2&gt;50,"WEAK",IF(X2&lt;50,"VLOW")))))</f>
        <v>VLOW</v>
      </c>
      <c r="AG2" s="193" t="str">
        <f t="shared" ref="AG2:AG8" si="18">IF(M2&gt;L2,"FEMALE DOM","MEN")</f>
        <v>FEMALE DOM</v>
      </c>
      <c r="AH2" s="193" t="str">
        <f t="shared" ref="AH2:AH8" si="19">IF(T2&gt;Z2,"H","O")</f>
        <v>O</v>
      </c>
      <c r="AI2" s="197">
        <f t="shared" ref="AI2:AI9" si="20">G2-E2</f>
        <v>4.25867507886435</v>
      </c>
      <c r="AJ2" s="198" t="str">
        <f t="shared" ref="AJ2:AJ9" si="21">IF(E2&gt;G2,"BJP GAIN","CONGRESSGAIN")</f>
        <v>CONGRESSGAIN</v>
      </c>
    </row>
    <row r="3" spans="1:36">
      <c r="A3" s="184">
        <v>118</v>
      </c>
      <c r="B3" s="185" t="s">
        <v>195</v>
      </c>
      <c r="C3" s="184">
        <v>695</v>
      </c>
      <c r="D3" s="184">
        <v>205</v>
      </c>
      <c r="E3" s="184">
        <f t="shared" si="0"/>
        <v>29.4964028776978</v>
      </c>
      <c r="F3" s="184">
        <v>474</v>
      </c>
      <c r="G3" s="184">
        <f t="shared" si="1"/>
        <v>68.2014388489209</v>
      </c>
      <c r="H3" s="184">
        <v>5</v>
      </c>
      <c r="I3" s="184">
        <f t="shared" si="2"/>
        <v>0.719424460431655</v>
      </c>
      <c r="J3" s="184">
        <v>4</v>
      </c>
      <c r="K3" s="184">
        <f t="shared" si="3"/>
        <v>0.575539568345324</v>
      </c>
      <c r="L3" s="189">
        <v>494</v>
      </c>
      <c r="M3" s="189">
        <v>607</v>
      </c>
      <c r="N3" s="189">
        <f t="shared" si="4"/>
        <v>1101</v>
      </c>
      <c r="O3" s="184">
        <v>695</v>
      </c>
      <c r="P3" s="190">
        <f t="shared" si="5"/>
        <v>63.1244323342416</v>
      </c>
      <c r="Q3" s="184">
        <v>385</v>
      </c>
      <c r="R3" s="184">
        <f t="shared" si="6"/>
        <v>34.9682107175295</v>
      </c>
      <c r="S3" s="184">
        <f t="shared" si="7"/>
        <v>145</v>
      </c>
      <c r="T3" s="184">
        <f t="shared" si="8"/>
        <v>37.6623376623377</v>
      </c>
      <c r="U3" s="184">
        <v>240</v>
      </c>
      <c r="V3" s="191">
        <f t="shared" si="9"/>
        <v>62.3376623376623</v>
      </c>
      <c r="W3" s="184">
        <f>1101-385</f>
        <v>716</v>
      </c>
      <c r="X3" s="184">
        <f t="shared" si="10"/>
        <v>65.0317892824705</v>
      </c>
      <c r="Y3" s="196">
        <f t="shared" si="11"/>
        <v>261</v>
      </c>
      <c r="Z3" s="193">
        <f t="shared" si="12"/>
        <v>36.4525139664804</v>
      </c>
      <c r="AA3" s="193">
        <f>695-240</f>
        <v>455</v>
      </c>
      <c r="AB3" s="194">
        <f t="shared" si="13"/>
        <v>63.5474860335196</v>
      </c>
      <c r="AC3" s="193">
        <f t="shared" si="14"/>
        <v>695</v>
      </c>
      <c r="AD3" s="193" t="str">
        <f t="shared" si="15"/>
        <v>AVG</v>
      </c>
      <c r="AE3" s="195" t="str">
        <f t="shared" si="16"/>
        <v>VLOW</v>
      </c>
      <c r="AF3" s="193" t="str">
        <f t="shared" si="17"/>
        <v>AVG</v>
      </c>
      <c r="AG3" s="193" t="str">
        <f t="shared" si="18"/>
        <v>FEMALE DOM</v>
      </c>
      <c r="AH3" s="193" t="str">
        <f t="shared" si="19"/>
        <v>H</v>
      </c>
      <c r="AI3" s="197">
        <f t="shared" si="20"/>
        <v>38.705035971223</v>
      </c>
      <c r="AJ3" s="198" t="str">
        <f t="shared" si="21"/>
        <v>CONGRESSGAIN</v>
      </c>
    </row>
    <row r="4" spans="1:36">
      <c r="A4" s="184">
        <v>122</v>
      </c>
      <c r="B4" s="185" t="s">
        <v>196</v>
      </c>
      <c r="C4" s="184">
        <v>535</v>
      </c>
      <c r="D4" s="184">
        <v>200</v>
      </c>
      <c r="E4" s="184">
        <f t="shared" si="0"/>
        <v>37.3831775700935</v>
      </c>
      <c r="F4" s="184">
        <v>332</v>
      </c>
      <c r="G4" s="184">
        <f t="shared" si="1"/>
        <v>62.0560747663551</v>
      </c>
      <c r="H4" s="184">
        <v>2</v>
      </c>
      <c r="I4" s="184">
        <f t="shared" si="2"/>
        <v>0.373831775700935</v>
      </c>
      <c r="J4" s="184">
        <v>0</v>
      </c>
      <c r="K4" s="184">
        <f t="shared" si="3"/>
        <v>0</v>
      </c>
      <c r="L4" s="189">
        <v>351</v>
      </c>
      <c r="M4" s="189">
        <v>492</v>
      </c>
      <c r="N4" s="189">
        <f t="shared" si="4"/>
        <v>843</v>
      </c>
      <c r="O4" s="184">
        <v>535</v>
      </c>
      <c r="P4" s="190">
        <f t="shared" si="5"/>
        <v>63.4638196915777</v>
      </c>
      <c r="Q4" s="184"/>
      <c r="R4" s="184">
        <f t="shared" si="6"/>
        <v>0</v>
      </c>
      <c r="S4" s="184">
        <f t="shared" si="7"/>
        <v>0</v>
      </c>
      <c r="T4" s="184" t="e">
        <f t="shared" si="8"/>
        <v>#DIV/0!</v>
      </c>
      <c r="U4" s="184"/>
      <c r="V4" s="191">
        <f t="shared" si="9"/>
        <v>0</v>
      </c>
      <c r="W4" s="184"/>
      <c r="X4" s="184">
        <f t="shared" si="10"/>
        <v>100</v>
      </c>
      <c r="Y4" s="184">
        <f t="shared" si="11"/>
        <v>0</v>
      </c>
      <c r="Z4" s="193" t="e">
        <f t="shared" si="12"/>
        <v>#DIV/0!</v>
      </c>
      <c r="AA4" s="193"/>
      <c r="AB4" s="194">
        <f t="shared" si="13"/>
        <v>0</v>
      </c>
      <c r="AC4" s="193">
        <f t="shared" si="14"/>
        <v>0</v>
      </c>
      <c r="AD4" s="193" t="str">
        <f t="shared" si="15"/>
        <v>AVG</v>
      </c>
      <c r="AE4" s="195" t="str">
        <f t="shared" si="16"/>
        <v>VLOW</v>
      </c>
      <c r="AF4" s="193" t="str">
        <f t="shared" si="17"/>
        <v>EXCELLENT</v>
      </c>
      <c r="AG4" s="193" t="str">
        <f t="shared" si="18"/>
        <v>FEMALE DOM</v>
      </c>
      <c r="AH4" s="193" t="e">
        <f t="shared" si="19"/>
        <v>#DIV/0!</v>
      </c>
      <c r="AI4" s="197">
        <f t="shared" si="20"/>
        <v>24.6728971962617</v>
      </c>
      <c r="AJ4" s="198" t="str">
        <f t="shared" si="21"/>
        <v>CONGRESSGAIN</v>
      </c>
    </row>
    <row r="5" spans="1:36">
      <c r="A5" s="184">
        <v>124</v>
      </c>
      <c r="B5" s="185" t="s">
        <v>197</v>
      </c>
      <c r="C5" s="184">
        <v>685</v>
      </c>
      <c r="D5" s="184">
        <v>236</v>
      </c>
      <c r="E5" s="184">
        <f t="shared" si="0"/>
        <v>34.4525547445255</v>
      </c>
      <c r="F5" s="184">
        <v>442</v>
      </c>
      <c r="G5" s="184">
        <f t="shared" si="1"/>
        <v>64.5255474452555</v>
      </c>
      <c r="H5" s="184">
        <v>3</v>
      </c>
      <c r="I5" s="184">
        <f t="shared" si="2"/>
        <v>0.437956204379562</v>
      </c>
      <c r="J5" s="184">
        <v>1</v>
      </c>
      <c r="K5" s="184">
        <f t="shared" si="3"/>
        <v>0.145985401459854</v>
      </c>
      <c r="L5" s="189">
        <v>531</v>
      </c>
      <c r="M5" s="189">
        <v>637</v>
      </c>
      <c r="N5" s="189">
        <f t="shared" si="4"/>
        <v>1168</v>
      </c>
      <c r="O5" s="184">
        <v>685</v>
      </c>
      <c r="P5" s="190">
        <f t="shared" si="5"/>
        <v>58.6472602739726</v>
      </c>
      <c r="Q5" s="184">
        <v>586</v>
      </c>
      <c r="R5" s="184">
        <f t="shared" si="6"/>
        <v>50.1712328767123</v>
      </c>
      <c r="S5" s="184">
        <f t="shared" si="7"/>
        <v>268</v>
      </c>
      <c r="T5" s="184">
        <f t="shared" si="8"/>
        <v>45.7337883959044</v>
      </c>
      <c r="U5" s="184">
        <v>318</v>
      </c>
      <c r="V5" s="191">
        <f t="shared" si="9"/>
        <v>54.2662116040956</v>
      </c>
      <c r="W5" s="184">
        <f>441+119</f>
        <v>560</v>
      </c>
      <c r="X5" s="184">
        <f t="shared" si="10"/>
        <v>49.8287671232877</v>
      </c>
      <c r="Y5" s="196">
        <f t="shared" si="11"/>
        <v>193</v>
      </c>
      <c r="Z5" s="193">
        <f t="shared" si="12"/>
        <v>34.4642857142857</v>
      </c>
      <c r="AA5" s="193">
        <v>367</v>
      </c>
      <c r="AB5" s="194">
        <f t="shared" si="13"/>
        <v>65.5357142857143</v>
      </c>
      <c r="AC5" s="193">
        <f t="shared" si="14"/>
        <v>685</v>
      </c>
      <c r="AD5" s="193" t="str">
        <f t="shared" si="15"/>
        <v>WEAK</v>
      </c>
      <c r="AE5" s="195" t="str">
        <f t="shared" si="16"/>
        <v>WEAK</v>
      </c>
      <c r="AF5" s="193" t="str">
        <f t="shared" si="17"/>
        <v>VLOW</v>
      </c>
      <c r="AG5" s="193" t="str">
        <f t="shared" si="18"/>
        <v>FEMALE DOM</v>
      </c>
      <c r="AH5" s="193" t="str">
        <f t="shared" si="19"/>
        <v>H</v>
      </c>
      <c r="AI5" s="197">
        <f t="shared" si="20"/>
        <v>30.0729927007299</v>
      </c>
      <c r="AJ5" s="198" t="str">
        <f t="shared" si="21"/>
        <v>CONGRESSGAIN</v>
      </c>
    </row>
    <row r="6" spans="1:36">
      <c r="A6" s="184">
        <v>148</v>
      </c>
      <c r="B6" s="185" t="s">
        <v>198</v>
      </c>
      <c r="C6" s="184">
        <v>515</v>
      </c>
      <c r="D6" s="184">
        <v>88</v>
      </c>
      <c r="E6" s="184">
        <f t="shared" si="0"/>
        <v>17.0873786407767</v>
      </c>
      <c r="F6" s="184">
        <v>423</v>
      </c>
      <c r="G6" s="184">
        <f t="shared" si="1"/>
        <v>82.1359223300971</v>
      </c>
      <c r="H6" s="184">
        <v>0</v>
      </c>
      <c r="I6" s="184">
        <f t="shared" si="2"/>
        <v>0</v>
      </c>
      <c r="J6" s="184">
        <v>0</v>
      </c>
      <c r="K6" s="184">
        <f t="shared" si="3"/>
        <v>0</v>
      </c>
      <c r="L6" s="189">
        <v>410</v>
      </c>
      <c r="M6" s="189">
        <v>503</v>
      </c>
      <c r="N6" s="189">
        <f t="shared" si="4"/>
        <v>913</v>
      </c>
      <c r="O6" s="184">
        <v>515</v>
      </c>
      <c r="P6" s="190">
        <f t="shared" si="5"/>
        <v>56.407447973713</v>
      </c>
      <c r="Q6" s="184">
        <v>204</v>
      </c>
      <c r="R6" s="184">
        <f t="shared" si="6"/>
        <v>22.3439211391019</v>
      </c>
      <c r="S6" s="192">
        <f t="shared" si="7"/>
        <v>81</v>
      </c>
      <c r="T6" s="184">
        <f t="shared" si="8"/>
        <v>39.7058823529412</v>
      </c>
      <c r="U6" s="184">
        <v>123</v>
      </c>
      <c r="V6" s="191">
        <f t="shared" si="9"/>
        <v>60.2941176470588</v>
      </c>
      <c r="W6" s="184">
        <f>367+344+15</f>
        <v>726</v>
      </c>
      <c r="X6" s="184">
        <f t="shared" si="10"/>
        <v>77.6560788608981</v>
      </c>
      <c r="Y6" s="196">
        <f t="shared" si="11"/>
        <v>349</v>
      </c>
      <c r="Z6" s="193">
        <f t="shared" si="12"/>
        <v>48.0716253443526</v>
      </c>
      <c r="AA6" s="193">
        <f>184+193</f>
        <v>377</v>
      </c>
      <c r="AB6" s="194">
        <f t="shared" si="13"/>
        <v>51.9283746556474</v>
      </c>
      <c r="AC6" s="193">
        <f t="shared" si="14"/>
        <v>500</v>
      </c>
      <c r="AD6" s="193" t="str">
        <f t="shared" si="15"/>
        <v>WEAK</v>
      </c>
      <c r="AE6" s="195" t="str">
        <f t="shared" si="16"/>
        <v>VLOW</v>
      </c>
      <c r="AF6" s="193" t="str">
        <f t="shared" si="17"/>
        <v>STRONG</v>
      </c>
      <c r="AG6" s="193" t="str">
        <f t="shared" si="18"/>
        <v>FEMALE DOM</v>
      </c>
      <c r="AH6" s="193" t="str">
        <f t="shared" si="19"/>
        <v>O</v>
      </c>
      <c r="AI6" s="197">
        <f t="shared" si="20"/>
        <v>65.0485436893204</v>
      </c>
      <c r="AJ6" s="198" t="str">
        <f t="shared" si="21"/>
        <v>CONGRESSGAIN</v>
      </c>
    </row>
    <row r="7" spans="1:36">
      <c r="A7" s="184">
        <v>149</v>
      </c>
      <c r="B7" s="185" t="s">
        <v>198</v>
      </c>
      <c r="C7" s="184">
        <v>622</v>
      </c>
      <c r="D7" s="184">
        <v>111</v>
      </c>
      <c r="E7" s="184">
        <f t="shared" si="0"/>
        <v>17.8456591639871</v>
      </c>
      <c r="F7" s="184">
        <v>503</v>
      </c>
      <c r="G7" s="184">
        <f t="shared" si="1"/>
        <v>80.8681672025724</v>
      </c>
      <c r="H7" s="184">
        <v>0</v>
      </c>
      <c r="I7" s="184">
        <f t="shared" si="2"/>
        <v>0</v>
      </c>
      <c r="J7" s="184">
        <v>0</v>
      </c>
      <c r="K7" s="184">
        <f t="shared" si="3"/>
        <v>0</v>
      </c>
      <c r="L7" s="189">
        <v>476</v>
      </c>
      <c r="M7" s="189">
        <v>574</v>
      </c>
      <c r="N7" s="189">
        <f t="shared" si="4"/>
        <v>1050</v>
      </c>
      <c r="O7" s="184">
        <v>622</v>
      </c>
      <c r="P7" s="190">
        <f t="shared" si="5"/>
        <v>59.2380952380952</v>
      </c>
      <c r="Q7" s="184"/>
      <c r="R7" s="184">
        <f t="shared" si="6"/>
        <v>0</v>
      </c>
      <c r="S7" s="184">
        <f t="shared" si="7"/>
        <v>0</v>
      </c>
      <c r="T7" s="184" t="e">
        <f t="shared" si="8"/>
        <v>#DIV/0!</v>
      </c>
      <c r="U7" s="184"/>
      <c r="V7" s="191">
        <f t="shared" si="9"/>
        <v>0</v>
      </c>
      <c r="W7" s="184"/>
      <c r="X7" s="184">
        <f t="shared" si="10"/>
        <v>100</v>
      </c>
      <c r="Y7" s="184">
        <f t="shared" si="11"/>
        <v>0</v>
      </c>
      <c r="Z7" s="193" t="e">
        <f t="shared" si="12"/>
        <v>#DIV/0!</v>
      </c>
      <c r="AA7" s="193"/>
      <c r="AB7" s="194">
        <f t="shared" si="13"/>
        <v>0</v>
      </c>
      <c r="AC7" s="193">
        <f t="shared" si="14"/>
        <v>0</v>
      </c>
      <c r="AD7" s="193" t="str">
        <f t="shared" si="15"/>
        <v>WEAK</v>
      </c>
      <c r="AE7" s="195" t="str">
        <f t="shared" si="16"/>
        <v>VLOW</v>
      </c>
      <c r="AF7" s="193" t="str">
        <f t="shared" si="17"/>
        <v>EXCELLENT</v>
      </c>
      <c r="AG7" s="193" t="str">
        <f t="shared" si="18"/>
        <v>FEMALE DOM</v>
      </c>
      <c r="AH7" s="193" t="e">
        <f t="shared" si="19"/>
        <v>#DIV/0!</v>
      </c>
      <c r="AI7" s="197">
        <f t="shared" si="20"/>
        <v>63.0225080385852</v>
      </c>
      <c r="AJ7" s="198" t="str">
        <f t="shared" si="21"/>
        <v>CONGRESSGAIN</v>
      </c>
    </row>
    <row r="8" spans="1:36">
      <c r="A8" s="184">
        <v>153</v>
      </c>
      <c r="B8" s="185" t="s">
        <v>199</v>
      </c>
      <c r="C8" s="184">
        <v>433</v>
      </c>
      <c r="D8" s="184">
        <v>90</v>
      </c>
      <c r="E8" s="184">
        <f t="shared" si="0"/>
        <v>20.7852193995381</v>
      </c>
      <c r="F8" s="184">
        <v>336</v>
      </c>
      <c r="G8" s="184">
        <f t="shared" si="1"/>
        <v>77.5981524249423</v>
      </c>
      <c r="H8" s="184">
        <v>0</v>
      </c>
      <c r="I8" s="184">
        <f t="shared" si="2"/>
        <v>0</v>
      </c>
      <c r="J8" s="184">
        <v>0</v>
      </c>
      <c r="K8" s="184">
        <f t="shared" si="3"/>
        <v>0</v>
      </c>
      <c r="L8" s="189">
        <v>396</v>
      </c>
      <c r="M8" s="189">
        <v>431</v>
      </c>
      <c r="N8" s="189">
        <f t="shared" si="4"/>
        <v>827</v>
      </c>
      <c r="O8" s="184">
        <v>433</v>
      </c>
      <c r="P8" s="190">
        <f t="shared" si="5"/>
        <v>52.3579201934704</v>
      </c>
      <c r="Q8" s="184"/>
      <c r="R8" s="184">
        <f t="shared" si="6"/>
        <v>0</v>
      </c>
      <c r="S8" s="184">
        <f t="shared" si="7"/>
        <v>0</v>
      </c>
      <c r="T8" s="184" t="e">
        <f t="shared" si="8"/>
        <v>#DIV/0!</v>
      </c>
      <c r="U8" s="184"/>
      <c r="V8" s="191">
        <f t="shared" si="9"/>
        <v>0</v>
      </c>
      <c r="W8" s="184"/>
      <c r="X8" s="184">
        <f t="shared" si="10"/>
        <v>100</v>
      </c>
      <c r="Y8" s="184">
        <f t="shared" si="11"/>
        <v>0</v>
      </c>
      <c r="Z8" s="193" t="e">
        <f t="shared" si="12"/>
        <v>#DIV/0!</v>
      </c>
      <c r="AA8" s="193"/>
      <c r="AB8" s="194">
        <f t="shared" si="13"/>
        <v>0</v>
      </c>
      <c r="AC8" s="193">
        <f t="shared" si="14"/>
        <v>0</v>
      </c>
      <c r="AD8" s="193" t="str">
        <f t="shared" si="15"/>
        <v>WEAK</v>
      </c>
      <c r="AE8" s="195" t="str">
        <f t="shared" si="16"/>
        <v>VLOW</v>
      </c>
      <c r="AF8" s="193" t="str">
        <f t="shared" si="17"/>
        <v>EXCELLENT</v>
      </c>
      <c r="AG8" s="193" t="str">
        <f t="shared" si="18"/>
        <v>FEMALE DOM</v>
      </c>
      <c r="AH8" s="193" t="e">
        <f t="shared" si="19"/>
        <v>#DIV/0!</v>
      </c>
      <c r="AI8" s="197">
        <f t="shared" si="20"/>
        <v>56.8129330254042</v>
      </c>
      <c r="AJ8" s="198" t="str">
        <f t="shared" si="21"/>
        <v>CONGRESSGAIN</v>
      </c>
    </row>
    <row r="9" spans="3:36">
      <c r="C9">
        <f>SUM(C2:C8)</f>
        <v>4119</v>
      </c>
      <c r="D9">
        <f>SUM(D2:D8)</f>
        <v>1221</v>
      </c>
      <c r="E9" s="186">
        <f>AVERAGE(E2:E8)</f>
        <v>28.9927780034827</v>
      </c>
      <c r="F9">
        <f>SUM(F2:F8)</f>
        <v>2828</v>
      </c>
      <c r="G9" s="186">
        <f>AVERAGE(G2:G8)</f>
        <v>69.3632902463954</v>
      </c>
      <c r="H9">
        <f>SUM(H2:H8)</f>
        <v>15</v>
      </c>
      <c r="I9" s="186">
        <f>AVERAGE(I2:I8)</f>
        <v>0.331407996233597</v>
      </c>
      <c r="J9">
        <f>SUM(J2:J8)</f>
        <v>11</v>
      </c>
      <c r="K9" s="186">
        <f>AVERAGE(K2:K8)</f>
        <v>0.238271029936116</v>
      </c>
      <c r="AI9" s="329">
        <f t="shared" si="20"/>
        <v>40.3705122429127</v>
      </c>
      <c r="AJ9" s="200" t="str">
        <f t="shared" si="21"/>
        <v>CONGRESSGAIN</v>
      </c>
    </row>
  </sheetData>
  <conditionalFormatting sqref="AD4">
    <cfRule type="containsText" dxfId="8" priority="60" operator="between" text="AVG">
      <formula>NOT(ISERROR(SEARCH("AVG",AD4)))</formula>
    </cfRule>
    <cfRule type="cellIs" dxfId="9" priority="59" operator="equal">
      <formula>"STRONG"</formula>
    </cfRule>
    <cfRule type="containsText" dxfId="3" priority="58" operator="between" text="VSTRONG">
      <formula>NOT(ISERROR(SEARCH("VSTRONG",AD4)))</formula>
    </cfRule>
    <cfRule type="containsText" dxfId="10" priority="50" operator="between" text="AVG">
      <formula>NOT(ISERROR(SEARCH("AVG",AD4)))</formula>
    </cfRule>
  </conditionalFormatting>
  <conditionalFormatting sqref="AE4">
    <cfRule type="containsText" dxfId="3" priority="54" operator="between" text="STRONG">
      <formula>NOT(ISERROR(SEARCH("STRONG",AE4)))</formula>
    </cfRule>
    <cfRule type="containsText" dxfId="1" priority="52" operator="between" text="VSTRONG">
      <formula>NOT(ISERROR(SEARCH("VSTRONG",AE4)))</formula>
    </cfRule>
  </conditionalFormatting>
  <conditionalFormatting sqref="AE4:AF4">
    <cfRule type="containsText" dxfId="2" priority="53" operator="between" text="AVG">
      <formula>NOT(ISERROR(SEARCH("AVG",AE4)))</formula>
    </cfRule>
  </conditionalFormatting>
  <conditionalFormatting sqref="AF4">
    <cfRule type="cellIs" dxfId="11" priority="48" operator="equal">
      <formula>"VWEAK"</formula>
    </cfRule>
    <cfRule type="containsText" dxfId="0" priority="47" operator="between" text="VSTRONG">
      <formula>NOT(ISERROR(SEARCH("VSTRONG",AF4)))</formula>
    </cfRule>
  </conditionalFormatting>
  <conditionalFormatting sqref="AG4">
    <cfRule type="containsText" dxfId="12" priority="51" operator="between" text="FEMALE DOM">
      <formula>NOT(ISERROR(SEARCH("FEMALE DOM",AG4)))</formula>
    </cfRule>
    <cfRule type="containsText" dxfId="10" priority="46" operator="between" text="MEN">
      <formula>NOT(ISERROR(SEARCH("MEN",AG4)))</formula>
    </cfRule>
  </conditionalFormatting>
  <conditionalFormatting sqref="AH4">
    <cfRule type="containsText" dxfId="0" priority="57" operator="between" text="O">
      <formula>NOT(ISERROR(SEARCH("O",AH4)))</formula>
    </cfRule>
    <cfRule type="containsText" dxfId="3" priority="55" operator="between" text="H">
      <formula>NOT(ISERROR(SEARCH("H",AH4)))</formula>
    </cfRule>
    <cfRule type="containsText" dxfId="13" priority="56" operator="between" text="H">
      <formula>NOT(ISERROR(SEARCH("H",AH4)))</formula>
    </cfRule>
    <cfRule type="containsText" dxfId="1" priority="49" operator="between" text="H">
      <formula>NOT(ISERROR(SEARCH("H",AH4)))</formula>
    </cfRule>
  </conditionalFormatting>
  <conditionalFormatting sqref="AD5">
    <cfRule type="containsText" dxfId="8" priority="45" operator="between" text="AVG">
      <formula>NOT(ISERROR(SEARCH("AVG",AD5)))</formula>
    </cfRule>
    <cfRule type="cellIs" dxfId="9" priority="44" operator="equal">
      <formula>"STRONG"</formula>
    </cfRule>
    <cfRule type="containsText" dxfId="3" priority="43" operator="between" text="VSTRONG">
      <formula>NOT(ISERROR(SEARCH("VSTRONG",AD5)))</formula>
    </cfRule>
    <cfRule type="containsText" dxfId="10" priority="35" operator="between" text="AVG">
      <formula>NOT(ISERROR(SEARCH("AVG",AD5)))</formula>
    </cfRule>
  </conditionalFormatting>
  <conditionalFormatting sqref="AE5">
    <cfRule type="containsText" dxfId="3" priority="39" operator="between" text="STRONG">
      <formula>NOT(ISERROR(SEARCH("STRONG",AE5)))</formula>
    </cfRule>
    <cfRule type="containsText" dxfId="1" priority="37" operator="between" text="VSTRONG">
      <formula>NOT(ISERROR(SEARCH("VSTRONG",AE5)))</formula>
    </cfRule>
  </conditionalFormatting>
  <conditionalFormatting sqref="AE5:AF5">
    <cfRule type="containsText" dxfId="2" priority="38" operator="between" text="AVG">
      <formula>NOT(ISERROR(SEARCH("AVG",AE5)))</formula>
    </cfRule>
  </conditionalFormatting>
  <conditionalFormatting sqref="AF5">
    <cfRule type="cellIs" dxfId="11" priority="33" operator="equal">
      <formula>"VWEAK"</formula>
    </cfRule>
    <cfRule type="containsText" dxfId="0" priority="32" operator="between" text="VSTRONG">
      <formula>NOT(ISERROR(SEARCH("VSTRONG",AF5)))</formula>
    </cfRule>
  </conditionalFormatting>
  <conditionalFormatting sqref="AG5">
    <cfRule type="containsText" dxfId="12" priority="36" operator="between" text="FEMALE DOM">
      <formula>NOT(ISERROR(SEARCH("FEMALE DOM",AG5)))</formula>
    </cfRule>
    <cfRule type="containsText" dxfId="10" priority="31" operator="between" text="MEN">
      <formula>NOT(ISERROR(SEARCH("MEN",AG5)))</formula>
    </cfRule>
  </conditionalFormatting>
  <conditionalFormatting sqref="AH5">
    <cfRule type="containsText" dxfId="0" priority="42" operator="between" text="O">
      <formula>NOT(ISERROR(SEARCH("O",AH5)))</formula>
    </cfRule>
    <cfRule type="containsText" dxfId="3" priority="40" operator="between" text="H">
      <formula>NOT(ISERROR(SEARCH("H",AH5)))</formula>
    </cfRule>
    <cfRule type="containsText" dxfId="13" priority="41" operator="between" text="H">
      <formula>NOT(ISERROR(SEARCH("H",AH5)))</formula>
    </cfRule>
    <cfRule type="containsText" dxfId="1" priority="34" operator="between" text="H">
      <formula>NOT(ISERROR(SEARCH("H",AH5)))</formula>
    </cfRule>
  </conditionalFormatting>
  <conditionalFormatting sqref="AD8">
    <cfRule type="containsText" dxfId="8" priority="15" operator="between" text="AVG">
      <formula>NOT(ISERROR(SEARCH("AVG",AD8)))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NOT(ISERROR(SEARCH("VSTRONG",AD8)))</formula>
    </cfRule>
    <cfRule type="containsText" dxfId="10" priority="5" operator="between" text="AVG">
      <formula>NOT(ISERROR(SEARCH("AVG",AD8)))</formula>
    </cfRule>
  </conditionalFormatting>
  <conditionalFormatting sqref="AE8">
    <cfRule type="containsText" dxfId="3" priority="9" operator="between" text="STRONG">
      <formula>NOT(ISERROR(SEARCH("STRONG",AE8)))</formula>
    </cfRule>
    <cfRule type="containsText" dxfId="1" priority="7" operator="between" text="VSTRONG">
      <formula>NOT(ISERROR(SEARCH("VSTRONG",AE8)))</formula>
    </cfRule>
  </conditionalFormatting>
  <conditionalFormatting sqref="AE8:AF8">
    <cfRule type="containsText" dxfId="2" priority="8" operator="between" text="AVG">
      <formula>NOT(ISERROR(SEARCH("AVG",AE8)))</formula>
    </cfRule>
  </conditionalFormatting>
  <conditionalFormatting sqref="AF8">
    <cfRule type="cellIs" dxfId="11" priority="3" operator="equal">
      <formula>"VWEAK"</formula>
    </cfRule>
    <cfRule type="containsText" dxfId="0" priority="2" operator="between" text="VSTRONG">
      <formula>NOT(ISERROR(SEARCH("VSTRONG",AF8)))</formula>
    </cfRule>
  </conditionalFormatting>
  <conditionalFormatting sqref="AG8">
    <cfRule type="containsText" dxfId="12" priority="6" operator="between" text="FEMALE DOM">
      <formula>NOT(ISERROR(SEARCH("FEMALE DOM",AG8)))</formula>
    </cfRule>
    <cfRule type="containsText" dxfId="10" priority="1" operator="between" text="MEN">
      <formula>NOT(ISERROR(SEARCH("MEN",AG8)))</formula>
    </cfRule>
  </conditionalFormatting>
  <conditionalFormatting sqref="AH8">
    <cfRule type="containsText" dxfId="0" priority="12" operator="between" text="O">
      <formula>NOT(ISERROR(SEARCH("O",AH8)))</formula>
    </cfRule>
    <cfRule type="containsText" dxfId="3" priority="10" operator="between" text="H">
      <formula>NOT(ISERROR(SEARCH("H",AH8)))</formula>
    </cfRule>
    <cfRule type="containsText" dxfId="13" priority="11" operator="between" text="H">
      <formula>NOT(ISERROR(SEARCH("H",AH8)))</formula>
    </cfRule>
    <cfRule type="containsText" dxfId="1" priority="4" operator="between" text="H">
      <formula>NOT(ISERROR(SEARCH("H",AH8)))</formula>
    </cfRule>
  </conditionalFormatting>
  <conditionalFormatting sqref="AD2:AD3">
    <cfRule type="containsText" dxfId="8" priority="75" operator="between" text="AVG">
      <formula>NOT(ISERROR(SEARCH("AVG",AD2)))</formula>
    </cfRule>
    <cfRule type="cellIs" dxfId="9" priority="74" operator="equal">
      <formula>"STRONG"</formula>
    </cfRule>
    <cfRule type="containsText" dxfId="3" priority="73" operator="between" text="VSTRONG">
      <formula>NOT(ISERROR(SEARCH("VSTRONG",AD2)))</formula>
    </cfRule>
    <cfRule type="containsText" dxfId="10" priority="65" operator="between" text="AVG">
      <formula>NOT(ISERROR(SEARCH("AVG",AD2)))</formula>
    </cfRule>
  </conditionalFormatting>
  <conditionalFormatting sqref="AD6:AD7">
    <cfRule type="containsText" dxfId="8" priority="30" operator="between" text="AVG">
      <formula>NOT(ISERROR(SEARCH("AVG",AD6)))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NOT(ISERROR(SEARCH("VSTRONG",AD6)))</formula>
    </cfRule>
    <cfRule type="containsText" dxfId="10" priority="20" operator="between" text="AVG">
      <formula>NOT(ISERROR(SEARCH("AVG",AD6)))</formula>
    </cfRule>
  </conditionalFormatting>
  <conditionalFormatting sqref="AE2:AE3">
    <cfRule type="containsText" dxfId="3" priority="69" operator="between" text="STRONG">
      <formula>NOT(ISERROR(SEARCH("STRONG",AE2)))</formula>
    </cfRule>
    <cfRule type="containsText" dxfId="1" priority="67" operator="between" text="VSTRONG">
      <formula>NOT(ISERROR(SEARCH("VSTRONG",AE2)))</formula>
    </cfRule>
  </conditionalFormatting>
  <conditionalFormatting sqref="AE6:AE7">
    <cfRule type="containsText" dxfId="3" priority="24" operator="between" text="STRONG">
      <formula>NOT(ISERROR(SEARCH("STRONG",AE6)))</formula>
    </cfRule>
    <cfRule type="containsText" dxfId="1" priority="22" operator="between" text="VSTRONG">
      <formula>NOT(ISERROR(SEARCH("VSTRONG",AE6)))</formula>
    </cfRule>
  </conditionalFormatting>
  <conditionalFormatting sqref="AF2:AF3">
    <cfRule type="cellIs" dxfId="11" priority="63" operator="equal">
      <formula>"VWEAK"</formula>
    </cfRule>
    <cfRule type="containsText" dxfId="0" priority="62" operator="between" text="VSTRONG">
      <formula>NOT(ISERROR(SEARCH("VSTRONG",AF2)))</formula>
    </cfRule>
  </conditionalFormatting>
  <conditionalFormatting sqref="AF6:AF7">
    <cfRule type="cellIs" dxfId="11" priority="18" operator="equal">
      <formula>"VWEAK"</formula>
    </cfRule>
    <cfRule type="containsText" dxfId="0" priority="17" operator="between" text="VSTRONG">
      <formula>NOT(ISERROR(SEARCH("VSTRONG",AF6)))</formula>
    </cfRule>
  </conditionalFormatting>
  <conditionalFormatting sqref="AG2:AG3">
    <cfRule type="containsText" dxfId="12" priority="66" operator="between" text="FEMALE DOM">
      <formula>NOT(ISERROR(SEARCH("FEMALE DOM",AG2)))</formula>
    </cfRule>
    <cfRule type="containsText" dxfId="10" priority="61" operator="between" text="MEN">
      <formula>NOT(ISERROR(SEARCH("MEN",AG2)))</formula>
    </cfRule>
  </conditionalFormatting>
  <conditionalFormatting sqref="AG6:AG7">
    <cfRule type="containsText" dxfId="12" priority="21" operator="between" text="FEMALE DOM">
      <formula>NOT(ISERROR(SEARCH("FEMALE DOM",AG6)))</formula>
    </cfRule>
    <cfRule type="containsText" dxfId="10" priority="16" operator="between" text="MEN">
      <formula>NOT(ISERROR(SEARCH("MEN",AG6)))</formula>
    </cfRule>
  </conditionalFormatting>
  <conditionalFormatting sqref="AH2:AH3">
    <cfRule type="containsText" dxfId="0" priority="72" operator="between" text="O">
      <formula>NOT(ISERROR(SEARCH("O",AH2)))</formula>
    </cfRule>
    <cfRule type="containsText" dxfId="3" priority="70" operator="between" text="H">
      <formula>NOT(ISERROR(SEARCH("H",AH2)))</formula>
    </cfRule>
    <cfRule type="containsText" dxfId="13" priority="71" operator="between" text="H">
      <formula>NOT(ISERROR(SEARCH("H",AH2)))</formula>
    </cfRule>
    <cfRule type="containsText" dxfId="1" priority="64" operator="between" text="H">
      <formula>NOT(ISERROR(SEARCH("H",AH2)))</formula>
    </cfRule>
  </conditionalFormatting>
  <conditionalFormatting sqref="AH6:AH7">
    <cfRule type="containsText" dxfId="0" priority="27" operator="between" text="O">
      <formula>NOT(ISERROR(SEARCH("O",AH6)))</formula>
    </cfRule>
    <cfRule type="containsText" dxfId="3" priority="25" operator="between" text="H">
      <formula>NOT(ISERROR(SEARCH("H",AH6)))</formula>
    </cfRule>
    <cfRule type="containsText" dxfId="13" priority="26" operator="between" text="H">
      <formula>NOT(ISERROR(SEARCH("H",AH6)))</formula>
    </cfRule>
    <cfRule type="containsText" dxfId="1" priority="19" operator="between" text="H">
      <formula>NOT(ISERROR(SEARCH("H",AH6)))</formula>
    </cfRule>
  </conditionalFormatting>
  <conditionalFormatting sqref="AE2:AF3">
    <cfRule type="containsText" dxfId="2" priority="68" operator="between" text="AVG">
      <formula>NOT(ISERROR(SEARCH("AVG",AE2)))</formula>
    </cfRule>
  </conditionalFormatting>
  <conditionalFormatting sqref="AE6:AF7">
    <cfRule type="containsText" dxfId="2" priority="23" operator="between" text="AVG">
      <formula>NOT(ISERROR(SEARCH("AVG",AE6)))</formula>
    </cfRule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29"/>
  <sheetViews>
    <sheetView topLeftCell="AB1" workbookViewId="0">
      <selection activeCell="AB1" sqref="AB1:BA6"/>
    </sheetView>
  </sheetViews>
  <sheetFormatPr defaultColWidth="9" defaultRowHeight="14.5"/>
  <sheetData>
    <row r="1" spans="1:53">
      <c r="A1" s="267" t="s">
        <v>16</v>
      </c>
      <c r="B1" s="267" t="s">
        <v>177</v>
      </c>
      <c r="C1" s="267" t="s">
        <v>15</v>
      </c>
      <c r="D1" s="513" t="s">
        <v>1</v>
      </c>
      <c r="E1" s="513"/>
      <c r="F1" s="513"/>
      <c r="G1" s="513"/>
      <c r="H1" s="513"/>
      <c r="I1" s="513"/>
      <c r="J1" s="513"/>
      <c r="K1" s="508"/>
      <c r="L1" s="513" t="s">
        <v>2</v>
      </c>
      <c r="M1" s="268" t="s">
        <v>3</v>
      </c>
      <c r="N1" s="513" t="s">
        <v>4</v>
      </c>
      <c r="O1" s="268" t="s">
        <v>5</v>
      </c>
      <c r="P1" s="508" t="s">
        <v>17</v>
      </c>
      <c r="Q1" s="513" t="s">
        <v>18</v>
      </c>
      <c r="R1" s="268" t="s">
        <v>19</v>
      </c>
      <c r="S1" s="268" t="s">
        <v>20</v>
      </c>
      <c r="T1" s="513" t="s">
        <v>21</v>
      </c>
      <c r="U1" s="268" t="s">
        <v>22</v>
      </c>
      <c r="V1" s="508" t="s">
        <v>23</v>
      </c>
      <c r="W1" s="513" t="s">
        <v>156</v>
      </c>
      <c r="X1" s="268" t="s">
        <v>66</v>
      </c>
      <c r="Y1" s="268" t="s">
        <v>67</v>
      </c>
      <c r="Z1" s="508" t="s">
        <v>159</v>
      </c>
      <c r="AA1" s="508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73"/>
      <c r="B2" s="273"/>
      <c r="C2" s="273"/>
      <c r="D2" s="515"/>
      <c r="E2" s="515"/>
      <c r="F2" s="515"/>
      <c r="G2" s="515"/>
      <c r="H2" s="515"/>
      <c r="I2" s="515"/>
      <c r="J2" s="514"/>
      <c r="K2" s="510"/>
      <c r="L2" s="514"/>
      <c r="M2" s="274"/>
      <c r="N2" s="514"/>
      <c r="O2" s="274"/>
      <c r="P2" s="509"/>
      <c r="Q2" s="514"/>
      <c r="R2" s="274"/>
      <c r="S2" s="274"/>
      <c r="T2" s="514"/>
      <c r="U2" s="274"/>
      <c r="V2" s="509"/>
      <c r="W2" s="514"/>
      <c r="X2" s="274"/>
      <c r="Y2" s="274"/>
      <c r="Z2" s="509"/>
      <c r="AA2" s="509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73"/>
      <c r="B3" s="273"/>
      <c r="C3" s="273"/>
      <c r="D3" s="273" t="s">
        <v>7</v>
      </c>
      <c r="E3" s="274" t="s">
        <v>8</v>
      </c>
      <c r="F3" s="274" t="s">
        <v>9</v>
      </c>
      <c r="G3" s="509" t="s">
        <v>10</v>
      </c>
      <c r="H3" s="514" t="s">
        <v>11</v>
      </c>
      <c r="I3" s="273" t="s">
        <v>12</v>
      </c>
      <c r="J3" s="268" t="s">
        <v>9</v>
      </c>
      <c r="K3" s="509" t="s">
        <v>13</v>
      </c>
      <c r="L3" s="514"/>
      <c r="M3" s="274"/>
      <c r="N3" s="514"/>
      <c r="O3" s="274"/>
      <c r="P3" s="509"/>
      <c r="Q3" s="514"/>
      <c r="R3" s="274"/>
      <c r="S3" s="274"/>
      <c r="T3" s="514"/>
      <c r="U3" s="274"/>
      <c r="V3" s="509"/>
      <c r="W3" s="514"/>
      <c r="X3" s="274"/>
      <c r="Y3" s="274"/>
      <c r="Z3" s="509"/>
      <c r="AA3" s="509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73"/>
      <c r="B4" s="273"/>
      <c r="C4" s="273"/>
      <c r="D4" s="273"/>
      <c r="E4" s="274"/>
      <c r="F4" s="274"/>
      <c r="G4" s="509"/>
      <c r="H4" s="514"/>
      <c r="I4" s="273"/>
      <c r="J4" s="274"/>
      <c r="K4" s="509"/>
      <c r="L4" s="514"/>
      <c r="M4" s="274"/>
      <c r="N4" s="514"/>
      <c r="O4" s="274"/>
      <c r="P4" s="509"/>
      <c r="Q4" s="514"/>
      <c r="R4" s="274"/>
      <c r="S4" s="274"/>
      <c r="T4" s="514"/>
      <c r="U4" s="274"/>
      <c r="V4" s="509"/>
      <c r="W4" s="514"/>
      <c r="X4" s="274"/>
      <c r="Y4" s="274"/>
      <c r="Z4" s="509"/>
      <c r="AA4" s="509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73"/>
      <c r="B5" s="273"/>
      <c r="C5" s="273"/>
      <c r="D5" s="273"/>
      <c r="E5" s="274"/>
      <c r="F5" s="274"/>
      <c r="G5" s="509"/>
      <c r="H5" s="514"/>
      <c r="I5" s="273"/>
      <c r="J5" s="274"/>
      <c r="K5" s="509"/>
      <c r="L5" s="514"/>
      <c r="M5" s="274"/>
      <c r="N5" s="514"/>
      <c r="O5" s="274"/>
      <c r="P5" s="509"/>
      <c r="Q5" s="514"/>
      <c r="R5" s="274"/>
      <c r="S5" s="274"/>
      <c r="T5" s="514"/>
      <c r="U5" s="274"/>
      <c r="V5" s="509"/>
      <c r="W5" s="514"/>
      <c r="X5" s="274"/>
      <c r="Y5" s="274"/>
      <c r="Z5" s="509"/>
      <c r="AA5" s="509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78"/>
      <c r="B6" s="278"/>
      <c r="C6" s="278"/>
      <c r="D6" s="278"/>
      <c r="E6" s="279"/>
      <c r="F6" s="279"/>
      <c r="G6" s="510"/>
      <c r="H6" s="515"/>
      <c r="I6" s="278"/>
      <c r="J6" s="279"/>
      <c r="K6" s="510"/>
      <c r="L6" s="515"/>
      <c r="M6" s="279"/>
      <c r="N6" s="515"/>
      <c r="O6" s="279"/>
      <c r="P6" s="510"/>
      <c r="Q6" s="515"/>
      <c r="R6" s="279"/>
      <c r="S6" s="279"/>
      <c r="T6" s="515"/>
      <c r="U6" s="279"/>
      <c r="V6" s="510"/>
      <c r="W6" s="515"/>
      <c r="X6" s="279"/>
      <c r="Y6" s="279"/>
      <c r="Z6" s="510"/>
      <c r="AA6" s="509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593" t="s">
        <v>33</v>
      </c>
      <c r="B7" s="594">
        <v>94</v>
      </c>
      <c r="C7" s="594">
        <v>721</v>
      </c>
      <c r="D7" s="594">
        <v>66</v>
      </c>
      <c r="E7" s="595">
        <v>483</v>
      </c>
      <c r="F7" s="595">
        <v>3</v>
      </c>
      <c r="G7" s="596">
        <v>1</v>
      </c>
      <c r="H7" s="597">
        <v>0</v>
      </c>
      <c r="I7" s="594">
        <v>0</v>
      </c>
      <c r="J7" s="595">
        <v>1</v>
      </c>
      <c r="K7" s="596">
        <v>1</v>
      </c>
      <c r="L7" s="597">
        <v>555</v>
      </c>
      <c r="M7" s="612">
        <v>0</v>
      </c>
      <c r="N7" s="597">
        <v>2</v>
      </c>
      <c r="O7" s="612">
        <f t="shared" ref="O7:O16" si="0">D7+E7+F7+G7+H7+I7+J7+K7+N7</f>
        <v>557</v>
      </c>
      <c r="P7" s="626">
        <f t="shared" ref="P7:P16" si="1">(O7/C7)*100</f>
        <v>77.253814147018</v>
      </c>
      <c r="Q7" s="597">
        <f t="shared" ref="Q7:Q16" si="2">(E7/O7)*100</f>
        <v>86.7145421903052</v>
      </c>
      <c r="R7" s="612">
        <f t="shared" ref="R7:R16" si="3">(D7/O7)*100</f>
        <v>11.8491921005386</v>
      </c>
      <c r="S7" s="612">
        <f t="shared" ref="S7:S16" si="4">(F7/O7)*100</f>
        <v>0.538599640933573</v>
      </c>
      <c r="T7" s="597">
        <f t="shared" ref="T7:T16" si="5">(G7/O7)*100</f>
        <v>0.179533213644524</v>
      </c>
      <c r="U7" s="612">
        <f t="shared" ref="U7:U16" si="6">((H7+I7+J7+K7)/O7)*100</f>
        <v>0.359066427289048</v>
      </c>
      <c r="V7" s="626">
        <f t="shared" ref="V7:V16" si="7">(N7/O7)*100</f>
        <v>0.359066427289048</v>
      </c>
      <c r="W7" s="597">
        <f>Q7-R7</f>
        <v>74.8653500897666</v>
      </c>
      <c r="X7" s="612">
        <f>Q7-(R7+S7+T7+U7)</f>
        <v>73.7881508078995</v>
      </c>
      <c r="Y7" s="612" t="str">
        <f>IF(AND(W7&lt;0,W7&lt;=1),"LOST",IF(AND(W7&gt;1,W7&lt;=10),"NARROW",IF(AND(W7&gt;10,W7&lt;=40),"MEDIUM",IF(AND(W7&gt;40,W7&lt;=90),"STRONG",""))))</f>
        <v>STRONG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718</v>
      </c>
      <c r="AC7">
        <v>536</v>
      </c>
      <c r="AD7">
        <v>344</v>
      </c>
      <c r="AE7">
        <v>259</v>
      </c>
      <c r="AF7">
        <v>374</v>
      </c>
      <c r="AG7">
        <v>277</v>
      </c>
      <c r="AH7">
        <v>708</v>
      </c>
      <c r="AI7">
        <v>534</v>
      </c>
      <c r="AJ7">
        <v>2</v>
      </c>
      <c r="AK7">
        <v>0</v>
      </c>
      <c r="AL7">
        <v>8</v>
      </c>
      <c r="AM7">
        <v>2</v>
      </c>
      <c r="AN7" s="248">
        <f>(AD7/AB7)*100</f>
        <v>47.9108635097493</v>
      </c>
      <c r="AO7" s="316">
        <f>(AE7/AC7)*100</f>
        <v>48.3208955223881</v>
      </c>
      <c r="AP7" s="317">
        <f>(AF7/AB7)*100</f>
        <v>52.0891364902507</v>
      </c>
      <c r="AQ7" s="318">
        <f>(AG7/AC7)*100</f>
        <v>51.6791044776119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98.6072423398329</v>
      </c>
      <c r="AU7" s="317">
        <f>(AI7/AC7)*100</f>
        <v>99.6268656716418</v>
      </c>
      <c r="AV7" s="248">
        <f>(AJ7/AB7)*100</f>
        <v>0.278551532033426</v>
      </c>
      <c r="AW7" s="317">
        <f>(AK7/AC7)*100</f>
        <v>0</v>
      </c>
      <c r="AX7" s="248">
        <f>(AL7/AB7)*100</f>
        <v>1.1142061281337</v>
      </c>
      <c r="AY7" s="317">
        <f>(AM7/AC7)*100</f>
        <v>0.373134328358209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1:53">
      <c r="A8" s="598"/>
      <c r="B8" s="599">
        <v>95</v>
      </c>
      <c r="C8" s="599">
        <v>1313</v>
      </c>
      <c r="D8" s="599">
        <v>735</v>
      </c>
      <c r="E8" s="600">
        <v>130</v>
      </c>
      <c r="F8" s="600">
        <v>18</v>
      </c>
      <c r="G8" s="601">
        <v>0</v>
      </c>
      <c r="H8" s="602">
        <v>0</v>
      </c>
      <c r="I8" s="599">
        <v>0</v>
      </c>
      <c r="J8" s="600">
        <v>0</v>
      </c>
      <c r="K8" s="601">
        <v>1</v>
      </c>
      <c r="L8" s="602">
        <v>884</v>
      </c>
      <c r="M8" s="600">
        <v>0</v>
      </c>
      <c r="N8" s="602">
        <v>4</v>
      </c>
      <c r="O8" s="600">
        <f t="shared" si="0"/>
        <v>888</v>
      </c>
      <c r="P8" s="601">
        <f t="shared" si="1"/>
        <v>67.6313785224676</v>
      </c>
      <c r="Q8" s="602">
        <f t="shared" si="2"/>
        <v>14.6396396396396</v>
      </c>
      <c r="R8" s="600">
        <f t="shared" si="3"/>
        <v>82.7702702702703</v>
      </c>
      <c r="S8" s="600">
        <f t="shared" si="4"/>
        <v>2.02702702702703</v>
      </c>
      <c r="T8" s="602">
        <f t="shared" si="5"/>
        <v>0</v>
      </c>
      <c r="U8" s="600">
        <f t="shared" si="6"/>
        <v>0.112612612612613</v>
      </c>
      <c r="V8" s="601">
        <f t="shared" si="7"/>
        <v>0.45045045045045</v>
      </c>
      <c r="W8" s="602">
        <f t="shared" ref="W8:W16" si="8">Q8-R8</f>
        <v>-68.1306306306306</v>
      </c>
      <c r="X8" s="600">
        <f t="shared" ref="X8:X16" si="9">Q8-(R8+S8+T8+U8)</f>
        <v>-70.2702702702703</v>
      </c>
      <c r="Y8" s="600" t="str">
        <f t="shared" ref="Y8:Y17" si="10">IF(AND(W8&lt;0,W8&lt;=1),"LOST",IF(AND(W8&gt;1,W8&lt;=10),"NARROW",IF(AND(W8&gt;10,W8&lt;=40),"MEDIUM",IF(AND(W8&gt;40,W8&lt;=90),"STRONG",""))))</f>
        <v>LOST</v>
      </c>
      <c r="Z8" s="283" t="str">
        <f t="shared" ref="Z8:Z17" si="11">IF(AND(P8&lt;0,P8&lt;=10),"WEAK",IF(AND(P8&gt;10,P8&lt;20),"BELOW AVG",IF(AND(P8&gt;20,P8&lt;=60),"MEDIUM",IF(AND(P8&gt;60,P8&lt;=90),"STRONG",""))))</f>
        <v>STRONG</v>
      </c>
      <c r="AA8" s="511" t="str">
        <f t="shared" ref="AA8:AA17" si="12">IF(Q8&gt;R8,"BJP","CONGRESS")</f>
        <v>CONGRESS</v>
      </c>
      <c r="AB8">
        <v>1302</v>
      </c>
      <c r="AD8">
        <v>623</v>
      </c>
      <c r="AF8">
        <v>679</v>
      </c>
      <c r="AH8">
        <v>3</v>
      </c>
      <c r="AJ8">
        <v>1299</v>
      </c>
      <c r="AL8">
        <v>0</v>
      </c>
      <c r="AN8" s="248">
        <f t="shared" ref="AN8:AO12" si="13">(AD8/AB8)*100</f>
        <v>47.8494623655914</v>
      </c>
      <c r="AO8" s="316" t="e">
        <f t="shared" si="13"/>
        <v>#DIV/0!</v>
      </c>
      <c r="AP8" s="317">
        <f t="shared" ref="AP8:AQ12" si="14">(AF8/AB8)*100</f>
        <v>52.1505376344086</v>
      </c>
      <c r="AQ8" s="318" t="e">
        <f t="shared" si="14"/>
        <v>#DIV/0!</v>
      </c>
      <c r="AR8" s="318" t="str">
        <f t="shared" ref="AR8:AR14" si="15">IF(AN8&gt;AP8,"MALE DOM","FEMALE DOM")</f>
        <v>FEMALE DOM</v>
      </c>
      <c r="AS8" s="319" t="e">
        <f t="shared" ref="AS8:AS14" si="16">IF(AO8&gt;AP8,"MALE","FEMALE")</f>
        <v>#DIV/0!</v>
      </c>
      <c r="AT8" s="317">
        <f t="shared" ref="AT8:AU13" si="17">(AH8/AB8)*100</f>
        <v>0.230414746543779</v>
      </c>
      <c r="AU8" s="317" t="e">
        <f t="shared" si="17"/>
        <v>#DIV/0!</v>
      </c>
      <c r="AV8" s="248">
        <f t="shared" ref="AV8:AW13" si="18">(AJ8/AB8)*100</f>
        <v>99.7695852534562</v>
      </c>
      <c r="AW8" s="317" t="e">
        <f t="shared" si="18"/>
        <v>#DIV/0!</v>
      </c>
      <c r="AX8" s="248">
        <f t="shared" ref="AX8:AY13" si="19">(AL8/AB8)*100</f>
        <v>0</v>
      </c>
      <c r="AY8" s="317" t="e">
        <f t="shared" si="19"/>
        <v>#DIV/0!</v>
      </c>
      <c r="AZ8" s="248" t="str">
        <f t="shared" ref="AZ8:AZ14" si="20">IF(AT8&gt;(AV8+AX8),"HINDU","MINORITY")</f>
        <v>MINORITY</v>
      </c>
      <c r="BA8" s="318" t="e">
        <f t="shared" ref="BA8:BA14" si="21">IF(AU8&gt;(AW8+AY8),"HIND","MINORITY")</f>
        <v>#DIV/0!</v>
      </c>
    </row>
    <row r="9" spans="1:53">
      <c r="A9" s="598"/>
      <c r="B9" s="603">
        <v>96</v>
      </c>
      <c r="C9" s="603">
        <v>1112</v>
      </c>
      <c r="D9" s="603">
        <v>687</v>
      </c>
      <c r="E9" s="604">
        <v>56</v>
      </c>
      <c r="F9" s="604">
        <v>17</v>
      </c>
      <c r="G9" s="605">
        <v>1</v>
      </c>
      <c r="H9" s="606">
        <v>0</v>
      </c>
      <c r="I9" s="603">
        <v>0</v>
      </c>
      <c r="J9" s="604">
        <v>0</v>
      </c>
      <c r="K9" s="605">
        <v>0</v>
      </c>
      <c r="L9" s="606">
        <v>761</v>
      </c>
      <c r="M9" s="604">
        <v>0</v>
      </c>
      <c r="N9" s="606">
        <v>4</v>
      </c>
      <c r="O9" s="604">
        <f t="shared" si="0"/>
        <v>765</v>
      </c>
      <c r="P9" s="605">
        <f t="shared" si="1"/>
        <v>68.794964028777</v>
      </c>
      <c r="Q9" s="606">
        <f t="shared" si="2"/>
        <v>7.3202614379085</v>
      </c>
      <c r="R9" s="604">
        <f t="shared" si="3"/>
        <v>89.8039215686275</v>
      </c>
      <c r="S9" s="604">
        <f t="shared" si="4"/>
        <v>2.22222222222222</v>
      </c>
      <c r="T9" s="606">
        <f t="shared" si="5"/>
        <v>0.130718954248366</v>
      </c>
      <c r="U9" s="604">
        <f t="shared" si="6"/>
        <v>0</v>
      </c>
      <c r="V9" s="605">
        <f t="shared" si="7"/>
        <v>0.522875816993464</v>
      </c>
      <c r="W9" s="606">
        <f t="shared" si="8"/>
        <v>-82.483660130719</v>
      </c>
      <c r="X9" s="604">
        <f t="shared" si="9"/>
        <v>-84.8366013071896</v>
      </c>
      <c r="Y9" s="604" t="str">
        <f t="shared" si="10"/>
        <v>LOST</v>
      </c>
      <c r="Z9" s="283" t="str">
        <f t="shared" si="11"/>
        <v>STRONG</v>
      </c>
      <c r="AA9" s="511" t="str">
        <f t="shared" si="12"/>
        <v>CONGRESS</v>
      </c>
      <c r="AB9">
        <v>1109</v>
      </c>
      <c r="AD9">
        <v>560</v>
      </c>
      <c r="AF9">
        <v>549</v>
      </c>
      <c r="AH9">
        <v>0</v>
      </c>
      <c r="AJ9">
        <v>1109</v>
      </c>
      <c r="AL9">
        <v>0</v>
      </c>
      <c r="AN9" s="248">
        <f t="shared" si="13"/>
        <v>50.4959422903517</v>
      </c>
      <c r="AO9" s="316" t="e">
        <f t="shared" si="13"/>
        <v>#DIV/0!</v>
      </c>
      <c r="AP9" s="317">
        <f t="shared" si="14"/>
        <v>49.5040577096483</v>
      </c>
      <c r="AQ9" s="318" t="e">
        <f t="shared" si="14"/>
        <v>#DIV/0!</v>
      </c>
      <c r="AR9" s="318" t="str">
        <f t="shared" si="15"/>
        <v>MALE DOM</v>
      </c>
      <c r="AS9" s="319" t="e">
        <f t="shared" si="16"/>
        <v>#DIV/0!</v>
      </c>
      <c r="AT9" s="317">
        <f t="shared" si="17"/>
        <v>0</v>
      </c>
      <c r="AU9" s="317" t="e">
        <f t="shared" si="17"/>
        <v>#DIV/0!</v>
      </c>
      <c r="AV9" s="248">
        <f t="shared" si="18"/>
        <v>100</v>
      </c>
      <c r="AW9" s="317" t="e">
        <f t="shared" si="18"/>
        <v>#DIV/0!</v>
      </c>
      <c r="AX9" s="248">
        <f t="shared" si="19"/>
        <v>0</v>
      </c>
      <c r="AY9" s="317" t="e">
        <f t="shared" si="19"/>
        <v>#DIV/0!</v>
      </c>
      <c r="AZ9" s="248" t="str">
        <f t="shared" si="20"/>
        <v>MINORITY</v>
      </c>
      <c r="BA9" s="318" t="e">
        <f t="shared" si="21"/>
        <v>#DIV/0!</v>
      </c>
    </row>
    <row r="10" spans="1:53">
      <c r="A10" s="598"/>
      <c r="B10" s="603">
        <v>99</v>
      </c>
      <c r="C10" s="603">
        <v>1399</v>
      </c>
      <c r="D10" s="603">
        <v>868</v>
      </c>
      <c r="E10" s="604">
        <v>50</v>
      </c>
      <c r="F10" s="604">
        <v>14</v>
      </c>
      <c r="G10" s="605">
        <v>1</v>
      </c>
      <c r="H10" s="606">
        <v>0</v>
      </c>
      <c r="I10" s="603">
        <v>0</v>
      </c>
      <c r="J10" s="604">
        <v>2</v>
      </c>
      <c r="K10" s="605">
        <v>2</v>
      </c>
      <c r="L10" s="606">
        <v>937</v>
      </c>
      <c r="M10" s="604">
        <v>0</v>
      </c>
      <c r="N10" s="606">
        <v>9</v>
      </c>
      <c r="O10" s="604">
        <f t="shared" si="0"/>
        <v>946</v>
      </c>
      <c r="P10" s="605">
        <f t="shared" si="1"/>
        <v>67.6197283774124</v>
      </c>
      <c r="Q10" s="606">
        <f t="shared" si="2"/>
        <v>5.28541226215645</v>
      </c>
      <c r="R10" s="604">
        <f t="shared" si="3"/>
        <v>91.7547568710359</v>
      </c>
      <c r="S10" s="604">
        <f t="shared" si="4"/>
        <v>1.47991543340381</v>
      </c>
      <c r="T10" s="606">
        <f t="shared" si="5"/>
        <v>0.105708245243129</v>
      </c>
      <c r="U10" s="604">
        <f t="shared" si="6"/>
        <v>0.422832980972516</v>
      </c>
      <c r="V10" s="605">
        <f t="shared" si="7"/>
        <v>0.951374207188161</v>
      </c>
      <c r="W10" s="606">
        <f t="shared" si="8"/>
        <v>-86.4693446088795</v>
      </c>
      <c r="X10" s="604">
        <f t="shared" si="9"/>
        <v>-88.477801268499</v>
      </c>
      <c r="Y10" s="604" t="str">
        <f t="shared" si="10"/>
        <v>LOST</v>
      </c>
      <c r="Z10" s="283" t="str">
        <f t="shared" si="11"/>
        <v>STRONG</v>
      </c>
      <c r="AA10" s="511" t="str">
        <f t="shared" si="12"/>
        <v>CONGRESS</v>
      </c>
      <c r="AB10">
        <v>1384</v>
      </c>
      <c r="AD10">
        <v>659</v>
      </c>
      <c r="AF10">
        <v>724</v>
      </c>
      <c r="AH10">
        <v>0</v>
      </c>
      <c r="AJ10">
        <v>1383</v>
      </c>
      <c r="AL10">
        <v>1</v>
      </c>
      <c r="AN10" s="248">
        <f t="shared" si="13"/>
        <v>47.6156069364162</v>
      </c>
      <c r="AO10" s="316" t="e">
        <f t="shared" si="13"/>
        <v>#DIV/0!</v>
      </c>
      <c r="AP10" s="317">
        <f t="shared" si="14"/>
        <v>52.3121387283237</v>
      </c>
      <c r="AQ10" s="318" t="e">
        <f t="shared" si="14"/>
        <v>#DIV/0!</v>
      </c>
      <c r="AR10" s="318" t="str">
        <f t="shared" si="15"/>
        <v>FEMALE DOM</v>
      </c>
      <c r="AS10" s="319" t="e">
        <f t="shared" si="16"/>
        <v>#DIV/0!</v>
      </c>
      <c r="AT10" s="317">
        <f t="shared" si="17"/>
        <v>0</v>
      </c>
      <c r="AU10" s="317" t="e">
        <f t="shared" si="17"/>
        <v>#DIV/0!</v>
      </c>
      <c r="AV10" s="248">
        <f t="shared" si="18"/>
        <v>99.9277456647399</v>
      </c>
      <c r="AW10" s="317" t="e">
        <f t="shared" si="18"/>
        <v>#DIV/0!</v>
      </c>
      <c r="AX10" s="248">
        <f t="shared" si="19"/>
        <v>0.0722543352601156</v>
      </c>
      <c r="AY10" s="317" t="e">
        <f t="shared" si="19"/>
        <v>#DIV/0!</v>
      </c>
      <c r="AZ10" s="248" t="str">
        <f t="shared" si="20"/>
        <v>MINORITY</v>
      </c>
      <c r="BA10" s="318" t="e">
        <f t="shared" si="21"/>
        <v>#DIV/0!</v>
      </c>
    </row>
    <row r="11" spans="1:53">
      <c r="A11" s="598"/>
      <c r="B11" s="607">
        <v>97</v>
      </c>
      <c r="C11" s="607">
        <v>777</v>
      </c>
      <c r="D11" s="607">
        <v>505</v>
      </c>
      <c r="E11" s="608">
        <v>25</v>
      </c>
      <c r="F11" s="608">
        <v>7</v>
      </c>
      <c r="G11" s="609">
        <v>1</v>
      </c>
      <c r="H11" s="610">
        <v>0</v>
      </c>
      <c r="I11" s="607">
        <v>0</v>
      </c>
      <c r="J11" s="608">
        <v>1</v>
      </c>
      <c r="K11" s="609">
        <v>0</v>
      </c>
      <c r="L11" s="610">
        <v>539</v>
      </c>
      <c r="M11" s="608">
        <v>0</v>
      </c>
      <c r="N11" s="610">
        <v>7</v>
      </c>
      <c r="O11" s="608">
        <f t="shared" si="0"/>
        <v>546</v>
      </c>
      <c r="P11" s="609">
        <f t="shared" si="1"/>
        <v>70.2702702702703</v>
      </c>
      <c r="Q11" s="610">
        <f t="shared" si="2"/>
        <v>4.57875457875458</v>
      </c>
      <c r="R11" s="608">
        <f t="shared" si="3"/>
        <v>92.4908424908425</v>
      </c>
      <c r="S11" s="608">
        <f t="shared" si="4"/>
        <v>1.28205128205128</v>
      </c>
      <c r="T11" s="610">
        <f t="shared" si="5"/>
        <v>0.183150183150183</v>
      </c>
      <c r="U11" s="608">
        <f t="shared" si="6"/>
        <v>0.183150183150183</v>
      </c>
      <c r="V11" s="609">
        <f t="shared" si="7"/>
        <v>1.28205128205128</v>
      </c>
      <c r="W11" s="610">
        <f t="shared" si="8"/>
        <v>-87.9120879120879</v>
      </c>
      <c r="X11" s="608">
        <f t="shared" si="9"/>
        <v>-89.5604395604396</v>
      </c>
      <c r="Y11" s="608" t="str">
        <f t="shared" si="10"/>
        <v>LOST</v>
      </c>
      <c r="Z11" s="283" t="str">
        <f t="shared" si="11"/>
        <v>STRONG</v>
      </c>
      <c r="AA11" s="511" t="str">
        <f t="shared" si="12"/>
        <v>CONGRESS</v>
      </c>
      <c r="AB11">
        <v>769</v>
      </c>
      <c r="AD11">
        <v>392</v>
      </c>
      <c r="AF11">
        <v>377</v>
      </c>
      <c r="AH11">
        <v>0</v>
      </c>
      <c r="AJ11">
        <v>769</v>
      </c>
      <c r="AL11">
        <v>0</v>
      </c>
      <c r="AN11" s="248">
        <f t="shared" si="13"/>
        <v>50.9752925877763</v>
      </c>
      <c r="AO11" s="316" t="e">
        <f t="shared" si="13"/>
        <v>#DIV/0!</v>
      </c>
      <c r="AP11" s="317">
        <f t="shared" si="14"/>
        <v>49.0247074122237</v>
      </c>
      <c r="AQ11" s="318" t="e">
        <f t="shared" si="14"/>
        <v>#DIV/0!</v>
      </c>
      <c r="AR11" s="318" t="str">
        <f t="shared" si="15"/>
        <v>MALE DOM</v>
      </c>
      <c r="AS11" s="319" t="e">
        <f t="shared" si="16"/>
        <v>#DIV/0!</v>
      </c>
      <c r="AT11" s="317">
        <f t="shared" si="17"/>
        <v>0</v>
      </c>
      <c r="AU11" s="317" t="e">
        <f t="shared" si="17"/>
        <v>#DIV/0!</v>
      </c>
      <c r="AV11" s="248">
        <f t="shared" si="18"/>
        <v>100</v>
      </c>
      <c r="AW11" s="317" t="e">
        <f t="shared" si="18"/>
        <v>#DIV/0!</v>
      </c>
      <c r="AX11" s="248">
        <f t="shared" si="19"/>
        <v>0</v>
      </c>
      <c r="AY11" s="317" t="e">
        <f t="shared" si="19"/>
        <v>#DIV/0!</v>
      </c>
      <c r="AZ11" s="248" t="str">
        <f t="shared" si="20"/>
        <v>MINORITY</v>
      </c>
      <c r="BA11" s="318" t="e">
        <f t="shared" si="21"/>
        <v>#DIV/0!</v>
      </c>
    </row>
    <row r="12" spans="1:53">
      <c r="A12" s="598"/>
      <c r="B12" s="599">
        <v>100</v>
      </c>
      <c r="C12" s="599">
        <v>1285</v>
      </c>
      <c r="D12" s="599">
        <v>727</v>
      </c>
      <c r="E12" s="600">
        <v>65</v>
      </c>
      <c r="F12" s="600">
        <v>29</v>
      </c>
      <c r="G12" s="601">
        <v>4</v>
      </c>
      <c r="H12" s="602">
        <v>0</v>
      </c>
      <c r="I12" s="599">
        <v>0</v>
      </c>
      <c r="J12" s="600">
        <v>1</v>
      </c>
      <c r="K12" s="601">
        <v>0</v>
      </c>
      <c r="L12" s="602">
        <v>826</v>
      </c>
      <c r="M12" s="600">
        <v>0</v>
      </c>
      <c r="N12" s="602">
        <v>2</v>
      </c>
      <c r="O12" s="600">
        <f t="shared" si="0"/>
        <v>828</v>
      </c>
      <c r="P12" s="601">
        <f t="shared" si="1"/>
        <v>64.4357976653696</v>
      </c>
      <c r="Q12" s="602">
        <f t="shared" si="2"/>
        <v>7.85024154589372</v>
      </c>
      <c r="R12" s="600">
        <f t="shared" si="3"/>
        <v>87.8019323671498</v>
      </c>
      <c r="S12" s="600">
        <f t="shared" si="4"/>
        <v>3.5024154589372</v>
      </c>
      <c r="T12" s="602">
        <f t="shared" si="5"/>
        <v>0.483091787439614</v>
      </c>
      <c r="U12" s="600">
        <f t="shared" si="6"/>
        <v>0.120772946859903</v>
      </c>
      <c r="V12" s="601">
        <f t="shared" si="7"/>
        <v>0.241545893719807</v>
      </c>
      <c r="W12" s="602">
        <f t="shared" si="8"/>
        <v>-79.951690821256</v>
      </c>
      <c r="X12" s="600">
        <f t="shared" si="9"/>
        <v>-84.0579710144928</v>
      </c>
      <c r="Y12" s="600" t="str">
        <f t="shared" si="10"/>
        <v>LOST</v>
      </c>
      <c r="Z12" s="283" t="str">
        <f t="shared" si="11"/>
        <v>STRONG</v>
      </c>
      <c r="AA12" s="511" t="str">
        <f t="shared" si="12"/>
        <v>CONGRESS</v>
      </c>
      <c r="AB12">
        <v>1274</v>
      </c>
      <c r="AD12">
        <v>639</v>
      </c>
      <c r="AF12">
        <v>635</v>
      </c>
      <c r="AH12">
        <v>0</v>
      </c>
      <c r="AJ12">
        <v>1274</v>
      </c>
      <c r="AL12">
        <v>0</v>
      </c>
      <c r="AN12" s="248">
        <f t="shared" si="13"/>
        <v>50.1569858712716</v>
      </c>
      <c r="AO12" s="316" t="e">
        <f t="shared" si="13"/>
        <v>#DIV/0!</v>
      </c>
      <c r="AP12" s="317">
        <f t="shared" si="14"/>
        <v>49.8430141287284</v>
      </c>
      <c r="AQ12" s="318" t="e">
        <f t="shared" si="14"/>
        <v>#DIV/0!</v>
      </c>
      <c r="AR12" s="318" t="str">
        <f t="shared" si="15"/>
        <v>MALE DOM</v>
      </c>
      <c r="AS12" s="319" t="e">
        <f t="shared" si="16"/>
        <v>#DIV/0!</v>
      </c>
      <c r="AT12" s="317">
        <f t="shared" si="17"/>
        <v>0</v>
      </c>
      <c r="AU12" s="317" t="e">
        <f t="shared" si="17"/>
        <v>#DIV/0!</v>
      </c>
      <c r="AV12" s="248">
        <f t="shared" si="18"/>
        <v>100</v>
      </c>
      <c r="AW12" s="317" t="e">
        <f t="shared" si="18"/>
        <v>#DIV/0!</v>
      </c>
      <c r="AX12" s="248">
        <f t="shared" si="19"/>
        <v>0</v>
      </c>
      <c r="AY12" s="317" t="e">
        <f t="shared" si="19"/>
        <v>#DIV/0!</v>
      </c>
      <c r="AZ12" s="248" t="str">
        <f t="shared" si="20"/>
        <v>MINORITY</v>
      </c>
      <c r="BA12" s="318" t="e">
        <f t="shared" si="21"/>
        <v>#DIV/0!</v>
      </c>
    </row>
    <row r="13" spans="1:53">
      <c r="A13" s="598"/>
      <c r="B13" s="607">
        <v>98</v>
      </c>
      <c r="C13" s="607">
        <v>1230</v>
      </c>
      <c r="D13" s="607">
        <v>667</v>
      </c>
      <c r="E13" s="608">
        <v>96</v>
      </c>
      <c r="F13" s="608">
        <v>18</v>
      </c>
      <c r="G13" s="609">
        <v>1</v>
      </c>
      <c r="H13" s="610">
        <v>0</v>
      </c>
      <c r="I13" s="607">
        <v>0</v>
      </c>
      <c r="J13" s="608">
        <v>1</v>
      </c>
      <c r="K13" s="609">
        <v>0</v>
      </c>
      <c r="L13" s="610">
        <v>783</v>
      </c>
      <c r="M13" s="608">
        <v>0</v>
      </c>
      <c r="N13" s="610">
        <v>5</v>
      </c>
      <c r="O13" s="608">
        <f t="shared" si="0"/>
        <v>788</v>
      </c>
      <c r="P13" s="609">
        <f t="shared" si="1"/>
        <v>64.0650406504065</v>
      </c>
      <c r="Q13" s="610">
        <f t="shared" si="2"/>
        <v>12.1827411167513</v>
      </c>
      <c r="R13" s="608">
        <f t="shared" si="3"/>
        <v>84.6446700507614</v>
      </c>
      <c r="S13" s="608">
        <f t="shared" si="4"/>
        <v>2.28426395939086</v>
      </c>
      <c r="T13" s="610">
        <f t="shared" si="5"/>
        <v>0.126903553299492</v>
      </c>
      <c r="U13" s="608">
        <f t="shared" si="6"/>
        <v>0.126903553299492</v>
      </c>
      <c r="V13" s="609">
        <f t="shared" si="7"/>
        <v>0.634517766497462</v>
      </c>
      <c r="W13" s="610">
        <f t="shared" si="8"/>
        <v>-72.4619289340101</v>
      </c>
      <c r="X13" s="608">
        <f t="shared" si="9"/>
        <v>-75</v>
      </c>
      <c r="Y13" s="608" t="str">
        <f t="shared" si="10"/>
        <v>LOST</v>
      </c>
      <c r="Z13" s="283" t="str">
        <f t="shared" si="11"/>
        <v>STRONG</v>
      </c>
      <c r="AA13" s="511" t="str">
        <f t="shared" si="12"/>
        <v>CONGRESS</v>
      </c>
      <c r="AB13">
        <v>1218</v>
      </c>
      <c r="AD13">
        <v>609</v>
      </c>
      <c r="AF13">
        <v>609</v>
      </c>
      <c r="AH13">
        <v>0</v>
      </c>
      <c r="AJ13">
        <v>1218</v>
      </c>
      <c r="AL13">
        <v>0</v>
      </c>
      <c r="AN13" s="248">
        <f>AVERAGE(AN7:AN12)</f>
        <v>49.1673589268594</v>
      </c>
      <c r="AO13" s="316" t="e">
        <f>AVERAGE(AO7:AO12)</f>
        <v>#DIV/0!</v>
      </c>
      <c r="AP13" s="317">
        <f>AVERAGE(AP7:AP12)</f>
        <v>50.8205986839306</v>
      </c>
      <c r="AQ13" s="318" t="e">
        <f>AVERAGE(AQ7:AQ12)</f>
        <v>#DIV/0!</v>
      </c>
      <c r="AR13" s="318" t="str">
        <f t="shared" si="15"/>
        <v>FEMALE DOM</v>
      </c>
      <c r="AS13" s="319" t="e">
        <f t="shared" si="16"/>
        <v>#DIV/0!</v>
      </c>
      <c r="AT13" s="317">
        <f t="shared" si="17"/>
        <v>0</v>
      </c>
      <c r="AU13" s="317" t="e">
        <f t="shared" si="17"/>
        <v>#DIV/0!</v>
      </c>
      <c r="AV13" s="248">
        <f t="shared" si="18"/>
        <v>100</v>
      </c>
      <c r="AW13" s="317" t="e">
        <f t="shared" si="18"/>
        <v>#DIV/0!</v>
      </c>
      <c r="AX13" s="248">
        <f t="shared" si="19"/>
        <v>0</v>
      </c>
      <c r="AY13" s="317" t="e">
        <f t="shared" si="19"/>
        <v>#DIV/0!</v>
      </c>
      <c r="AZ13" s="248" t="str">
        <f t="shared" si="20"/>
        <v>MINORITY</v>
      </c>
      <c r="BA13" s="318" t="e">
        <f t="shared" si="21"/>
        <v>#DIV/0!</v>
      </c>
    </row>
    <row r="14" spans="1:53">
      <c r="A14" s="598"/>
      <c r="B14" s="611">
        <v>101</v>
      </c>
      <c r="C14" s="612">
        <v>1029</v>
      </c>
      <c r="D14" s="613">
        <v>103</v>
      </c>
      <c r="E14" s="614">
        <v>695</v>
      </c>
      <c r="F14" s="614">
        <v>2</v>
      </c>
      <c r="G14" s="615">
        <v>2</v>
      </c>
      <c r="H14" s="616">
        <v>0</v>
      </c>
      <c r="I14" s="611">
        <v>1</v>
      </c>
      <c r="J14" s="612">
        <v>1</v>
      </c>
      <c r="K14" s="626">
        <v>4</v>
      </c>
      <c r="L14" s="616">
        <v>808</v>
      </c>
      <c r="M14" s="612">
        <v>0</v>
      </c>
      <c r="N14" s="616">
        <v>0</v>
      </c>
      <c r="O14" s="612">
        <f t="shared" si="0"/>
        <v>808</v>
      </c>
      <c r="P14" s="626">
        <f t="shared" si="1"/>
        <v>78.5228377065112</v>
      </c>
      <c r="Q14" s="616">
        <f t="shared" si="2"/>
        <v>86.0148514851485</v>
      </c>
      <c r="R14" s="612">
        <f t="shared" si="3"/>
        <v>12.7475247524752</v>
      </c>
      <c r="S14" s="612">
        <f t="shared" si="4"/>
        <v>0.247524752475248</v>
      </c>
      <c r="T14" s="616">
        <f t="shared" si="5"/>
        <v>0.247524752475248</v>
      </c>
      <c r="U14" s="612">
        <f t="shared" si="6"/>
        <v>0.742574257425743</v>
      </c>
      <c r="V14" s="626">
        <f t="shared" si="7"/>
        <v>0</v>
      </c>
      <c r="W14" s="616">
        <f t="shared" si="8"/>
        <v>73.2673267326733</v>
      </c>
      <c r="X14" s="612">
        <f t="shared" si="9"/>
        <v>72.029702970297</v>
      </c>
      <c r="Y14" s="612" t="str">
        <f t="shared" si="10"/>
        <v>STRONG</v>
      </c>
      <c r="Z14" s="283" t="str">
        <f t="shared" si="11"/>
        <v>STRONG</v>
      </c>
      <c r="AA14" s="289" t="str">
        <f t="shared" si="12"/>
        <v>BJP</v>
      </c>
      <c r="AB14">
        <v>1027</v>
      </c>
      <c r="AC14">
        <v>824</v>
      </c>
      <c r="AD14">
        <v>494</v>
      </c>
      <c r="AE14">
        <v>396</v>
      </c>
      <c r="AF14">
        <v>533</v>
      </c>
      <c r="AG14">
        <v>428</v>
      </c>
      <c r="AH14">
        <v>1010</v>
      </c>
      <c r="AI14">
        <v>814</v>
      </c>
      <c r="AJ14">
        <v>11</v>
      </c>
      <c r="AK14">
        <v>7</v>
      </c>
      <c r="AL14">
        <v>6</v>
      </c>
      <c r="AM14">
        <v>3</v>
      </c>
      <c r="AN14" s="248">
        <f>(AD14/AB14)*100</f>
        <v>48.1012658227848</v>
      </c>
      <c r="AO14" s="316">
        <f>(AE14/AC14)*100</f>
        <v>48.0582524271845</v>
      </c>
      <c r="AP14" s="317">
        <f>(AF14/AB14)*100</f>
        <v>51.8987341772152</v>
      </c>
      <c r="AQ14" s="318">
        <f>(AG14/AC14)*100</f>
        <v>51.9417475728155</v>
      </c>
      <c r="AR14" s="318" t="str">
        <f t="shared" si="15"/>
        <v>FEMALE DOM</v>
      </c>
      <c r="AS14" s="319" t="str">
        <f t="shared" si="16"/>
        <v>FEMALE</v>
      </c>
      <c r="AT14" s="317">
        <f>(AH14/AB14)*100</f>
        <v>98.3446932814021</v>
      </c>
      <c r="AU14" s="317">
        <f>(AI14/AC14)*100</f>
        <v>98.7864077669903</v>
      </c>
      <c r="AV14" s="248">
        <f>(AJ14/AB14)*100</f>
        <v>1.07108081791626</v>
      </c>
      <c r="AW14" s="317">
        <f>(AK14/AC14)*100</f>
        <v>0.849514563106796</v>
      </c>
      <c r="AX14" s="248">
        <f>(AL14/AB14)*100</f>
        <v>0.584225900681597</v>
      </c>
      <c r="AY14" s="317">
        <f>(AM14/AC14)*100</f>
        <v>0.364077669902913</v>
      </c>
      <c r="AZ14" s="248" t="str">
        <f t="shared" si="20"/>
        <v>HINDU</v>
      </c>
      <c r="BA14" s="318" t="str">
        <f t="shared" si="21"/>
        <v>HIND</v>
      </c>
    </row>
    <row r="15" spans="1:53">
      <c r="A15" s="598"/>
      <c r="B15" s="614">
        <v>103</v>
      </c>
      <c r="C15" s="615">
        <v>1249</v>
      </c>
      <c r="D15" s="613">
        <v>136</v>
      </c>
      <c r="E15" s="614">
        <v>858</v>
      </c>
      <c r="F15" s="614">
        <v>1</v>
      </c>
      <c r="G15" s="615">
        <v>0</v>
      </c>
      <c r="H15" s="613">
        <v>1</v>
      </c>
      <c r="I15" s="627">
        <v>1</v>
      </c>
      <c r="J15" s="614">
        <v>1</v>
      </c>
      <c r="K15" s="615">
        <v>1</v>
      </c>
      <c r="L15" s="613">
        <v>999</v>
      </c>
      <c r="M15" s="614">
        <v>0</v>
      </c>
      <c r="N15" s="613">
        <v>8</v>
      </c>
      <c r="O15" s="614">
        <f t="shared" si="0"/>
        <v>1007</v>
      </c>
      <c r="P15" s="615">
        <f t="shared" si="1"/>
        <v>80.6244995996798</v>
      </c>
      <c r="Q15" s="613">
        <f t="shared" si="2"/>
        <v>85.2035749751738</v>
      </c>
      <c r="R15" s="614">
        <f t="shared" si="3"/>
        <v>13.5054617676266</v>
      </c>
      <c r="S15" s="614">
        <f t="shared" si="4"/>
        <v>0.099304865938431</v>
      </c>
      <c r="T15" s="613">
        <f t="shared" si="5"/>
        <v>0</v>
      </c>
      <c r="U15" s="614">
        <f t="shared" si="6"/>
        <v>0.397219463753724</v>
      </c>
      <c r="V15" s="615">
        <f t="shared" si="7"/>
        <v>0.794438927507448</v>
      </c>
      <c r="W15" s="613">
        <f t="shared" si="8"/>
        <v>71.6981132075472</v>
      </c>
      <c r="X15" s="614">
        <f t="shared" si="9"/>
        <v>71.201588877855</v>
      </c>
      <c r="Y15" s="614" t="str">
        <f t="shared" si="10"/>
        <v>STRONG</v>
      </c>
      <c r="Z15" s="283" t="str">
        <f t="shared" si="11"/>
        <v>STRONG</v>
      </c>
      <c r="AA15" s="289" t="str">
        <f t="shared" si="12"/>
        <v>BJP</v>
      </c>
      <c r="AB15">
        <v>1237</v>
      </c>
      <c r="AD15">
        <v>616</v>
      </c>
      <c r="AF15">
        <v>621</v>
      </c>
      <c r="AH15">
        <v>1215</v>
      </c>
      <c r="AJ15">
        <v>1</v>
      </c>
      <c r="AL15">
        <v>21</v>
      </c>
      <c r="AN15" s="248">
        <f t="shared" ref="AN15:AN16" si="22">(AD15/AB15)*100</f>
        <v>49.7978981406629</v>
      </c>
      <c r="AO15" s="316" t="e">
        <f t="shared" ref="AO15:AO16" si="23">(AE15/AC15)*100</f>
        <v>#DIV/0!</v>
      </c>
      <c r="AP15" s="317">
        <f t="shared" ref="AP15:AP16" si="24">(AF15/AB15)*100</f>
        <v>50.2021018593371</v>
      </c>
      <c r="AQ15" s="318" t="e">
        <f t="shared" ref="AQ15:AQ16" si="25">(AG15/AC15)*100</f>
        <v>#DIV/0!</v>
      </c>
      <c r="AR15" s="318" t="str">
        <f t="shared" ref="AR15:AR16" si="26">IF(AN15&gt;AP15,"MALE DOM","FEMALE DOM")</f>
        <v>FEMALE DOM</v>
      </c>
      <c r="AS15" s="319" t="e">
        <f t="shared" ref="AS15:AS16" si="27">IF(AO15&gt;AP15,"MALE","FEMALE")</f>
        <v>#DIV/0!</v>
      </c>
      <c r="AT15" s="317">
        <f t="shared" ref="AT15:AT16" si="28">(AH15/AB15)*100</f>
        <v>98.2215036378335</v>
      </c>
      <c r="AU15" s="317" t="e">
        <f t="shared" ref="AU15:AU16" si="29">(AI15/AC15)*100</f>
        <v>#DIV/0!</v>
      </c>
      <c r="AV15" s="248">
        <f t="shared" ref="AV15:AV16" si="30">(AJ15/AB15)*100</f>
        <v>0.0808407437348424</v>
      </c>
      <c r="AW15" s="317" t="e">
        <f t="shared" ref="AW15:AW16" si="31">(AK15/AC15)*100</f>
        <v>#DIV/0!</v>
      </c>
      <c r="AX15" s="248">
        <f t="shared" ref="AX15:AX16" si="32">(AL15/AB15)*100</f>
        <v>1.69765561843169</v>
      </c>
      <c r="AY15" s="317" t="e">
        <f t="shared" ref="AY15:AY16" si="33">(AM15/AC15)*100</f>
        <v>#DIV/0!</v>
      </c>
      <c r="AZ15" s="248" t="str">
        <f t="shared" ref="AZ15:AZ16" si="34">IF(AT15&gt;(AV15+AX15),"HINDU","MINORITY")</f>
        <v>HINDU</v>
      </c>
      <c r="BA15" s="318" t="e">
        <f t="shared" ref="BA15:BA16" si="35">IF(AU15&gt;(AW15+AY15),"HIND","MINORITY")</f>
        <v>#DIV/0!</v>
      </c>
    </row>
    <row r="16" spans="1:53">
      <c r="A16" s="598"/>
      <c r="B16" s="617">
        <v>102</v>
      </c>
      <c r="C16" s="618">
        <v>571</v>
      </c>
      <c r="D16" s="619">
        <v>200</v>
      </c>
      <c r="E16" s="617">
        <v>235</v>
      </c>
      <c r="F16" s="620">
        <v>0</v>
      </c>
      <c r="G16" s="621">
        <v>0</v>
      </c>
      <c r="H16" s="620">
        <v>0</v>
      </c>
      <c r="I16" s="621">
        <v>0</v>
      </c>
      <c r="J16" s="618">
        <v>0</v>
      </c>
      <c r="K16" s="618">
        <v>0</v>
      </c>
      <c r="L16" s="619">
        <v>435</v>
      </c>
      <c r="M16" s="617">
        <v>0</v>
      </c>
      <c r="N16" s="619">
        <v>1</v>
      </c>
      <c r="O16" s="617">
        <f t="shared" si="0"/>
        <v>436</v>
      </c>
      <c r="P16" s="618">
        <f t="shared" si="1"/>
        <v>76.3572679509632</v>
      </c>
      <c r="Q16" s="619">
        <f t="shared" si="2"/>
        <v>53.8990825688073</v>
      </c>
      <c r="R16" s="617">
        <f t="shared" si="3"/>
        <v>45.8715596330275</v>
      </c>
      <c r="S16" s="617">
        <f t="shared" si="4"/>
        <v>0</v>
      </c>
      <c r="T16" s="619">
        <f t="shared" si="5"/>
        <v>0</v>
      </c>
      <c r="U16" s="617">
        <f t="shared" si="6"/>
        <v>0</v>
      </c>
      <c r="V16" s="618">
        <f t="shared" si="7"/>
        <v>0.229357798165138</v>
      </c>
      <c r="W16" s="619">
        <f t="shared" si="8"/>
        <v>8.02752293577982</v>
      </c>
      <c r="X16" s="617">
        <f t="shared" si="9"/>
        <v>8.02752293577982</v>
      </c>
      <c r="Y16" s="617" t="str">
        <f t="shared" si="10"/>
        <v>NARROW</v>
      </c>
      <c r="Z16" s="283" t="str">
        <f t="shared" si="11"/>
        <v>STRONG</v>
      </c>
      <c r="AA16" s="289" t="str">
        <f t="shared" si="12"/>
        <v>BJP</v>
      </c>
      <c r="AB16">
        <v>569</v>
      </c>
      <c r="AC16">
        <v>441</v>
      </c>
      <c r="AD16">
        <v>278</v>
      </c>
      <c r="AE16">
        <v>214</v>
      </c>
      <c r="AF16">
        <v>291</v>
      </c>
      <c r="AG16">
        <v>227</v>
      </c>
      <c r="AH16">
        <v>348</v>
      </c>
      <c r="AI16">
        <v>277</v>
      </c>
      <c r="AJ16">
        <v>174</v>
      </c>
      <c r="AK16">
        <v>123</v>
      </c>
      <c r="AL16">
        <v>47</v>
      </c>
      <c r="AM16">
        <v>41</v>
      </c>
      <c r="AN16" s="248">
        <f t="shared" si="22"/>
        <v>48.8576449912127</v>
      </c>
      <c r="AO16" s="316">
        <f t="shared" si="23"/>
        <v>48.5260770975057</v>
      </c>
      <c r="AP16" s="317">
        <f t="shared" si="24"/>
        <v>51.1423550087873</v>
      </c>
      <c r="AQ16" s="318">
        <f t="shared" si="25"/>
        <v>51.4739229024943</v>
      </c>
      <c r="AR16" s="318" t="str">
        <f t="shared" si="26"/>
        <v>FEMALE DOM</v>
      </c>
      <c r="AS16" s="319" t="str">
        <f t="shared" si="27"/>
        <v>FEMALE</v>
      </c>
      <c r="AT16" s="317">
        <f t="shared" si="28"/>
        <v>61.1599297012302</v>
      </c>
      <c r="AU16" s="317">
        <f t="shared" si="29"/>
        <v>62.8117913832199</v>
      </c>
      <c r="AV16" s="248">
        <f t="shared" si="30"/>
        <v>30.5799648506151</v>
      </c>
      <c r="AW16" s="317">
        <f t="shared" si="31"/>
        <v>27.891156462585</v>
      </c>
      <c r="AX16" s="248">
        <f t="shared" si="32"/>
        <v>8.26010544815466</v>
      </c>
      <c r="AY16" s="317">
        <f t="shared" si="33"/>
        <v>9.29705215419501</v>
      </c>
      <c r="AZ16" s="248" t="str">
        <f t="shared" si="34"/>
        <v>HINDU</v>
      </c>
      <c r="BA16" s="318" t="str">
        <f t="shared" si="35"/>
        <v>HIND</v>
      </c>
    </row>
    <row r="17" ht="21" spans="1:27">
      <c r="A17" s="598"/>
      <c r="B17" s="622"/>
      <c r="C17" s="623">
        <f t="shared" ref="C17:O17" si="36">SUM(C7:C16)</f>
        <v>10686</v>
      </c>
      <c r="D17" s="624">
        <f t="shared" si="36"/>
        <v>4694</v>
      </c>
      <c r="E17" s="624">
        <f t="shared" si="36"/>
        <v>2693</v>
      </c>
      <c r="F17" s="623">
        <f t="shared" si="36"/>
        <v>109</v>
      </c>
      <c r="G17" s="623">
        <f t="shared" si="36"/>
        <v>11</v>
      </c>
      <c r="H17" s="625">
        <f t="shared" si="36"/>
        <v>1</v>
      </c>
      <c r="I17" s="623">
        <f t="shared" si="36"/>
        <v>2</v>
      </c>
      <c r="J17" s="623">
        <f t="shared" si="36"/>
        <v>8</v>
      </c>
      <c r="K17" s="628">
        <f t="shared" si="36"/>
        <v>9</v>
      </c>
      <c r="L17" s="628">
        <f t="shared" si="36"/>
        <v>7527</v>
      </c>
      <c r="M17" s="625">
        <f t="shared" si="36"/>
        <v>0</v>
      </c>
      <c r="N17" s="628">
        <f t="shared" si="36"/>
        <v>42</v>
      </c>
      <c r="O17" s="625">
        <f t="shared" si="36"/>
        <v>7569</v>
      </c>
      <c r="P17" s="623">
        <f t="shared" ref="P17:X17" si="37">AVERAGE(P7:P16)</f>
        <v>71.5575598918876</v>
      </c>
      <c r="Q17" s="628">
        <f t="shared" si="37"/>
        <v>36.3689101800539</v>
      </c>
      <c r="R17" s="625">
        <f t="shared" si="37"/>
        <v>61.3240131872355</v>
      </c>
      <c r="S17" s="625">
        <f t="shared" si="37"/>
        <v>1.36833246423796</v>
      </c>
      <c r="T17" s="628">
        <f t="shared" si="37"/>
        <v>0.145663068950056</v>
      </c>
      <c r="U17" s="625">
        <f t="shared" si="37"/>
        <v>0.246513242536322</v>
      </c>
      <c r="V17" s="623">
        <f t="shared" si="37"/>
        <v>0.546567856986226</v>
      </c>
      <c r="W17" s="628">
        <f t="shared" si="37"/>
        <v>-24.9551030071816</v>
      </c>
      <c r="X17" s="625">
        <f t="shared" si="37"/>
        <v>-26.715611782906</v>
      </c>
      <c r="Y17" s="625" t="str">
        <f t="shared" si="10"/>
        <v>LOST</v>
      </c>
      <c r="Z17" s="283" t="str">
        <f t="shared" si="11"/>
        <v>STRONG</v>
      </c>
      <c r="AA17" s="511" t="str">
        <f t="shared" si="12"/>
        <v>CONGRESS</v>
      </c>
    </row>
    <row r="20" spans="3:11">
      <c r="C20" s="225" t="s">
        <v>200</v>
      </c>
      <c r="D20" s="237"/>
      <c r="E20" s="237"/>
      <c r="F20" s="238"/>
      <c r="H20" s="225" t="s">
        <v>97</v>
      </c>
      <c r="I20" s="237"/>
      <c r="J20" s="237"/>
      <c r="K20" s="238"/>
    </row>
    <row r="21" spans="3:11">
      <c r="C21" s="226"/>
      <c r="D21" s="239"/>
      <c r="E21" s="239"/>
      <c r="F21" s="240"/>
      <c r="H21" s="241"/>
      <c r="I21" s="242"/>
      <c r="J21" s="242"/>
      <c r="K21" s="243"/>
    </row>
    <row r="22" spans="3:11">
      <c r="C22" s="227" t="s">
        <v>99</v>
      </c>
      <c r="D22" s="244"/>
      <c r="E22" s="245"/>
      <c r="F22" s="245">
        <f>COUNTIF(AA7:AA16,"BJP")</f>
        <v>4</v>
      </c>
      <c r="H22" s="246" t="s">
        <v>100</v>
      </c>
      <c r="I22" s="247"/>
      <c r="J22" s="247"/>
      <c r="K22" s="248">
        <f>COUNTIF(Y7:Y16,"NARROW")</f>
        <v>1</v>
      </c>
    </row>
    <row r="23" spans="3:11">
      <c r="C23" s="227"/>
      <c r="D23" s="244"/>
      <c r="E23" s="245"/>
      <c r="F23" s="245"/>
      <c r="H23" s="249"/>
      <c r="I23" s="250"/>
      <c r="J23" s="250"/>
      <c r="K23" s="251"/>
    </row>
    <row r="24" spans="3:11">
      <c r="C24" s="227"/>
      <c r="D24" s="244"/>
      <c r="E24" s="245"/>
      <c r="F24" s="245"/>
      <c r="H24" s="252" t="s">
        <v>103</v>
      </c>
      <c r="I24" s="253"/>
      <c r="J24" s="253"/>
      <c r="K24" s="248">
        <f>COUNTIF(Y7:Y16,"MEDIUM")</f>
        <v>0</v>
      </c>
    </row>
    <row r="25" spans="3:11">
      <c r="C25" s="228" t="s">
        <v>106</v>
      </c>
      <c r="D25" s="254"/>
      <c r="E25" s="255"/>
      <c r="F25" s="255">
        <f>COUNTIF(AA7:AA16,"CONGRESS")</f>
        <v>6</v>
      </c>
      <c r="H25" s="252"/>
      <c r="I25" s="253"/>
      <c r="J25" s="253"/>
      <c r="K25" s="251"/>
    </row>
    <row r="26" spans="3:11">
      <c r="C26" s="229"/>
      <c r="D26" s="256"/>
      <c r="E26" s="257"/>
      <c r="F26" s="257"/>
      <c r="H26" s="258" t="s">
        <v>107</v>
      </c>
      <c r="I26" s="259"/>
      <c r="J26" s="259"/>
      <c r="K26" s="248">
        <f>COUNTIF(Y7:Y16,"STRONG")</f>
        <v>3</v>
      </c>
    </row>
    <row r="27" spans="3:11">
      <c r="C27" s="230"/>
      <c r="D27" s="260"/>
      <c r="E27" s="261"/>
      <c r="F27" s="261"/>
      <c r="H27" s="262"/>
      <c r="I27" s="263"/>
      <c r="J27" s="263"/>
      <c r="K27" s="251"/>
    </row>
    <row r="28" spans="8:11">
      <c r="H28" s="229" t="s">
        <v>110</v>
      </c>
      <c r="I28" s="256"/>
      <c r="J28" s="256"/>
      <c r="K28" s="248">
        <f>COUNTIF(Y7:Y16,"LOST")</f>
        <v>6</v>
      </c>
    </row>
    <row r="29" spans="8:11">
      <c r="H29" s="230"/>
      <c r="I29" s="260"/>
      <c r="J29" s="260"/>
      <c r="K29" s="251"/>
    </row>
  </sheetData>
  <mergeCells count="68">
    <mergeCell ref="A1:A6"/>
    <mergeCell ref="B1:B6"/>
    <mergeCell ref="C1:C6"/>
    <mergeCell ref="D3:D6"/>
    <mergeCell ref="E3:E6"/>
    <mergeCell ref="F3:F6"/>
    <mergeCell ref="F22:F24"/>
    <mergeCell ref="F25:F27"/>
    <mergeCell ref="G3:G6"/>
    <mergeCell ref="H3:H6"/>
    <mergeCell ref="I3:I6"/>
    <mergeCell ref="J3:J6"/>
    <mergeCell ref="K3:K6"/>
    <mergeCell ref="K22:K23"/>
    <mergeCell ref="K24:K25"/>
    <mergeCell ref="K26:K27"/>
    <mergeCell ref="K28:K29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H28:J29"/>
    <mergeCell ref="C20:F21"/>
    <mergeCell ref="H20:K21"/>
    <mergeCell ref="C22:E24"/>
    <mergeCell ref="H22:J23"/>
    <mergeCell ref="H24:J25"/>
    <mergeCell ref="C25:E27"/>
    <mergeCell ref="H26:J27"/>
  </mergeCells>
  <conditionalFormatting sqref="AR7:AR16">
    <cfRule type="containsText" dxfId="6" priority="1" operator="between" text="FEMALE DOM">
      <formula>NOT(ISERROR(SEARCH("FEMALE DOM",AR7)))</formula>
    </cfRule>
  </conditionalFormatting>
  <conditionalFormatting sqref="AZ7:AZ16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6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"/>
  <sheetViews>
    <sheetView workbookViewId="0">
      <selection activeCell="A1" sqref="A1:AJ1"/>
    </sheetView>
  </sheetViews>
  <sheetFormatPr defaultColWidth="9" defaultRowHeight="14.5" outlineLevelRow="4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84</v>
      </c>
      <c r="B2" s="185" t="s">
        <v>201</v>
      </c>
      <c r="C2" s="184">
        <v>587</v>
      </c>
      <c r="D2" s="184">
        <v>440</v>
      </c>
      <c r="E2" s="184">
        <f t="shared" ref="E2:E5" si="0">(D2/C2)*100</f>
        <v>74.9574105621806</v>
      </c>
      <c r="F2" s="184">
        <v>124</v>
      </c>
      <c r="G2" s="184">
        <f t="shared" ref="G2:G5" si="1">(F2/C2)*100</f>
        <v>21.1243611584327</v>
      </c>
      <c r="H2" s="184">
        <v>3</v>
      </c>
      <c r="I2" s="184">
        <f t="shared" ref="I2:I5" si="2">(H2/C2)*100</f>
        <v>0.511073253833049</v>
      </c>
      <c r="J2" s="184">
        <v>9</v>
      </c>
      <c r="K2" s="184">
        <f t="shared" ref="K2:K5" si="3">(J2/C2)*100</f>
        <v>1.53321976149915</v>
      </c>
      <c r="L2" s="189">
        <v>330</v>
      </c>
      <c r="M2" s="189">
        <v>368</v>
      </c>
      <c r="N2" s="189">
        <f t="shared" ref="N2:N5" si="4">L2+M2</f>
        <v>698</v>
      </c>
      <c r="O2" s="184">
        <v>587</v>
      </c>
      <c r="P2" s="190">
        <f t="shared" ref="P2:P5" si="5">O2/N2*100</f>
        <v>84.0974212034384</v>
      </c>
      <c r="Q2" s="184"/>
      <c r="R2" s="184">
        <f t="shared" ref="R2:R5" si="6">(Q2/N2)*100</f>
        <v>0</v>
      </c>
      <c r="S2" s="184">
        <f t="shared" ref="S2:S5" si="7">Q2-U2</f>
        <v>0</v>
      </c>
      <c r="T2" s="184" t="e">
        <f t="shared" ref="T2:T5" si="8">(S2/Q2)*100</f>
        <v>#DIV/0!</v>
      </c>
      <c r="U2" s="184"/>
      <c r="V2" s="191">
        <f t="shared" ref="V2:V5" si="9">IFERROR(U2/Q2*100,0)</f>
        <v>0</v>
      </c>
      <c r="W2" s="184"/>
      <c r="X2" s="184">
        <f t="shared" ref="X2:X5" si="10">100-R2</f>
        <v>100</v>
      </c>
      <c r="Y2" s="184">
        <f t="shared" ref="Y2:Y5" si="11">W2-AA2</f>
        <v>0</v>
      </c>
      <c r="Z2" s="193" t="e">
        <f t="shared" ref="Z2:Z5" si="12">(Y2/W2)*100</f>
        <v>#DIV/0!</v>
      </c>
      <c r="AA2" s="193"/>
      <c r="AB2" s="194">
        <f t="shared" ref="AB2:AB5" si="13">IFERROR(AA2/W2*100,0)</f>
        <v>0</v>
      </c>
      <c r="AC2" s="193">
        <f t="shared" ref="AC2:AC5" si="14">U2+AA2</f>
        <v>0</v>
      </c>
      <c r="AD2" s="193" t="str">
        <f t="shared" ref="AD2:AD3" si="15">IF(P2&gt;80,"EXCELLENT",IF(P2&gt;70,"STRONG",IF(P2&gt;60,"AVG",IF(P2&gt;50,"WEAK",IF(P2&lt;50,"VLOW")))))</f>
        <v>EXCELLENT</v>
      </c>
      <c r="AE2" s="195" t="str">
        <f t="shared" ref="AE2:AE3" si="16">IF(R2&gt;80,"EXCELLENT",IF(R2&gt;70,"STRONG",IF(R2&gt;60,"AVG",IF(R2&gt;50,"WEAK",IF(R2&lt;50,"VLOW")))))</f>
        <v>VLOW</v>
      </c>
      <c r="AF2" s="193" t="str">
        <f t="shared" ref="AF2:AF3" si="17">IF(X2&gt;80,"EXCELLENT",IF(X2&gt;70,"STRONG",IF(X2&gt;60,"AVG",IF(X2&gt;50,"WEAK",IF(X2&lt;50,"VLOW")))))</f>
        <v>EXCELLENT</v>
      </c>
      <c r="AG2" s="193" t="str">
        <f t="shared" ref="AG2:AG3" si="18">IF(M2&gt;L2,"FEMALE DOM","MEN")</f>
        <v>FEMALE DOM</v>
      </c>
      <c r="AH2" s="193" t="e">
        <f t="shared" ref="AH2:AH3" si="19">IF(T2&gt;Z2,"H","O")</f>
        <v>#DIV/0!</v>
      </c>
      <c r="AI2" s="197">
        <f t="shared" ref="AI2" si="20">E2-G2</f>
        <v>53.8330494037479</v>
      </c>
      <c r="AJ2" s="199" t="str">
        <f t="shared" ref="AJ2:AJ3" si="21">IF(E2&gt;G2,"BJP GAIN","CONGRESSGAIN")</f>
        <v>BJP GAIN</v>
      </c>
    </row>
    <row r="3" spans="1:36">
      <c r="A3" s="184">
        <v>85</v>
      </c>
      <c r="B3" s="185" t="s">
        <v>202</v>
      </c>
      <c r="C3" s="184">
        <v>819</v>
      </c>
      <c r="D3" s="184">
        <v>64</v>
      </c>
      <c r="E3" s="184">
        <f t="shared" si="0"/>
        <v>7.81440781440781</v>
      </c>
      <c r="F3" s="184">
        <v>691</v>
      </c>
      <c r="G3" s="184">
        <f t="shared" si="1"/>
        <v>84.3711843711844</v>
      </c>
      <c r="H3" s="184">
        <v>12</v>
      </c>
      <c r="I3" s="184">
        <f t="shared" si="2"/>
        <v>1.46520146520147</v>
      </c>
      <c r="J3" s="184">
        <v>40</v>
      </c>
      <c r="K3" s="184">
        <f t="shared" si="3"/>
        <v>4.88400488400488</v>
      </c>
      <c r="L3" s="189">
        <v>599</v>
      </c>
      <c r="M3" s="189">
        <v>621</v>
      </c>
      <c r="N3" s="189">
        <f t="shared" si="4"/>
        <v>1220</v>
      </c>
      <c r="O3" s="184">
        <v>819</v>
      </c>
      <c r="P3" s="190">
        <f t="shared" si="5"/>
        <v>67.1311475409836</v>
      </c>
      <c r="Q3" s="184">
        <v>4</v>
      </c>
      <c r="R3" s="184">
        <f t="shared" si="6"/>
        <v>0.327868852459016</v>
      </c>
      <c r="S3" s="184">
        <f t="shared" si="7"/>
        <v>4</v>
      </c>
      <c r="T3" s="184">
        <f t="shared" si="8"/>
        <v>100</v>
      </c>
      <c r="U3" s="184">
        <v>0</v>
      </c>
      <c r="V3" s="191">
        <f t="shared" si="9"/>
        <v>0</v>
      </c>
      <c r="W3" s="184">
        <v>1216</v>
      </c>
      <c r="X3" s="184">
        <f t="shared" si="10"/>
        <v>99.672131147541</v>
      </c>
      <c r="Y3" s="196">
        <f t="shared" si="11"/>
        <v>1175</v>
      </c>
      <c r="Z3" s="193">
        <f t="shared" si="12"/>
        <v>96.6282894736842</v>
      </c>
      <c r="AA3" s="193">
        <v>41</v>
      </c>
      <c r="AB3" s="194">
        <f t="shared" si="13"/>
        <v>3.37171052631579</v>
      </c>
      <c r="AC3" s="193">
        <f t="shared" si="14"/>
        <v>41</v>
      </c>
      <c r="AD3" s="193" t="str">
        <f t="shared" si="15"/>
        <v>AVG</v>
      </c>
      <c r="AE3" s="195" t="str">
        <f t="shared" si="16"/>
        <v>VLOW</v>
      </c>
      <c r="AF3" s="193" t="str">
        <f t="shared" si="17"/>
        <v>EXCELLENT</v>
      </c>
      <c r="AG3" s="193" t="str">
        <f t="shared" si="18"/>
        <v>FEMALE DOM</v>
      </c>
      <c r="AH3" s="193" t="str">
        <f t="shared" si="19"/>
        <v>H</v>
      </c>
      <c r="AI3" s="197">
        <f>G3-E3</f>
        <v>76.5567765567766</v>
      </c>
      <c r="AJ3" s="198" t="str">
        <f t="shared" si="21"/>
        <v>CONGRESSGAIN</v>
      </c>
    </row>
    <row r="4" spans="1:29">
      <c r="A4" s="184">
        <v>91</v>
      </c>
      <c r="B4" s="185" t="s">
        <v>203</v>
      </c>
      <c r="C4" s="184">
        <v>821</v>
      </c>
      <c r="D4" s="184">
        <v>714</v>
      </c>
      <c r="E4" s="184">
        <f t="shared" si="0"/>
        <v>86.9671132764921</v>
      </c>
      <c r="F4" s="184">
        <v>78</v>
      </c>
      <c r="G4" s="184">
        <f t="shared" si="1"/>
        <v>9.50060901339829</v>
      </c>
      <c r="H4" s="184">
        <v>3</v>
      </c>
      <c r="I4" s="184">
        <f t="shared" si="2"/>
        <v>0.365408038976857</v>
      </c>
      <c r="J4" s="184">
        <v>5</v>
      </c>
      <c r="K4" s="184">
        <f t="shared" si="3"/>
        <v>0.609013398294762</v>
      </c>
      <c r="L4" s="189">
        <v>529</v>
      </c>
      <c r="M4" s="189">
        <v>540</v>
      </c>
      <c r="N4" s="189">
        <f t="shared" si="4"/>
        <v>1069</v>
      </c>
      <c r="O4" s="184">
        <v>821</v>
      </c>
      <c r="P4" s="190">
        <f t="shared" si="5"/>
        <v>76.800748362956</v>
      </c>
      <c r="Q4" s="184">
        <v>1047</v>
      </c>
      <c r="R4" s="184">
        <f t="shared" si="6"/>
        <v>97.9420018709074</v>
      </c>
      <c r="S4" s="192">
        <f t="shared" si="7"/>
        <v>243</v>
      </c>
      <c r="T4" s="184">
        <f t="shared" si="8"/>
        <v>23.2091690544413</v>
      </c>
      <c r="U4" s="184">
        <v>804</v>
      </c>
      <c r="V4" s="191">
        <f t="shared" si="9"/>
        <v>76.7908309455587</v>
      </c>
      <c r="W4" s="184">
        <v>22</v>
      </c>
      <c r="X4" s="184">
        <f t="shared" si="10"/>
        <v>2.05799812909261</v>
      </c>
      <c r="Y4" s="196">
        <f t="shared" si="11"/>
        <v>5</v>
      </c>
      <c r="Z4" s="193">
        <f t="shared" si="12"/>
        <v>22.7272727272727</v>
      </c>
      <c r="AA4" s="193">
        <v>17</v>
      </c>
      <c r="AB4" s="194">
        <f t="shared" si="13"/>
        <v>77.2727272727273</v>
      </c>
      <c r="AC4" s="193">
        <f t="shared" si="14"/>
        <v>821</v>
      </c>
    </row>
    <row r="5" spans="1:36">
      <c r="A5" s="184">
        <v>93</v>
      </c>
      <c r="B5" s="185" t="s">
        <v>204</v>
      </c>
      <c r="C5" s="184">
        <v>1008</v>
      </c>
      <c r="D5" s="184">
        <v>898</v>
      </c>
      <c r="E5" s="184">
        <f t="shared" si="0"/>
        <v>89.0873015873016</v>
      </c>
      <c r="F5" s="184">
        <v>86</v>
      </c>
      <c r="G5" s="184">
        <f t="shared" si="1"/>
        <v>8.53174603174603</v>
      </c>
      <c r="H5" s="184">
        <v>6</v>
      </c>
      <c r="I5" s="184">
        <f t="shared" si="2"/>
        <v>0.595238095238095</v>
      </c>
      <c r="J5" s="184">
        <v>6</v>
      </c>
      <c r="K5" s="184">
        <f t="shared" si="3"/>
        <v>0.595238095238095</v>
      </c>
      <c r="L5" s="189">
        <v>589</v>
      </c>
      <c r="M5" s="189">
        <v>604</v>
      </c>
      <c r="N5" s="189">
        <f t="shared" si="4"/>
        <v>1193</v>
      </c>
      <c r="O5" s="184">
        <v>1008</v>
      </c>
      <c r="P5" s="190">
        <f t="shared" si="5"/>
        <v>84.4928751047779</v>
      </c>
      <c r="Q5" s="184">
        <v>1162</v>
      </c>
      <c r="R5" s="184">
        <f t="shared" si="6"/>
        <v>97.4015088013412</v>
      </c>
      <c r="S5" s="184">
        <f t="shared" si="7"/>
        <v>171</v>
      </c>
      <c r="T5" s="184">
        <f t="shared" si="8"/>
        <v>14.7160068846816</v>
      </c>
      <c r="U5" s="184">
        <v>991</v>
      </c>
      <c r="V5" s="191">
        <f t="shared" si="9"/>
        <v>85.2839931153184</v>
      </c>
      <c r="W5" s="184">
        <v>31</v>
      </c>
      <c r="X5" s="184">
        <f t="shared" si="10"/>
        <v>2.59849119865885</v>
      </c>
      <c r="Y5" s="184">
        <f t="shared" si="11"/>
        <v>14</v>
      </c>
      <c r="Z5" s="193">
        <f t="shared" si="12"/>
        <v>45.1612903225806</v>
      </c>
      <c r="AA5" s="193">
        <v>17</v>
      </c>
      <c r="AB5" s="194">
        <f t="shared" si="13"/>
        <v>54.8387096774194</v>
      </c>
      <c r="AC5" s="193">
        <f t="shared" si="14"/>
        <v>1008</v>
      </c>
      <c r="AD5" s="193" t="str">
        <f t="shared" ref="AD5" si="22">IF(P5&gt;80,"EXCELLENT",IF(P5&gt;70,"STRONG",IF(P5&gt;60,"AVG",IF(P5&gt;50,"WEAK",IF(P5&lt;50,"VLOW")))))</f>
        <v>EXCELLENT</v>
      </c>
      <c r="AE5" s="195" t="str">
        <f t="shared" ref="AE5" si="23">IF(R5&gt;80,"EXCELLENT",IF(R5&gt;70,"STRONG",IF(R5&gt;60,"AVG",IF(R5&gt;50,"WEAK",IF(R5&lt;50,"VLOW")))))</f>
        <v>EXCELLENT</v>
      </c>
      <c r="AF5" s="193" t="str">
        <f t="shared" ref="AF5" si="24">IF(X5&gt;80,"EXCELLENT",IF(X5&gt;70,"STRONG",IF(X5&gt;60,"AVG",IF(X5&gt;50,"WEAK",IF(X5&lt;50,"VLOW")))))</f>
        <v>VLOW</v>
      </c>
      <c r="AG5" s="193" t="str">
        <f t="shared" ref="AG5" si="25">IF(M5&gt;L5,"FEMALE DOM","MEN")</f>
        <v>FEMALE DOM</v>
      </c>
      <c r="AH5" s="193" t="str">
        <f t="shared" ref="AH5" si="26">IF(T5&gt;Z5,"H","O")</f>
        <v>O</v>
      </c>
      <c r="AI5" s="197">
        <f>E5-G5</f>
        <v>80.5555555555556</v>
      </c>
      <c r="AJ5" s="199" t="str">
        <f t="shared" ref="AJ5" si="27">IF(E5&gt;G5,"BJP GAIN","CONGRESSGAIN")</f>
        <v>BJP GAIN</v>
      </c>
    </row>
  </sheetData>
  <conditionalFormatting sqref="AD5">
    <cfRule type="containsText" dxfId="8" priority="15" operator="between" text="AVG">
      <formula>NOT(ISERROR(SEARCH("AVG",AD5)))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NOT(ISERROR(SEARCH("VSTRONG",AD5)))</formula>
    </cfRule>
    <cfRule type="containsText" dxfId="10" priority="5" operator="between" text="AVG">
      <formula>NOT(ISERROR(SEARCH("AVG",AD5)))</formula>
    </cfRule>
  </conditionalFormatting>
  <conditionalFormatting sqref="AE5">
    <cfRule type="containsText" dxfId="3" priority="9" operator="between" text="STRONG">
      <formula>NOT(ISERROR(SEARCH("STRONG",AE5)))</formula>
    </cfRule>
    <cfRule type="containsText" dxfId="1" priority="7" operator="between" text="VSTRONG">
      <formula>NOT(ISERROR(SEARCH("VSTRONG",AE5)))</formula>
    </cfRule>
  </conditionalFormatting>
  <conditionalFormatting sqref="AE5:AF5">
    <cfRule type="containsText" dxfId="2" priority="8" operator="between" text="AVG">
      <formula>NOT(ISERROR(SEARCH("AVG",AE5)))</formula>
    </cfRule>
  </conditionalFormatting>
  <conditionalFormatting sqref="AF5">
    <cfRule type="cellIs" dxfId="11" priority="3" operator="equal">
      <formula>"VWEAK"</formula>
    </cfRule>
    <cfRule type="containsText" dxfId="0" priority="2" operator="between" text="VSTRONG">
      <formula>NOT(ISERROR(SEARCH("VSTRONG",AF5)))</formula>
    </cfRule>
  </conditionalFormatting>
  <conditionalFormatting sqref="AG5">
    <cfRule type="containsText" dxfId="12" priority="6" operator="between" text="FEMALE DOM">
      <formula>NOT(ISERROR(SEARCH("FEMALE DOM",AG5)))</formula>
    </cfRule>
    <cfRule type="containsText" dxfId="10" priority="1" operator="between" text="MEN">
      <formula>NOT(ISERROR(SEARCH("MEN",AG5)))</formula>
    </cfRule>
  </conditionalFormatting>
  <conditionalFormatting sqref="AH5">
    <cfRule type="containsText" dxfId="0" priority="12" operator="between" text="O">
      <formula>NOT(ISERROR(SEARCH("O",AH5)))</formula>
    </cfRule>
    <cfRule type="containsText" dxfId="3" priority="10" operator="between" text="H">
      <formula>NOT(ISERROR(SEARCH("H",AH5)))</formula>
    </cfRule>
    <cfRule type="containsText" dxfId="13" priority="11" operator="between" text="H">
      <formula>NOT(ISERROR(SEARCH("H",AH5)))</formula>
    </cfRule>
    <cfRule type="containsText" dxfId="1" priority="4" operator="between" text="H">
      <formula>NOT(ISERROR(SEARCH("H",AH5)))</formula>
    </cfRule>
  </conditionalFormatting>
  <conditionalFormatting sqref="AD2:AD3">
    <cfRule type="containsText" dxfId="8" priority="30" operator="between" text="AVG">
      <formula>NOT(ISERROR(SEARCH("AVG",AD2)))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NOT(ISERROR(SEARCH("VSTRONG",AD2)))</formula>
    </cfRule>
    <cfRule type="containsText" dxfId="10" priority="20" operator="between" text="AVG">
      <formula>NOT(ISERROR(SEARCH("AVG",AD2)))</formula>
    </cfRule>
  </conditionalFormatting>
  <conditionalFormatting sqref="AE2:AE3">
    <cfRule type="containsText" dxfId="3" priority="24" operator="between" text="STRONG">
      <formula>NOT(ISERROR(SEARCH("STRONG",AE2)))</formula>
    </cfRule>
    <cfRule type="containsText" dxfId="1" priority="22" operator="between" text="VSTRONG">
      <formula>NOT(ISERROR(SEARCH("VSTRONG",AE2)))</formula>
    </cfRule>
  </conditionalFormatting>
  <conditionalFormatting sqref="AF2:AF3">
    <cfRule type="cellIs" dxfId="11" priority="18" operator="equal">
      <formula>"VWEAK"</formula>
    </cfRule>
    <cfRule type="containsText" dxfId="0" priority="17" operator="between" text="VSTRONG">
      <formula>NOT(ISERROR(SEARCH("VSTRONG",AF2)))</formula>
    </cfRule>
  </conditionalFormatting>
  <conditionalFormatting sqref="AG2:AG3">
    <cfRule type="containsText" dxfId="12" priority="21" operator="between" text="FEMALE DOM">
      <formula>NOT(ISERROR(SEARCH("FEMALE DOM",AG2)))</formula>
    </cfRule>
    <cfRule type="containsText" dxfId="10" priority="16" operator="between" text="MEN">
      <formula>NOT(ISERROR(SEARCH("MEN",AG2)))</formula>
    </cfRule>
  </conditionalFormatting>
  <conditionalFormatting sqref="AH2:AH3">
    <cfRule type="containsText" dxfId="0" priority="27" operator="between" text="O">
      <formula>NOT(ISERROR(SEARCH("O",AH2)))</formula>
    </cfRule>
    <cfRule type="containsText" dxfId="3" priority="25" operator="between" text="H">
      <formula>NOT(ISERROR(SEARCH("H",AH2)))</formula>
    </cfRule>
    <cfRule type="containsText" dxfId="13" priority="26" operator="between" text="H">
      <formula>NOT(ISERROR(SEARCH("H",AH2)))</formula>
    </cfRule>
    <cfRule type="containsText" dxfId="1" priority="19" operator="between" text="H">
      <formula>NOT(ISERROR(SEARCH("H",AH2)))</formula>
    </cfRule>
  </conditionalFormatting>
  <conditionalFormatting sqref="AE2:AF3">
    <cfRule type="containsText" dxfId="2" priority="23" operator="between" text="AVG">
      <formula>NOT(ISERROR(SEARCH("AVG",AE2)))</formula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5"/>
  <sheetViews>
    <sheetView topLeftCell="AK5" workbookViewId="0">
      <selection activeCell="AN7" sqref="AN7:BA12"/>
    </sheetView>
  </sheetViews>
  <sheetFormatPr defaultColWidth="9" defaultRowHeight="14.5"/>
  <cols>
    <col min="25" max="26" width="10.7090909090909" customWidth="1"/>
    <col min="27" max="27" width="11.4272727272727" customWidth="1"/>
  </cols>
  <sheetData>
    <row r="1" spans="1:53">
      <c r="A1" s="274" t="s">
        <v>16</v>
      </c>
      <c r="B1" s="267" t="s">
        <v>177</v>
      </c>
      <c r="C1" s="267" t="s">
        <v>15</v>
      </c>
      <c r="D1" s="267" t="s">
        <v>1</v>
      </c>
      <c r="E1" s="513"/>
      <c r="F1" s="513"/>
      <c r="G1" s="513"/>
      <c r="H1" s="513"/>
      <c r="I1" s="513"/>
      <c r="J1" s="513"/>
      <c r="K1" s="508"/>
      <c r="L1" s="267" t="s">
        <v>2</v>
      </c>
      <c r="M1" s="268" t="s">
        <v>3</v>
      </c>
      <c r="N1" s="508" t="s">
        <v>4</v>
      </c>
      <c r="O1" s="508" t="s">
        <v>5</v>
      </c>
      <c r="P1" s="508" t="s">
        <v>17</v>
      </c>
      <c r="Q1" s="513" t="s">
        <v>18</v>
      </c>
      <c r="R1" s="267" t="s">
        <v>19</v>
      </c>
      <c r="S1" s="268" t="s">
        <v>20</v>
      </c>
      <c r="T1" s="508" t="s">
        <v>21</v>
      </c>
      <c r="U1" s="508" t="s">
        <v>22</v>
      </c>
      <c r="V1" s="513" t="s">
        <v>23</v>
      </c>
      <c r="W1" s="268" t="s">
        <v>156</v>
      </c>
      <c r="X1" s="268" t="s">
        <v>66</v>
      </c>
      <c r="Y1" s="508" t="s">
        <v>67</v>
      </c>
      <c r="Z1" s="508" t="s">
        <v>159</v>
      </c>
      <c r="AA1" s="508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74"/>
      <c r="B2" s="273"/>
      <c r="C2" s="273"/>
      <c r="D2" s="273"/>
      <c r="E2" s="514"/>
      <c r="F2" s="514"/>
      <c r="G2" s="514"/>
      <c r="H2" s="514"/>
      <c r="I2" s="514"/>
      <c r="J2" s="514"/>
      <c r="K2" s="509"/>
      <c r="L2" s="273"/>
      <c r="M2" s="274"/>
      <c r="N2" s="509"/>
      <c r="O2" s="509"/>
      <c r="P2" s="509"/>
      <c r="Q2" s="514"/>
      <c r="R2" s="273"/>
      <c r="S2" s="274"/>
      <c r="T2" s="509"/>
      <c r="U2" s="509"/>
      <c r="V2" s="514"/>
      <c r="W2" s="274"/>
      <c r="X2" s="274"/>
      <c r="Y2" s="509"/>
      <c r="Z2" s="509"/>
      <c r="AA2" s="509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74"/>
      <c r="B3" s="273"/>
      <c r="C3" s="273"/>
      <c r="D3" s="267" t="s">
        <v>7</v>
      </c>
      <c r="E3" s="267" t="s">
        <v>8</v>
      </c>
      <c r="F3" s="268" t="s">
        <v>9</v>
      </c>
      <c r="G3" s="513" t="s">
        <v>10</v>
      </c>
      <c r="H3" s="268" t="s">
        <v>11</v>
      </c>
      <c r="I3" s="513" t="s">
        <v>12</v>
      </c>
      <c r="J3" s="267" t="s">
        <v>9</v>
      </c>
      <c r="K3" s="268" t="s">
        <v>13</v>
      </c>
      <c r="L3" s="273"/>
      <c r="M3" s="274"/>
      <c r="N3" s="509"/>
      <c r="O3" s="509"/>
      <c r="P3" s="509"/>
      <c r="Q3" s="514"/>
      <c r="R3" s="273"/>
      <c r="S3" s="274"/>
      <c r="T3" s="509"/>
      <c r="U3" s="509"/>
      <c r="V3" s="514"/>
      <c r="W3" s="274"/>
      <c r="X3" s="274"/>
      <c r="Y3" s="509"/>
      <c r="Z3" s="509"/>
      <c r="AA3" s="509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74"/>
      <c r="B4" s="273"/>
      <c r="C4" s="273"/>
      <c r="D4" s="273"/>
      <c r="E4" s="273"/>
      <c r="F4" s="274"/>
      <c r="G4" s="514"/>
      <c r="H4" s="274"/>
      <c r="I4" s="514"/>
      <c r="J4" s="273"/>
      <c r="K4" s="274"/>
      <c r="L4" s="273"/>
      <c r="M4" s="274"/>
      <c r="N4" s="509"/>
      <c r="O4" s="509"/>
      <c r="P4" s="509"/>
      <c r="Q4" s="514"/>
      <c r="R4" s="273"/>
      <c r="S4" s="274"/>
      <c r="T4" s="509"/>
      <c r="U4" s="509"/>
      <c r="V4" s="514"/>
      <c r="W4" s="274"/>
      <c r="X4" s="274"/>
      <c r="Y4" s="509"/>
      <c r="Z4" s="509"/>
      <c r="AA4" s="509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74"/>
      <c r="B5" s="273"/>
      <c r="C5" s="273"/>
      <c r="D5" s="273"/>
      <c r="E5" s="273"/>
      <c r="F5" s="274"/>
      <c r="G5" s="514"/>
      <c r="H5" s="274"/>
      <c r="I5" s="514"/>
      <c r="J5" s="273"/>
      <c r="K5" s="274"/>
      <c r="L5" s="273"/>
      <c r="M5" s="274"/>
      <c r="N5" s="509"/>
      <c r="O5" s="509"/>
      <c r="P5" s="509"/>
      <c r="Q5" s="514"/>
      <c r="R5" s="273"/>
      <c r="S5" s="274"/>
      <c r="T5" s="509"/>
      <c r="U5" s="509"/>
      <c r="V5" s="514"/>
      <c r="W5" s="274"/>
      <c r="X5" s="274"/>
      <c r="Y5" s="509"/>
      <c r="Z5" s="509"/>
      <c r="AA5" s="509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74"/>
      <c r="B6" s="273"/>
      <c r="C6" s="273"/>
      <c r="D6" s="278"/>
      <c r="E6" s="278"/>
      <c r="F6" s="279"/>
      <c r="G6" s="515"/>
      <c r="H6" s="279"/>
      <c r="I6" s="515"/>
      <c r="J6" s="278"/>
      <c r="K6" s="279"/>
      <c r="L6" s="273"/>
      <c r="M6" s="274"/>
      <c r="N6" s="509"/>
      <c r="O6" s="510"/>
      <c r="P6" s="509"/>
      <c r="Q6" s="514"/>
      <c r="R6" s="273"/>
      <c r="S6" s="279"/>
      <c r="T6" s="509"/>
      <c r="U6" s="509"/>
      <c r="V6" s="514"/>
      <c r="W6" s="279"/>
      <c r="X6" s="279"/>
      <c r="Y6" s="509"/>
      <c r="Z6" s="510"/>
      <c r="AA6" s="509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584" t="s">
        <v>34</v>
      </c>
      <c r="B7" s="227">
        <v>237</v>
      </c>
      <c r="C7" s="227">
        <v>1302</v>
      </c>
      <c r="D7" s="227">
        <v>229</v>
      </c>
      <c r="E7" s="227">
        <v>594</v>
      </c>
      <c r="F7" s="517">
        <v>4</v>
      </c>
      <c r="G7" s="244">
        <v>5</v>
      </c>
      <c r="H7" s="517">
        <v>0</v>
      </c>
      <c r="I7" s="244">
        <v>0</v>
      </c>
      <c r="J7" s="227">
        <v>0</v>
      </c>
      <c r="K7" s="517">
        <v>1</v>
      </c>
      <c r="L7" s="518">
        <v>833</v>
      </c>
      <c r="M7" s="199">
        <v>0</v>
      </c>
      <c r="N7" s="289">
        <v>11</v>
      </c>
      <c r="O7" s="289">
        <f t="shared" ref="O7:O12" si="0">D7+E7+F7+G7+H7+I7+J7+K7+N7</f>
        <v>844</v>
      </c>
      <c r="P7" s="289">
        <f t="shared" ref="P7:P12" si="1">(O7/C7)*100</f>
        <v>64.8233486943164</v>
      </c>
      <c r="Q7" s="519">
        <f t="shared" ref="Q7:Q12" si="2">(E7/O7)*100</f>
        <v>70.3791469194313</v>
      </c>
      <c r="R7" s="518">
        <f t="shared" ref="R7:R12" si="3">(D7/O7)*100</f>
        <v>27.1327014218009</v>
      </c>
      <c r="S7" s="199">
        <f t="shared" ref="S7:S12" si="4">(F7/O7)*100</f>
        <v>0.4739336492891</v>
      </c>
      <c r="T7" s="289">
        <f t="shared" ref="T7:T12" si="5">(G7/O7)*100</f>
        <v>0.592417061611374</v>
      </c>
      <c r="U7" s="289">
        <f t="shared" ref="U7:U12" si="6">((H7+I7+J7+K7)/O7)*100</f>
        <v>0.118483412322275</v>
      </c>
      <c r="V7" s="519">
        <f t="shared" ref="V7:V12" si="7">(N7/O7)*100</f>
        <v>1.30331753554502</v>
      </c>
      <c r="W7" s="199">
        <f>Q7-R7</f>
        <v>43.2464454976303</v>
      </c>
      <c r="X7" s="199">
        <f>Q7-(R7+S7+T7+U7)</f>
        <v>42.0616113744076</v>
      </c>
      <c r="Y7" s="289" t="str">
        <f>IF(AND(W7&lt;0,W7&lt;=1),"LOST",IF(AND(W7&gt;1,W7&lt;=10),"NARROW",IF(AND(W7&gt;10,W7&lt;=40),"MEDIUM",IF(AND(W7&gt;40,W7&lt;=90),"STRONG",""))))</f>
        <v>STRONG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1298</v>
      </c>
      <c r="AD7">
        <v>611</v>
      </c>
      <c r="AF7">
        <v>687</v>
      </c>
      <c r="AH7">
        <v>1080</v>
      </c>
      <c r="AJ7">
        <v>101</v>
      </c>
      <c r="AL7">
        <v>117</v>
      </c>
      <c r="AN7" s="248">
        <f>(AD7/AB7)*100</f>
        <v>47.0724191063174</v>
      </c>
      <c r="AO7" s="316" t="e">
        <f>(AE7/AC7)*100</f>
        <v>#DIV/0!</v>
      </c>
      <c r="AP7" s="317">
        <f>(AF7/AB7)*100</f>
        <v>52.9275808936826</v>
      </c>
      <c r="AQ7" s="318" t="e">
        <f>(AG7/AC7)*100</f>
        <v>#DIV/0!</v>
      </c>
      <c r="AR7" s="318" t="str">
        <f>IF(AN7&gt;AP7,"MALE DOM","FEMALE DOM")</f>
        <v>FEMALE DOM</v>
      </c>
      <c r="AS7" s="319" t="e">
        <f>IF(AO7&gt;AP7,"MALE","FEMALE")</f>
        <v>#DIV/0!</v>
      </c>
      <c r="AT7" s="317">
        <f>(AH7/AB7)*100</f>
        <v>83.2049306625578</v>
      </c>
      <c r="AU7" s="317" t="e">
        <f>(AI7/AC7)*100</f>
        <v>#DIV/0!</v>
      </c>
      <c r="AV7" s="248">
        <f>(AJ7/AB7)*100</f>
        <v>7.78120184899846</v>
      </c>
      <c r="AW7" s="317" t="e">
        <f>(AK7/AC7)*100</f>
        <v>#DIV/0!</v>
      </c>
      <c r="AX7" s="248">
        <f>(AL7/AB7)*100</f>
        <v>9.01386748844376</v>
      </c>
      <c r="AY7" s="317" t="e">
        <f>(AM7/AC7)*100</f>
        <v>#DIV/0!</v>
      </c>
      <c r="AZ7" s="248" t="str">
        <f>IF(AT7&gt;(AV7+AX7),"HINDU","MINORITY")</f>
        <v>HINDU</v>
      </c>
      <c r="BA7" s="318" t="e">
        <f>IF(AU7&gt;(AW7+AY7),"HIND","MINORITY")</f>
        <v>#DIV/0!</v>
      </c>
    </row>
    <row r="8" spans="1:53">
      <c r="A8" s="317"/>
      <c r="B8" s="585">
        <v>238</v>
      </c>
      <c r="C8" s="585">
        <v>1274</v>
      </c>
      <c r="D8" s="585">
        <v>337</v>
      </c>
      <c r="E8" s="585">
        <v>499</v>
      </c>
      <c r="F8" s="532">
        <v>0</v>
      </c>
      <c r="G8" s="586">
        <v>4</v>
      </c>
      <c r="H8" s="532">
        <v>0</v>
      </c>
      <c r="I8" s="586">
        <v>1</v>
      </c>
      <c r="J8" s="585">
        <v>0</v>
      </c>
      <c r="K8" s="532">
        <v>2</v>
      </c>
      <c r="L8" s="252">
        <v>843</v>
      </c>
      <c r="M8" s="537">
        <v>0</v>
      </c>
      <c r="N8" s="539">
        <v>4</v>
      </c>
      <c r="O8" s="539">
        <f t="shared" si="0"/>
        <v>847</v>
      </c>
      <c r="P8" s="539">
        <f t="shared" si="1"/>
        <v>66.4835164835165</v>
      </c>
      <c r="Q8" s="253">
        <f t="shared" si="2"/>
        <v>58.913813459268</v>
      </c>
      <c r="R8" s="252">
        <f t="shared" si="3"/>
        <v>39.7874852420307</v>
      </c>
      <c r="S8" s="537">
        <f t="shared" si="4"/>
        <v>0</v>
      </c>
      <c r="T8" s="539">
        <f t="shared" si="5"/>
        <v>0.472255017709563</v>
      </c>
      <c r="U8" s="539">
        <f t="shared" si="6"/>
        <v>0.354191263282172</v>
      </c>
      <c r="V8" s="253">
        <f t="shared" si="7"/>
        <v>0.472255017709563</v>
      </c>
      <c r="W8" s="537">
        <f t="shared" ref="W8:W12" si="8">Q8-R8</f>
        <v>19.1263282172373</v>
      </c>
      <c r="X8" s="537">
        <f t="shared" ref="X8:X12" si="9">Q8-(R8+S8+T8+U8)</f>
        <v>18.2998819362456</v>
      </c>
      <c r="Y8" s="539" t="str">
        <f t="shared" ref="Y8:Y13" si="10">IF(AND(W8&lt;0,W8&lt;=1),"LOST",IF(AND(W8&gt;1,W8&lt;=10),"NARROW",IF(AND(W8&gt;10,W8&lt;=40),"MEDIUM",IF(AND(W8&gt;40,W8&lt;=90),"STRONG",""))))</f>
        <v>MEDIUM</v>
      </c>
      <c r="Z8" s="283" t="str">
        <f t="shared" ref="Z8:Z13" si="11">IF(AND(P8&lt;0,P8&lt;=10),"WEAK",IF(AND(P8&gt;10,P8&lt;20),"BELOW AVG",IF(AND(P8&gt;20,P8&lt;=60),"MEDIUM",IF(AND(P8&gt;60,P8&lt;=90),"STRONG",""))))</f>
        <v>STRONG</v>
      </c>
      <c r="AA8" s="289" t="str">
        <f t="shared" ref="AA8:AA13" si="12">IF(Q8&gt;R8,"BJP","CONGRESS")</f>
        <v>BJP</v>
      </c>
      <c r="AB8">
        <v>1268</v>
      </c>
      <c r="AC8">
        <v>854</v>
      </c>
      <c r="AD8">
        <v>624</v>
      </c>
      <c r="AE8">
        <v>412</v>
      </c>
      <c r="AF8">
        <v>644</v>
      </c>
      <c r="AG8">
        <v>442</v>
      </c>
      <c r="AH8">
        <v>841</v>
      </c>
      <c r="AI8">
        <v>584</v>
      </c>
      <c r="AJ8">
        <v>375</v>
      </c>
      <c r="AK8">
        <v>237</v>
      </c>
      <c r="AL8">
        <v>52</v>
      </c>
      <c r="AM8">
        <v>33</v>
      </c>
      <c r="AN8" s="248">
        <f t="shared" ref="AN8:AO12" si="13">(AD8/AB8)*100</f>
        <v>49.211356466877</v>
      </c>
      <c r="AO8" s="316">
        <f t="shared" si="13"/>
        <v>48.2435597189695</v>
      </c>
      <c r="AP8" s="317">
        <f t="shared" ref="AP8:AQ12" si="14">(AF8/AB8)*100</f>
        <v>50.788643533123</v>
      </c>
      <c r="AQ8" s="318">
        <f t="shared" si="14"/>
        <v>51.7564402810305</v>
      </c>
      <c r="AR8" s="318" t="str">
        <f t="shared" ref="AR8:AR12" si="15">IF(AN8&gt;AP8,"MALE DOM","FEMALE DOM")</f>
        <v>FEMALE DOM</v>
      </c>
      <c r="AS8" s="319" t="str">
        <f t="shared" ref="AS8:AS12" si="16">IF(AO8&gt;AP8,"MALE","FEMALE")</f>
        <v>FEMALE</v>
      </c>
      <c r="AT8" s="317">
        <f t="shared" ref="AT8:AU12" si="17">(AH8/AB8)*100</f>
        <v>66.3249211356467</v>
      </c>
      <c r="AU8" s="317">
        <f t="shared" si="17"/>
        <v>68.384074941452</v>
      </c>
      <c r="AV8" s="248">
        <f t="shared" ref="AV8:AW12" si="18">(AJ8/AB8)*100</f>
        <v>29.5741324921136</v>
      </c>
      <c r="AW8" s="317">
        <f t="shared" si="18"/>
        <v>27.751756440281</v>
      </c>
      <c r="AX8" s="248">
        <f t="shared" ref="AX8:AY12" si="19">(AL8/AB8)*100</f>
        <v>4.10094637223975</v>
      </c>
      <c r="AY8" s="317">
        <f t="shared" si="19"/>
        <v>3.86416861826698</v>
      </c>
      <c r="AZ8" s="248" t="str">
        <f t="shared" ref="AZ8:AZ12" si="20">IF(AT8&gt;(AV8+AX8),"HINDU","MINORITY")</f>
        <v>HINDU</v>
      </c>
      <c r="BA8" s="318" t="str">
        <f t="shared" ref="BA8:BA12" si="21">IF(AU8&gt;(AW8+AY8),"HIND","MINORITY")</f>
        <v>HIND</v>
      </c>
    </row>
    <row r="9" spans="1:53">
      <c r="A9" s="317"/>
      <c r="B9" s="518">
        <v>236</v>
      </c>
      <c r="C9" s="518">
        <v>1002</v>
      </c>
      <c r="D9" s="518">
        <v>184</v>
      </c>
      <c r="E9" s="518">
        <v>466</v>
      </c>
      <c r="F9" s="199">
        <v>0</v>
      </c>
      <c r="G9" s="519">
        <v>0</v>
      </c>
      <c r="H9" s="199">
        <v>0</v>
      </c>
      <c r="I9" s="519">
        <v>0</v>
      </c>
      <c r="J9" s="518">
        <v>0</v>
      </c>
      <c r="K9" s="199">
        <v>0</v>
      </c>
      <c r="L9" s="518">
        <v>650</v>
      </c>
      <c r="M9" s="517">
        <v>0</v>
      </c>
      <c r="N9" s="525">
        <v>1</v>
      </c>
      <c r="O9" s="525">
        <f t="shared" si="0"/>
        <v>651</v>
      </c>
      <c r="P9" s="525">
        <f t="shared" si="1"/>
        <v>64.9700598802395</v>
      </c>
      <c r="Q9" s="259">
        <f t="shared" si="2"/>
        <v>71.5821812596006</v>
      </c>
      <c r="R9" s="258">
        <f t="shared" si="3"/>
        <v>28.2642089093702</v>
      </c>
      <c r="S9" s="517">
        <f t="shared" si="4"/>
        <v>0</v>
      </c>
      <c r="T9" s="525">
        <f t="shared" si="5"/>
        <v>0</v>
      </c>
      <c r="U9" s="525">
        <f t="shared" si="6"/>
        <v>0</v>
      </c>
      <c r="V9" s="259">
        <f t="shared" si="7"/>
        <v>0.153609831029186</v>
      </c>
      <c r="W9" s="517">
        <f t="shared" si="8"/>
        <v>43.3179723502304</v>
      </c>
      <c r="X9" s="517">
        <f t="shared" si="9"/>
        <v>43.3179723502304</v>
      </c>
      <c r="Y9" s="525" t="str">
        <f t="shared" si="10"/>
        <v>STRONG</v>
      </c>
      <c r="Z9" s="283" t="str">
        <f t="shared" si="11"/>
        <v>STRONG</v>
      </c>
      <c r="AA9" s="289" t="str">
        <f t="shared" si="12"/>
        <v>BJP</v>
      </c>
      <c r="AB9">
        <v>996</v>
      </c>
      <c r="AC9">
        <v>666</v>
      </c>
      <c r="AD9">
        <v>484</v>
      </c>
      <c r="AE9">
        <v>301</v>
      </c>
      <c r="AF9">
        <v>512</v>
      </c>
      <c r="AG9">
        <v>365</v>
      </c>
      <c r="AH9">
        <v>782</v>
      </c>
      <c r="AI9">
        <v>553</v>
      </c>
      <c r="AJ9">
        <v>151</v>
      </c>
      <c r="AK9">
        <v>83</v>
      </c>
      <c r="AL9">
        <v>63</v>
      </c>
      <c r="AM9">
        <v>30</v>
      </c>
      <c r="AN9" s="248">
        <f t="shared" si="13"/>
        <v>48.5943775100402</v>
      </c>
      <c r="AO9" s="316">
        <f t="shared" si="13"/>
        <v>45.1951951951952</v>
      </c>
      <c r="AP9" s="317">
        <f t="shared" si="14"/>
        <v>51.4056224899598</v>
      </c>
      <c r="AQ9" s="318">
        <f t="shared" si="14"/>
        <v>54.8048048048048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78.5140562248996</v>
      </c>
      <c r="AU9" s="317">
        <f t="shared" si="17"/>
        <v>83.033033033033</v>
      </c>
      <c r="AV9" s="248">
        <f t="shared" si="18"/>
        <v>15.1606425702811</v>
      </c>
      <c r="AW9" s="317">
        <f t="shared" si="18"/>
        <v>12.4624624624625</v>
      </c>
      <c r="AX9" s="248">
        <f t="shared" si="19"/>
        <v>6.32530120481928</v>
      </c>
      <c r="AY9" s="317">
        <f t="shared" si="19"/>
        <v>4.5045045045045</v>
      </c>
      <c r="AZ9" s="248" t="str">
        <f t="shared" si="20"/>
        <v>HINDU</v>
      </c>
      <c r="BA9" s="318" t="str">
        <f t="shared" si="21"/>
        <v>HIND</v>
      </c>
    </row>
    <row r="10" spans="1:53">
      <c r="A10" s="317"/>
      <c r="B10" s="262">
        <v>230</v>
      </c>
      <c r="C10" s="262">
        <v>954</v>
      </c>
      <c r="D10" s="262">
        <v>147</v>
      </c>
      <c r="E10" s="262">
        <v>501</v>
      </c>
      <c r="F10" s="533">
        <v>2</v>
      </c>
      <c r="G10" s="263">
        <v>0</v>
      </c>
      <c r="H10" s="533">
        <v>0</v>
      </c>
      <c r="I10" s="263">
        <v>2</v>
      </c>
      <c r="J10" s="262">
        <v>1</v>
      </c>
      <c r="K10" s="533">
        <v>0</v>
      </c>
      <c r="L10" s="518">
        <v>653</v>
      </c>
      <c r="M10" s="199">
        <v>0</v>
      </c>
      <c r="N10" s="289">
        <v>1</v>
      </c>
      <c r="O10" s="289">
        <f t="shared" si="0"/>
        <v>654</v>
      </c>
      <c r="P10" s="289">
        <f t="shared" si="1"/>
        <v>68.5534591194968</v>
      </c>
      <c r="Q10" s="519">
        <f t="shared" si="2"/>
        <v>76.605504587156</v>
      </c>
      <c r="R10" s="518">
        <f t="shared" si="3"/>
        <v>22.4770642201835</v>
      </c>
      <c r="S10" s="199">
        <f t="shared" si="4"/>
        <v>0.305810397553517</v>
      </c>
      <c r="T10" s="289">
        <f t="shared" si="5"/>
        <v>0</v>
      </c>
      <c r="U10" s="289">
        <f t="shared" si="6"/>
        <v>0.458715596330275</v>
      </c>
      <c r="V10" s="519">
        <f t="shared" si="7"/>
        <v>0.152905198776758</v>
      </c>
      <c r="W10" s="199">
        <f t="shared" si="8"/>
        <v>54.1284403669725</v>
      </c>
      <c r="X10" s="199">
        <f t="shared" si="9"/>
        <v>53.3639143730887</v>
      </c>
      <c r="Y10" s="289" t="str">
        <f t="shared" si="10"/>
        <v>STRONG</v>
      </c>
      <c r="Z10" s="283" t="str">
        <f t="shared" si="11"/>
        <v>STRONG</v>
      </c>
      <c r="AA10" s="289" t="str">
        <f t="shared" si="12"/>
        <v>BJP</v>
      </c>
      <c r="AB10">
        <v>952</v>
      </c>
      <c r="AD10">
        <v>450</v>
      </c>
      <c r="AF10">
        <v>502</v>
      </c>
      <c r="AH10">
        <v>871</v>
      </c>
      <c r="AJ10">
        <v>50</v>
      </c>
      <c r="AL10">
        <v>31</v>
      </c>
      <c r="AN10" s="248">
        <f t="shared" si="13"/>
        <v>47.2689075630252</v>
      </c>
      <c r="AO10" s="316" t="e">
        <f t="shared" si="13"/>
        <v>#DIV/0!</v>
      </c>
      <c r="AP10" s="317">
        <f t="shared" si="14"/>
        <v>52.7310924369748</v>
      </c>
      <c r="AQ10" s="318" t="e">
        <f t="shared" si="14"/>
        <v>#DIV/0!</v>
      </c>
      <c r="AR10" s="318" t="str">
        <f t="shared" si="15"/>
        <v>FEMALE DOM</v>
      </c>
      <c r="AS10" s="319" t="e">
        <f t="shared" si="16"/>
        <v>#DIV/0!</v>
      </c>
      <c r="AT10" s="317">
        <f t="shared" si="17"/>
        <v>91.4915966386555</v>
      </c>
      <c r="AU10" s="317" t="e">
        <f t="shared" si="17"/>
        <v>#DIV/0!</v>
      </c>
      <c r="AV10" s="248">
        <f t="shared" si="18"/>
        <v>5.25210084033613</v>
      </c>
      <c r="AW10" s="317" t="e">
        <f t="shared" si="18"/>
        <v>#DIV/0!</v>
      </c>
      <c r="AX10" s="248">
        <f t="shared" si="19"/>
        <v>3.2563025210084</v>
      </c>
      <c r="AY10" s="317" t="e">
        <f t="shared" si="19"/>
        <v>#DIV/0!</v>
      </c>
      <c r="AZ10" s="248" t="str">
        <f t="shared" si="20"/>
        <v>HINDU</v>
      </c>
      <c r="BA10" s="318" t="e">
        <f t="shared" si="21"/>
        <v>#DIV/0!</v>
      </c>
    </row>
    <row r="11" spans="1:53">
      <c r="A11" s="317"/>
      <c r="B11" s="229">
        <v>231</v>
      </c>
      <c r="C11" s="229">
        <v>617</v>
      </c>
      <c r="D11" s="230">
        <v>182</v>
      </c>
      <c r="E11" s="230">
        <v>154</v>
      </c>
      <c r="F11" s="587">
        <v>0</v>
      </c>
      <c r="G11" s="260">
        <v>2</v>
      </c>
      <c r="H11" s="587">
        <v>1</v>
      </c>
      <c r="I11" s="260">
        <v>0</v>
      </c>
      <c r="J11" s="230">
        <v>0</v>
      </c>
      <c r="K11" s="587">
        <v>0</v>
      </c>
      <c r="L11" s="590">
        <v>339</v>
      </c>
      <c r="M11" s="520">
        <v>0</v>
      </c>
      <c r="N11" s="257">
        <v>1</v>
      </c>
      <c r="O11" s="257">
        <f t="shared" si="0"/>
        <v>340</v>
      </c>
      <c r="P11" s="257">
        <f t="shared" si="1"/>
        <v>55.1053484602917</v>
      </c>
      <c r="Q11" s="256">
        <f t="shared" si="2"/>
        <v>45.2941176470588</v>
      </c>
      <c r="R11" s="229">
        <f t="shared" si="3"/>
        <v>53.5294117647059</v>
      </c>
      <c r="S11" s="200">
        <f t="shared" si="4"/>
        <v>0</v>
      </c>
      <c r="T11" s="257">
        <f t="shared" si="5"/>
        <v>0.588235294117647</v>
      </c>
      <c r="U11" s="257">
        <f t="shared" si="6"/>
        <v>0.294117647058824</v>
      </c>
      <c r="V11" s="256">
        <f t="shared" si="7"/>
        <v>0.294117647058824</v>
      </c>
      <c r="W11" s="200">
        <f t="shared" si="8"/>
        <v>-8.23529411764706</v>
      </c>
      <c r="X11" s="200">
        <f t="shared" si="9"/>
        <v>-9.11764705882353</v>
      </c>
      <c r="Y11" s="257" t="str">
        <f t="shared" si="10"/>
        <v>LOST</v>
      </c>
      <c r="Z11" s="283" t="str">
        <f t="shared" si="11"/>
        <v>MEDIUM</v>
      </c>
      <c r="AA11" s="511" t="str">
        <f t="shared" si="12"/>
        <v>CONGRESS</v>
      </c>
      <c r="AB11">
        <v>613</v>
      </c>
      <c r="AD11">
        <v>281</v>
      </c>
      <c r="AF11">
        <v>332</v>
      </c>
      <c r="AH11">
        <v>280</v>
      </c>
      <c r="AJ11">
        <v>303</v>
      </c>
      <c r="AL11">
        <v>30</v>
      </c>
      <c r="AN11" s="248">
        <f t="shared" si="13"/>
        <v>45.8401305057096</v>
      </c>
      <c r="AO11" s="316" t="e">
        <f t="shared" si="13"/>
        <v>#DIV/0!</v>
      </c>
      <c r="AP11" s="317">
        <f t="shared" si="14"/>
        <v>54.1598694942904</v>
      </c>
      <c r="AQ11" s="318" t="e">
        <f t="shared" si="14"/>
        <v>#DIV/0!</v>
      </c>
      <c r="AR11" s="318" t="str">
        <f t="shared" si="15"/>
        <v>FEMALE DOM</v>
      </c>
      <c r="AS11" s="319" t="e">
        <f t="shared" si="16"/>
        <v>#DIV/0!</v>
      </c>
      <c r="AT11" s="317">
        <f t="shared" si="17"/>
        <v>45.6769983686786</v>
      </c>
      <c r="AU11" s="317" t="e">
        <f t="shared" si="17"/>
        <v>#DIV/0!</v>
      </c>
      <c r="AV11" s="248">
        <f t="shared" si="18"/>
        <v>49.4290375203915</v>
      </c>
      <c r="AW11" s="317" t="e">
        <f t="shared" si="18"/>
        <v>#DIV/0!</v>
      </c>
      <c r="AX11" s="248">
        <f t="shared" si="19"/>
        <v>4.89396411092985</v>
      </c>
      <c r="AY11" s="317" t="e">
        <f t="shared" si="19"/>
        <v>#DIV/0!</v>
      </c>
      <c r="AZ11" s="248" t="str">
        <f t="shared" si="20"/>
        <v>MINORITY</v>
      </c>
      <c r="BA11" s="318" t="e">
        <f t="shared" si="21"/>
        <v>#DIV/0!</v>
      </c>
    </row>
    <row r="12" spans="1:53">
      <c r="A12" s="317"/>
      <c r="B12" s="588">
        <v>225</v>
      </c>
      <c r="C12" s="197">
        <v>1140</v>
      </c>
      <c r="D12" s="250">
        <v>381</v>
      </c>
      <c r="E12" s="250">
        <v>428</v>
      </c>
      <c r="F12" s="250">
        <v>3</v>
      </c>
      <c r="G12" s="250">
        <v>4</v>
      </c>
      <c r="H12" s="589">
        <v>0</v>
      </c>
      <c r="I12" s="250">
        <v>1</v>
      </c>
      <c r="J12" s="250">
        <v>0</v>
      </c>
      <c r="K12" s="589">
        <v>3</v>
      </c>
      <c r="L12" s="249">
        <v>820</v>
      </c>
      <c r="M12" s="197">
        <v>0</v>
      </c>
      <c r="N12" s="197">
        <v>7</v>
      </c>
      <c r="O12" s="591">
        <f t="shared" si="0"/>
        <v>827</v>
      </c>
      <c r="P12" s="591">
        <f t="shared" si="1"/>
        <v>72.5438596491228</v>
      </c>
      <c r="Q12" s="592">
        <f t="shared" si="2"/>
        <v>51.7533252720677</v>
      </c>
      <c r="R12" s="588">
        <f t="shared" si="3"/>
        <v>46.0701330108827</v>
      </c>
      <c r="S12" s="197">
        <f t="shared" si="4"/>
        <v>0.362756952841596</v>
      </c>
      <c r="T12" s="591">
        <f t="shared" si="5"/>
        <v>0.483675937122128</v>
      </c>
      <c r="U12" s="591">
        <f t="shared" si="6"/>
        <v>0.483675937122128</v>
      </c>
      <c r="V12" s="592">
        <f t="shared" si="7"/>
        <v>0.846432889963724</v>
      </c>
      <c r="W12" s="197">
        <f t="shared" si="8"/>
        <v>5.68319226118501</v>
      </c>
      <c r="X12" s="197">
        <f t="shared" si="9"/>
        <v>4.35308343409916</v>
      </c>
      <c r="Y12" s="591" t="str">
        <f t="shared" si="10"/>
        <v>NARROW</v>
      </c>
      <c r="Z12" s="283" t="str">
        <f t="shared" si="11"/>
        <v>STRONG</v>
      </c>
      <c r="AA12" s="289" t="str">
        <f t="shared" si="12"/>
        <v>BJP</v>
      </c>
      <c r="AB12">
        <v>1135</v>
      </c>
      <c r="AD12">
        <v>543</v>
      </c>
      <c r="AF12">
        <v>592</v>
      </c>
      <c r="AH12">
        <v>638</v>
      </c>
      <c r="AJ12">
        <v>250</v>
      </c>
      <c r="AL12">
        <v>247</v>
      </c>
      <c r="AN12" s="248">
        <f t="shared" si="13"/>
        <v>47.84140969163</v>
      </c>
      <c r="AO12" s="316" t="e">
        <f t="shared" si="13"/>
        <v>#DIV/0!</v>
      </c>
      <c r="AP12" s="317">
        <f t="shared" si="14"/>
        <v>52.15859030837</v>
      </c>
      <c r="AQ12" s="318" t="e">
        <f t="shared" si="14"/>
        <v>#DIV/0!</v>
      </c>
      <c r="AR12" s="318" t="str">
        <f t="shared" si="15"/>
        <v>FEMALE DOM</v>
      </c>
      <c r="AS12" s="319" t="e">
        <f t="shared" si="16"/>
        <v>#DIV/0!</v>
      </c>
      <c r="AT12" s="317">
        <f t="shared" si="17"/>
        <v>56.2114537444934</v>
      </c>
      <c r="AU12" s="317" t="e">
        <f t="shared" si="17"/>
        <v>#DIV/0!</v>
      </c>
      <c r="AV12" s="248">
        <f t="shared" si="18"/>
        <v>22.0264317180617</v>
      </c>
      <c r="AW12" s="317" t="e">
        <f t="shared" si="18"/>
        <v>#DIV/0!</v>
      </c>
      <c r="AX12" s="248">
        <f t="shared" si="19"/>
        <v>21.7621145374449</v>
      </c>
      <c r="AY12" s="317" t="e">
        <f t="shared" si="19"/>
        <v>#DIV/0!</v>
      </c>
      <c r="AZ12" s="248" t="str">
        <f t="shared" si="20"/>
        <v>HINDU</v>
      </c>
      <c r="BA12" s="318" t="e">
        <f t="shared" si="21"/>
        <v>#DIV/0!</v>
      </c>
    </row>
    <row r="13" ht="21" spans="1:53">
      <c r="A13" s="317"/>
      <c r="B13" s="580"/>
      <c r="C13" s="522">
        <f t="shared" ref="C13:O13" si="22">SUM(C7:C12)</f>
        <v>6289</v>
      </c>
      <c r="D13" s="522">
        <f t="shared" si="22"/>
        <v>1460</v>
      </c>
      <c r="E13" s="522">
        <f t="shared" si="22"/>
        <v>2642</v>
      </c>
      <c r="F13" s="522">
        <f t="shared" si="22"/>
        <v>9</v>
      </c>
      <c r="G13" s="522">
        <f t="shared" si="22"/>
        <v>15</v>
      </c>
      <c r="H13" s="522">
        <f t="shared" si="22"/>
        <v>1</v>
      </c>
      <c r="I13" s="522">
        <f t="shared" si="22"/>
        <v>4</v>
      </c>
      <c r="J13" s="522">
        <f t="shared" si="22"/>
        <v>1</v>
      </c>
      <c r="K13" s="522">
        <f t="shared" si="22"/>
        <v>6</v>
      </c>
      <c r="L13" s="522">
        <f t="shared" si="22"/>
        <v>4138</v>
      </c>
      <c r="M13" s="521">
        <f t="shared" si="22"/>
        <v>0</v>
      </c>
      <c r="N13" s="523">
        <f t="shared" si="22"/>
        <v>25</v>
      </c>
      <c r="O13" s="521">
        <f t="shared" si="22"/>
        <v>4163</v>
      </c>
      <c r="P13" s="522">
        <f t="shared" ref="P13:X13" si="23">AVERAGE(P7:P12)</f>
        <v>65.413265381164</v>
      </c>
      <c r="Q13" s="522">
        <f t="shared" si="23"/>
        <v>62.4213481907637</v>
      </c>
      <c r="R13" s="524">
        <f t="shared" si="23"/>
        <v>36.2101674281623</v>
      </c>
      <c r="S13" s="523">
        <f t="shared" si="23"/>
        <v>0.190416833280702</v>
      </c>
      <c r="T13" s="521">
        <f t="shared" si="23"/>
        <v>0.356097218426785</v>
      </c>
      <c r="U13" s="521">
        <f t="shared" si="23"/>
        <v>0.284863976019279</v>
      </c>
      <c r="V13" s="522">
        <f t="shared" si="23"/>
        <v>0.53710635334718</v>
      </c>
      <c r="W13" s="523">
        <f t="shared" si="23"/>
        <v>26.2111807626014</v>
      </c>
      <c r="X13" s="523">
        <f t="shared" si="23"/>
        <v>25.3798027348746</v>
      </c>
      <c r="Y13" s="521" t="str">
        <f t="shared" si="10"/>
        <v>MEDIUM</v>
      </c>
      <c r="Z13" s="350" t="str">
        <f t="shared" si="11"/>
        <v>STRONG</v>
      </c>
      <c r="AA13" s="351" t="str">
        <f t="shared" si="12"/>
        <v>BJP</v>
      </c>
      <c r="AN13" s="248"/>
      <c r="AO13" s="316"/>
      <c r="AP13" s="317"/>
      <c r="AQ13" s="318"/>
      <c r="AR13" s="318"/>
      <c r="AS13" s="319"/>
      <c r="AT13" s="317"/>
      <c r="AU13" s="317"/>
      <c r="AV13" s="248"/>
      <c r="AW13" s="317"/>
      <c r="AX13" s="248"/>
      <c r="AY13" s="317"/>
      <c r="AZ13" s="248"/>
      <c r="BA13" s="318"/>
    </row>
    <row r="14" spans="40:53">
      <c r="AN14" s="248"/>
      <c r="AO14" s="316"/>
      <c r="AP14" s="317"/>
      <c r="AQ14" s="318"/>
      <c r="AR14" s="318"/>
      <c r="AS14" s="319"/>
      <c r="AT14" s="317"/>
      <c r="AU14" s="317"/>
      <c r="AV14" s="248"/>
      <c r="AW14" s="317"/>
      <c r="AX14" s="248"/>
      <c r="AY14" s="317"/>
      <c r="AZ14" s="248"/>
      <c r="BA14" s="318"/>
    </row>
    <row r="17" spans="5:22">
      <c r="E17" s="225" t="s">
        <v>205</v>
      </c>
      <c r="F17" s="237"/>
      <c r="G17" s="237"/>
      <c r="H17" s="238"/>
      <c r="J17" s="225" t="s">
        <v>97</v>
      </c>
      <c r="K17" s="237"/>
      <c r="L17" s="237"/>
      <c r="M17" s="238"/>
      <c r="O17" s="265" t="s">
        <v>98</v>
      </c>
      <c r="P17" s="265"/>
      <c r="Q17" s="265"/>
      <c r="R17" s="265"/>
      <c r="S17" s="265"/>
      <c r="T17" s="265"/>
      <c r="U17" s="265"/>
      <c r="V17" s="265"/>
    </row>
    <row r="18" spans="5:22">
      <c r="E18" s="226"/>
      <c r="F18" s="239"/>
      <c r="G18" s="239"/>
      <c r="H18" s="240"/>
      <c r="J18" s="241"/>
      <c r="K18" s="242"/>
      <c r="L18" s="242"/>
      <c r="M18" s="243"/>
      <c r="O18" s="265"/>
      <c r="P18" s="265"/>
      <c r="Q18" s="265"/>
      <c r="R18" s="265"/>
      <c r="S18" s="265"/>
      <c r="T18" s="265"/>
      <c r="U18" s="265"/>
      <c r="V18" s="265"/>
    </row>
    <row r="19" spans="5:22">
      <c r="E19" s="227" t="s">
        <v>99</v>
      </c>
      <c r="F19" s="244"/>
      <c r="G19" s="245"/>
      <c r="H19" s="245">
        <f>COUNTIF(AA7:AA12,"BJP")</f>
        <v>5</v>
      </c>
      <c r="J19" s="246" t="s">
        <v>100</v>
      </c>
      <c r="K19" s="247"/>
      <c r="L19" s="247"/>
      <c r="M19" s="248">
        <f>COUNTIF(Y7:Y12,"NARROW")</f>
        <v>1</v>
      </c>
      <c r="O19" s="265" t="s">
        <v>101</v>
      </c>
      <c r="P19" s="265"/>
      <c r="Q19" s="265"/>
      <c r="R19" s="265">
        <f>'BOLAR-18'!E8</f>
        <v>69.5224597691061</v>
      </c>
      <c r="S19" s="265" t="s">
        <v>102</v>
      </c>
      <c r="T19" s="265"/>
      <c r="U19" s="265"/>
      <c r="V19" s="265">
        <f>Q13</f>
        <v>62.4213481907637</v>
      </c>
    </row>
    <row r="20" spans="5:22">
      <c r="E20" s="227"/>
      <c r="F20" s="244"/>
      <c r="G20" s="245"/>
      <c r="H20" s="245"/>
      <c r="J20" s="249"/>
      <c r="K20" s="250"/>
      <c r="L20" s="250"/>
      <c r="M20" s="251"/>
      <c r="O20" s="265"/>
      <c r="P20" s="265"/>
      <c r="Q20" s="265"/>
      <c r="R20" s="265"/>
      <c r="S20" s="265"/>
      <c r="T20" s="265"/>
      <c r="U20" s="265"/>
      <c r="V20" s="265"/>
    </row>
    <row r="21" spans="5:22">
      <c r="E21" s="227"/>
      <c r="F21" s="244"/>
      <c r="G21" s="245"/>
      <c r="H21" s="245"/>
      <c r="J21" s="252" t="s">
        <v>103</v>
      </c>
      <c r="K21" s="253"/>
      <c r="L21" s="253"/>
      <c r="M21" s="248">
        <f>COUNTIF(Y7:Y12,"MEDIUM")</f>
        <v>1</v>
      </c>
      <c r="O21" s="265" t="s">
        <v>104</v>
      </c>
      <c r="P21" s="265"/>
      <c r="Q21" s="265"/>
      <c r="R21" s="265">
        <f>'BOLAR-18'!G8</f>
        <v>26.1758681890796</v>
      </c>
      <c r="S21" s="265" t="s">
        <v>105</v>
      </c>
      <c r="T21" s="265"/>
      <c r="U21" s="265"/>
      <c r="V21" s="265">
        <f>R13</f>
        <v>36.2101674281623</v>
      </c>
    </row>
    <row r="22" spans="5:22">
      <c r="E22" s="228" t="s">
        <v>106</v>
      </c>
      <c r="F22" s="254"/>
      <c r="G22" s="255"/>
      <c r="H22" s="255">
        <f>COUNTIF(AA7:AA12,"CONGRESS")</f>
        <v>1</v>
      </c>
      <c r="J22" s="252"/>
      <c r="K22" s="253"/>
      <c r="L22" s="253"/>
      <c r="M22" s="251"/>
      <c r="O22" s="265"/>
      <c r="P22" s="265"/>
      <c r="Q22" s="265"/>
      <c r="R22" s="265"/>
      <c r="S22" s="265"/>
      <c r="T22" s="265"/>
      <c r="U22" s="265"/>
      <c r="V22" s="265"/>
    </row>
    <row r="23" spans="5:22">
      <c r="E23" s="229"/>
      <c r="F23" s="256"/>
      <c r="G23" s="257"/>
      <c r="H23" s="257"/>
      <c r="J23" s="258" t="s">
        <v>107</v>
      </c>
      <c r="K23" s="259"/>
      <c r="L23" s="259"/>
      <c r="M23" s="248">
        <f>COUNTIF(Y7:Y12,"STRONG")</f>
        <v>3</v>
      </c>
      <c r="O23" s="265" t="s">
        <v>108</v>
      </c>
      <c r="P23" s="265"/>
      <c r="Q23" s="265"/>
      <c r="R23" s="265">
        <f>'BOLAR-18'!C8</f>
        <v>4633</v>
      </c>
      <c r="S23" s="265" t="s">
        <v>109</v>
      </c>
      <c r="T23" s="265"/>
      <c r="U23" s="265"/>
      <c r="V23" s="265">
        <f>O13</f>
        <v>4163</v>
      </c>
    </row>
    <row r="24" spans="5:22">
      <c r="E24" s="230"/>
      <c r="F24" s="260"/>
      <c r="G24" s="261"/>
      <c r="H24" s="261"/>
      <c r="J24" s="262"/>
      <c r="K24" s="263"/>
      <c r="L24" s="263"/>
      <c r="M24" s="251"/>
      <c r="O24" s="265"/>
      <c r="P24" s="265"/>
      <c r="Q24" s="265"/>
      <c r="R24" s="265"/>
      <c r="S24" s="265"/>
      <c r="T24" s="265"/>
      <c r="U24" s="265"/>
      <c r="V24" s="265"/>
    </row>
    <row r="25" spans="10:22">
      <c r="J25" s="229" t="s">
        <v>110</v>
      </c>
      <c r="K25" s="256"/>
      <c r="L25" s="256"/>
      <c r="M25" s="248">
        <f>COUNTIF(Y7:Y12,"LOST")</f>
        <v>1</v>
      </c>
      <c r="O25" s="265" t="s">
        <v>111</v>
      </c>
      <c r="P25" s="265"/>
      <c r="Q25" s="265"/>
      <c r="R25" s="265">
        <f>R19-R21</f>
        <v>43.3465915800265</v>
      </c>
      <c r="S25" s="265" t="s">
        <v>111</v>
      </c>
      <c r="T25" s="265"/>
      <c r="U25" s="265"/>
      <c r="V25" s="265">
        <f>V19-V21</f>
        <v>26.2111807626014</v>
      </c>
    </row>
    <row r="26" spans="10:22">
      <c r="J26" s="230"/>
      <c r="K26" s="260"/>
      <c r="L26" s="260"/>
      <c r="M26" s="251"/>
      <c r="O26" s="265"/>
      <c r="P26" s="265"/>
      <c r="Q26" s="265"/>
      <c r="R26" s="265"/>
      <c r="S26" s="265"/>
      <c r="T26" s="265"/>
      <c r="U26" s="265"/>
      <c r="V26" s="265"/>
    </row>
    <row r="27" spans="15:21">
      <c r="O27" s="265" t="s">
        <v>112</v>
      </c>
      <c r="P27" s="265"/>
      <c r="Q27" s="265"/>
      <c r="R27" s="265">
        <f>V19-R19</f>
        <v>-7.10111157834233</v>
      </c>
      <c r="S27" s="265"/>
      <c r="T27" s="265"/>
      <c r="U27" s="265"/>
    </row>
    <row r="28" spans="15:21">
      <c r="O28" s="265"/>
      <c r="P28" s="265"/>
      <c r="Q28" s="265"/>
      <c r="R28" s="265"/>
      <c r="S28" s="265"/>
      <c r="T28" s="265"/>
      <c r="U28" s="265"/>
    </row>
    <row r="29" spans="15:21">
      <c r="O29" s="265" t="s">
        <v>113</v>
      </c>
      <c r="P29" s="265"/>
      <c r="Q29" s="265"/>
      <c r="R29" s="265">
        <f>V21-R21</f>
        <v>10.0342992390827</v>
      </c>
      <c r="S29" s="265"/>
      <c r="T29" s="265"/>
      <c r="U29" s="265"/>
    </row>
    <row r="30" spans="15:21">
      <c r="O30" s="265"/>
      <c r="P30" s="265"/>
      <c r="Q30" s="265"/>
      <c r="R30" s="265"/>
      <c r="S30" s="265"/>
      <c r="T30" s="265"/>
      <c r="U30" s="265"/>
    </row>
    <row r="31" spans="15:21">
      <c r="O31" s="265" t="s">
        <v>114</v>
      </c>
      <c r="P31" s="265"/>
      <c r="Q31" s="265"/>
      <c r="R31" s="265" t="str">
        <f>IF(R27&gt;R29,"INCREASE","DECREASE")</f>
        <v>DECREASE</v>
      </c>
      <c r="S31" s="265"/>
      <c r="T31" s="265"/>
      <c r="U31" s="265"/>
    </row>
    <row r="32" spans="15:21">
      <c r="O32" s="265"/>
      <c r="P32" s="265"/>
      <c r="Q32" s="265"/>
      <c r="R32" s="265"/>
      <c r="S32" s="265"/>
      <c r="T32" s="265"/>
      <c r="U32" s="265"/>
    </row>
    <row r="33" spans="15:22">
      <c r="O33" s="265" t="s">
        <v>193</v>
      </c>
      <c r="P33" s="265"/>
      <c r="Q33" s="265"/>
      <c r="R33" s="265"/>
      <c r="S33" s="265"/>
      <c r="T33" s="265"/>
      <c r="U33" s="265"/>
      <c r="V33" s="265"/>
    </row>
    <row r="34" spans="15:22">
      <c r="O34" s="265"/>
      <c r="P34" s="265"/>
      <c r="Q34" s="265"/>
      <c r="R34" s="265"/>
      <c r="S34" s="265"/>
      <c r="T34" s="265"/>
      <c r="U34" s="265"/>
      <c r="V34" s="265"/>
    </row>
    <row r="35" spans="15:22">
      <c r="O35" s="265"/>
      <c r="P35" s="265"/>
      <c r="Q35" s="265"/>
      <c r="R35" s="265"/>
      <c r="S35" s="265"/>
      <c r="T35" s="265"/>
      <c r="U35" s="265"/>
      <c r="V35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H19:H21"/>
    <mergeCell ref="H22:H24"/>
    <mergeCell ref="I3:I6"/>
    <mergeCell ref="J3:J6"/>
    <mergeCell ref="K3:K6"/>
    <mergeCell ref="L1:L6"/>
    <mergeCell ref="M1:M6"/>
    <mergeCell ref="M19:M20"/>
    <mergeCell ref="M21:M22"/>
    <mergeCell ref="M23:M24"/>
    <mergeCell ref="M25:M26"/>
    <mergeCell ref="N1:N6"/>
    <mergeCell ref="O1:O6"/>
    <mergeCell ref="P1:P6"/>
    <mergeCell ref="Q1:Q6"/>
    <mergeCell ref="R1:R6"/>
    <mergeCell ref="R19:R20"/>
    <mergeCell ref="R21:R22"/>
    <mergeCell ref="R23:R24"/>
    <mergeCell ref="R25:R26"/>
    <mergeCell ref="S1:S6"/>
    <mergeCell ref="T1:T6"/>
    <mergeCell ref="U1:U6"/>
    <mergeCell ref="V1:V6"/>
    <mergeCell ref="V19:V20"/>
    <mergeCell ref="V21:V22"/>
    <mergeCell ref="V23:V24"/>
    <mergeCell ref="V25:V2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J25:L26"/>
    <mergeCell ref="S25:U26"/>
    <mergeCell ref="E17:H18"/>
    <mergeCell ref="J17:M18"/>
    <mergeCell ref="E19:G21"/>
    <mergeCell ref="J19:L20"/>
    <mergeCell ref="S19:U20"/>
    <mergeCell ref="J21:L22"/>
    <mergeCell ref="S21:U22"/>
    <mergeCell ref="E22:G24"/>
    <mergeCell ref="J23:L24"/>
    <mergeCell ref="S23:U24"/>
    <mergeCell ref="O17:V18"/>
    <mergeCell ref="O19:Q20"/>
    <mergeCell ref="O21:Q22"/>
    <mergeCell ref="O23:Q24"/>
    <mergeCell ref="O33:V35"/>
    <mergeCell ref="O29:Q30"/>
    <mergeCell ref="R29:U30"/>
    <mergeCell ref="O31:Q32"/>
    <mergeCell ref="R31:S32"/>
    <mergeCell ref="T31:U32"/>
    <mergeCell ref="O25:Q26"/>
    <mergeCell ref="O27:Q28"/>
    <mergeCell ref="R27:U28"/>
  </mergeCells>
  <conditionalFormatting sqref="AR7:AR14">
    <cfRule type="containsText" dxfId="6" priority="1" operator="between" text="FEMALE DOM">
      <formula>NOT(ISERROR(SEARCH("FEMALE DOM",AR7)))</formula>
    </cfRule>
  </conditionalFormatting>
  <conditionalFormatting sqref="AZ7:AZ14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4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workbookViewId="0">
      <selection activeCell="A1" sqref="A1:AJ1"/>
    </sheetView>
  </sheetViews>
  <sheetFormatPr defaultColWidth="9" defaultRowHeight="14.5" outlineLevelRow="7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29">
      <c r="A2" s="184">
        <v>71</v>
      </c>
      <c r="B2" s="185" t="s">
        <v>206</v>
      </c>
      <c r="C2" s="184">
        <v>1036</v>
      </c>
      <c r="D2" s="184">
        <v>674</v>
      </c>
      <c r="E2" s="184">
        <f t="shared" ref="E2:E7" si="0">(D2/C2)*100</f>
        <v>65.0579150579151</v>
      </c>
      <c r="F2" s="184">
        <v>330</v>
      </c>
      <c r="G2" s="184">
        <f t="shared" ref="G2:G7" si="1">(F2/C2)*100</f>
        <v>31.8532818532818</v>
      </c>
      <c r="H2" s="184">
        <v>3</v>
      </c>
      <c r="I2" s="184">
        <f t="shared" ref="I2:I7" si="2">(H2/C2)*100</f>
        <v>0.28957528957529</v>
      </c>
      <c r="J2" s="184">
        <v>6</v>
      </c>
      <c r="K2" s="184">
        <f t="shared" ref="K2:K7" si="3">(J2/C2)*100</f>
        <v>0.579150579150579</v>
      </c>
      <c r="L2" s="189">
        <v>697</v>
      </c>
      <c r="M2" s="189">
        <v>750</v>
      </c>
      <c r="N2" s="189">
        <f t="shared" ref="N2:N7" si="4">L2+M2</f>
        <v>1447</v>
      </c>
      <c r="O2" s="184">
        <v>1036</v>
      </c>
      <c r="P2" s="190">
        <f t="shared" ref="P2:P7" si="5">O2/N2*100</f>
        <v>71.596406357982</v>
      </c>
      <c r="Q2" s="184">
        <v>1214</v>
      </c>
      <c r="R2" s="184">
        <f t="shared" ref="R2:R7" si="6">(Q2/N2)*100</f>
        <v>83.8977194194886</v>
      </c>
      <c r="S2" s="192">
        <f t="shared" ref="S2:S7" si="7">Q2-U2</f>
        <v>326</v>
      </c>
      <c r="T2" s="184">
        <f t="shared" ref="T2:T7" si="8">(S2/Q2)*100</f>
        <v>26.8533772652389</v>
      </c>
      <c r="U2" s="184">
        <v>888</v>
      </c>
      <c r="V2" s="191">
        <f t="shared" ref="V2:V7" si="9">IFERROR(U2/Q2*100,0)</f>
        <v>73.1466227347611</v>
      </c>
      <c r="W2" s="184">
        <v>223</v>
      </c>
      <c r="X2" s="184">
        <f t="shared" ref="X2:X7" si="10">100-R2</f>
        <v>16.1022805805114</v>
      </c>
      <c r="Y2" s="184">
        <f t="shared" ref="Y2:Y7" si="11">W2-AA2</f>
        <v>75</v>
      </c>
      <c r="Z2" s="193">
        <f t="shared" ref="Z2:Z7" si="12">(Y2/W2)*100</f>
        <v>33.6322869955157</v>
      </c>
      <c r="AA2" s="193">
        <v>148</v>
      </c>
      <c r="AB2" s="194">
        <f t="shared" ref="AB2:AB7" si="13">IFERROR(AA2/W2*100,0)</f>
        <v>66.3677130044843</v>
      </c>
      <c r="AC2" s="193">
        <f t="shared" ref="AC2:AC7" si="14">U2+AA2</f>
        <v>1036</v>
      </c>
    </row>
    <row r="3" spans="1:29">
      <c r="A3" s="184">
        <v>73</v>
      </c>
      <c r="B3" s="185" t="s">
        <v>207</v>
      </c>
      <c r="C3" s="184">
        <v>710</v>
      </c>
      <c r="D3" s="184">
        <v>535</v>
      </c>
      <c r="E3" s="184">
        <f t="shared" si="0"/>
        <v>75.3521126760563</v>
      </c>
      <c r="F3" s="184">
        <v>137</v>
      </c>
      <c r="G3" s="184">
        <f t="shared" si="1"/>
        <v>19.2957746478873</v>
      </c>
      <c r="H3" s="184">
        <v>0</v>
      </c>
      <c r="I3" s="184">
        <f t="shared" si="2"/>
        <v>0</v>
      </c>
      <c r="J3" s="184">
        <v>1</v>
      </c>
      <c r="K3" s="184">
        <f t="shared" si="3"/>
        <v>0.140845070422535</v>
      </c>
      <c r="L3" s="189">
        <v>532</v>
      </c>
      <c r="M3" s="189">
        <v>580</v>
      </c>
      <c r="N3" s="189">
        <f t="shared" si="4"/>
        <v>1112</v>
      </c>
      <c r="O3" s="184">
        <v>710</v>
      </c>
      <c r="P3" s="190">
        <f t="shared" si="5"/>
        <v>63.8489208633094</v>
      </c>
      <c r="Q3" s="184">
        <v>983</v>
      </c>
      <c r="R3" s="184">
        <f t="shared" si="6"/>
        <v>88.3992805755396</v>
      </c>
      <c r="S3" s="184">
        <f t="shared" si="7"/>
        <v>351</v>
      </c>
      <c r="T3" s="184">
        <f t="shared" si="8"/>
        <v>35.707019328586</v>
      </c>
      <c r="U3" s="184">
        <v>632</v>
      </c>
      <c r="V3" s="191">
        <f t="shared" si="9"/>
        <v>64.292980671414</v>
      </c>
      <c r="W3" s="184">
        <v>114</v>
      </c>
      <c r="X3" s="184">
        <f t="shared" si="10"/>
        <v>11.6007194244604</v>
      </c>
      <c r="Y3" s="196">
        <f t="shared" si="11"/>
        <v>36</v>
      </c>
      <c r="Z3" s="193">
        <f t="shared" si="12"/>
        <v>31.5789473684211</v>
      </c>
      <c r="AA3" s="193">
        <v>78</v>
      </c>
      <c r="AB3" s="194">
        <f t="shared" si="13"/>
        <v>68.4210526315789</v>
      </c>
      <c r="AC3" s="193">
        <f t="shared" si="14"/>
        <v>710</v>
      </c>
    </row>
    <row r="4" spans="1:36">
      <c r="A4" s="184">
        <v>74</v>
      </c>
      <c r="B4" s="185" t="s">
        <v>208</v>
      </c>
      <c r="C4" s="184">
        <v>947</v>
      </c>
      <c r="D4" s="184">
        <v>692</v>
      </c>
      <c r="E4" s="184">
        <f t="shared" si="0"/>
        <v>73.0728616684266</v>
      </c>
      <c r="F4" s="184">
        <v>215</v>
      </c>
      <c r="G4" s="184">
        <f t="shared" si="1"/>
        <v>22.7032734952482</v>
      </c>
      <c r="H4" s="184">
        <v>2</v>
      </c>
      <c r="I4" s="184">
        <f t="shared" si="2"/>
        <v>0.211193241816262</v>
      </c>
      <c r="J4" s="184">
        <v>7</v>
      </c>
      <c r="K4" s="184">
        <f t="shared" si="3"/>
        <v>0.739176346356917</v>
      </c>
      <c r="L4" s="189">
        <v>679</v>
      </c>
      <c r="M4" s="189">
        <v>729</v>
      </c>
      <c r="N4" s="189">
        <f t="shared" si="4"/>
        <v>1408</v>
      </c>
      <c r="O4" s="184">
        <v>947</v>
      </c>
      <c r="P4" s="190">
        <f t="shared" si="5"/>
        <v>67.2585227272727</v>
      </c>
      <c r="Q4" s="184">
        <v>1324</v>
      </c>
      <c r="R4" s="184">
        <f t="shared" si="6"/>
        <v>94.0340909090909</v>
      </c>
      <c r="S4" s="184">
        <f t="shared" si="7"/>
        <v>412</v>
      </c>
      <c r="T4" s="184">
        <f t="shared" si="8"/>
        <v>31.1178247734139</v>
      </c>
      <c r="U4" s="184">
        <v>912</v>
      </c>
      <c r="V4" s="191">
        <f t="shared" si="9"/>
        <v>68.8821752265861</v>
      </c>
      <c r="W4" s="184">
        <v>84</v>
      </c>
      <c r="X4" s="184">
        <f t="shared" si="10"/>
        <v>5.96590909090909</v>
      </c>
      <c r="Y4" s="184">
        <f t="shared" si="11"/>
        <v>49</v>
      </c>
      <c r="Z4" s="193">
        <f t="shared" si="12"/>
        <v>58.3333333333333</v>
      </c>
      <c r="AA4" s="193">
        <v>35</v>
      </c>
      <c r="AB4" s="194">
        <f t="shared" si="13"/>
        <v>41.6666666666667</v>
      </c>
      <c r="AC4" s="193">
        <f t="shared" si="14"/>
        <v>947</v>
      </c>
      <c r="AD4" s="193" t="str">
        <f t="shared" ref="AD4" si="15">IF(P4&gt;80,"EXCELLENT",IF(P4&gt;70,"STRONG",IF(P4&gt;60,"AVG",IF(P4&gt;50,"WEAK",IF(P4&lt;50,"VLOW")))))</f>
        <v>AVG</v>
      </c>
      <c r="AE4" s="195" t="str">
        <f t="shared" ref="AE4" si="16">IF(R4&gt;80,"EXCELLENT",IF(R4&gt;70,"STRONG",IF(R4&gt;60,"AVG",IF(R4&gt;50,"WEAK",IF(R4&lt;50,"VLOW")))))</f>
        <v>EXCELLENT</v>
      </c>
      <c r="AF4" s="193" t="str">
        <f t="shared" ref="AF4" si="17">IF(X4&gt;80,"EXCELLENT",IF(X4&gt;70,"STRONG",IF(X4&gt;60,"AVG",IF(X4&gt;50,"WEAK",IF(X4&lt;50,"VLOW")))))</f>
        <v>VLOW</v>
      </c>
      <c r="AG4" s="193" t="str">
        <f t="shared" ref="AG4" si="18">IF(M4&gt;L4,"FEMALE DOM","MEN")</f>
        <v>FEMALE DOM</v>
      </c>
      <c r="AH4" s="193" t="str">
        <f t="shared" ref="AH4" si="19">IF(T4&gt;Z4,"H","O")</f>
        <v>O</v>
      </c>
      <c r="AI4" s="197">
        <f t="shared" ref="AI4" si="20">E4-G4</f>
        <v>50.3695881731785</v>
      </c>
      <c r="AJ4" s="199" t="str">
        <f t="shared" ref="AJ4" si="21">IF(E4&gt;G4,"BJP GAIN","CONGRESSGAIN")</f>
        <v>BJP GAIN</v>
      </c>
    </row>
    <row r="5" spans="1:29">
      <c r="A5" s="184">
        <v>81</v>
      </c>
      <c r="B5" s="185" t="s">
        <v>209</v>
      </c>
      <c r="C5" s="184">
        <v>758</v>
      </c>
      <c r="D5" s="184">
        <v>550</v>
      </c>
      <c r="E5" s="184">
        <f t="shared" si="0"/>
        <v>72.5593667546174</v>
      </c>
      <c r="F5" s="184">
        <v>175</v>
      </c>
      <c r="G5" s="184">
        <f t="shared" si="1"/>
        <v>23.0870712401055</v>
      </c>
      <c r="H5" s="184">
        <v>1</v>
      </c>
      <c r="I5" s="184">
        <f t="shared" si="2"/>
        <v>0.131926121372032</v>
      </c>
      <c r="J5" s="184">
        <v>10</v>
      </c>
      <c r="K5" s="184">
        <f t="shared" si="3"/>
        <v>1.31926121372032</v>
      </c>
      <c r="L5" s="189">
        <v>513</v>
      </c>
      <c r="M5" s="189">
        <v>527</v>
      </c>
      <c r="N5" s="189">
        <f t="shared" si="4"/>
        <v>1040</v>
      </c>
      <c r="O5" s="184">
        <v>758</v>
      </c>
      <c r="P5" s="190">
        <f t="shared" si="5"/>
        <v>72.8846153846154</v>
      </c>
      <c r="Q5" s="184">
        <v>935</v>
      </c>
      <c r="R5" s="184">
        <f t="shared" si="6"/>
        <v>89.9038461538462</v>
      </c>
      <c r="S5" s="184">
        <f t="shared" si="7"/>
        <v>249</v>
      </c>
      <c r="T5" s="184">
        <f t="shared" si="8"/>
        <v>26.6310160427807</v>
      </c>
      <c r="U5" s="184">
        <v>686</v>
      </c>
      <c r="V5" s="191">
        <f t="shared" si="9"/>
        <v>73.3689839572192</v>
      </c>
      <c r="W5" s="184">
        <v>96</v>
      </c>
      <c r="X5" s="184">
        <f t="shared" si="10"/>
        <v>10.0961538461538</v>
      </c>
      <c r="Y5" s="184">
        <f t="shared" si="11"/>
        <v>24</v>
      </c>
      <c r="Z5" s="193">
        <f t="shared" si="12"/>
        <v>25</v>
      </c>
      <c r="AA5" s="193">
        <v>72</v>
      </c>
      <c r="AB5" s="194">
        <f t="shared" si="13"/>
        <v>75</v>
      </c>
      <c r="AC5" s="193">
        <f t="shared" si="14"/>
        <v>758</v>
      </c>
    </row>
    <row r="6" spans="1:29">
      <c r="A6" s="184">
        <v>82</v>
      </c>
      <c r="B6" s="185" t="s">
        <v>210</v>
      </c>
      <c r="C6" s="184">
        <v>466</v>
      </c>
      <c r="D6" s="184">
        <v>346</v>
      </c>
      <c r="E6" s="184">
        <f t="shared" si="0"/>
        <v>74.2489270386266</v>
      </c>
      <c r="F6" s="184">
        <v>94</v>
      </c>
      <c r="G6" s="184">
        <f t="shared" si="1"/>
        <v>20.1716738197425</v>
      </c>
      <c r="H6" s="184">
        <v>1</v>
      </c>
      <c r="I6" s="184">
        <f t="shared" si="2"/>
        <v>0.214592274678112</v>
      </c>
      <c r="J6" s="184">
        <v>5</v>
      </c>
      <c r="K6" s="184">
        <f t="shared" si="3"/>
        <v>1.07296137339056</v>
      </c>
      <c r="L6" s="189">
        <v>257</v>
      </c>
      <c r="M6" s="189">
        <v>294</v>
      </c>
      <c r="N6" s="189">
        <f t="shared" si="4"/>
        <v>551</v>
      </c>
      <c r="O6" s="184">
        <v>466</v>
      </c>
      <c r="P6" s="190">
        <f t="shared" si="5"/>
        <v>84.573502722323</v>
      </c>
      <c r="Q6" s="184">
        <v>538</v>
      </c>
      <c r="R6" s="184">
        <f t="shared" si="6"/>
        <v>97.6406533575318</v>
      </c>
      <c r="S6" s="184">
        <f t="shared" si="7"/>
        <v>81</v>
      </c>
      <c r="T6" s="184">
        <f t="shared" si="8"/>
        <v>15.0557620817844</v>
      </c>
      <c r="U6" s="184">
        <v>457</v>
      </c>
      <c r="V6" s="191">
        <f t="shared" si="9"/>
        <v>84.9442379182156</v>
      </c>
      <c r="W6" s="184">
        <v>10</v>
      </c>
      <c r="X6" s="184">
        <f t="shared" si="10"/>
        <v>2.35934664246824</v>
      </c>
      <c r="Y6" s="196">
        <f t="shared" si="11"/>
        <v>1</v>
      </c>
      <c r="Z6" s="193">
        <f t="shared" si="12"/>
        <v>10</v>
      </c>
      <c r="AA6" s="193">
        <v>9</v>
      </c>
      <c r="AB6" s="194">
        <f t="shared" si="13"/>
        <v>90</v>
      </c>
      <c r="AC6" s="193">
        <f t="shared" si="14"/>
        <v>466</v>
      </c>
    </row>
    <row r="7" spans="1:29">
      <c r="A7" s="184">
        <v>83</v>
      </c>
      <c r="B7" s="185" t="s">
        <v>211</v>
      </c>
      <c r="C7" s="184">
        <v>716</v>
      </c>
      <c r="D7" s="184">
        <v>407</v>
      </c>
      <c r="E7" s="184">
        <f t="shared" si="0"/>
        <v>56.8435754189944</v>
      </c>
      <c r="F7" s="184">
        <v>286</v>
      </c>
      <c r="G7" s="184">
        <f t="shared" si="1"/>
        <v>39.9441340782123</v>
      </c>
      <c r="H7" s="184">
        <v>4</v>
      </c>
      <c r="I7" s="184">
        <f t="shared" si="2"/>
        <v>0.558659217877095</v>
      </c>
      <c r="J7" s="184">
        <v>5</v>
      </c>
      <c r="K7" s="184">
        <f t="shared" si="3"/>
        <v>0.698324022346369</v>
      </c>
      <c r="L7" s="189">
        <v>428</v>
      </c>
      <c r="M7" s="189">
        <v>449</v>
      </c>
      <c r="N7" s="189">
        <f t="shared" si="4"/>
        <v>877</v>
      </c>
      <c r="O7" s="184">
        <v>716</v>
      </c>
      <c r="P7" s="190">
        <f t="shared" si="5"/>
        <v>81.6419612314709</v>
      </c>
      <c r="Q7" s="184">
        <v>695</v>
      </c>
      <c r="R7" s="184">
        <f t="shared" si="6"/>
        <v>79.2474344355758</v>
      </c>
      <c r="S7" s="192">
        <f t="shared" si="7"/>
        <v>103</v>
      </c>
      <c r="T7" s="184">
        <f t="shared" si="8"/>
        <v>14.8201438848921</v>
      </c>
      <c r="U7" s="184">
        <v>592</v>
      </c>
      <c r="V7" s="191">
        <f t="shared" si="9"/>
        <v>85.1798561151079</v>
      </c>
      <c r="W7" s="184">
        <v>177</v>
      </c>
      <c r="X7" s="184">
        <f t="shared" si="10"/>
        <v>20.7525655644242</v>
      </c>
      <c r="Y7" s="184">
        <f t="shared" si="11"/>
        <v>57</v>
      </c>
      <c r="Z7" s="193">
        <f t="shared" si="12"/>
        <v>32.2033898305085</v>
      </c>
      <c r="AA7" s="193">
        <v>120</v>
      </c>
      <c r="AB7" s="194">
        <f t="shared" si="13"/>
        <v>67.7966101694915</v>
      </c>
      <c r="AC7" s="193">
        <f t="shared" si="14"/>
        <v>712</v>
      </c>
    </row>
    <row r="8" spans="3:11">
      <c r="C8">
        <f>SUM(C2:C7)</f>
        <v>4633</v>
      </c>
      <c r="D8">
        <f>SUM(D2:D7)</f>
        <v>3204</v>
      </c>
      <c r="E8" s="186">
        <f>AVERAGE(E2:E7)</f>
        <v>69.5224597691061</v>
      </c>
      <c r="F8">
        <f>SUM(F2:F7)</f>
        <v>1237</v>
      </c>
      <c r="G8" s="186">
        <f>AVERAGE(G2:G7)</f>
        <v>26.1758681890796</v>
      </c>
      <c r="H8">
        <f>SUM(H2:H7)</f>
        <v>11</v>
      </c>
      <c r="I8" s="186">
        <f>AVERAGE(I2:I7)</f>
        <v>0.234324357553132</v>
      </c>
      <c r="J8">
        <f>SUM(J2:J7)</f>
        <v>34</v>
      </c>
      <c r="K8" s="186">
        <f>AVERAGE(K2:K7)</f>
        <v>0.758286434231212</v>
      </c>
    </row>
  </sheetData>
  <conditionalFormatting sqref="AD4">
    <cfRule type="containsText" dxfId="8" priority="15" operator="between" text="AVG">
      <formula>NOT(ISERROR(SEARCH("AVG",AD4)))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NOT(ISERROR(SEARCH("VSTRONG",AD4)))</formula>
    </cfRule>
    <cfRule type="containsText" dxfId="10" priority="5" operator="between" text="AVG">
      <formula>NOT(ISERROR(SEARCH("AVG",AD4)))</formula>
    </cfRule>
  </conditionalFormatting>
  <conditionalFormatting sqref="AE4">
    <cfRule type="containsText" dxfId="3" priority="9" operator="between" text="STRONG">
      <formula>NOT(ISERROR(SEARCH("STRONG",AE4)))</formula>
    </cfRule>
    <cfRule type="containsText" dxfId="1" priority="7" operator="between" text="VSTRONG">
      <formula>NOT(ISERROR(SEARCH("VSTRONG",AE4)))</formula>
    </cfRule>
  </conditionalFormatting>
  <conditionalFormatting sqref="AE4:AF4">
    <cfRule type="containsText" dxfId="2" priority="8" operator="between" text="AVG">
      <formula>NOT(ISERROR(SEARCH("AVG",AE4)))</formula>
    </cfRule>
  </conditionalFormatting>
  <conditionalFormatting sqref="AF4">
    <cfRule type="cellIs" dxfId="11" priority="3" operator="equal">
      <formula>"VWEAK"</formula>
    </cfRule>
    <cfRule type="containsText" dxfId="0" priority="2" operator="between" text="VSTRONG">
      <formula>NOT(ISERROR(SEARCH("VSTRONG",AF4)))</formula>
    </cfRule>
  </conditionalFormatting>
  <conditionalFormatting sqref="AG4">
    <cfRule type="containsText" dxfId="12" priority="6" operator="between" text="FEMALE DOM">
      <formula>NOT(ISERROR(SEARCH("FEMALE DOM",AG4)))</formula>
    </cfRule>
    <cfRule type="containsText" dxfId="10" priority="1" operator="between" text="MEN">
      <formula>NOT(ISERROR(SEARCH("MEN",AG4)))</formula>
    </cfRule>
  </conditionalFormatting>
  <conditionalFormatting sqref="AH4">
    <cfRule type="containsText" dxfId="0" priority="12" operator="between" text="O">
      <formula>NOT(ISERROR(SEARCH("O",AH4)))</formula>
    </cfRule>
    <cfRule type="containsText" dxfId="3" priority="10" operator="between" text="H">
      <formula>NOT(ISERROR(SEARCH("H",AH4)))</formula>
    </cfRule>
    <cfRule type="containsText" dxfId="13" priority="11" operator="between" text="H">
      <formula>NOT(ISERROR(SEARCH("H",AH4)))</formula>
    </cfRule>
    <cfRule type="containsText" dxfId="1" priority="4" operator="between" text="H">
      <formula>NOT(ISERROR(SEARCH("H",AH4)))</formula>
    </cfRule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BA36"/>
  <sheetViews>
    <sheetView topLeftCell="AJ1" workbookViewId="0">
      <selection activeCell="AN7" sqref="AN7:BA13"/>
    </sheetView>
  </sheetViews>
  <sheetFormatPr defaultColWidth="9" defaultRowHeight="14.5"/>
  <cols>
    <col min="25" max="25" width="11.8545454545455" customWidth="1"/>
  </cols>
  <sheetData>
    <row r="1" spans="1:53">
      <c r="A1" s="267" t="s">
        <v>16</v>
      </c>
      <c r="B1" s="225" t="s">
        <v>177</v>
      </c>
      <c r="C1" s="267" t="s">
        <v>15</v>
      </c>
      <c r="D1" s="267" t="s">
        <v>1</v>
      </c>
      <c r="E1" s="513"/>
      <c r="F1" s="513"/>
      <c r="G1" s="513"/>
      <c r="H1" s="513"/>
      <c r="I1" s="513"/>
      <c r="J1" s="513"/>
      <c r="K1" s="508"/>
      <c r="L1" s="513" t="s">
        <v>2</v>
      </c>
      <c r="M1" s="268" t="s">
        <v>3</v>
      </c>
      <c r="N1" s="513" t="s">
        <v>4</v>
      </c>
      <c r="O1" s="268" t="s">
        <v>5</v>
      </c>
      <c r="P1" s="268" t="s">
        <v>17</v>
      </c>
      <c r="Q1" s="526" t="s">
        <v>18</v>
      </c>
      <c r="R1" s="508" t="s">
        <v>19</v>
      </c>
      <c r="S1" s="238" t="s">
        <v>20</v>
      </c>
      <c r="T1" s="238" t="s">
        <v>21</v>
      </c>
      <c r="U1" s="508" t="s">
        <v>22</v>
      </c>
      <c r="V1" s="238" t="s">
        <v>23</v>
      </c>
      <c r="W1" s="508" t="s">
        <v>186</v>
      </c>
      <c r="X1" s="238" t="s">
        <v>66</v>
      </c>
      <c r="Y1" s="508" t="s">
        <v>67</v>
      </c>
      <c r="Z1" s="508" t="s">
        <v>159</v>
      </c>
      <c r="AA1" s="508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73"/>
      <c r="B2" s="241"/>
      <c r="C2" s="273"/>
      <c r="D2" s="278"/>
      <c r="E2" s="515"/>
      <c r="F2" s="515"/>
      <c r="G2" s="515"/>
      <c r="H2" s="515"/>
      <c r="I2" s="515"/>
      <c r="J2" s="515"/>
      <c r="K2" s="510"/>
      <c r="L2" s="514"/>
      <c r="M2" s="274"/>
      <c r="N2" s="514"/>
      <c r="O2" s="274"/>
      <c r="P2" s="274"/>
      <c r="Q2" s="527"/>
      <c r="R2" s="509"/>
      <c r="S2" s="243"/>
      <c r="T2" s="243"/>
      <c r="U2" s="509"/>
      <c r="V2" s="243"/>
      <c r="W2" s="509"/>
      <c r="X2" s="243"/>
      <c r="Y2" s="509"/>
      <c r="Z2" s="509"/>
      <c r="AA2" s="509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73"/>
      <c r="B3" s="241"/>
      <c r="C3" s="273"/>
      <c r="D3" s="273" t="s">
        <v>7</v>
      </c>
      <c r="E3" s="509" t="s">
        <v>8</v>
      </c>
      <c r="F3" s="514" t="s">
        <v>9</v>
      </c>
      <c r="G3" s="274" t="s">
        <v>10</v>
      </c>
      <c r="H3" s="514" t="s">
        <v>11</v>
      </c>
      <c r="I3" s="274" t="s">
        <v>12</v>
      </c>
      <c r="J3" s="514" t="s">
        <v>9</v>
      </c>
      <c r="K3" s="274" t="s">
        <v>13</v>
      </c>
      <c r="L3" s="514"/>
      <c r="M3" s="274"/>
      <c r="N3" s="514"/>
      <c r="O3" s="274"/>
      <c r="P3" s="274"/>
      <c r="Q3" s="527"/>
      <c r="R3" s="509"/>
      <c r="S3" s="243"/>
      <c r="T3" s="243"/>
      <c r="U3" s="509"/>
      <c r="V3" s="243"/>
      <c r="W3" s="509"/>
      <c r="X3" s="243"/>
      <c r="Y3" s="509"/>
      <c r="Z3" s="509"/>
      <c r="AA3" s="509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73"/>
      <c r="B4" s="241"/>
      <c r="C4" s="273"/>
      <c r="D4" s="273"/>
      <c r="E4" s="509"/>
      <c r="F4" s="514"/>
      <c r="G4" s="274"/>
      <c r="H4" s="514"/>
      <c r="I4" s="274"/>
      <c r="J4" s="514"/>
      <c r="K4" s="274"/>
      <c r="L4" s="514"/>
      <c r="M4" s="274"/>
      <c r="N4" s="514"/>
      <c r="O4" s="274"/>
      <c r="P4" s="274"/>
      <c r="Q4" s="527"/>
      <c r="R4" s="509"/>
      <c r="S4" s="243"/>
      <c r="T4" s="243"/>
      <c r="U4" s="509"/>
      <c r="V4" s="243"/>
      <c r="W4" s="509"/>
      <c r="X4" s="243"/>
      <c r="Y4" s="509"/>
      <c r="Z4" s="509"/>
      <c r="AA4" s="509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73"/>
      <c r="B5" s="241"/>
      <c r="C5" s="273"/>
      <c r="D5" s="273"/>
      <c r="E5" s="509"/>
      <c r="F5" s="514"/>
      <c r="G5" s="274"/>
      <c r="H5" s="514"/>
      <c r="I5" s="274"/>
      <c r="J5" s="514"/>
      <c r="K5" s="274"/>
      <c r="L5" s="514"/>
      <c r="M5" s="274"/>
      <c r="N5" s="514"/>
      <c r="O5" s="274"/>
      <c r="P5" s="274"/>
      <c r="Q5" s="527"/>
      <c r="R5" s="509"/>
      <c r="S5" s="243"/>
      <c r="T5" s="243"/>
      <c r="U5" s="509"/>
      <c r="V5" s="243"/>
      <c r="W5" s="509"/>
      <c r="X5" s="243"/>
      <c r="Y5" s="509"/>
      <c r="Z5" s="509"/>
      <c r="AA5" s="509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73"/>
      <c r="B6" s="241"/>
      <c r="C6" s="273"/>
      <c r="D6" s="273"/>
      <c r="E6" s="509"/>
      <c r="F6" s="514"/>
      <c r="G6" s="274"/>
      <c r="H6" s="514"/>
      <c r="I6" s="274"/>
      <c r="J6" s="514"/>
      <c r="K6" s="274"/>
      <c r="L6" s="514"/>
      <c r="M6" s="274"/>
      <c r="N6" s="514"/>
      <c r="O6" s="274"/>
      <c r="P6" s="274"/>
      <c r="Q6" s="527"/>
      <c r="R6" s="509"/>
      <c r="S6" s="243"/>
      <c r="T6" s="243"/>
      <c r="U6" s="509"/>
      <c r="V6" s="243"/>
      <c r="W6" s="509"/>
      <c r="X6" s="243"/>
      <c r="Y6" s="509"/>
      <c r="Z6" s="510"/>
      <c r="AA6" s="509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15" customHeight="1" spans="1:53">
      <c r="A7" s="518" t="s">
        <v>35</v>
      </c>
      <c r="B7" s="531">
        <v>93</v>
      </c>
      <c r="C7" s="531">
        <v>805</v>
      </c>
      <c r="D7" s="531">
        <v>243</v>
      </c>
      <c r="E7" s="573">
        <v>381</v>
      </c>
      <c r="F7" s="574">
        <v>0</v>
      </c>
      <c r="G7" s="345">
        <v>0</v>
      </c>
      <c r="H7" s="574">
        <v>0</v>
      </c>
      <c r="I7" s="345">
        <v>1</v>
      </c>
      <c r="J7" s="574">
        <v>0</v>
      </c>
      <c r="K7" s="345">
        <v>0</v>
      </c>
      <c r="L7" s="574">
        <v>625</v>
      </c>
      <c r="M7" s="345">
        <v>0</v>
      </c>
      <c r="N7" s="574">
        <v>2</v>
      </c>
      <c r="O7" s="345">
        <f t="shared" ref="O7:O12" si="0">D7+E7+F7+G7+H7+I7+J7+K7+N7</f>
        <v>627</v>
      </c>
      <c r="P7" s="345">
        <f t="shared" ref="P7:P12" si="1">(O7/C7)*100</f>
        <v>77.888198757764</v>
      </c>
      <c r="Q7" s="345">
        <f t="shared" ref="Q7:Q12" si="2">(E7/O7)*100</f>
        <v>60.7655502392344</v>
      </c>
      <c r="R7" s="573">
        <f t="shared" ref="R7:R12" si="3">(D7/O7)*100</f>
        <v>38.755980861244</v>
      </c>
      <c r="S7" s="573">
        <f t="shared" ref="S7:S12" si="4">(F7/O7)*100</f>
        <v>0</v>
      </c>
      <c r="T7" s="573">
        <f t="shared" ref="T7:T12" si="5">(G7/O7)*100</f>
        <v>0</v>
      </c>
      <c r="U7" s="573">
        <f t="shared" ref="U7:U12" si="6">((H7+I7+J7+K7)/O7)*100</f>
        <v>0.159489633173844</v>
      </c>
      <c r="V7" s="573">
        <f t="shared" ref="V7:V12" si="7">(N7/O7)*100</f>
        <v>0.318979266347687</v>
      </c>
      <c r="W7" s="573">
        <f>Q7-R7</f>
        <v>22.0095693779904</v>
      </c>
      <c r="X7" s="573">
        <f>Q7-(R7+S7+T7+U7)</f>
        <v>21.8500797448166</v>
      </c>
      <c r="Y7" s="573" t="str">
        <f>IF(AND(W7&lt;0,W7&lt;=1),"LOST",IF(AND(W7&gt;1,W7&lt;=10),"NARROW",IF(AND(W7&gt;10,W7&lt;=40),"MEDIUM",IF(AND(W7&gt;40,W7&lt;=90),"STRONG",""))))</f>
        <v>MEDIUM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802</v>
      </c>
      <c r="AC7">
        <v>635</v>
      </c>
      <c r="AD7">
        <v>388</v>
      </c>
      <c r="AE7">
        <v>302</v>
      </c>
      <c r="AF7">
        <v>414</v>
      </c>
      <c r="AG7">
        <v>333</v>
      </c>
      <c r="AH7">
        <v>615</v>
      </c>
      <c r="AI7">
        <v>496</v>
      </c>
      <c r="AJ7">
        <v>7</v>
      </c>
      <c r="AK7">
        <v>2</v>
      </c>
      <c r="AL7">
        <v>180</v>
      </c>
      <c r="AM7">
        <v>137</v>
      </c>
      <c r="AN7" s="248">
        <f>(AD7/AB7)*100</f>
        <v>48.3790523690773</v>
      </c>
      <c r="AO7" s="316">
        <f>(AE7/AC7)*100</f>
        <v>47.5590551181102</v>
      </c>
      <c r="AP7" s="317">
        <f>(AF7/AB7)*100</f>
        <v>51.6209476309227</v>
      </c>
      <c r="AQ7" s="318">
        <f>(AG7/AC7)*100</f>
        <v>52.4409448818898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76.6832917705736</v>
      </c>
      <c r="AU7" s="317">
        <f>(AI7/AC7)*100</f>
        <v>78.1102362204724</v>
      </c>
      <c r="AV7" s="248">
        <f>(AJ7/AB7)*100</f>
        <v>0.872817955112219</v>
      </c>
      <c r="AW7" s="317">
        <f>(AK7/AC7)*100</f>
        <v>0.31496062992126</v>
      </c>
      <c r="AX7" s="248">
        <f>(AL7/AB7)*100</f>
        <v>22.4438902743142</v>
      </c>
      <c r="AY7" s="317">
        <f>(AM7/AC7)*100</f>
        <v>21.5748031496063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1:53">
      <c r="A8" s="575"/>
      <c r="B8" s="518">
        <v>92</v>
      </c>
      <c r="C8" s="518">
        <v>561</v>
      </c>
      <c r="D8" s="518">
        <v>76</v>
      </c>
      <c r="E8" s="289">
        <v>357</v>
      </c>
      <c r="F8" s="519">
        <v>0</v>
      </c>
      <c r="G8" s="199">
        <v>1</v>
      </c>
      <c r="H8" s="519">
        <v>0</v>
      </c>
      <c r="I8" s="199">
        <v>0</v>
      </c>
      <c r="J8" s="519">
        <v>0</v>
      </c>
      <c r="K8" s="199">
        <v>2</v>
      </c>
      <c r="L8" s="519">
        <v>436</v>
      </c>
      <c r="M8" s="199">
        <v>0</v>
      </c>
      <c r="N8" s="519">
        <v>3</v>
      </c>
      <c r="O8" s="199">
        <f t="shared" si="0"/>
        <v>439</v>
      </c>
      <c r="P8" s="199">
        <f t="shared" si="1"/>
        <v>78.25311942959</v>
      </c>
      <c r="Q8" s="199">
        <f t="shared" si="2"/>
        <v>81.3211845102506</v>
      </c>
      <c r="R8" s="289">
        <f t="shared" si="3"/>
        <v>17.3120728929385</v>
      </c>
      <c r="S8" s="289">
        <f t="shared" si="4"/>
        <v>0</v>
      </c>
      <c r="T8" s="289">
        <f t="shared" si="5"/>
        <v>0.227790432801822</v>
      </c>
      <c r="U8" s="289">
        <f t="shared" si="6"/>
        <v>0.455580865603645</v>
      </c>
      <c r="V8" s="289">
        <f t="shared" si="7"/>
        <v>0.683371298405467</v>
      </c>
      <c r="W8" s="289">
        <f t="shared" ref="W8:W12" si="8">Q8-R8</f>
        <v>64.0091116173121</v>
      </c>
      <c r="X8" s="289">
        <f t="shared" ref="X8:X12" si="9">Q8-(R8+S8+T8+U8)</f>
        <v>63.3257403189066</v>
      </c>
      <c r="Y8" s="289" t="str">
        <f t="shared" ref="Y8:Y13" si="10">IF(AND(W8&lt;0,W8&lt;=1),"LOST",IF(AND(W8&gt;1,W8&lt;=10),"NARROW",IF(AND(W8&gt;10,W8&lt;=40),"MEDIUM",IF(AND(W8&gt;40,W8&lt;=90),"STRONG",""))))</f>
        <v>STRONG</v>
      </c>
      <c r="Z8" s="283" t="str">
        <f t="shared" ref="Z8:Z13" si="11">IF(AND(P8&lt;0,P8&lt;=10),"WEAK",IF(AND(P8&gt;10,P8&lt;20),"BELOW AVG",IF(AND(P8&gt;20,P8&lt;=60),"MEDIUM",IF(AND(P8&gt;60,P8&lt;=90),"STRONG",""))))</f>
        <v>STRONG</v>
      </c>
      <c r="AA8" s="289" t="str">
        <f t="shared" ref="AA8:AA13" si="12">IF(Q8&gt;R8,"BJP","CONGRESS")</f>
        <v>BJP</v>
      </c>
      <c r="AB8">
        <v>558</v>
      </c>
      <c r="AC8">
        <v>437</v>
      </c>
      <c r="AD8">
        <v>261</v>
      </c>
      <c r="AE8">
        <v>207</v>
      </c>
      <c r="AF8">
        <v>297</v>
      </c>
      <c r="AG8">
        <v>230</v>
      </c>
      <c r="AH8">
        <v>549</v>
      </c>
      <c r="AI8">
        <v>430</v>
      </c>
      <c r="AJ8">
        <v>0</v>
      </c>
      <c r="AK8">
        <v>0</v>
      </c>
      <c r="AL8">
        <v>9</v>
      </c>
      <c r="AM8">
        <v>7</v>
      </c>
      <c r="AN8" s="248">
        <f t="shared" ref="AN8:AO12" si="13">(AD8/AB8)*100</f>
        <v>46.7741935483871</v>
      </c>
      <c r="AO8" s="316">
        <f t="shared" si="13"/>
        <v>47.3684210526316</v>
      </c>
      <c r="AP8" s="317">
        <f t="shared" ref="AP8:AQ12" si="14">(AF8/AB8)*100</f>
        <v>53.2258064516129</v>
      </c>
      <c r="AQ8" s="318">
        <f t="shared" si="14"/>
        <v>52.6315789473684</v>
      </c>
      <c r="AR8" s="318" t="str">
        <f t="shared" ref="AR8:AR13" si="15">IF(AN8&gt;AP8,"MALE DOM","FEMALE DOM")</f>
        <v>FEMALE DOM</v>
      </c>
      <c r="AS8" s="319" t="str">
        <f t="shared" ref="AS8:AS13" si="16">IF(AO8&gt;AP8,"MALE","FEMALE")</f>
        <v>FEMALE</v>
      </c>
      <c r="AT8" s="317">
        <f t="shared" ref="AT8:AU12" si="17">(AH8/AB8)*100</f>
        <v>98.3870967741936</v>
      </c>
      <c r="AU8" s="317">
        <f t="shared" si="17"/>
        <v>98.3981693363844</v>
      </c>
      <c r="AV8" s="248">
        <f t="shared" ref="AV8:AW12" si="18">(AJ8/AB8)*100</f>
        <v>0</v>
      </c>
      <c r="AW8" s="317">
        <f t="shared" si="18"/>
        <v>0</v>
      </c>
      <c r="AX8" s="248">
        <f t="shared" ref="AX8:AY12" si="19">(AL8/AB8)*100</f>
        <v>1.61290322580645</v>
      </c>
      <c r="AY8" s="317">
        <f t="shared" si="19"/>
        <v>1.60183066361556</v>
      </c>
      <c r="AZ8" s="248" t="str">
        <f t="shared" ref="AZ8:AZ13" si="20">IF(AT8&gt;(AV8+AX8),"HINDU","MINORITY")</f>
        <v>HINDU</v>
      </c>
      <c r="BA8" s="318" t="str">
        <f t="shared" ref="BA8:BA13" si="21">IF(AU8&gt;(AW8+AY8),"HIND","MINORITY")</f>
        <v>HIND</v>
      </c>
    </row>
    <row r="9" spans="1:53">
      <c r="A9" s="575"/>
      <c r="B9" s="227">
        <v>91</v>
      </c>
      <c r="C9" s="227">
        <v>1152</v>
      </c>
      <c r="D9" s="227">
        <v>157</v>
      </c>
      <c r="E9" s="245">
        <v>621</v>
      </c>
      <c r="F9" s="244">
        <v>1</v>
      </c>
      <c r="G9" s="335">
        <v>3</v>
      </c>
      <c r="H9" s="244">
        <v>0</v>
      </c>
      <c r="I9" s="335">
        <v>0</v>
      </c>
      <c r="J9" s="244">
        <v>0</v>
      </c>
      <c r="K9" s="335">
        <v>3</v>
      </c>
      <c r="L9" s="244">
        <v>785</v>
      </c>
      <c r="M9" s="335">
        <v>0</v>
      </c>
      <c r="N9" s="244">
        <v>9</v>
      </c>
      <c r="O9" s="335">
        <f t="shared" si="0"/>
        <v>794</v>
      </c>
      <c r="P9" s="335">
        <f t="shared" si="1"/>
        <v>68.9236111111111</v>
      </c>
      <c r="Q9" s="335">
        <f t="shared" si="2"/>
        <v>78.2115869017632</v>
      </c>
      <c r="R9" s="245">
        <f t="shared" si="3"/>
        <v>19.7732997481108</v>
      </c>
      <c r="S9" s="245">
        <f t="shared" si="4"/>
        <v>0.125944584382872</v>
      </c>
      <c r="T9" s="245">
        <f t="shared" si="5"/>
        <v>0.377833753148615</v>
      </c>
      <c r="U9" s="245">
        <f t="shared" si="6"/>
        <v>0.377833753148615</v>
      </c>
      <c r="V9" s="245">
        <f t="shared" si="7"/>
        <v>1.13350125944584</v>
      </c>
      <c r="W9" s="245">
        <f t="shared" si="8"/>
        <v>58.4382871536524</v>
      </c>
      <c r="X9" s="245">
        <f t="shared" si="9"/>
        <v>57.5566750629723</v>
      </c>
      <c r="Y9" s="245" t="str">
        <f t="shared" si="10"/>
        <v>STRONG</v>
      </c>
      <c r="Z9" s="283" t="str">
        <f t="shared" si="11"/>
        <v>STRONG</v>
      </c>
      <c r="AA9" s="289" t="str">
        <f t="shared" si="12"/>
        <v>BJP</v>
      </c>
      <c r="AB9">
        <v>1148</v>
      </c>
      <c r="AC9">
        <v>789</v>
      </c>
      <c r="AD9">
        <v>557</v>
      </c>
      <c r="AE9">
        <v>399</v>
      </c>
      <c r="AF9">
        <v>591</v>
      </c>
      <c r="AG9">
        <v>390</v>
      </c>
      <c r="AH9">
        <v>1073</v>
      </c>
      <c r="AI9">
        <v>747</v>
      </c>
      <c r="AJ9">
        <v>4</v>
      </c>
      <c r="AK9">
        <v>2</v>
      </c>
      <c r="AL9">
        <v>71</v>
      </c>
      <c r="AM9">
        <v>40</v>
      </c>
      <c r="AN9" s="248">
        <f t="shared" si="13"/>
        <v>48.5191637630662</v>
      </c>
      <c r="AO9" s="316">
        <f t="shared" si="13"/>
        <v>50.5703422053232</v>
      </c>
      <c r="AP9" s="317">
        <f t="shared" si="14"/>
        <v>51.4808362369338</v>
      </c>
      <c r="AQ9" s="318">
        <f t="shared" si="14"/>
        <v>49.4296577946768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93.4668989547038</v>
      </c>
      <c r="AU9" s="317">
        <f t="shared" si="17"/>
        <v>94.6768060836502</v>
      </c>
      <c r="AV9" s="248">
        <f t="shared" si="18"/>
        <v>0.348432055749129</v>
      </c>
      <c r="AW9" s="317">
        <f t="shared" si="18"/>
        <v>0.253485424588086</v>
      </c>
      <c r="AX9" s="248">
        <f t="shared" si="19"/>
        <v>6.18466898954704</v>
      </c>
      <c r="AY9" s="317">
        <f t="shared" si="19"/>
        <v>5.06970849176172</v>
      </c>
      <c r="AZ9" s="248" t="str">
        <f t="shared" si="20"/>
        <v>HINDU</v>
      </c>
      <c r="BA9" s="318" t="str">
        <f t="shared" si="21"/>
        <v>HIND</v>
      </c>
    </row>
    <row r="10" spans="1:53">
      <c r="A10" s="575"/>
      <c r="B10" s="518">
        <v>82</v>
      </c>
      <c r="C10" s="518">
        <v>1217</v>
      </c>
      <c r="D10" s="518">
        <v>139</v>
      </c>
      <c r="E10" s="289">
        <v>592</v>
      </c>
      <c r="F10" s="519">
        <v>5</v>
      </c>
      <c r="G10" s="199">
        <v>6</v>
      </c>
      <c r="H10" s="519">
        <v>0</v>
      </c>
      <c r="I10" s="199">
        <v>0</v>
      </c>
      <c r="J10" s="519">
        <v>5</v>
      </c>
      <c r="K10" s="199">
        <v>0</v>
      </c>
      <c r="L10" s="519">
        <v>747</v>
      </c>
      <c r="M10" s="199">
        <v>0</v>
      </c>
      <c r="N10" s="519">
        <v>7</v>
      </c>
      <c r="O10" s="199">
        <f t="shared" si="0"/>
        <v>754</v>
      </c>
      <c r="P10" s="199">
        <f t="shared" si="1"/>
        <v>61.9556285949055</v>
      </c>
      <c r="Q10" s="199">
        <f t="shared" si="2"/>
        <v>78.5145888594164</v>
      </c>
      <c r="R10" s="289">
        <f t="shared" si="3"/>
        <v>18.4350132625995</v>
      </c>
      <c r="S10" s="289">
        <f t="shared" si="4"/>
        <v>0.663129973474801</v>
      </c>
      <c r="T10" s="289">
        <f t="shared" si="5"/>
        <v>0.795755968169761</v>
      </c>
      <c r="U10" s="289">
        <f t="shared" si="6"/>
        <v>0.663129973474801</v>
      </c>
      <c r="V10" s="289">
        <f t="shared" si="7"/>
        <v>0.928381962864721</v>
      </c>
      <c r="W10" s="289">
        <f t="shared" si="8"/>
        <v>60.079575596817</v>
      </c>
      <c r="X10" s="289">
        <f t="shared" si="9"/>
        <v>57.9575596816976</v>
      </c>
      <c r="Y10" s="289" t="str">
        <f t="shared" si="10"/>
        <v>STRONG</v>
      </c>
      <c r="Z10" s="283" t="str">
        <f t="shared" si="11"/>
        <v>STRONG</v>
      </c>
      <c r="AA10" s="289" t="str">
        <f t="shared" si="12"/>
        <v>BJP</v>
      </c>
      <c r="AB10">
        <v>1211</v>
      </c>
      <c r="AC10">
        <v>764</v>
      </c>
      <c r="AD10">
        <v>581</v>
      </c>
      <c r="AE10">
        <v>353</v>
      </c>
      <c r="AF10">
        <v>630</v>
      </c>
      <c r="AG10">
        <v>411</v>
      </c>
      <c r="AH10">
        <v>1097</v>
      </c>
      <c r="AI10">
        <v>699</v>
      </c>
      <c r="AJ10">
        <v>4</v>
      </c>
      <c r="AK10">
        <v>3</v>
      </c>
      <c r="AL10">
        <v>110</v>
      </c>
      <c r="AM10">
        <v>62</v>
      </c>
      <c r="AN10" s="248">
        <f t="shared" si="13"/>
        <v>47.9768786127168</v>
      </c>
      <c r="AO10" s="316">
        <f t="shared" si="13"/>
        <v>46.2041884816754</v>
      </c>
      <c r="AP10" s="317">
        <f t="shared" si="14"/>
        <v>52.0231213872832</v>
      </c>
      <c r="AQ10" s="318">
        <f t="shared" si="14"/>
        <v>53.7958115183246</v>
      </c>
      <c r="AR10" s="318" t="str">
        <f t="shared" si="15"/>
        <v>FEMALE DOM</v>
      </c>
      <c r="AS10" s="319" t="str">
        <f t="shared" si="16"/>
        <v>FEMALE</v>
      </c>
      <c r="AT10" s="317">
        <f t="shared" si="17"/>
        <v>90.5862923203964</v>
      </c>
      <c r="AU10" s="317">
        <f t="shared" si="17"/>
        <v>91.4921465968586</v>
      </c>
      <c r="AV10" s="248">
        <f t="shared" si="18"/>
        <v>0.330305532617671</v>
      </c>
      <c r="AW10" s="317">
        <f t="shared" si="18"/>
        <v>0.392670157068063</v>
      </c>
      <c r="AX10" s="248">
        <f t="shared" si="19"/>
        <v>9.08340214698596</v>
      </c>
      <c r="AY10" s="317">
        <f t="shared" si="19"/>
        <v>8.1151832460733</v>
      </c>
      <c r="AZ10" s="248" t="str">
        <f t="shared" si="20"/>
        <v>HINDU</v>
      </c>
      <c r="BA10" s="318" t="str">
        <f t="shared" si="21"/>
        <v>HIND</v>
      </c>
    </row>
    <row r="11" spans="1:53">
      <c r="A11" s="575"/>
      <c r="B11" s="576">
        <v>79</v>
      </c>
      <c r="C11" s="576">
        <v>457</v>
      </c>
      <c r="D11" s="576">
        <v>115</v>
      </c>
      <c r="E11" s="577">
        <v>242</v>
      </c>
      <c r="F11" s="578">
        <v>0</v>
      </c>
      <c r="G11" s="579">
        <v>0</v>
      </c>
      <c r="H11" s="578">
        <v>0</v>
      </c>
      <c r="I11" s="579">
        <v>0</v>
      </c>
      <c r="J11" s="578">
        <v>0</v>
      </c>
      <c r="K11" s="579">
        <v>0</v>
      </c>
      <c r="L11" s="578">
        <v>357</v>
      </c>
      <c r="M11" s="579">
        <v>0</v>
      </c>
      <c r="N11" s="578">
        <v>8</v>
      </c>
      <c r="O11" s="579">
        <f t="shared" si="0"/>
        <v>365</v>
      </c>
      <c r="P11" s="579">
        <f t="shared" si="1"/>
        <v>79.8687089715536</v>
      </c>
      <c r="Q11" s="579">
        <f t="shared" si="2"/>
        <v>66.3013698630137</v>
      </c>
      <c r="R11" s="577">
        <f t="shared" si="3"/>
        <v>31.5068493150685</v>
      </c>
      <c r="S11" s="577">
        <f t="shared" si="4"/>
        <v>0</v>
      </c>
      <c r="T11" s="577">
        <f t="shared" si="5"/>
        <v>0</v>
      </c>
      <c r="U11" s="577">
        <f t="shared" si="6"/>
        <v>0</v>
      </c>
      <c r="V11" s="577">
        <f t="shared" si="7"/>
        <v>2.19178082191781</v>
      </c>
      <c r="W11" s="577">
        <f t="shared" si="8"/>
        <v>34.7945205479452</v>
      </c>
      <c r="X11" s="577">
        <f t="shared" si="9"/>
        <v>34.7945205479452</v>
      </c>
      <c r="Y11" s="577" t="str">
        <f t="shared" si="10"/>
        <v>MEDIUM</v>
      </c>
      <c r="Z11" s="283" t="str">
        <f t="shared" si="11"/>
        <v>STRONG</v>
      </c>
      <c r="AA11" s="289" t="str">
        <f t="shared" si="12"/>
        <v>BJP</v>
      </c>
      <c r="AB11">
        <v>455</v>
      </c>
      <c r="AC11">
        <v>368</v>
      </c>
      <c r="AD11">
        <v>214</v>
      </c>
      <c r="AE11">
        <v>169</v>
      </c>
      <c r="AF11">
        <v>241</v>
      </c>
      <c r="AG11">
        <v>199</v>
      </c>
      <c r="AH11">
        <v>407</v>
      </c>
      <c r="AI11">
        <v>329</v>
      </c>
      <c r="AJ11">
        <v>1</v>
      </c>
      <c r="AK11">
        <v>0</v>
      </c>
      <c r="AL11">
        <v>47</v>
      </c>
      <c r="AM11">
        <v>39</v>
      </c>
      <c r="AN11" s="248">
        <f t="shared" si="13"/>
        <v>47.032967032967</v>
      </c>
      <c r="AO11" s="316">
        <f t="shared" si="13"/>
        <v>45.9239130434783</v>
      </c>
      <c r="AP11" s="317">
        <f t="shared" si="14"/>
        <v>52.967032967033</v>
      </c>
      <c r="AQ11" s="318">
        <f t="shared" si="14"/>
        <v>54.0760869565217</v>
      </c>
      <c r="AR11" s="318" t="str">
        <f t="shared" si="15"/>
        <v>FEMALE DOM</v>
      </c>
      <c r="AS11" s="319" t="str">
        <f t="shared" si="16"/>
        <v>FEMALE</v>
      </c>
      <c r="AT11" s="317">
        <f t="shared" si="17"/>
        <v>89.4505494505495</v>
      </c>
      <c r="AU11" s="317">
        <f t="shared" si="17"/>
        <v>89.4021739130435</v>
      </c>
      <c r="AV11" s="248">
        <f t="shared" si="18"/>
        <v>0.21978021978022</v>
      </c>
      <c r="AW11" s="317">
        <f t="shared" si="18"/>
        <v>0</v>
      </c>
      <c r="AX11" s="248">
        <f t="shared" si="19"/>
        <v>10.3296703296703</v>
      </c>
      <c r="AY11" s="317">
        <f t="shared" si="19"/>
        <v>10.5978260869565</v>
      </c>
      <c r="AZ11" s="248" t="str">
        <f t="shared" si="20"/>
        <v>HINDU</v>
      </c>
      <c r="BA11" s="318" t="str">
        <f t="shared" si="21"/>
        <v>HIND</v>
      </c>
    </row>
    <row r="12" spans="1:53">
      <c r="A12" s="575"/>
      <c r="B12" s="579">
        <v>78</v>
      </c>
      <c r="C12" s="578">
        <v>858</v>
      </c>
      <c r="D12" s="576">
        <v>216</v>
      </c>
      <c r="E12" s="577">
        <v>382</v>
      </c>
      <c r="F12" s="578">
        <v>4</v>
      </c>
      <c r="G12" s="579">
        <v>5</v>
      </c>
      <c r="H12" s="578">
        <v>0</v>
      </c>
      <c r="I12" s="579">
        <v>0</v>
      </c>
      <c r="J12" s="578">
        <v>0</v>
      </c>
      <c r="K12" s="579">
        <v>1</v>
      </c>
      <c r="L12" s="578">
        <v>608</v>
      </c>
      <c r="M12" s="579">
        <v>0</v>
      </c>
      <c r="N12" s="578">
        <v>1</v>
      </c>
      <c r="O12" s="579">
        <f t="shared" si="0"/>
        <v>609</v>
      </c>
      <c r="P12" s="579">
        <f t="shared" si="1"/>
        <v>70.979020979021</v>
      </c>
      <c r="Q12" s="579">
        <f t="shared" si="2"/>
        <v>62.7257799671593</v>
      </c>
      <c r="R12" s="577">
        <f t="shared" si="3"/>
        <v>35.4679802955665</v>
      </c>
      <c r="S12" s="577">
        <f t="shared" si="4"/>
        <v>0.656814449917898</v>
      </c>
      <c r="T12" s="577">
        <f t="shared" si="5"/>
        <v>0.821018062397373</v>
      </c>
      <c r="U12" s="577">
        <f t="shared" si="6"/>
        <v>0.164203612479475</v>
      </c>
      <c r="V12" s="577">
        <f t="shared" si="7"/>
        <v>0.164203612479475</v>
      </c>
      <c r="W12" s="577">
        <f t="shared" si="8"/>
        <v>27.2577996715928</v>
      </c>
      <c r="X12" s="577">
        <f t="shared" si="9"/>
        <v>25.615763546798</v>
      </c>
      <c r="Y12" s="577" t="str">
        <f t="shared" si="10"/>
        <v>MEDIUM</v>
      </c>
      <c r="Z12" s="283" t="str">
        <f t="shared" si="11"/>
        <v>STRONG</v>
      </c>
      <c r="AA12" s="289" t="str">
        <f t="shared" si="12"/>
        <v>BJP</v>
      </c>
      <c r="AB12">
        <v>857</v>
      </c>
      <c r="AC12">
        <v>603</v>
      </c>
      <c r="AD12">
        <v>406</v>
      </c>
      <c r="AE12">
        <v>281</v>
      </c>
      <c r="AF12">
        <v>451</v>
      </c>
      <c r="AG12">
        <v>322</v>
      </c>
      <c r="AH12">
        <v>661</v>
      </c>
      <c r="AI12">
        <v>463</v>
      </c>
      <c r="AJ12">
        <v>43</v>
      </c>
      <c r="AK12">
        <v>28</v>
      </c>
      <c r="AL12">
        <v>153</v>
      </c>
      <c r="AM12">
        <v>112</v>
      </c>
      <c r="AN12" s="248">
        <f t="shared" si="13"/>
        <v>47.3745624270712</v>
      </c>
      <c r="AO12" s="316">
        <f t="shared" si="13"/>
        <v>46.6003316749585</v>
      </c>
      <c r="AP12" s="317">
        <f t="shared" si="14"/>
        <v>52.6254375729288</v>
      </c>
      <c r="AQ12" s="318">
        <f t="shared" si="14"/>
        <v>53.3996683250415</v>
      </c>
      <c r="AR12" s="318" t="str">
        <f t="shared" si="15"/>
        <v>FEMALE DOM</v>
      </c>
      <c r="AS12" s="319" t="str">
        <f t="shared" si="16"/>
        <v>FEMALE</v>
      </c>
      <c r="AT12" s="317">
        <f t="shared" si="17"/>
        <v>77.1295215869312</v>
      </c>
      <c r="AU12" s="317">
        <f t="shared" si="17"/>
        <v>76.7827529021559</v>
      </c>
      <c r="AV12" s="248">
        <f t="shared" si="18"/>
        <v>5.01750291715286</v>
      </c>
      <c r="AW12" s="317">
        <f t="shared" si="18"/>
        <v>4.64344941956882</v>
      </c>
      <c r="AX12" s="248">
        <f t="shared" si="19"/>
        <v>17.852975495916</v>
      </c>
      <c r="AY12" s="317">
        <f t="shared" si="19"/>
        <v>18.5737976782753</v>
      </c>
      <c r="AZ12" s="248" t="str">
        <f t="shared" si="20"/>
        <v>HINDU</v>
      </c>
      <c r="BA12" s="318" t="str">
        <f t="shared" si="21"/>
        <v>HIND</v>
      </c>
    </row>
    <row r="13" ht="21" spans="1:53">
      <c r="A13" s="580"/>
      <c r="B13" s="581"/>
      <c r="C13" s="582">
        <f t="shared" ref="C13:O13" si="22">SUM(C7:C12)</f>
        <v>5050</v>
      </c>
      <c r="D13" s="583">
        <f t="shared" si="22"/>
        <v>946</v>
      </c>
      <c r="E13" s="423">
        <f t="shared" si="22"/>
        <v>2575</v>
      </c>
      <c r="F13" s="582">
        <f t="shared" si="22"/>
        <v>10</v>
      </c>
      <c r="G13" s="534">
        <f t="shared" si="22"/>
        <v>15</v>
      </c>
      <c r="H13" s="582">
        <f t="shared" si="22"/>
        <v>0</v>
      </c>
      <c r="I13" s="534">
        <f t="shared" si="22"/>
        <v>1</v>
      </c>
      <c r="J13" s="582">
        <f t="shared" si="22"/>
        <v>5</v>
      </c>
      <c r="K13" s="534">
        <f t="shared" si="22"/>
        <v>6</v>
      </c>
      <c r="L13" s="582">
        <f t="shared" si="22"/>
        <v>3558</v>
      </c>
      <c r="M13" s="534">
        <f t="shared" si="22"/>
        <v>0</v>
      </c>
      <c r="N13" s="582">
        <f t="shared" si="22"/>
        <v>30</v>
      </c>
      <c r="O13" s="534">
        <f t="shared" si="22"/>
        <v>3588</v>
      </c>
      <c r="P13" s="534">
        <f t="shared" ref="P13:X13" si="23">AVERAGE(P7:P12)</f>
        <v>72.9780479739909</v>
      </c>
      <c r="Q13" s="534">
        <f t="shared" si="23"/>
        <v>71.3066767234729</v>
      </c>
      <c r="R13" s="423">
        <f t="shared" si="23"/>
        <v>26.8751993959213</v>
      </c>
      <c r="S13" s="423">
        <f t="shared" si="23"/>
        <v>0.240981501295928</v>
      </c>
      <c r="T13" s="423">
        <f t="shared" si="23"/>
        <v>0.370399702752928</v>
      </c>
      <c r="U13" s="423">
        <f t="shared" si="23"/>
        <v>0.303372972980063</v>
      </c>
      <c r="V13" s="423">
        <f t="shared" si="23"/>
        <v>0.903369703576834</v>
      </c>
      <c r="W13" s="423">
        <f t="shared" si="23"/>
        <v>44.4314773275516</v>
      </c>
      <c r="X13" s="423">
        <f t="shared" si="23"/>
        <v>43.5167231505227</v>
      </c>
      <c r="Y13" s="423" t="str">
        <f t="shared" si="10"/>
        <v>STRONG</v>
      </c>
      <c r="Z13" s="283" t="str">
        <f t="shared" si="11"/>
        <v>STRONG</v>
      </c>
      <c r="AA13" s="289" t="str">
        <f t="shared" si="12"/>
        <v>BJP</v>
      </c>
      <c r="AB13">
        <f t="shared" ref="AB13:AM13" si="24">SUM(AB7:AB12)</f>
        <v>5031</v>
      </c>
      <c r="AC13">
        <f t="shared" si="24"/>
        <v>3596</v>
      </c>
      <c r="AD13">
        <f t="shared" si="24"/>
        <v>2407</v>
      </c>
      <c r="AE13">
        <f t="shared" si="24"/>
        <v>1711</v>
      </c>
      <c r="AF13">
        <f t="shared" si="24"/>
        <v>2624</v>
      </c>
      <c r="AG13">
        <f t="shared" si="24"/>
        <v>1885</v>
      </c>
      <c r="AH13">
        <f t="shared" si="24"/>
        <v>4402</v>
      </c>
      <c r="AI13">
        <f t="shared" si="24"/>
        <v>3164</v>
      </c>
      <c r="AJ13">
        <f t="shared" si="24"/>
        <v>59</v>
      </c>
      <c r="AK13">
        <f t="shared" si="24"/>
        <v>35</v>
      </c>
      <c r="AL13">
        <f t="shared" si="24"/>
        <v>570</v>
      </c>
      <c r="AM13">
        <f t="shared" si="24"/>
        <v>397</v>
      </c>
      <c r="AN13" s="569">
        <f>AVERAGE(AN7:AN12)</f>
        <v>47.6761362922143</v>
      </c>
      <c r="AO13" s="570">
        <f>AVERAGE(AO7:AO12)</f>
        <v>47.3710419293629</v>
      </c>
      <c r="AP13" s="317">
        <f>AVERAGE(AP7:AP12)</f>
        <v>52.3238637077857</v>
      </c>
      <c r="AQ13" s="571">
        <f>AVERAGE(AQ7:AQ12)</f>
        <v>52.6289580706371</v>
      </c>
      <c r="AR13" s="571" t="str">
        <f t="shared" si="15"/>
        <v>FEMALE DOM</v>
      </c>
      <c r="AS13" s="571" t="str">
        <f t="shared" si="16"/>
        <v>FEMALE</v>
      </c>
      <c r="AT13" s="317">
        <f t="shared" ref="AT13:AY13" si="25">AVERAGE(AT7:AT12)</f>
        <v>87.6172751428913</v>
      </c>
      <c r="AU13" s="317">
        <f t="shared" si="25"/>
        <v>88.1437141754275</v>
      </c>
      <c r="AV13" s="569">
        <f t="shared" si="25"/>
        <v>1.13147311340202</v>
      </c>
      <c r="AW13" s="317">
        <f t="shared" si="25"/>
        <v>0.934094271857705</v>
      </c>
      <c r="AX13" s="569">
        <f t="shared" si="25"/>
        <v>11.2512517437067</v>
      </c>
      <c r="AY13" s="317">
        <f t="shared" si="25"/>
        <v>10.9221915527148</v>
      </c>
      <c r="AZ13" s="569" t="str">
        <f t="shared" si="20"/>
        <v>HINDU</v>
      </c>
      <c r="BA13" s="571" t="str">
        <f t="shared" si="21"/>
        <v>HIND</v>
      </c>
    </row>
    <row r="18" spans="5:22">
      <c r="E18" s="225" t="s">
        <v>205</v>
      </c>
      <c r="F18" s="237"/>
      <c r="G18" s="237"/>
      <c r="H18" s="238"/>
      <c r="J18" s="225" t="s">
        <v>97</v>
      </c>
      <c r="K18" s="237"/>
      <c r="L18" s="237"/>
      <c r="M18" s="238"/>
      <c r="O18" s="265" t="s">
        <v>98</v>
      </c>
      <c r="P18" s="265"/>
      <c r="Q18" s="265"/>
      <c r="R18" s="265"/>
      <c r="S18" s="265"/>
      <c r="T18" s="265"/>
      <c r="U18" s="265"/>
      <c r="V18" s="265"/>
    </row>
    <row r="19" spans="5:22">
      <c r="E19" s="226"/>
      <c r="F19" s="239"/>
      <c r="G19" s="239"/>
      <c r="H19" s="240"/>
      <c r="J19" s="241"/>
      <c r="K19" s="242"/>
      <c r="L19" s="242"/>
      <c r="M19" s="243"/>
      <c r="O19" s="265"/>
      <c r="P19" s="265"/>
      <c r="Q19" s="265"/>
      <c r="R19" s="265"/>
      <c r="S19" s="265"/>
      <c r="T19" s="265"/>
      <c r="U19" s="265"/>
      <c r="V19" s="265"/>
    </row>
    <row r="20" spans="5:22">
      <c r="E20" s="227" t="s">
        <v>99</v>
      </c>
      <c r="F20" s="244"/>
      <c r="G20" s="245"/>
      <c r="H20" s="245">
        <f>COUNTIF(AA7:AA12,"BJP")</f>
        <v>6</v>
      </c>
      <c r="J20" s="246" t="s">
        <v>100</v>
      </c>
      <c r="K20" s="247"/>
      <c r="L20" s="247"/>
      <c r="M20" s="248">
        <f>COUNTIF(Y7:Y12,"NARROW")</f>
        <v>0</v>
      </c>
      <c r="O20" s="265" t="s">
        <v>101</v>
      </c>
      <c r="P20" s="265"/>
      <c r="Q20" s="265"/>
      <c r="R20" s="265">
        <f>'BOLOOR-18'!E6</f>
        <v>61.1985523457474</v>
      </c>
      <c r="S20" s="265" t="s">
        <v>102</v>
      </c>
      <c r="T20" s="265"/>
      <c r="U20" s="265"/>
      <c r="V20" s="265">
        <f>Q13</f>
        <v>71.3066767234729</v>
      </c>
    </row>
    <row r="21" spans="5:22">
      <c r="E21" s="227"/>
      <c r="F21" s="244"/>
      <c r="G21" s="245"/>
      <c r="H21" s="245"/>
      <c r="J21" s="249"/>
      <c r="K21" s="250"/>
      <c r="L21" s="250"/>
      <c r="M21" s="251"/>
      <c r="O21" s="265"/>
      <c r="P21" s="265"/>
      <c r="Q21" s="265"/>
      <c r="R21" s="265"/>
      <c r="S21" s="265"/>
      <c r="T21" s="265"/>
      <c r="U21" s="265"/>
      <c r="V21" s="265"/>
    </row>
    <row r="22" spans="5:22">
      <c r="E22" s="227"/>
      <c r="F22" s="244"/>
      <c r="G22" s="245"/>
      <c r="H22" s="245"/>
      <c r="J22" s="252" t="s">
        <v>103</v>
      </c>
      <c r="K22" s="253"/>
      <c r="L22" s="253"/>
      <c r="M22" s="248">
        <f>COUNTIF(Y7:Y12,"MEDIUM")</f>
        <v>3</v>
      </c>
      <c r="O22" s="265" t="s">
        <v>104</v>
      </c>
      <c r="P22" s="265"/>
      <c r="Q22" s="265"/>
      <c r="R22" s="265">
        <f>'BOLOOR-18'!G6</f>
        <v>35.3275407930162</v>
      </c>
      <c r="S22" s="265" t="s">
        <v>105</v>
      </c>
      <c r="T22" s="265"/>
      <c r="U22" s="265"/>
      <c r="V22" s="265">
        <f>R13</f>
        <v>26.8751993959213</v>
      </c>
    </row>
    <row r="23" spans="5:22">
      <c r="E23" s="228" t="s">
        <v>106</v>
      </c>
      <c r="F23" s="254"/>
      <c r="G23" s="255"/>
      <c r="H23" s="255">
        <f>COUNTIF(AA7:AA12,"CONGRESS")</f>
        <v>0</v>
      </c>
      <c r="J23" s="252"/>
      <c r="K23" s="253"/>
      <c r="L23" s="253"/>
      <c r="M23" s="251"/>
      <c r="O23" s="265"/>
      <c r="P23" s="265"/>
      <c r="Q23" s="265"/>
      <c r="R23" s="265"/>
      <c r="S23" s="265"/>
      <c r="T23" s="265"/>
      <c r="U23" s="265"/>
      <c r="V23" s="265"/>
    </row>
    <row r="24" spans="5:22">
      <c r="E24" s="229"/>
      <c r="F24" s="256"/>
      <c r="G24" s="257"/>
      <c r="H24" s="257"/>
      <c r="J24" s="258" t="s">
        <v>107</v>
      </c>
      <c r="K24" s="259"/>
      <c r="L24" s="259"/>
      <c r="M24" s="248">
        <f>COUNTIF(Y7:Y12,"STRONG")</f>
        <v>3</v>
      </c>
      <c r="O24" s="265" t="s">
        <v>108</v>
      </c>
      <c r="P24" s="265"/>
      <c r="Q24" s="265"/>
      <c r="R24" s="265">
        <f>'BOLOOR-18'!C6</f>
        <v>2886</v>
      </c>
      <c r="S24" s="265" t="s">
        <v>109</v>
      </c>
      <c r="T24" s="265"/>
      <c r="U24" s="265"/>
      <c r="V24" s="265">
        <f>L13</f>
        <v>3558</v>
      </c>
    </row>
    <row r="25" spans="5:22">
      <c r="E25" s="230"/>
      <c r="F25" s="260"/>
      <c r="G25" s="261"/>
      <c r="H25" s="261"/>
      <c r="J25" s="262"/>
      <c r="K25" s="263"/>
      <c r="L25" s="263"/>
      <c r="M25" s="251"/>
      <c r="O25" s="265"/>
      <c r="P25" s="265"/>
      <c r="Q25" s="265"/>
      <c r="R25" s="265"/>
      <c r="S25" s="265"/>
      <c r="T25" s="265"/>
      <c r="U25" s="265"/>
      <c r="V25" s="265"/>
    </row>
    <row r="26" spans="10:22">
      <c r="J26" s="229" t="s">
        <v>110</v>
      </c>
      <c r="K26" s="256"/>
      <c r="L26" s="256"/>
      <c r="M26" s="248">
        <f>COUNTIF(Y7:Y12,"LOST")</f>
        <v>0</v>
      </c>
      <c r="O26" s="265" t="s">
        <v>111</v>
      </c>
      <c r="P26" s="265"/>
      <c r="Q26" s="265"/>
      <c r="R26" s="265">
        <f>R20-R22</f>
        <v>25.8710115527312</v>
      </c>
      <c r="S26" s="265" t="s">
        <v>111</v>
      </c>
      <c r="T26" s="265"/>
      <c r="U26" s="265"/>
      <c r="V26" s="265">
        <f>V20-V22</f>
        <v>44.4314773275516</v>
      </c>
    </row>
    <row r="27" spans="10:22">
      <c r="J27" s="230"/>
      <c r="K27" s="260"/>
      <c r="L27" s="260"/>
      <c r="M27" s="251"/>
      <c r="O27" s="265"/>
      <c r="P27" s="265"/>
      <c r="Q27" s="265"/>
      <c r="R27" s="265"/>
      <c r="S27" s="265"/>
      <c r="T27" s="265"/>
      <c r="U27" s="265"/>
      <c r="V27" s="265"/>
    </row>
    <row r="28" spans="15:21">
      <c r="O28" s="265" t="s">
        <v>112</v>
      </c>
      <c r="P28" s="265"/>
      <c r="Q28" s="265"/>
      <c r="R28" s="265">
        <f>V20-R20</f>
        <v>10.1081243777256</v>
      </c>
      <c r="S28" s="265"/>
      <c r="T28" s="265"/>
      <c r="U28" s="265"/>
    </row>
    <row r="29" spans="15:21">
      <c r="O29" s="265"/>
      <c r="P29" s="265"/>
      <c r="Q29" s="265"/>
      <c r="R29" s="265"/>
      <c r="S29" s="265"/>
      <c r="T29" s="265"/>
      <c r="U29" s="265"/>
    </row>
    <row r="30" spans="15:21">
      <c r="O30" s="265" t="s">
        <v>113</v>
      </c>
      <c r="P30" s="265"/>
      <c r="Q30" s="265"/>
      <c r="R30" s="265">
        <f>V22-R22</f>
        <v>-8.4523413970949</v>
      </c>
      <c r="S30" s="265"/>
      <c r="T30" s="265"/>
      <c r="U30" s="265"/>
    </row>
    <row r="31" spans="15:21">
      <c r="O31" s="265"/>
      <c r="P31" s="265"/>
      <c r="Q31" s="265"/>
      <c r="R31" s="265"/>
      <c r="S31" s="265"/>
      <c r="T31" s="265"/>
      <c r="U31" s="265"/>
    </row>
    <row r="32" spans="15:21">
      <c r="O32" s="265" t="s">
        <v>114</v>
      </c>
      <c r="P32" s="265"/>
      <c r="Q32" s="265"/>
      <c r="R32" s="265" t="str">
        <f>IF(R28&gt;R30,"INCREASE","DECREASE")</f>
        <v>INCREASE</v>
      </c>
      <c r="S32" s="265"/>
      <c r="T32" s="265"/>
      <c r="U32" s="265"/>
    </row>
    <row r="33" spans="15:21">
      <c r="O33" s="265"/>
      <c r="P33" s="265"/>
      <c r="Q33" s="265"/>
      <c r="R33" s="265"/>
      <c r="S33" s="265"/>
      <c r="T33" s="265"/>
      <c r="U33" s="265"/>
    </row>
    <row r="34" spans="15:22">
      <c r="O34" s="265" t="s">
        <v>193</v>
      </c>
      <c r="P34" s="265"/>
      <c r="Q34" s="265"/>
      <c r="R34" s="265"/>
      <c r="S34" s="265"/>
      <c r="T34" s="265"/>
      <c r="U34" s="265"/>
      <c r="V34" s="265"/>
    </row>
    <row r="35" spans="15:22">
      <c r="O35" s="265"/>
      <c r="P35" s="265"/>
      <c r="Q35" s="265"/>
      <c r="R35" s="265"/>
      <c r="S35" s="265"/>
      <c r="T35" s="265"/>
      <c r="U35" s="265"/>
      <c r="V35" s="265"/>
    </row>
    <row r="36" spans="15:22">
      <c r="O36" s="265"/>
      <c r="P36" s="265"/>
      <c r="Q36" s="265"/>
      <c r="R36" s="265"/>
      <c r="S36" s="265"/>
      <c r="T36" s="265"/>
      <c r="U36" s="265"/>
      <c r="V36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H20:H22"/>
    <mergeCell ref="H23:H25"/>
    <mergeCell ref="I3:I6"/>
    <mergeCell ref="J3:J6"/>
    <mergeCell ref="K3:K6"/>
    <mergeCell ref="L1:L6"/>
    <mergeCell ref="M1:M6"/>
    <mergeCell ref="M20:M21"/>
    <mergeCell ref="M22:M23"/>
    <mergeCell ref="M24:M25"/>
    <mergeCell ref="M26:M27"/>
    <mergeCell ref="N1:N6"/>
    <mergeCell ref="O1:O6"/>
    <mergeCell ref="P1:P6"/>
    <mergeCell ref="Q1:Q6"/>
    <mergeCell ref="R1:R6"/>
    <mergeCell ref="R20:R21"/>
    <mergeCell ref="R22:R23"/>
    <mergeCell ref="R24:R25"/>
    <mergeCell ref="R26:R27"/>
    <mergeCell ref="S1:S6"/>
    <mergeCell ref="T1:T6"/>
    <mergeCell ref="U1:U6"/>
    <mergeCell ref="V1:V6"/>
    <mergeCell ref="V20:V21"/>
    <mergeCell ref="V22:V23"/>
    <mergeCell ref="V24:V25"/>
    <mergeCell ref="V26:V27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J26:L27"/>
    <mergeCell ref="S26:U27"/>
    <mergeCell ref="E18:H19"/>
    <mergeCell ref="J18:M19"/>
    <mergeCell ref="E20:G22"/>
    <mergeCell ref="J20:L21"/>
    <mergeCell ref="S20:U21"/>
    <mergeCell ref="J22:L23"/>
    <mergeCell ref="S22:U23"/>
    <mergeCell ref="E23:G25"/>
    <mergeCell ref="J24:L25"/>
    <mergeCell ref="S24:U25"/>
    <mergeCell ref="O18:V19"/>
    <mergeCell ref="O20:Q21"/>
    <mergeCell ref="O22:Q23"/>
    <mergeCell ref="O24:Q25"/>
    <mergeCell ref="O34:V36"/>
    <mergeCell ref="O30:Q31"/>
    <mergeCell ref="R30:U31"/>
    <mergeCell ref="O32:Q33"/>
    <mergeCell ref="R32:S33"/>
    <mergeCell ref="T32:U33"/>
    <mergeCell ref="O26:Q27"/>
    <mergeCell ref="O28:Q29"/>
    <mergeCell ref="R28:U29"/>
  </mergeCells>
  <conditionalFormatting sqref="AR7:AR13">
    <cfRule type="containsText" dxfId="6" priority="1" operator="between" text="FEMALE DOM">
      <formula>NOT(ISERROR(SEARCH("FEMALE DOM",AR7)))</formula>
    </cfRule>
  </conditionalFormatting>
  <conditionalFormatting sqref="AZ7:AZ13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3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"/>
  <sheetViews>
    <sheetView workbookViewId="0">
      <selection activeCell="A1" sqref="A1:AJ1"/>
    </sheetView>
  </sheetViews>
  <sheetFormatPr defaultColWidth="9" defaultRowHeight="14.5" outlineLevelRow="5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29">
      <c r="A2" s="325">
        <v>201</v>
      </c>
      <c r="B2" s="326" t="s">
        <v>212</v>
      </c>
      <c r="C2" s="325">
        <v>644</v>
      </c>
      <c r="D2" s="325">
        <v>341</v>
      </c>
      <c r="E2" s="325">
        <f t="shared" ref="E2:E5" si="0">(D2/C2)*100</f>
        <v>52.9503105590062</v>
      </c>
      <c r="F2" s="325">
        <v>294</v>
      </c>
      <c r="G2" s="325">
        <f t="shared" ref="G2:G5" si="1">(F2/C2)*100</f>
        <v>45.6521739130435</v>
      </c>
      <c r="H2" s="325">
        <v>3</v>
      </c>
      <c r="I2" s="325">
        <f t="shared" ref="I2:I5" si="2">(H2/C2)*100</f>
        <v>0.46583850931677</v>
      </c>
      <c r="J2" s="325">
        <v>2</v>
      </c>
      <c r="K2" s="325">
        <f t="shared" ref="K2:K5" si="3">(J2/C2)*100</f>
        <v>0.31055900621118</v>
      </c>
      <c r="L2" s="327">
        <v>463</v>
      </c>
      <c r="M2" s="327">
        <v>555</v>
      </c>
      <c r="N2" s="327">
        <f t="shared" ref="N2:N5" si="4">L2+M2</f>
        <v>1018</v>
      </c>
      <c r="O2" s="325">
        <v>644</v>
      </c>
      <c r="P2" s="328">
        <f t="shared" ref="P2:P5" si="5">O2/N2*100</f>
        <v>63.2612966601179</v>
      </c>
      <c r="Q2" s="325"/>
      <c r="R2" s="325">
        <f t="shared" ref="R2:R5" si="6">(Q2/N2)*100</f>
        <v>0</v>
      </c>
      <c r="S2" s="572">
        <f t="shared" ref="S2:S5" si="7">Q2-U2</f>
        <v>0</v>
      </c>
      <c r="T2" s="325" t="e">
        <f t="shared" ref="T2:T5" si="8">(S2/Q2)*100</f>
        <v>#DIV/0!</v>
      </c>
      <c r="U2" s="325"/>
      <c r="V2" s="194">
        <f t="shared" ref="V2:V5" si="9">IFERROR(U2/Q2*100,0)</f>
        <v>0</v>
      </c>
      <c r="W2" s="325"/>
      <c r="X2" s="325">
        <f t="shared" ref="X2:X5" si="10">100-R2</f>
        <v>100</v>
      </c>
      <c r="Y2" s="325">
        <f t="shared" ref="Y2:Y5" si="11">W2-AA2</f>
        <v>0</v>
      </c>
      <c r="Z2" s="325" t="e">
        <f t="shared" ref="Z2:Z5" si="12">(Y2/W2)*100</f>
        <v>#DIV/0!</v>
      </c>
      <c r="AA2" s="325"/>
      <c r="AB2" s="194">
        <f t="shared" ref="AB2:AB5" si="13">IFERROR(AA2/W2*100,0)</f>
        <v>0</v>
      </c>
      <c r="AC2" s="325">
        <f t="shared" ref="AC2:AC5" si="14">U2+AA2</f>
        <v>0</v>
      </c>
    </row>
    <row r="3" spans="1:29">
      <c r="A3" s="184">
        <v>211</v>
      </c>
      <c r="B3" s="185" t="s">
        <v>213</v>
      </c>
      <c r="C3" s="184">
        <v>744</v>
      </c>
      <c r="D3" s="184">
        <v>507</v>
      </c>
      <c r="E3" s="184">
        <f t="shared" si="0"/>
        <v>68.1451612903226</v>
      </c>
      <c r="F3" s="184">
        <v>198</v>
      </c>
      <c r="G3" s="184">
        <f t="shared" si="1"/>
        <v>26.6129032258064</v>
      </c>
      <c r="H3" s="184">
        <v>3</v>
      </c>
      <c r="I3" s="184">
        <f t="shared" si="2"/>
        <v>0.403225806451613</v>
      </c>
      <c r="J3" s="184">
        <v>17</v>
      </c>
      <c r="K3" s="184">
        <f t="shared" si="3"/>
        <v>2.28494623655914</v>
      </c>
      <c r="L3" s="189">
        <v>481</v>
      </c>
      <c r="M3" s="189">
        <v>525</v>
      </c>
      <c r="N3" s="189">
        <f t="shared" si="4"/>
        <v>1006</v>
      </c>
      <c r="O3" s="184">
        <v>744</v>
      </c>
      <c r="P3" s="190">
        <f t="shared" si="5"/>
        <v>73.9562624254473</v>
      </c>
      <c r="Q3" s="184"/>
      <c r="R3" s="184">
        <f t="shared" si="6"/>
        <v>0</v>
      </c>
      <c r="S3" s="184">
        <f t="shared" si="7"/>
        <v>0</v>
      </c>
      <c r="T3" s="184" t="e">
        <f t="shared" si="8"/>
        <v>#DIV/0!</v>
      </c>
      <c r="U3" s="184"/>
      <c r="V3" s="191">
        <f t="shared" si="9"/>
        <v>0</v>
      </c>
      <c r="W3" s="184"/>
      <c r="X3" s="184">
        <f t="shared" si="10"/>
        <v>100</v>
      </c>
      <c r="Y3" s="196">
        <f t="shared" si="11"/>
        <v>0</v>
      </c>
      <c r="Z3" s="193" t="e">
        <f t="shared" si="12"/>
        <v>#DIV/0!</v>
      </c>
      <c r="AA3" s="193"/>
      <c r="AB3" s="194">
        <f t="shared" si="13"/>
        <v>0</v>
      </c>
      <c r="AC3" s="193">
        <f t="shared" si="14"/>
        <v>0</v>
      </c>
    </row>
    <row r="4" spans="1:29">
      <c r="A4" s="184">
        <v>212</v>
      </c>
      <c r="B4" s="185" t="s">
        <v>214</v>
      </c>
      <c r="C4" s="184">
        <v>689</v>
      </c>
      <c r="D4" s="184">
        <v>452</v>
      </c>
      <c r="E4" s="184">
        <f t="shared" si="0"/>
        <v>65.6023222060958</v>
      </c>
      <c r="F4" s="184">
        <v>210</v>
      </c>
      <c r="G4" s="184">
        <f t="shared" si="1"/>
        <v>30.4789550072569</v>
      </c>
      <c r="H4" s="184">
        <v>0</v>
      </c>
      <c r="I4" s="184">
        <f t="shared" si="2"/>
        <v>0</v>
      </c>
      <c r="J4" s="184">
        <v>11</v>
      </c>
      <c r="K4" s="184">
        <f t="shared" si="3"/>
        <v>1.59651669085631</v>
      </c>
      <c r="L4" s="189">
        <v>477</v>
      </c>
      <c r="M4" s="189">
        <v>515</v>
      </c>
      <c r="N4" s="189">
        <f t="shared" si="4"/>
        <v>992</v>
      </c>
      <c r="O4" s="184">
        <v>689</v>
      </c>
      <c r="P4" s="190">
        <f t="shared" si="5"/>
        <v>69.4556451612903</v>
      </c>
      <c r="Q4" s="184">
        <v>770</v>
      </c>
      <c r="R4" s="184">
        <f t="shared" si="6"/>
        <v>77.6209677419355</v>
      </c>
      <c r="S4" s="184">
        <f t="shared" si="7"/>
        <v>202</v>
      </c>
      <c r="T4" s="184">
        <f t="shared" si="8"/>
        <v>26.2337662337662</v>
      </c>
      <c r="U4" s="184">
        <v>568</v>
      </c>
      <c r="V4" s="191">
        <f t="shared" si="9"/>
        <v>73.7662337662338</v>
      </c>
      <c r="W4" s="184">
        <v>222</v>
      </c>
      <c r="X4" s="184">
        <f t="shared" si="10"/>
        <v>22.3790322580645</v>
      </c>
      <c r="Y4" s="184">
        <f t="shared" si="11"/>
        <v>109</v>
      </c>
      <c r="Z4" s="193">
        <f t="shared" si="12"/>
        <v>49.0990990990991</v>
      </c>
      <c r="AA4" s="193">
        <v>113</v>
      </c>
      <c r="AB4" s="194">
        <f t="shared" si="13"/>
        <v>50.9009009009009</v>
      </c>
      <c r="AC4" s="193">
        <f t="shared" si="14"/>
        <v>681</v>
      </c>
    </row>
    <row r="5" spans="1:29">
      <c r="A5" s="184">
        <v>205</v>
      </c>
      <c r="B5" s="185" t="s">
        <v>215</v>
      </c>
      <c r="C5" s="184">
        <v>809</v>
      </c>
      <c r="D5" s="184">
        <v>470</v>
      </c>
      <c r="E5" s="184">
        <f t="shared" si="0"/>
        <v>58.0964153275649</v>
      </c>
      <c r="F5" s="184">
        <v>312</v>
      </c>
      <c r="G5" s="184">
        <f t="shared" si="1"/>
        <v>38.566131025958</v>
      </c>
      <c r="H5" s="184">
        <v>6</v>
      </c>
      <c r="I5" s="184">
        <f t="shared" si="2"/>
        <v>0.741656365883807</v>
      </c>
      <c r="J5" s="184">
        <v>8</v>
      </c>
      <c r="K5" s="184">
        <f t="shared" si="3"/>
        <v>0.988875154511743</v>
      </c>
      <c r="L5" s="189">
        <v>545</v>
      </c>
      <c r="M5" s="189">
        <v>598</v>
      </c>
      <c r="N5" s="189">
        <f t="shared" si="4"/>
        <v>1143</v>
      </c>
      <c r="O5" s="184">
        <v>809</v>
      </c>
      <c r="P5" s="190">
        <f t="shared" si="5"/>
        <v>70.7786526684165</v>
      </c>
      <c r="Q5" s="184"/>
      <c r="R5" s="184">
        <f t="shared" si="6"/>
        <v>0</v>
      </c>
      <c r="S5" s="192">
        <f t="shared" si="7"/>
        <v>0</v>
      </c>
      <c r="T5" s="184" t="e">
        <f t="shared" si="8"/>
        <v>#DIV/0!</v>
      </c>
      <c r="U5" s="184"/>
      <c r="V5" s="191">
        <f t="shared" si="9"/>
        <v>0</v>
      </c>
      <c r="W5" s="184"/>
      <c r="X5" s="184">
        <f t="shared" si="10"/>
        <v>100</v>
      </c>
      <c r="Y5" s="196">
        <f t="shared" si="11"/>
        <v>0</v>
      </c>
      <c r="Z5" s="193" t="e">
        <f t="shared" si="12"/>
        <v>#DIV/0!</v>
      </c>
      <c r="AA5" s="193"/>
      <c r="AB5" s="194">
        <f t="shared" si="13"/>
        <v>0</v>
      </c>
      <c r="AC5" s="193">
        <f t="shared" si="14"/>
        <v>0</v>
      </c>
    </row>
    <row r="6" spans="3:11">
      <c r="C6">
        <f>SUM(C2:C5)</f>
        <v>2886</v>
      </c>
      <c r="D6">
        <f>SUM(D2:D5)</f>
        <v>1770</v>
      </c>
      <c r="E6" s="186">
        <f>AVERAGE(E2:E5)</f>
        <v>61.1985523457474</v>
      </c>
      <c r="F6">
        <f>SUM(F2:F5)</f>
        <v>1014</v>
      </c>
      <c r="G6" s="186">
        <f>AVERAGE(G2:G5)</f>
        <v>35.3275407930162</v>
      </c>
      <c r="H6">
        <f>SUM(H2:H5)</f>
        <v>12</v>
      </c>
      <c r="I6" s="186">
        <f>AVERAGE(I2:I5)</f>
        <v>0.402680170413048</v>
      </c>
      <c r="J6">
        <f>SUM(J2:J5)</f>
        <v>38</v>
      </c>
      <c r="K6">
        <f>SUM(K2:K5)</f>
        <v>5.18089708813838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4"/>
  <sheetViews>
    <sheetView topLeftCell="AI1" workbookViewId="0">
      <selection activeCell="AN7" sqref="AN7:BA12"/>
    </sheetView>
  </sheetViews>
  <sheetFormatPr defaultColWidth="9" defaultRowHeight="14.5"/>
  <cols>
    <col min="12" max="12" width="10.5727272727273" customWidth="1"/>
    <col min="27" max="27" width="11.5727272727273" customWidth="1"/>
  </cols>
  <sheetData>
    <row r="1" ht="15" customHeight="1" spans="1:53">
      <c r="A1" s="509" t="s">
        <v>16</v>
      </c>
      <c r="B1" s="268" t="s">
        <v>177</v>
      </c>
      <c r="C1" s="268" t="s">
        <v>15</v>
      </c>
      <c r="D1" s="267" t="s">
        <v>1</v>
      </c>
      <c r="E1" s="513"/>
      <c r="F1" s="513"/>
      <c r="G1" s="513"/>
      <c r="H1" s="513"/>
      <c r="I1" s="513"/>
      <c r="J1" s="513"/>
      <c r="K1" s="508"/>
      <c r="L1" s="268" t="s">
        <v>2</v>
      </c>
      <c r="M1" s="268" t="s">
        <v>3</v>
      </c>
      <c r="N1" s="268" t="s">
        <v>4</v>
      </c>
      <c r="O1" s="268" t="s">
        <v>5</v>
      </c>
      <c r="P1" s="268" t="s">
        <v>17</v>
      </c>
      <c r="Q1" s="268" t="s">
        <v>18</v>
      </c>
      <c r="R1" s="268" t="s">
        <v>19</v>
      </c>
      <c r="S1" s="268" t="s">
        <v>20</v>
      </c>
      <c r="T1" s="268" t="s">
        <v>21</v>
      </c>
      <c r="U1" s="268" t="s">
        <v>22</v>
      </c>
      <c r="V1" s="268" t="s">
        <v>23</v>
      </c>
      <c r="W1" s="268" t="s">
        <v>156</v>
      </c>
      <c r="X1" s="268" t="s">
        <v>66</v>
      </c>
      <c r="Y1" s="268" t="s">
        <v>67</v>
      </c>
      <c r="Z1" s="508" t="s">
        <v>159</v>
      </c>
      <c r="AA1" s="508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ht="15" customHeight="1" spans="1:53">
      <c r="A2" s="509"/>
      <c r="B2" s="274"/>
      <c r="C2" s="274"/>
      <c r="D2" s="278"/>
      <c r="E2" s="515"/>
      <c r="F2" s="515"/>
      <c r="G2" s="515"/>
      <c r="H2" s="515"/>
      <c r="I2" s="515"/>
      <c r="J2" s="515"/>
      <c r="K2" s="510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509"/>
      <c r="AA2" s="509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ht="15" customHeight="1" spans="1:53">
      <c r="A3" s="509"/>
      <c r="B3" s="274"/>
      <c r="C3" s="274"/>
      <c r="D3" s="268" t="s">
        <v>7</v>
      </c>
      <c r="E3" s="268" t="s">
        <v>8</v>
      </c>
      <c r="F3" s="268" t="s">
        <v>9</v>
      </c>
      <c r="G3" s="268" t="s">
        <v>10</v>
      </c>
      <c r="H3" s="268" t="s">
        <v>11</v>
      </c>
      <c r="I3" s="268" t="s">
        <v>12</v>
      </c>
      <c r="J3" s="268" t="s">
        <v>9</v>
      </c>
      <c r="K3" s="268" t="s">
        <v>13</v>
      </c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509"/>
      <c r="AA3" s="509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509"/>
      <c r="B4" s="274"/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509"/>
      <c r="AA4" s="509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509"/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509"/>
      <c r="AA5" s="509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509"/>
      <c r="B6" s="279"/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510"/>
      <c r="AA6" s="509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540" t="s">
        <v>36</v>
      </c>
      <c r="B7" s="541">
        <v>115</v>
      </c>
      <c r="C7" s="541">
        <v>712</v>
      </c>
      <c r="D7" s="542">
        <v>213</v>
      </c>
      <c r="E7" s="543">
        <v>241</v>
      </c>
      <c r="F7" s="544">
        <v>1</v>
      </c>
      <c r="G7" s="542">
        <v>1</v>
      </c>
      <c r="H7" s="542">
        <v>1</v>
      </c>
      <c r="I7" s="543">
        <v>0</v>
      </c>
      <c r="J7" s="543">
        <v>0</v>
      </c>
      <c r="K7" s="543">
        <v>0</v>
      </c>
      <c r="L7" s="543">
        <v>456</v>
      </c>
      <c r="M7" s="543">
        <v>0</v>
      </c>
      <c r="N7" s="544">
        <v>3</v>
      </c>
      <c r="O7" s="542">
        <f t="shared" ref="O7:O12" si="0">D7+E7+F7+G7+H7+I7+J7+K7+N7</f>
        <v>460</v>
      </c>
      <c r="P7" s="542">
        <f t="shared" ref="P7:P12" si="1">(O7/C7)*100</f>
        <v>64.6067415730337</v>
      </c>
      <c r="Q7" s="543">
        <f t="shared" ref="Q7:Q12" si="2">(E7/O7)*100</f>
        <v>52.3913043478261</v>
      </c>
      <c r="R7" s="544">
        <f t="shared" ref="R7:R12" si="3">(D7/O7)*100</f>
        <v>46.304347826087</v>
      </c>
      <c r="S7" s="542">
        <f t="shared" ref="S7:S12" si="4">(F7/O7)*100</f>
        <v>0.217391304347826</v>
      </c>
      <c r="T7" s="542">
        <f t="shared" ref="T7:T12" si="5">(G7/O7)*100</f>
        <v>0.217391304347826</v>
      </c>
      <c r="U7" s="543">
        <f t="shared" ref="U7:U12" si="6">((H7+I7+J7+K7)/O7)*100</f>
        <v>0.217391304347826</v>
      </c>
      <c r="V7" s="543">
        <f t="shared" ref="V7:V12" si="7">(N7/O7)*100</f>
        <v>0.652173913043478</v>
      </c>
      <c r="W7" s="544">
        <f>Q7-R7</f>
        <v>6.08695652173913</v>
      </c>
      <c r="X7" s="542">
        <f>Q7-(R7+S7+T7+U7)</f>
        <v>5.43478260869565</v>
      </c>
      <c r="Y7" s="543" t="str">
        <f>IF(AND(W7&lt;0,W7&lt;=1),"LOST",IF(AND(W7&gt;1,W7&lt;=10),"NARROW",IF(AND(W7&gt;10,W7&lt;=40),"MEDIUM",IF(AND(W7&gt;40,W7&lt;=90),"STRONG",""))))</f>
        <v>NARROW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707</v>
      </c>
      <c r="AD7">
        <v>372</v>
      </c>
      <c r="AF7">
        <v>335</v>
      </c>
      <c r="AH7">
        <v>413</v>
      </c>
      <c r="AJ7">
        <v>291</v>
      </c>
      <c r="AL7">
        <v>3</v>
      </c>
      <c r="AN7" s="248">
        <f>(AD7/AB7)*100</f>
        <v>52.6166902404526</v>
      </c>
      <c r="AO7" s="316" t="e">
        <f>(AE7/AC7)*100</f>
        <v>#DIV/0!</v>
      </c>
      <c r="AP7" s="317">
        <f>(AF7/AB7)*100</f>
        <v>47.3833097595474</v>
      </c>
      <c r="AQ7" s="318" t="e">
        <f>(AG7/AC7)*100</f>
        <v>#DIV/0!</v>
      </c>
      <c r="AR7" s="318" t="str">
        <f>IF(AN7&gt;AP7,"MALE DOM","FEMALE DOM")</f>
        <v>MALE DOM</v>
      </c>
      <c r="AS7" s="319" t="e">
        <f>IF(AO7&gt;AP7,"MALE","FEMALE")</f>
        <v>#DIV/0!</v>
      </c>
      <c r="AT7" s="317">
        <f>(AH7/AB7)*100</f>
        <v>58.4158415841584</v>
      </c>
      <c r="AU7" s="317" t="e">
        <f>(AI7/AC7)*100</f>
        <v>#DIV/0!</v>
      </c>
      <c r="AV7" s="248">
        <f>(AJ7/AB7)*100</f>
        <v>41.1598302687412</v>
      </c>
      <c r="AW7" s="317" t="e">
        <f>(AK7/AC7)*100</f>
        <v>#DIV/0!</v>
      </c>
      <c r="AX7" s="248">
        <f>(AL7/AB7)*100</f>
        <v>0.424328147100424</v>
      </c>
      <c r="AY7" s="317" t="e">
        <f>(AM7/AC7)*100</f>
        <v>#DIV/0!</v>
      </c>
      <c r="AZ7" s="248" t="str">
        <f>IF(AT7&gt;(AV7+AX7),"HINDU","MINORITY")</f>
        <v>HINDU</v>
      </c>
      <c r="BA7" s="318" t="e">
        <f>IF(AU7&gt;(AW7+AY7),"HIND","MINORITY")</f>
        <v>#DIV/0!</v>
      </c>
    </row>
    <row r="8" spans="1:53">
      <c r="A8" s="545"/>
      <c r="B8" s="546">
        <v>116</v>
      </c>
      <c r="C8" s="546">
        <v>1019</v>
      </c>
      <c r="D8" s="547">
        <v>565</v>
      </c>
      <c r="E8" s="548">
        <v>53</v>
      </c>
      <c r="F8" s="549">
        <v>11</v>
      </c>
      <c r="G8" s="547">
        <v>1</v>
      </c>
      <c r="H8" s="547">
        <v>1</v>
      </c>
      <c r="I8" s="548">
        <v>0</v>
      </c>
      <c r="J8" s="548">
        <v>0</v>
      </c>
      <c r="K8" s="548">
        <v>0</v>
      </c>
      <c r="L8" s="548">
        <v>631</v>
      </c>
      <c r="M8" s="548">
        <v>0</v>
      </c>
      <c r="N8" s="549">
        <v>6</v>
      </c>
      <c r="O8" s="547">
        <f t="shared" si="0"/>
        <v>637</v>
      </c>
      <c r="P8" s="547">
        <f t="shared" si="1"/>
        <v>62.5122669283611</v>
      </c>
      <c r="Q8" s="548">
        <f t="shared" si="2"/>
        <v>8.32025117739403</v>
      </c>
      <c r="R8" s="549">
        <f t="shared" si="3"/>
        <v>88.6970172684458</v>
      </c>
      <c r="S8" s="547">
        <f t="shared" si="4"/>
        <v>1.72684458398744</v>
      </c>
      <c r="T8" s="547">
        <f t="shared" si="5"/>
        <v>0.156985871271586</v>
      </c>
      <c r="U8" s="548">
        <f t="shared" si="6"/>
        <v>0.156985871271586</v>
      </c>
      <c r="V8" s="548">
        <f t="shared" si="7"/>
        <v>0.941915227629513</v>
      </c>
      <c r="W8" s="549">
        <f t="shared" ref="W8:W13" si="8">Q8-R8</f>
        <v>-80.3767660910518</v>
      </c>
      <c r="X8" s="547">
        <f t="shared" ref="X8:X13" si="9">Q8-(R8+S8+T8+U8)</f>
        <v>-82.4175824175824</v>
      </c>
      <c r="Y8" s="548" t="str">
        <f t="shared" ref="Y8:Y13" si="10">IF(AND(W8&lt;0,W8&lt;=1),"LOST",IF(AND(W8&gt;1,W8&lt;=10),"NARROW",IF(AND(W8&gt;10,W8&lt;=40),"MEDIUM",IF(AND(W8&gt;40,W8&lt;=90),"STRONG",""))))</f>
        <v>LOST</v>
      </c>
      <c r="Z8" s="283" t="str">
        <f t="shared" ref="Z8:Z13" si="11">IF(AND(P8&lt;0,P8&lt;=10),"WEAK",IF(AND(P8&gt;10,P8&lt;20),"BELOW AVG",IF(AND(P8&gt;20,P8&lt;=60),"MEDIUM",IF(AND(P8&gt;60,P8&lt;=90),"STRONG",""))))</f>
        <v>STRONG</v>
      </c>
      <c r="AA8" s="511" t="str">
        <f t="shared" ref="AA8:AA13" si="12">IF(Q8&gt;R8,"BJP","CONGRESS")</f>
        <v>CONGRESS</v>
      </c>
      <c r="AB8">
        <v>1012</v>
      </c>
      <c r="AC8">
        <v>602</v>
      </c>
      <c r="AD8">
        <v>504</v>
      </c>
      <c r="AE8">
        <v>289</v>
      </c>
      <c r="AF8">
        <v>508</v>
      </c>
      <c r="AG8">
        <v>313</v>
      </c>
      <c r="AH8">
        <v>79</v>
      </c>
      <c r="AI8">
        <v>35</v>
      </c>
      <c r="AJ8">
        <v>933</v>
      </c>
      <c r="AK8">
        <v>567</v>
      </c>
      <c r="AL8">
        <v>0</v>
      </c>
      <c r="AM8">
        <v>0</v>
      </c>
      <c r="AN8" s="248">
        <f t="shared" ref="AN8:AO12" si="13">(AD8/AB8)*100</f>
        <v>49.802371541502</v>
      </c>
      <c r="AO8" s="316">
        <f t="shared" si="13"/>
        <v>48.0066445182724</v>
      </c>
      <c r="AP8" s="317">
        <f t="shared" ref="AP8:AQ12" si="14">(AF8/AB8)*100</f>
        <v>50.197628458498</v>
      </c>
      <c r="AQ8" s="318">
        <f t="shared" si="14"/>
        <v>51.9933554817276</v>
      </c>
      <c r="AR8" s="318" t="str">
        <f t="shared" ref="AR8:AR12" si="15">IF(AN8&gt;AP8,"MALE DOM","FEMALE DOM")</f>
        <v>FEMALE DOM</v>
      </c>
      <c r="AS8" s="319" t="str">
        <f t="shared" ref="AS8:AS12" si="16">IF(AO8&gt;AP8,"MALE","FEMALE")</f>
        <v>FEMALE</v>
      </c>
      <c r="AT8" s="317">
        <f t="shared" ref="AT8:AU12" si="17">(AH8/AB8)*100</f>
        <v>7.80632411067194</v>
      </c>
      <c r="AU8" s="317">
        <f t="shared" si="17"/>
        <v>5.81395348837209</v>
      </c>
      <c r="AV8" s="248">
        <f t="shared" ref="AV8:AW12" si="18">(AJ8/AB8)*100</f>
        <v>92.1936758893281</v>
      </c>
      <c r="AW8" s="317">
        <f t="shared" si="18"/>
        <v>94.1860465116279</v>
      </c>
      <c r="AX8" s="248">
        <f t="shared" ref="AX8:AY12" si="19">(AL8/AB8)*100</f>
        <v>0</v>
      </c>
      <c r="AY8" s="317">
        <f t="shared" si="19"/>
        <v>0</v>
      </c>
      <c r="AZ8" s="248" t="str">
        <f t="shared" ref="AZ8:AZ12" si="20">IF(AT8&gt;(AV8+AX8),"HINDU","MINORITY")</f>
        <v>MINORITY</v>
      </c>
      <c r="BA8" s="318" t="str">
        <f t="shared" ref="BA8:BA12" si="21">IF(AU8&gt;(AW8+AY8),"HIND","MINORITY")</f>
        <v>MINORITY</v>
      </c>
    </row>
    <row r="9" spans="1:53">
      <c r="A9" s="545"/>
      <c r="B9" s="550">
        <v>117</v>
      </c>
      <c r="C9" s="550">
        <v>1308</v>
      </c>
      <c r="D9" s="551">
        <v>390</v>
      </c>
      <c r="E9" s="552">
        <v>415</v>
      </c>
      <c r="F9" s="553">
        <v>7</v>
      </c>
      <c r="G9" s="551">
        <v>2</v>
      </c>
      <c r="H9" s="551">
        <v>1</v>
      </c>
      <c r="I9" s="552">
        <v>0</v>
      </c>
      <c r="J9" s="552">
        <v>1</v>
      </c>
      <c r="K9" s="552">
        <v>1</v>
      </c>
      <c r="L9" s="552">
        <v>817</v>
      </c>
      <c r="M9" s="552">
        <v>0</v>
      </c>
      <c r="N9" s="553">
        <v>9</v>
      </c>
      <c r="O9" s="551">
        <f t="shared" si="0"/>
        <v>826</v>
      </c>
      <c r="P9" s="551">
        <f t="shared" si="1"/>
        <v>63.1498470948012</v>
      </c>
      <c r="Q9" s="552">
        <f t="shared" si="2"/>
        <v>50.2421307506053</v>
      </c>
      <c r="R9" s="553">
        <f t="shared" si="3"/>
        <v>47.2154963680387</v>
      </c>
      <c r="S9" s="551">
        <f t="shared" si="4"/>
        <v>0.847457627118644</v>
      </c>
      <c r="T9" s="551">
        <f t="shared" si="5"/>
        <v>0.242130750605327</v>
      </c>
      <c r="U9" s="552">
        <f t="shared" si="6"/>
        <v>0.36319612590799</v>
      </c>
      <c r="V9" s="552">
        <f t="shared" si="7"/>
        <v>1.08958837772397</v>
      </c>
      <c r="W9" s="553">
        <f t="shared" si="8"/>
        <v>3.02663438256658</v>
      </c>
      <c r="X9" s="551">
        <f t="shared" si="9"/>
        <v>1.57384987893462</v>
      </c>
      <c r="Y9" s="552" t="str">
        <f t="shared" si="10"/>
        <v>NARROW</v>
      </c>
      <c r="Z9" s="283" t="str">
        <f t="shared" si="11"/>
        <v>STRONG</v>
      </c>
      <c r="AA9" s="289" t="str">
        <f t="shared" si="12"/>
        <v>BJP</v>
      </c>
      <c r="AB9">
        <v>1303</v>
      </c>
      <c r="AC9">
        <v>802</v>
      </c>
      <c r="AD9">
        <v>651</v>
      </c>
      <c r="AE9">
        <v>401</v>
      </c>
      <c r="AF9">
        <v>652</v>
      </c>
      <c r="AG9">
        <v>401</v>
      </c>
      <c r="AH9">
        <v>706</v>
      </c>
      <c r="AI9">
        <v>466</v>
      </c>
      <c r="AJ9">
        <v>587</v>
      </c>
      <c r="AK9">
        <v>331</v>
      </c>
      <c r="AL9">
        <v>10</v>
      </c>
      <c r="AM9">
        <v>5</v>
      </c>
      <c r="AN9" s="248">
        <f t="shared" si="13"/>
        <v>49.9616270145817</v>
      </c>
      <c r="AO9" s="316">
        <f t="shared" si="13"/>
        <v>50</v>
      </c>
      <c r="AP9" s="317">
        <f t="shared" si="14"/>
        <v>50.0383729854183</v>
      </c>
      <c r="AQ9" s="318">
        <f t="shared" si="14"/>
        <v>50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54.1826554105909</v>
      </c>
      <c r="AU9" s="317">
        <f t="shared" si="17"/>
        <v>58.1047381546135</v>
      </c>
      <c r="AV9" s="248">
        <f t="shared" si="18"/>
        <v>45.0498848810437</v>
      </c>
      <c r="AW9" s="317">
        <f t="shared" si="18"/>
        <v>41.2718204488778</v>
      </c>
      <c r="AX9" s="248">
        <f t="shared" si="19"/>
        <v>0.767459708365311</v>
      </c>
      <c r="AY9" s="317">
        <f t="shared" si="19"/>
        <v>0.623441396508728</v>
      </c>
      <c r="AZ9" s="248" t="str">
        <f t="shared" si="20"/>
        <v>HINDU</v>
      </c>
      <c r="BA9" s="318" t="str">
        <f t="shared" si="21"/>
        <v>HIND</v>
      </c>
    </row>
    <row r="10" spans="1:53">
      <c r="A10" s="545"/>
      <c r="B10" s="554">
        <v>118</v>
      </c>
      <c r="C10" s="554">
        <v>883</v>
      </c>
      <c r="D10" s="555">
        <v>493</v>
      </c>
      <c r="E10" s="556">
        <v>104</v>
      </c>
      <c r="F10" s="557">
        <v>3</v>
      </c>
      <c r="G10" s="555">
        <v>0</v>
      </c>
      <c r="H10" s="555">
        <v>0</v>
      </c>
      <c r="I10" s="556">
        <v>0</v>
      </c>
      <c r="J10" s="556">
        <v>1</v>
      </c>
      <c r="K10" s="556">
        <v>0</v>
      </c>
      <c r="L10" s="556">
        <v>601</v>
      </c>
      <c r="M10" s="556">
        <v>0</v>
      </c>
      <c r="N10" s="557">
        <v>5</v>
      </c>
      <c r="O10" s="555">
        <f t="shared" si="0"/>
        <v>606</v>
      </c>
      <c r="P10" s="555">
        <f t="shared" si="1"/>
        <v>68.6296715741789</v>
      </c>
      <c r="Q10" s="556">
        <f t="shared" si="2"/>
        <v>17.1617161716172</v>
      </c>
      <c r="R10" s="557">
        <f t="shared" si="3"/>
        <v>81.3531353135314</v>
      </c>
      <c r="S10" s="555">
        <f t="shared" si="4"/>
        <v>0.495049504950495</v>
      </c>
      <c r="T10" s="555">
        <f t="shared" si="5"/>
        <v>0</v>
      </c>
      <c r="U10" s="556">
        <f t="shared" si="6"/>
        <v>0.165016501650165</v>
      </c>
      <c r="V10" s="556">
        <f t="shared" si="7"/>
        <v>0.825082508250825</v>
      </c>
      <c r="W10" s="557">
        <f t="shared" si="8"/>
        <v>-64.1914191419142</v>
      </c>
      <c r="X10" s="555">
        <f t="shared" si="9"/>
        <v>-64.8514851485149</v>
      </c>
      <c r="Y10" s="556" t="str">
        <f t="shared" si="10"/>
        <v>LOST</v>
      </c>
      <c r="Z10" s="283" t="str">
        <f t="shared" si="11"/>
        <v>STRONG</v>
      </c>
      <c r="AA10" s="511" t="str">
        <f t="shared" si="12"/>
        <v>CONGRESS</v>
      </c>
      <c r="AB10">
        <v>877</v>
      </c>
      <c r="AC10">
        <v>456</v>
      </c>
      <c r="AD10">
        <v>464</v>
      </c>
      <c r="AE10">
        <v>244</v>
      </c>
      <c r="AF10">
        <v>413</v>
      </c>
      <c r="AG10">
        <v>212</v>
      </c>
      <c r="AH10">
        <v>116</v>
      </c>
      <c r="AI10">
        <v>71</v>
      </c>
      <c r="AJ10">
        <v>761</v>
      </c>
      <c r="AK10">
        <v>385</v>
      </c>
      <c r="AL10">
        <v>0</v>
      </c>
      <c r="AM10">
        <v>0</v>
      </c>
      <c r="AN10" s="248">
        <f t="shared" si="13"/>
        <v>52.9076396807298</v>
      </c>
      <c r="AO10" s="316">
        <f t="shared" si="13"/>
        <v>53.5087719298246</v>
      </c>
      <c r="AP10" s="317">
        <f t="shared" si="14"/>
        <v>47.0923603192702</v>
      </c>
      <c r="AQ10" s="318">
        <f t="shared" si="14"/>
        <v>46.4912280701754</v>
      </c>
      <c r="AR10" s="318" t="str">
        <f t="shared" si="15"/>
        <v>MALE DOM</v>
      </c>
      <c r="AS10" s="319" t="str">
        <f t="shared" si="16"/>
        <v>MALE</v>
      </c>
      <c r="AT10" s="317">
        <f t="shared" si="17"/>
        <v>13.2269099201824</v>
      </c>
      <c r="AU10" s="317">
        <f t="shared" si="17"/>
        <v>15.5701754385965</v>
      </c>
      <c r="AV10" s="248">
        <f t="shared" si="18"/>
        <v>86.7730900798176</v>
      </c>
      <c r="AW10" s="317">
        <f t="shared" si="18"/>
        <v>84.4298245614035</v>
      </c>
      <c r="AX10" s="248">
        <f t="shared" si="19"/>
        <v>0</v>
      </c>
      <c r="AY10" s="317">
        <f t="shared" si="19"/>
        <v>0</v>
      </c>
      <c r="AZ10" s="248" t="str">
        <f t="shared" si="20"/>
        <v>MINORITY</v>
      </c>
      <c r="BA10" s="318" t="str">
        <f t="shared" si="21"/>
        <v>MINORITY</v>
      </c>
    </row>
    <row r="11" spans="1:53">
      <c r="A11" s="545"/>
      <c r="B11" s="558">
        <v>112</v>
      </c>
      <c r="C11" s="558">
        <v>628</v>
      </c>
      <c r="D11" s="301">
        <v>41</v>
      </c>
      <c r="E11" s="559">
        <v>331</v>
      </c>
      <c r="F11" s="314">
        <v>0</v>
      </c>
      <c r="G11" s="301">
        <v>2</v>
      </c>
      <c r="H11" s="301">
        <v>0</v>
      </c>
      <c r="I11" s="559">
        <v>0</v>
      </c>
      <c r="J11" s="565">
        <v>1</v>
      </c>
      <c r="K11" s="559">
        <v>0</v>
      </c>
      <c r="L11" s="559">
        <v>375</v>
      </c>
      <c r="M11" s="559">
        <v>0</v>
      </c>
      <c r="N11" s="314">
        <v>4</v>
      </c>
      <c r="O11" s="301">
        <f t="shared" si="0"/>
        <v>379</v>
      </c>
      <c r="P11" s="301">
        <f t="shared" si="1"/>
        <v>60.3503184713376</v>
      </c>
      <c r="Q11" s="559">
        <f t="shared" si="2"/>
        <v>87.335092348285</v>
      </c>
      <c r="R11" s="314">
        <f t="shared" si="3"/>
        <v>10.8179419525066</v>
      </c>
      <c r="S11" s="301">
        <f t="shared" si="4"/>
        <v>0</v>
      </c>
      <c r="T11" s="301">
        <f t="shared" si="5"/>
        <v>0.527704485488127</v>
      </c>
      <c r="U11" s="559">
        <f t="shared" si="6"/>
        <v>0.263852242744063</v>
      </c>
      <c r="V11" s="559">
        <f t="shared" si="7"/>
        <v>1.05540897097625</v>
      </c>
      <c r="W11" s="314">
        <f t="shared" si="8"/>
        <v>76.5171503957784</v>
      </c>
      <c r="X11" s="301">
        <f t="shared" si="9"/>
        <v>75.7255936675462</v>
      </c>
      <c r="Y11" s="559" t="str">
        <f t="shared" si="10"/>
        <v>STRONG</v>
      </c>
      <c r="Z11" s="283" t="str">
        <f t="shared" si="11"/>
        <v>STRONG</v>
      </c>
      <c r="AA11" s="289" t="str">
        <f t="shared" si="12"/>
        <v>BJP</v>
      </c>
      <c r="AB11">
        <v>725</v>
      </c>
      <c r="AD11">
        <v>353</v>
      </c>
      <c r="AF11">
        <v>372</v>
      </c>
      <c r="AH11">
        <v>263</v>
      </c>
      <c r="AJ11">
        <v>421</v>
      </c>
      <c r="AL11">
        <v>41</v>
      </c>
      <c r="AN11" s="248">
        <f t="shared" si="13"/>
        <v>48.6896551724138</v>
      </c>
      <c r="AO11" s="316" t="e">
        <f t="shared" si="13"/>
        <v>#DIV/0!</v>
      </c>
      <c r="AP11" s="317">
        <f t="shared" si="14"/>
        <v>51.3103448275862</v>
      </c>
      <c r="AQ11" s="318" t="e">
        <f t="shared" si="14"/>
        <v>#DIV/0!</v>
      </c>
      <c r="AR11" s="318" t="str">
        <f t="shared" si="15"/>
        <v>FEMALE DOM</v>
      </c>
      <c r="AS11" s="319" t="e">
        <f t="shared" si="16"/>
        <v>#DIV/0!</v>
      </c>
      <c r="AT11" s="317">
        <f t="shared" si="17"/>
        <v>36.2758620689655</v>
      </c>
      <c r="AU11" s="317" t="e">
        <f t="shared" si="17"/>
        <v>#DIV/0!</v>
      </c>
      <c r="AV11" s="248">
        <f t="shared" si="18"/>
        <v>58.0689655172414</v>
      </c>
      <c r="AW11" s="317" t="e">
        <f t="shared" si="18"/>
        <v>#DIV/0!</v>
      </c>
      <c r="AX11" s="248">
        <f t="shared" si="19"/>
        <v>5.6551724137931</v>
      </c>
      <c r="AY11" s="317" t="e">
        <f t="shared" si="19"/>
        <v>#DIV/0!</v>
      </c>
      <c r="AZ11" s="248" t="str">
        <f t="shared" si="20"/>
        <v>MINORITY</v>
      </c>
      <c r="BA11" s="318" t="e">
        <f t="shared" si="21"/>
        <v>#DIV/0!</v>
      </c>
    </row>
    <row r="12" spans="1:53">
      <c r="A12" s="545"/>
      <c r="B12" s="555">
        <v>119</v>
      </c>
      <c r="C12" s="556">
        <v>1080</v>
      </c>
      <c r="D12" s="556">
        <v>627</v>
      </c>
      <c r="E12" s="555">
        <v>6</v>
      </c>
      <c r="F12" s="556">
        <v>7</v>
      </c>
      <c r="G12" s="556">
        <v>5</v>
      </c>
      <c r="H12" s="560">
        <v>0</v>
      </c>
      <c r="I12" s="556">
        <v>0</v>
      </c>
      <c r="J12" s="560">
        <v>1</v>
      </c>
      <c r="K12" s="556">
        <v>0</v>
      </c>
      <c r="L12" s="560">
        <v>646</v>
      </c>
      <c r="M12" s="560">
        <v>0</v>
      </c>
      <c r="N12" s="566">
        <v>8</v>
      </c>
      <c r="O12" s="567">
        <f t="shared" si="0"/>
        <v>654</v>
      </c>
      <c r="P12" s="567">
        <f t="shared" si="1"/>
        <v>60.5555555555556</v>
      </c>
      <c r="Q12" s="560">
        <f t="shared" si="2"/>
        <v>0.917431192660551</v>
      </c>
      <c r="R12" s="566">
        <f t="shared" si="3"/>
        <v>95.8715596330275</v>
      </c>
      <c r="S12" s="567">
        <f t="shared" si="4"/>
        <v>1.07033639143731</v>
      </c>
      <c r="T12" s="567">
        <f t="shared" si="5"/>
        <v>0.764525993883792</v>
      </c>
      <c r="U12" s="560">
        <f t="shared" si="6"/>
        <v>0.152905198776758</v>
      </c>
      <c r="V12" s="560">
        <f t="shared" si="7"/>
        <v>1.22324159021407</v>
      </c>
      <c r="W12" s="566">
        <f t="shared" si="8"/>
        <v>-94.954128440367</v>
      </c>
      <c r="X12" s="567">
        <f t="shared" si="9"/>
        <v>-96.9418960244649</v>
      </c>
      <c r="Y12" s="560" t="str">
        <f t="shared" si="10"/>
        <v>LOST</v>
      </c>
      <c r="Z12" s="283" t="str">
        <f t="shared" si="11"/>
        <v>STRONG</v>
      </c>
      <c r="AA12" s="511" t="str">
        <f t="shared" si="12"/>
        <v>CONGRESS</v>
      </c>
      <c r="AB12">
        <v>1071</v>
      </c>
      <c r="AC12">
        <v>648</v>
      </c>
      <c r="AD12">
        <v>541</v>
      </c>
      <c r="AE12">
        <v>320</v>
      </c>
      <c r="AF12">
        <v>530</v>
      </c>
      <c r="AG12">
        <v>328</v>
      </c>
      <c r="AH12">
        <v>4</v>
      </c>
      <c r="AI12">
        <v>2</v>
      </c>
      <c r="AJ12">
        <v>1067</v>
      </c>
      <c r="AK12">
        <v>646</v>
      </c>
      <c r="AL12">
        <v>0</v>
      </c>
      <c r="AM12">
        <v>0</v>
      </c>
      <c r="AN12" s="248">
        <f t="shared" si="13"/>
        <v>50.5135387488329</v>
      </c>
      <c r="AO12" s="316">
        <f t="shared" si="13"/>
        <v>49.3827160493827</v>
      </c>
      <c r="AP12" s="317">
        <f t="shared" si="14"/>
        <v>49.4864612511671</v>
      </c>
      <c r="AQ12" s="318">
        <f t="shared" si="14"/>
        <v>50.6172839506173</v>
      </c>
      <c r="AR12" s="318" t="str">
        <f t="shared" si="15"/>
        <v>MALE DOM</v>
      </c>
      <c r="AS12" s="319" t="str">
        <f t="shared" si="16"/>
        <v>FEMALE</v>
      </c>
      <c r="AT12" s="317">
        <f t="shared" si="17"/>
        <v>0.373482726423903</v>
      </c>
      <c r="AU12" s="317">
        <f t="shared" si="17"/>
        <v>0.308641975308642</v>
      </c>
      <c r="AV12" s="248">
        <f t="shared" si="18"/>
        <v>99.6265172735761</v>
      </c>
      <c r="AW12" s="317">
        <f t="shared" si="18"/>
        <v>99.6913580246914</v>
      </c>
      <c r="AX12" s="248">
        <f t="shared" si="19"/>
        <v>0</v>
      </c>
      <c r="AY12" s="317">
        <f t="shared" si="19"/>
        <v>0</v>
      </c>
      <c r="AZ12" s="248" t="str">
        <f t="shared" si="20"/>
        <v>MINORITY</v>
      </c>
      <c r="BA12" s="318" t="str">
        <f t="shared" si="21"/>
        <v>MINORITY</v>
      </c>
    </row>
    <row r="13" ht="21" spans="1:53">
      <c r="A13" s="545"/>
      <c r="B13" s="561"/>
      <c r="C13" s="562">
        <f t="shared" ref="C13:O13" si="22">SUM(C7:C12)</f>
        <v>5630</v>
      </c>
      <c r="D13" s="562">
        <f t="shared" si="22"/>
        <v>2329</v>
      </c>
      <c r="E13" s="563">
        <f t="shared" si="22"/>
        <v>1150</v>
      </c>
      <c r="F13" s="562">
        <f t="shared" si="22"/>
        <v>29</v>
      </c>
      <c r="G13" s="562">
        <f t="shared" si="22"/>
        <v>11</v>
      </c>
      <c r="H13" s="564">
        <f t="shared" si="22"/>
        <v>3</v>
      </c>
      <c r="I13" s="562">
        <f t="shared" si="22"/>
        <v>0</v>
      </c>
      <c r="J13" s="562">
        <f t="shared" si="22"/>
        <v>4</v>
      </c>
      <c r="K13" s="562">
        <f t="shared" si="22"/>
        <v>1</v>
      </c>
      <c r="L13" s="562">
        <f t="shared" si="22"/>
        <v>3526</v>
      </c>
      <c r="M13" s="562">
        <f t="shared" si="22"/>
        <v>0</v>
      </c>
      <c r="N13" s="568">
        <f t="shared" si="22"/>
        <v>35</v>
      </c>
      <c r="O13" s="563">
        <f t="shared" si="22"/>
        <v>3562</v>
      </c>
      <c r="P13" s="563">
        <f t="shared" ref="P13:V13" si="23">AVERAGE(P7:P12)</f>
        <v>63.300733532878</v>
      </c>
      <c r="Q13" s="562">
        <f t="shared" si="23"/>
        <v>36.0613209980647</v>
      </c>
      <c r="R13" s="568">
        <f t="shared" si="23"/>
        <v>61.7099163936062</v>
      </c>
      <c r="S13" s="563">
        <f t="shared" si="23"/>
        <v>0.726179901973619</v>
      </c>
      <c r="T13" s="563">
        <f t="shared" si="23"/>
        <v>0.318123067599443</v>
      </c>
      <c r="U13" s="562">
        <f t="shared" si="23"/>
        <v>0.219891207449731</v>
      </c>
      <c r="V13" s="562">
        <f t="shared" si="23"/>
        <v>0.964568431306351</v>
      </c>
      <c r="W13" s="568">
        <f t="shared" si="8"/>
        <v>-25.6485953955415</v>
      </c>
      <c r="X13" s="563">
        <f t="shared" si="9"/>
        <v>-26.9127895725643</v>
      </c>
      <c r="Y13" s="562" t="str">
        <f t="shared" si="10"/>
        <v>LOST</v>
      </c>
      <c r="Z13" s="283" t="str">
        <f t="shared" si="11"/>
        <v>STRONG</v>
      </c>
      <c r="AA13" s="511" t="str">
        <f t="shared" si="12"/>
        <v>CONGRESS</v>
      </c>
      <c r="AN13" s="569"/>
      <c r="AO13" s="570"/>
      <c r="AP13" s="317"/>
      <c r="AQ13" s="571"/>
      <c r="AR13" s="571"/>
      <c r="AS13" s="571"/>
      <c r="AT13" s="317"/>
      <c r="AU13" s="317"/>
      <c r="AV13" s="569"/>
      <c r="AW13" s="317"/>
      <c r="AX13" s="569"/>
      <c r="AY13" s="317"/>
      <c r="AZ13" s="569"/>
      <c r="BA13" s="571"/>
    </row>
    <row r="16" spans="4:24">
      <c r="D16" s="225" t="s">
        <v>205</v>
      </c>
      <c r="E16" s="237"/>
      <c r="F16" s="237"/>
      <c r="G16" s="238"/>
      <c r="I16" s="225" t="s">
        <v>97</v>
      </c>
      <c r="J16" s="237"/>
      <c r="K16" s="237"/>
      <c r="L16" s="238"/>
      <c r="Q16" s="265" t="s">
        <v>98</v>
      </c>
      <c r="R16" s="265"/>
      <c r="S16" s="265"/>
      <c r="T16" s="265"/>
      <c r="U16" s="265"/>
      <c r="V16" s="265"/>
      <c r="W16" s="265"/>
      <c r="X16" s="265"/>
    </row>
    <row r="17" spans="4:24">
      <c r="D17" s="226"/>
      <c r="E17" s="239"/>
      <c r="F17" s="239"/>
      <c r="G17" s="240"/>
      <c r="I17" s="241"/>
      <c r="J17" s="242"/>
      <c r="K17" s="242"/>
      <c r="L17" s="243"/>
      <c r="Q17" s="265"/>
      <c r="R17" s="265"/>
      <c r="S17" s="265"/>
      <c r="T17" s="265"/>
      <c r="U17" s="265"/>
      <c r="V17" s="265"/>
      <c r="W17" s="265"/>
      <c r="X17" s="265"/>
    </row>
    <row r="18" spans="4:24">
      <c r="D18" s="227" t="s">
        <v>99</v>
      </c>
      <c r="E18" s="244"/>
      <c r="F18" s="245"/>
      <c r="G18" s="245">
        <f>COUNTIF(AA7:AA12,"BJP")</f>
        <v>3</v>
      </c>
      <c r="I18" s="246" t="s">
        <v>100</v>
      </c>
      <c r="J18" s="247"/>
      <c r="K18" s="247"/>
      <c r="L18" s="248">
        <f>COUNTIF(Y7:Y12,"NARROW")</f>
        <v>2</v>
      </c>
      <c r="Q18" s="265" t="s">
        <v>101</v>
      </c>
      <c r="R18" s="265"/>
      <c r="S18" s="265"/>
      <c r="T18" s="265">
        <f>'BNDER-18'!E8</f>
        <v>43.832564018327</v>
      </c>
      <c r="U18" s="265" t="s">
        <v>102</v>
      </c>
      <c r="V18" s="265"/>
      <c r="W18" s="265"/>
      <c r="X18" s="265">
        <f>Q13</f>
        <v>36.0613209980647</v>
      </c>
    </row>
    <row r="19" spans="4:24">
      <c r="D19" s="227"/>
      <c r="E19" s="244"/>
      <c r="F19" s="245"/>
      <c r="G19" s="245"/>
      <c r="I19" s="249"/>
      <c r="J19" s="250"/>
      <c r="K19" s="250"/>
      <c r="L19" s="251"/>
      <c r="Q19" s="265"/>
      <c r="R19" s="265"/>
      <c r="S19" s="265"/>
      <c r="T19" s="265"/>
      <c r="U19" s="265"/>
      <c r="V19" s="265"/>
      <c r="W19" s="265"/>
      <c r="X19" s="265"/>
    </row>
    <row r="20" spans="4:24">
      <c r="D20" s="227"/>
      <c r="E20" s="244"/>
      <c r="F20" s="245"/>
      <c r="G20" s="245"/>
      <c r="I20" s="252" t="s">
        <v>103</v>
      </c>
      <c r="J20" s="253"/>
      <c r="K20" s="253"/>
      <c r="L20" s="248">
        <f>COUNTIF(Y7:Y12,"MEDIUM")</f>
        <v>0</v>
      </c>
      <c r="Q20" s="265" t="s">
        <v>104</v>
      </c>
      <c r="R20" s="265"/>
      <c r="S20" s="265"/>
      <c r="T20" s="265">
        <f>'BNDER-18'!G8</f>
        <v>52.3297813516063</v>
      </c>
      <c r="U20" s="265" t="s">
        <v>105</v>
      </c>
      <c r="V20" s="265"/>
      <c r="W20" s="265"/>
      <c r="X20" s="265">
        <f>R13</f>
        <v>61.7099163936062</v>
      </c>
    </row>
    <row r="21" spans="4:24">
      <c r="D21" s="228" t="s">
        <v>106</v>
      </c>
      <c r="E21" s="254"/>
      <c r="F21" s="255"/>
      <c r="G21" s="255">
        <f>COUNTIF(AA7:AA12,"CONGRESS")</f>
        <v>3</v>
      </c>
      <c r="I21" s="252"/>
      <c r="J21" s="253"/>
      <c r="K21" s="253"/>
      <c r="L21" s="251"/>
      <c r="Q21" s="265"/>
      <c r="R21" s="265"/>
      <c r="S21" s="265"/>
      <c r="T21" s="265"/>
      <c r="U21" s="265"/>
      <c r="V21" s="265"/>
      <c r="W21" s="265"/>
      <c r="X21" s="265"/>
    </row>
    <row r="22" spans="4:24">
      <c r="D22" s="229"/>
      <c r="E22" s="256"/>
      <c r="F22" s="257"/>
      <c r="G22" s="257"/>
      <c r="I22" s="258" t="s">
        <v>107</v>
      </c>
      <c r="J22" s="259"/>
      <c r="K22" s="259"/>
      <c r="L22" s="248">
        <f>COUNTIF(Y7:Y12,"STRONG")</f>
        <v>1</v>
      </c>
      <c r="Q22" s="265" t="s">
        <v>108</v>
      </c>
      <c r="R22" s="265"/>
      <c r="S22" s="265"/>
      <c r="T22" s="265">
        <f>'BNDER-18'!C8</f>
        <v>3530</v>
      </c>
      <c r="U22" s="265" t="s">
        <v>109</v>
      </c>
      <c r="V22" s="265"/>
      <c r="W22" s="265"/>
      <c r="X22" s="265">
        <f>O13</f>
        <v>3562</v>
      </c>
    </row>
    <row r="23" spans="4:24">
      <c r="D23" s="230"/>
      <c r="E23" s="260"/>
      <c r="F23" s="261"/>
      <c r="G23" s="261"/>
      <c r="I23" s="262"/>
      <c r="J23" s="263"/>
      <c r="K23" s="263"/>
      <c r="L23" s="251"/>
      <c r="Q23" s="265"/>
      <c r="R23" s="265"/>
      <c r="S23" s="265"/>
      <c r="T23" s="265"/>
      <c r="U23" s="265"/>
      <c r="V23" s="265"/>
      <c r="W23" s="265"/>
      <c r="X23" s="265"/>
    </row>
    <row r="24" spans="9:24">
      <c r="I24" s="229" t="s">
        <v>110</v>
      </c>
      <c r="J24" s="256"/>
      <c r="K24" s="256"/>
      <c r="L24" s="248">
        <f>COUNTIF(Y7:Y12,"LOST")</f>
        <v>3</v>
      </c>
      <c r="Q24" s="265" t="s">
        <v>111</v>
      </c>
      <c r="R24" s="265"/>
      <c r="S24" s="265"/>
      <c r="T24" s="265">
        <f>T18-T20</f>
        <v>-8.49721733327924</v>
      </c>
      <c r="U24" s="265" t="s">
        <v>111</v>
      </c>
      <c r="V24" s="265"/>
      <c r="W24" s="265"/>
      <c r="X24" s="265">
        <f>X18-X20</f>
        <v>-25.6485953955415</v>
      </c>
    </row>
    <row r="25" spans="9:24">
      <c r="I25" s="230"/>
      <c r="J25" s="260"/>
      <c r="K25" s="260"/>
      <c r="L25" s="251"/>
      <c r="Q25" s="265"/>
      <c r="R25" s="265"/>
      <c r="S25" s="265"/>
      <c r="T25" s="265"/>
      <c r="U25" s="265"/>
      <c r="V25" s="265"/>
      <c r="W25" s="265"/>
      <c r="X25" s="265"/>
    </row>
    <row r="26" spans="17:23">
      <c r="Q26" s="265" t="s">
        <v>112</v>
      </c>
      <c r="R26" s="265"/>
      <c r="S26" s="265"/>
      <c r="T26" s="265">
        <f>X18-T18</f>
        <v>-7.77124302026232</v>
      </c>
      <c r="U26" s="265"/>
      <c r="V26" s="265"/>
      <c r="W26" s="265"/>
    </row>
    <row r="27" spans="17:23">
      <c r="Q27" s="265"/>
      <c r="R27" s="265"/>
      <c r="S27" s="265"/>
      <c r="T27" s="265"/>
      <c r="U27" s="265"/>
      <c r="V27" s="265"/>
      <c r="W27" s="265"/>
    </row>
    <row r="28" spans="17:23">
      <c r="Q28" s="265" t="s">
        <v>113</v>
      </c>
      <c r="R28" s="265"/>
      <c r="S28" s="265"/>
      <c r="T28" s="265">
        <f>X20-T20</f>
        <v>9.38013504199991</v>
      </c>
      <c r="U28" s="265"/>
      <c r="V28" s="265"/>
      <c r="W28" s="265"/>
    </row>
    <row r="29" spans="17:23">
      <c r="Q29" s="265"/>
      <c r="R29" s="265"/>
      <c r="S29" s="265"/>
      <c r="T29" s="265"/>
      <c r="U29" s="265"/>
      <c r="V29" s="265"/>
      <c r="W29" s="265"/>
    </row>
    <row r="30" spans="17:23">
      <c r="Q30" s="265" t="s">
        <v>114</v>
      </c>
      <c r="R30" s="265"/>
      <c r="S30" s="265"/>
      <c r="T30" s="265" t="str">
        <f>IF(T26&gt;T28,"INCREASE","DECREASE")</f>
        <v>DECREASE</v>
      </c>
      <c r="U30" s="265"/>
      <c r="V30" s="265"/>
      <c r="W30" s="265"/>
    </row>
    <row r="31" spans="17:23">
      <c r="Q31" s="265"/>
      <c r="R31" s="265"/>
      <c r="S31" s="265"/>
      <c r="T31" s="265"/>
      <c r="U31" s="265"/>
      <c r="V31" s="265"/>
      <c r="W31" s="265"/>
    </row>
    <row r="32" spans="17:24">
      <c r="Q32" s="265" t="s">
        <v>193</v>
      </c>
      <c r="R32" s="265"/>
      <c r="S32" s="265"/>
      <c r="T32" s="265"/>
      <c r="U32" s="265"/>
      <c r="V32" s="265"/>
      <c r="W32" s="265"/>
      <c r="X32" s="265"/>
    </row>
    <row r="33" spans="17:24">
      <c r="Q33" s="265"/>
      <c r="R33" s="265"/>
      <c r="S33" s="265"/>
      <c r="T33" s="265"/>
      <c r="U33" s="265"/>
      <c r="V33" s="265"/>
      <c r="W33" s="265"/>
      <c r="X33" s="265"/>
    </row>
    <row r="34" spans="17:24">
      <c r="Q34" s="265"/>
      <c r="R34" s="265"/>
      <c r="S34" s="265"/>
      <c r="T34" s="265"/>
      <c r="U34" s="265"/>
      <c r="V34" s="265"/>
      <c r="W34" s="265"/>
      <c r="X34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G18:G20"/>
    <mergeCell ref="G21:G23"/>
    <mergeCell ref="H3:H6"/>
    <mergeCell ref="I3:I6"/>
    <mergeCell ref="J3:J6"/>
    <mergeCell ref="K3:K6"/>
    <mergeCell ref="L1:L6"/>
    <mergeCell ref="L18:L19"/>
    <mergeCell ref="L20:L21"/>
    <mergeCell ref="L22:L23"/>
    <mergeCell ref="L24:L25"/>
    <mergeCell ref="M1:M6"/>
    <mergeCell ref="N1:N6"/>
    <mergeCell ref="O1:O6"/>
    <mergeCell ref="P1:P6"/>
    <mergeCell ref="Q1:Q6"/>
    <mergeCell ref="R1:R6"/>
    <mergeCell ref="S1:S6"/>
    <mergeCell ref="T1:T6"/>
    <mergeCell ref="T18:T19"/>
    <mergeCell ref="T20:T21"/>
    <mergeCell ref="T22:T23"/>
    <mergeCell ref="T24:T25"/>
    <mergeCell ref="U1:U6"/>
    <mergeCell ref="V1:V6"/>
    <mergeCell ref="W1:W6"/>
    <mergeCell ref="X1:X6"/>
    <mergeCell ref="X18:X19"/>
    <mergeCell ref="X20:X21"/>
    <mergeCell ref="X22:X23"/>
    <mergeCell ref="X24:X25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I24:K25"/>
    <mergeCell ref="U24:W25"/>
    <mergeCell ref="D16:G17"/>
    <mergeCell ref="I16:L17"/>
    <mergeCell ref="D18:F20"/>
    <mergeCell ref="I18:K19"/>
    <mergeCell ref="U18:W19"/>
    <mergeCell ref="I20:K21"/>
    <mergeCell ref="U20:W21"/>
    <mergeCell ref="D21:F23"/>
    <mergeCell ref="I22:K23"/>
    <mergeCell ref="U22:W23"/>
    <mergeCell ref="Q16:X17"/>
    <mergeCell ref="Q18:S19"/>
    <mergeCell ref="Q20:S21"/>
    <mergeCell ref="Q22:S23"/>
    <mergeCell ref="Q32:X34"/>
    <mergeCell ref="Q28:S29"/>
    <mergeCell ref="T28:W29"/>
    <mergeCell ref="Q30:S31"/>
    <mergeCell ref="T30:U31"/>
    <mergeCell ref="V30:W31"/>
    <mergeCell ref="Q24:S25"/>
    <mergeCell ref="Q26:S27"/>
    <mergeCell ref="T26:W27"/>
  </mergeCells>
  <conditionalFormatting sqref="AR7:AR13">
    <cfRule type="containsText" dxfId="6" priority="1" operator="between" text="FEMALE DOM">
      <formula>NOT(ISERROR(SEARCH("FEMALE DOM",AR7)))</formula>
    </cfRule>
  </conditionalFormatting>
  <conditionalFormatting sqref="AZ7:AZ13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3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workbookViewId="0">
      <selection activeCell="A1" sqref="A1:AJ1"/>
    </sheetView>
  </sheetViews>
  <sheetFormatPr defaultColWidth="9" defaultRowHeight="14.5" outlineLevelRow="7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106</v>
      </c>
      <c r="B2" s="185" t="s">
        <v>216</v>
      </c>
      <c r="C2" s="184">
        <v>885</v>
      </c>
      <c r="D2" s="184">
        <v>422</v>
      </c>
      <c r="E2" s="184">
        <f t="shared" ref="E2:E7" si="0">(D2/C2)*100</f>
        <v>47.683615819209</v>
      </c>
      <c r="F2" s="184">
        <v>411</v>
      </c>
      <c r="G2" s="184">
        <f t="shared" ref="G2:G7" si="1">(F2/C2)*100</f>
        <v>46.4406779661017</v>
      </c>
      <c r="H2" s="184">
        <v>16</v>
      </c>
      <c r="I2" s="184">
        <f t="shared" ref="I2:I7" si="2">(H2/C2)*100</f>
        <v>1.80790960451977</v>
      </c>
      <c r="J2" s="184">
        <v>4</v>
      </c>
      <c r="K2" s="184">
        <f t="shared" ref="K2:K7" si="3">(J2/C2)*100</f>
        <v>0.451977401129944</v>
      </c>
      <c r="L2" s="189">
        <v>691</v>
      </c>
      <c r="M2" s="189">
        <v>678</v>
      </c>
      <c r="N2" s="189">
        <f t="shared" ref="N2:N7" si="4">L2+M2</f>
        <v>1369</v>
      </c>
      <c r="O2" s="184">
        <v>885</v>
      </c>
      <c r="P2" s="190">
        <f t="shared" ref="P2:P7" si="5">O2/N2*100</f>
        <v>64.645726807889</v>
      </c>
      <c r="Q2" s="184">
        <f>1369-596</f>
        <v>773</v>
      </c>
      <c r="R2" s="184">
        <f t="shared" ref="R2:R7" si="6">(Q2/N2)*100</f>
        <v>56.4645726807889</v>
      </c>
      <c r="S2" s="184">
        <f t="shared" ref="S2:S7" si="7">Q2-U2</f>
        <v>277</v>
      </c>
      <c r="T2" s="184">
        <f t="shared" ref="T2:T7" si="8">(S2/Q2)*100</f>
        <v>35.8344113842173</v>
      </c>
      <c r="U2" s="184">
        <f>885-389</f>
        <v>496</v>
      </c>
      <c r="V2" s="191">
        <f t="shared" ref="V2:V7" si="9">IFERROR(U2/Q2*100,0)</f>
        <v>64.1655886157827</v>
      </c>
      <c r="W2" s="184">
        <v>596</v>
      </c>
      <c r="X2" s="184">
        <f t="shared" ref="X2:X7" si="10">100-R2</f>
        <v>43.5354273192111</v>
      </c>
      <c r="Y2" s="196">
        <f t="shared" ref="Y2:Y7" si="11">W2-AA2</f>
        <v>207</v>
      </c>
      <c r="Z2" s="193">
        <f t="shared" ref="Z2:Z7" si="12">(Y2/W2)*100</f>
        <v>34.7315436241611</v>
      </c>
      <c r="AA2" s="193">
        <v>389</v>
      </c>
      <c r="AB2" s="194">
        <f t="shared" ref="AB2:AB7" si="13">IFERROR(AA2/W2*100,0)</f>
        <v>65.2684563758389</v>
      </c>
      <c r="AC2" s="193">
        <f t="shared" ref="AC2:AC7" si="14">U2+AA2</f>
        <v>885</v>
      </c>
      <c r="AD2" s="193" t="str">
        <f t="shared" ref="AD2:AD5" si="15">IF(P2&gt;80,"EXCELLENT",IF(P2&gt;70,"STRONG",IF(P2&gt;60,"AVG",IF(P2&gt;50,"WEAK",IF(P2&lt;50,"VLOW")))))</f>
        <v>AVG</v>
      </c>
      <c r="AE2" s="195" t="str">
        <f t="shared" ref="AE2:AE5" si="16">IF(R2&gt;80,"EXCELLENT",IF(R2&gt;70,"STRONG",IF(R2&gt;60,"AVG",IF(R2&gt;50,"WEAK",IF(R2&lt;50,"VLOW")))))</f>
        <v>WEAK</v>
      </c>
      <c r="AF2" s="193" t="str">
        <f t="shared" ref="AF2:AF5" si="17">IF(X2&gt;80,"EXCELLENT",IF(X2&gt;70,"STRONG",IF(X2&gt;60,"AVG",IF(X2&gt;50,"WEAK",IF(X2&lt;50,"VLOW")))))</f>
        <v>VLOW</v>
      </c>
      <c r="AG2" s="193" t="str">
        <f t="shared" ref="AG2:AG5" si="18">IF(M2&gt;L2,"FEMALE DOM","MEN")</f>
        <v>MEN</v>
      </c>
      <c r="AH2" s="193" t="str">
        <f t="shared" ref="AH2:AH5" si="19">IF(T2&gt;Z2,"H","O")</f>
        <v>H</v>
      </c>
      <c r="AI2" s="197">
        <f>E2-G2</f>
        <v>1.24293785310734</v>
      </c>
      <c r="AJ2" s="199" t="str">
        <f t="shared" ref="AJ2:AJ5" si="20">IF(E2&gt;G2,"BJP GAIN","CONGRESSGAIN")</f>
        <v>BJP GAIN</v>
      </c>
    </row>
    <row r="3" spans="1:36">
      <c r="A3" s="184">
        <v>107</v>
      </c>
      <c r="B3" s="185" t="s">
        <v>217</v>
      </c>
      <c r="C3" s="184">
        <v>632</v>
      </c>
      <c r="D3" s="184">
        <v>129</v>
      </c>
      <c r="E3" s="184">
        <f t="shared" si="0"/>
        <v>20.4113924050633</v>
      </c>
      <c r="F3" s="184">
        <v>486</v>
      </c>
      <c r="G3" s="184">
        <f t="shared" si="1"/>
        <v>76.8987341772152</v>
      </c>
      <c r="H3" s="184">
        <v>8</v>
      </c>
      <c r="I3" s="184">
        <f t="shared" si="2"/>
        <v>1.26582278481013</v>
      </c>
      <c r="J3" s="184">
        <v>5</v>
      </c>
      <c r="K3" s="184">
        <f t="shared" si="3"/>
        <v>0.791139240506329</v>
      </c>
      <c r="L3" s="189">
        <v>440</v>
      </c>
      <c r="M3" s="189">
        <v>404</v>
      </c>
      <c r="N3" s="189">
        <f t="shared" si="4"/>
        <v>844</v>
      </c>
      <c r="O3" s="184">
        <v>632</v>
      </c>
      <c r="P3" s="190">
        <f t="shared" si="5"/>
        <v>74.8815165876777</v>
      </c>
      <c r="Q3" s="184">
        <f>844-510</f>
        <v>334</v>
      </c>
      <c r="R3" s="184">
        <f t="shared" si="6"/>
        <v>39.5734597156398</v>
      </c>
      <c r="S3" s="192">
        <f t="shared" si="7"/>
        <v>212</v>
      </c>
      <c r="T3" s="184">
        <f t="shared" si="8"/>
        <v>63.4730538922156</v>
      </c>
      <c r="U3" s="184">
        <f>632-510</f>
        <v>122</v>
      </c>
      <c r="V3" s="191">
        <f t="shared" si="9"/>
        <v>36.5269461077844</v>
      </c>
      <c r="W3" s="184">
        <v>705</v>
      </c>
      <c r="X3" s="184">
        <f t="shared" si="10"/>
        <v>60.4265402843602</v>
      </c>
      <c r="Y3" s="184">
        <f t="shared" si="11"/>
        <v>195</v>
      </c>
      <c r="Z3" s="193">
        <f t="shared" si="12"/>
        <v>27.6595744680851</v>
      </c>
      <c r="AA3" s="193">
        <v>510</v>
      </c>
      <c r="AB3" s="194">
        <f t="shared" si="13"/>
        <v>72.3404255319149</v>
      </c>
      <c r="AC3" s="193">
        <f t="shared" si="14"/>
        <v>632</v>
      </c>
      <c r="AD3" s="193" t="str">
        <f t="shared" si="15"/>
        <v>STRONG</v>
      </c>
      <c r="AE3" s="195" t="str">
        <f t="shared" si="16"/>
        <v>VLOW</v>
      </c>
      <c r="AF3" s="193" t="str">
        <f t="shared" si="17"/>
        <v>AVG</v>
      </c>
      <c r="AG3" s="193" t="str">
        <f t="shared" si="18"/>
        <v>MEN</v>
      </c>
      <c r="AH3" s="193" t="str">
        <f t="shared" si="19"/>
        <v>H</v>
      </c>
      <c r="AI3" s="197">
        <f>G3-E3</f>
        <v>56.4873417721519</v>
      </c>
      <c r="AJ3" s="198" t="str">
        <f t="shared" si="20"/>
        <v>CONGRESSGAIN</v>
      </c>
    </row>
    <row r="4" spans="1:36">
      <c r="A4" s="184">
        <v>108</v>
      </c>
      <c r="B4" s="185" t="s">
        <v>218</v>
      </c>
      <c r="C4" s="184">
        <v>713</v>
      </c>
      <c r="D4" s="184">
        <v>37</v>
      </c>
      <c r="E4" s="184">
        <f t="shared" si="0"/>
        <v>5.18934081346424</v>
      </c>
      <c r="F4" s="184">
        <v>648</v>
      </c>
      <c r="G4" s="184">
        <f t="shared" si="1"/>
        <v>90.8835904628331</v>
      </c>
      <c r="H4" s="184">
        <v>9</v>
      </c>
      <c r="I4" s="184">
        <f t="shared" si="2"/>
        <v>1.26227208976157</v>
      </c>
      <c r="J4" s="184">
        <v>9</v>
      </c>
      <c r="K4" s="184">
        <f t="shared" si="3"/>
        <v>1.26227208976157</v>
      </c>
      <c r="L4" s="189">
        <v>572</v>
      </c>
      <c r="M4" s="189">
        <v>556</v>
      </c>
      <c r="N4" s="189">
        <f t="shared" si="4"/>
        <v>1128</v>
      </c>
      <c r="O4" s="184">
        <v>713</v>
      </c>
      <c r="P4" s="190">
        <f t="shared" si="5"/>
        <v>63.209219858156</v>
      </c>
      <c r="Q4" s="184">
        <f>1128-1105</f>
        <v>23</v>
      </c>
      <c r="R4" s="184">
        <f t="shared" si="6"/>
        <v>2.03900709219858</v>
      </c>
      <c r="S4" s="184">
        <f t="shared" si="7"/>
        <v>8</v>
      </c>
      <c r="T4" s="184">
        <f t="shared" si="8"/>
        <v>34.7826086956522</v>
      </c>
      <c r="U4" s="184">
        <f>713-698</f>
        <v>15</v>
      </c>
      <c r="V4" s="191">
        <f t="shared" si="9"/>
        <v>65.2173913043478</v>
      </c>
      <c r="W4" s="184">
        <v>1105</v>
      </c>
      <c r="X4" s="184">
        <f t="shared" si="10"/>
        <v>97.9609929078014</v>
      </c>
      <c r="Y4" s="184">
        <f t="shared" si="11"/>
        <v>407</v>
      </c>
      <c r="Z4" s="193">
        <f t="shared" si="12"/>
        <v>36.8325791855204</v>
      </c>
      <c r="AA4" s="193">
        <v>698</v>
      </c>
      <c r="AB4" s="194">
        <f t="shared" si="13"/>
        <v>63.1674208144796</v>
      </c>
      <c r="AC4" s="193">
        <f t="shared" si="14"/>
        <v>713</v>
      </c>
      <c r="AD4" s="193" t="str">
        <f t="shared" si="15"/>
        <v>AVG</v>
      </c>
      <c r="AE4" s="195" t="str">
        <f t="shared" si="16"/>
        <v>VLOW</v>
      </c>
      <c r="AF4" s="193" t="str">
        <f t="shared" si="17"/>
        <v>EXCELLENT</v>
      </c>
      <c r="AG4" s="193" t="str">
        <f t="shared" si="18"/>
        <v>MEN</v>
      </c>
      <c r="AH4" s="193" t="str">
        <f t="shared" si="19"/>
        <v>O</v>
      </c>
      <c r="AI4" s="197">
        <f>G4-E4</f>
        <v>85.6942496493689</v>
      </c>
      <c r="AJ4" s="198" t="str">
        <f t="shared" si="20"/>
        <v>CONGRESSGAIN</v>
      </c>
    </row>
    <row r="5" spans="1:36">
      <c r="A5" s="184">
        <v>109</v>
      </c>
      <c r="B5" s="185" t="s">
        <v>219</v>
      </c>
      <c r="C5" s="184">
        <v>430</v>
      </c>
      <c r="D5" s="184">
        <v>238</v>
      </c>
      <c r="E5" s="184">
        <f t="shared" si="0"/>
        <v>55.3488372093023</v>
      </c>
      <c r="F5" s="184">
        <v>185</v>
      </c>
      <c r="G5" s="184">
        <f t="shared" si="1"/>
        <v>43.0232558139535</v>
      </c>
      <c r="H5" s="184">
        <v>2</v>
      </c>
      <c r="I5" s="184">
        <f t="shared" si="2"/>
        <v>0.465116279069767</v>
      </c>
      <c r="J5" s="184">
        <v>1</v>
      </c>
      <c r="K5" s="184">
        <f t="shared" si="3"/>
        <v>0.232558139534884</v>
      </c>
      <c r="L5" s="189">
        <v>379</v>
      </c>
      <c r="M5" s="189">
        <v>347</v>
      </c>
      <c r="N5" s="189">
        <f t="shared" si="4"/>
        <v>726</v>
      </c>
      <c r="O5" s="184">
        <v>430</v>
      </c>
      <c r="P5" s="190">
        <f t="shared" si="5"/>
        <v>59.228650137741</v>
      </c>
      <c r="Q5" s="184">
        <v>448</v>
      </c>
      <c r="R5" s="184">
        <f t="shared" si="6"/>
        <v>61.7079889807163</v>
      </c>
      <c r="S5" s="184">
        <f t="shared" si="7"/>
        <v>195</v>
      </c>
      <c r="T5" s="184">
        <f t="shared" si="8"/>
        <v>43.5267857142857</v>
      </c>
      <c r="U5" s="184">
        <v>253</v>
      </c>
      <c r="V5" s="191">
        <f t="shared" si="9"/>
        <v>56.4732142857143</v>
      </c>
      <c r="W5" s="184">
        <f>726-448</f>
        <v>278</v>
      </c>
      <c r="X5" s="184">
        <f t="shared" si="10"/>
        <v>38.2920110192837</v>
      </c>
      <c r="Y5" s="196">
        <f t="shared" si="11"/>
        <v>101</v>
      </c>
      <c r="Z5" s="193">
        <f t="shared" si="12"/>
        <v>36.3309352517986</v>
      </c>
      <c r="AA5" s="193">
        <v>177</v>
      </c>
      <c r="AB5" s="194">
        <f t="shared" si="13"/>
        <v>63.6690647482014</v>
      </c>
      <c r="AC5" s="193">
        <f t="shared" si="14"/>
        <v>430</v>
      </c>
      <c r="AD5" s="193" t="str">
        <f t="shared" si="15"/>
        <v>WEAK</v>
      </c>
      <c r="AE5" s="195" t="str">
        <f t="shared" si="16"/>
        <v>AVG</v>
      </c>
      <c r="AF5" s="193" t="str">
        <f t="shared" si="17"/>
        <v>VLOW</v>
      </c>
      <c r="AG5" s="193" t="str">
        <f t="shared" si="18"/>
        <v>MEN</v>
      </c>
      <c r="AH5" s="193" t="str">
        <f t="shared" si="19"/>
        <v>H</v>
      </c>
      <c r="AI5" s="197">
        <f t="shared" ref="AI5" si="21">E5-G5</f>
        <v>12.3255813953488</v>
      </c>
      <c r="AJ5" s="199" t="str">
        <f t="shared" si="20"/>
        <v>BJP GAIN</v>
      </c>
    </row>
    <row r="6" spans="1:29">
      <c r="A6" s="184">
        <v>101</v>
      </c>
      <c r="B6" s="185" t="s">
        <v>220</v>
      </c>
      <c r="C6" s="184">
        <v>403</v>
      </c>
      <c r="D6" s="184">
        <v>343</v>
      </c>
      <c r="E6" s="184">
        <f t="shared" si="0"/>
        <v>85.1116625310174</v>
      </c>
      <c r="F6" s="184">
        <v>50</v>
      </c>
      <c r="G6" s="184">
        <f t="shared" si="1"/>
        <v>12.4069478908189</v>
      </c>
      <c r="H6" s="184">
        <v>0</v>
      </c>
      <c r="I6" s="184">
        <f t="shared" si="2"/>
        <v>0</v>
      </c>
      <c r="J6" s="184">
        <v>2</v>
      </c>
      <c r="K6" s="184">
        <f t="shared" si="3"/>
        <v>0.496277915632754</v>
      </c>
      <c r="L6" s="189">
        <v>296</v>
      </c>
      <c r="M6" s="189">
        <v>285</v>
      </c>
      <c r="N6" s="189">
        <f t="shared" si="4"/>
        <v>581</v>
      </c>
      <c r="O6" s="184">
        <v>403</v>
      </c>
      <c r="P6" s="190">
        <f t="shared" si="5"/>
        <v>69.3631669535284</v>
      </c>
      <c r="Q6" s="184">
        <v>579</v>
      </c>
      <c r="R6" s="184">
        <f t="shared" si="6"/>
        <v>99.6557659208262</v>
      </c>
      <c r="S6" s="184">
        <f t="shared" si="7"/>
        <v>176</v>
      </c>
      <c r="T6" s="184">
        <f t="shared" si="8"/>
        <v>30.3972366148532</v>
      </c>
      <c r="U6" s="184">
        <v>403</v>
      </c>
      <c r="V6" s="191">
        <f t="shared" si="9"/>
        <v>69.6027633851468</v>
      </c>
      <c r="W6" s="184">
        <v>0</v>
      </c>
      <c r="X6" s="184">
        <f t="shared" si="10"/>
        <v>0.34423407917383</v>
      </c>
      <c r="Y6" s="184">
        <f t="shared" si="11"/>
        <v>0</v>
      </c>
      <c r="Z6" s="193" t="e">
        <f t="shared" si="12"/>
        <v>#DIV/0!</v>
      </c>
      <c r="AA6" s="193">
        <v>0</v>
      </c>
      <c r="AB6" s="194">
        <f t="shared" si="13"/>
        <v>0</v>
      </c>
      <c r="AC6" s="193">
        <f t="shared" si="14"/>
        <v>403</v>
      </c>
    </row>
    <row r="7" spans="1:29">
      <c r="A7" s="184">
        <v>104</v>
      </c>
      <c r="B7" s="185" t="s">
        <v>221</v>
      </c>
      <c r="C7" s="184">
        <v>467</v>
      </c>
      <c r="D7" s="184">
        <v>230</v>
      </c>
      <c r="E7" s="184">
        <f t="shared" si="0"/>
        <v>49.2505353319058</v>
      </c>
      <c r="F7" s="184">
        <v>207</v>
      </c>
      <c r="G7" s="184">
        <f t="shared" si="1"/>
        <v>44.3254817987152</v>
      </c>
      <c r="H7" s="184">
        <v>6</v>
      </c>
      <c r="I7" s="184">
        <f t="shared" si="2"/>
        <v>1.2847965738758</v>
      </c>
      <c r="J7" s="184">
        <v>6</v>
      </c>
      <c r="K7" s="184">
        <f t="shared" si="3"/>
        <v>1.2847965738758</v>
      </c>
      <c r="L7" s="189">
        <v>357</v>
      </c>
      <c r="M7" s="189">
        <v>333</v>
      </c>
      <c r="N7" s="189">
        <f t="shared" si="4"/>
        <v>690</v>
      </c>
      <c r="O7" s="184">
        <v>467</v>
      </c>
      <c r="P7" s="190">
        <f t="shared" si="5"/>
        <v>67.6811594202899</v>
      </c>
      <c r="Q7" s="184">
        <f>690-293</f>
        <v>397</v>
      </c>
      <c r="R7" s="184">
        <f t="shared" si="6"/>
        <v>57.536231884058</v>
      </c>
      <c r="S7" s="184">
        <f t="shared" si="7"/>
        <v>109</v>
      </c>
      <c r="T7" s="184">
        <f t="shared" si="8"/>
        <v>27.455919395466</v>
      </c>
      <c r="U7" s="184">
        <f>467-179</f>
        <v>288</v>
      </c>
      <c r="V7" s="191">
        <f t="shared" si="9"/>
        <v>72.544080604534</v>
      </c>
      <c r="W7" s="184">
        <v>293</v>
      </c>
      <c r="X7" s="184">
        <f t="shared" si="10"/>
        <v>42.463768115942</v>
      </c>
      <c r="Y7" s="184">
        <f t="shared" si="11"/>
        <v>114</v>
      </c>
      <c r="Z7" s="193">
        <f t="shared" si="12"/>
        <v>38.9078498293515</v>
      </c>
      <c r="AA7" s="193">
        <v>179</v>
      </c>
      <c r="AB7" s="194">
        <f t="shared" si="13"/>
        <v>61.0921501706485</v>
      </c>
      <c r="AC7" s="193">
        <f t="shared" si="14"/>
        <v>467</v>
      </c>
    </row>
    <row r="8" spans="3:11">
      <c r="C8">
        <f>SUM(C2:C7)</f>
        <v>3530</v>
      </c>
      <c r="D8">
        <f>SUM(D2:D7)</f>
        <v>1399</v>
      </c>
      <c r="E8" s="186">
        <f>AVERAGE(E2:E7)</f>
        <v>43.832564018327</v>
      </c>
      <c r="F8">
        <f>SUM(F2:F7)</f>
        <v>1987</v>
      </c>
      <c r="G8" s="186">
        <f>AVERAGE(G2:G7)</f>
        <v>52.3297813516063</v>
      </c>
      <c r="H8">
        <f>SUM(H2:H7)</f>
        <v>41</v>
      </c>
      <c r="I8" s="186">
        <f>AVERAGE(I2:I7)</f>
        <v>1.01431955533951</v>
      </c>
      <c r="J8">
        <f>SUM(J2:J7)</f>
        <v>27</v>
      </c>
      <c r="K8" s="186">
        <f>AVERAGE(K2:K7)</f>
        <v>0.753170226740214</v>
      </c>
    </row>
  </sheetData>
  <conditionalFormatting sqref="AD2:AD5">
    <cfRule type="containsText" dxfId="8" priority="15" operator="between" text="AVG">
      <formula>NOT(ISERROR(SEARCH("AVG",AD2)))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NOT(ISERROR(SEARCH("VSTRONG",AD2)))</formula>
    </cfRule>
    <cfRule type="containsText" dxfId="10" priority="5" operator="between" text="AVG">
      <formula>NOT(ISERROR(SEARCH("AVG",AD2)))</formula>
    </cfRule>
  </conditionalFormatting>
  <conditionalFormatting sqref="AE2:AE5">
    <cfRule type="containsText" dxfId="3" priority="9" operator="between" text="STRONG">
      <formula>NOT(ISERROR(SEARCH("STRONG",AE2)))</formula>
    </cfRule>
    <cfRule type="containsText" dxfId="1" priority="7" operator="between" text="VSTRONG">
      <formula>NOT(ISERROR(SEARCH("VSTRONG",AE2)))</formula>
    </cfRule>
  </conditionalFormatting>
  <conditionalFormatting sqref="AF2:AF5">
    <cfRule type="cellIs" dxfId="11" priority="3" operator="equal">
      <formula>"VWEAK"</formula>
    </cfRule>
    <cfRule type="containsText" dxfId="0" priority="2" operator="between" text="VSTRONG">
      <formula>NOT(ISERROR(SEARCH("VSTRONG",AF2)))</formula>
    </cfRule>
  </conditionalFormatting>
  <conditionalFormatting sqref="AG2:AG5">
    <cfRule type="containsText" dxfId="12" priority="6" operator="between" text="FEMALE DOM">
      <formula>NOT(ISERROR(SEARCH("FEMALE DOM",AG2)))</formula>
    </cfRule>
    <cfRule type="containsText" dxfId="10" priority="1" operator="between" text="MEN">
      <formula>NOT(ISERROR(SEARCH("MEN",AG2)))</formula>
    </cfRule>
  </conditionalFormatting>
  <conditionalFormatting sqref="AH2:AH5">
    <cfRule type="containsText" dxfId="0" priority="12" operator="between" text="O">
      <formula>NOT(ISERROR(SEARCH("O",AH2)))</formula>
    </cfRule>
    <cfRule type="containsText" dxfId="3" priority="10" operator="between" text="H">
      <formula>NOT(ISERROR(SEARCH("H",AH2)))</formula>
    </cfRule>
    <cfRule type="containsText" dxfId="13" priority="11" operator="between" text="H">
      <formula>NOT(ISERROR(SEARCH("H",AH2)))</formula>
    </cfRule>
    <cfRule type="containsText" dxfId="1" priority="4" operator="between" text="H">
      <formula>NOT(ISERROR(SEARCH("H",AH2)))</formula>
    </cfRule>
  </conditionalFormatting>
  <conditionalFormatting sqref="AE2:AF5">
    <cfRule type="containsText" dxfId="2" priority="8" operator="between" text="AVG">
      <formula>NOT(ISERROR(SEARCH("AVG",AE2)))</formula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4"/>
  <sheetViews>
    <sheetView workbookViewId="0">
      <selection activeCell="AB1" sqref="AB1:BA6"/>
    </sheetView>
  </sheetViews>
  <sheetFormatPr defaultColWidth="9" defaultRowHeight="14.5"/>
  <cols>
    <col min="25" max="25" width="12.7090909090909" customWidth="1"/>
    <col min="26" max="26" width="15.1363636363636" customWidth="1"/>
  </cols>
  <sheetData>
    <row r="1" spans="1:53">
      <c r="A1" s="268" t="s">
        <v>16</v>
      </c>
      <c r="B1" s="225" t="s">
        <v>177</v>
      </c>
      <c r="C1" s="268" t="s">
        <v>15</v>
      </c>
      <c r="D1" s="513" t="s">
        <v>1</v>
      </c>
      <c r="E1" s="513"/>
      <c r="F1" s="513"/>
      <c r="G1" s="513"/>
      <c r="H1" s="513"/>
      <c r="I1" s="513"/>
      <c r="J1" s="513"/>
      <c r="K1" s="513"/>
      <c r="L1" s="268" t="s">
        <v>2</v>
      </c>
      <c r="M1" s="513" t="s">
        <v>3</v>
      </c>
      <c r="N1" s="268" t="s">
        <v>4</v>
      </c>
      <c r="O1" s="513" t="s">
        <v>5</v>
      </c>
      <c r="P1" s="268" t="s">
        <v>17</v>
      </c>
      <c r="Q1" s="526" t="s">
        <v>18</v>
      </c>
      <c r="R1" s="513" t="s">
        <v>19</v>
      </c>
      <c r="S1" s="526" t="s">
        <v>20</v>
      </c>
      <c r="T1" s="526" t="s">
        <v>21</v>
      </c>
      <c r="U1" s="268" t="s">
        <v>22</v>
      </c>
      <c r="V1" s="526" t="s">
        <v>23</v>
      </c>
      <c r="W1" s="268" t="s">
        <v>156</v>
      </c>
      <c r="X1" s="268" t="s">
        <v>66</v>
      </c>
      <c r="Y1" s="508" t="s">
        <v>67</v>
      </c>
      <c r="Z1" s="508" t="s">
        <v>159</v>
      </c>
      <c r="AA1" s="508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74"/>
      <c r="B2" s="241"/>
      <c r="C2" s="274"/>
      <c r="D2" s="514"/>
      <c r="E2" s="514"/>
      <c r="F2" s="514"/>
      <c r="G2" s="514"/>
      <c r="H2" s="514"/>
      <c r="I2" s="514"/>
      <c r="J2" s="514"/>
      <c r="K2" s="514"/>
      <c r="L2" s="274"/>
      <c r="M2" s="514"/>
      <c r="N2" s="274"/>
      <c r="O2" s="514"/>
      <c r="P2" s="274"/>
      <c r="Q2" s="527"/>
      <c r="R2" s="514"/>
      <c r="S2" s="527"/>
      <c r="T2" s="527"/>
      <c r="U2" s="274"/>
      <c r="V2" s="527"/>
      <c r="W2" s="274"/>
      <c r="X2" s="274"/>
      <c r="Y2" s="509"/>
      <c r="Z2" s="509"/>
      <c r="AA2" s="509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74"/>
      <c r="B3" s="241"/>
      <c r="C3" s="274"/>
      <c r="D3" s="267" t="s">
        <v>7</v>
      </c>
      <c r="E3" s="267" t="s">
        <v>8</v>
      </c>
      <c r="F3" s="268" t="s">
        <v>9</v>
      </c>
      <c r="G3" s="513" t="s">
        <v>10</v>
      </c>
      <c r="H3" s="268" t="s">
        <v>11</v>
      </c>
      <c r="I3" s="513" t="s">
        <v>12</v>
      </c>
      <c r="J3" s="268" t="s">
        <v>9</v>
      </c>
      <c r="K3" s="513" t="s">
        <v>13</v>
      </c>
      <c r="L3" s="274"/>
      <c r="M3" s="514"/>
      <c r="N3" s="274"/>
      <c r="O3" s="514"/>
      <c r="P3" s="274"/>
      <c r="Q3" s="527"/>
      <c r="R3" s="514"/>
      <c r="S3" s="527"/>
      <c r="T3" s="527"/>
      <c r="U3" s="274"/>
      <c r="V3" s="527"/>
      <c r="W3" s="274"/>
      <c r="X3" s="274"/>
      <c r="Y3" s="509"/>
      <c r="Z3" s="509"/>
      <c r="AA3" s="509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74"/>
      <c r="B4" s="241"/>
      <c r="C4" s="274"/>
      <c r="D4" s="273"/>
      <c r="E4" s="273"/>
      <c r="F4" s="274"/>
      <c r="G4" s="514"/>
      <c r="H4" s="274"/>
      <c r="I4" s="514"/>
      <c r="J4" s="274"/>
      <c r="K4" s="514"/>
      <c r="L4" s="274"/>
      <c r="M4" s="514"/>
      <c r="N4" s="274"/>
      <c r="O4" s="514"/>
      <c r="P4" s="274"/>
      <c r="Q4" s="527"/>
      <c r="R4" s="514"/>
      <c r="S4" s="527"/>
      <c r="T4" s="527"/>
      <c r="U4" s="274"/>
      <c r="V4" s="527"/>
      <c r="W4" s="274"/>
      <c r="X4" s="274"/>
      <c r="Y4" s="509"/>
      <c r="Z4" s="509"/>
      <c r="AA4" s="509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74"/>
      <c r="B5" s="241"/>
      <c r="C5" s="274"/>
      <c r="D5" s="273"/>
      <c r="E5" s="273"/>
      <c r="F5" s="274"/>
      <c r="G5" s="514"/>
      <c r="H5" s="274"/>
      <c r="I5" s="514"/>
      <c r="J5" s="274"/>
      <c r="K5" s="514"/>
      <c r="L5" s="274"/>
      <c r="M5" s="514"/>
      <c r="N5" s="274"/>
      <c r="O5" s="514"/>
      <c r="P5" s="274"/>
      <c r="Q5" s="527"/>
      <c r="R5" s="514"/>
      <c r="S5" s="527"/>
      <c r="T5" s="527"/>
      <c r="U5" s="274"/>
      <c r="V5" s="527"/>
      <c r="W5" s="274"/>
      <c r="X5" s="274"/>
      <c r="Y5" s="509"/>
      <c r="Z5" s="509"/>
      <c r="AA5" s="509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79"/>
      <c r="B6" s="226"/>
      <c r="C6" s="279"/>
      <c r="D6" s="278"/>
      <c r="E6" s="278"/>
      <c r="F6" s="279"/>
      <c r="G6" s="515"/>
      <c r="H6" s="279"/>
      <c r="I6" s="515"/>
      <c r="J6" s="279"/>
      <c r="K6" s="515"/>
      <c r="L6" s="279"/>
      <c r="M6" s="515"/>
      <c r="N6" s="279"/>
      <c r="O6" s="515"/>
      <c r="P6" s="279"/>
      <c r="Q6" s="528"/>
      <c r="R6" s="515"/>
      <c r="S6" s="528"/>
      <c r="T6" s="528"/>
      <c r="U6" s="279"/>
      <c r="V6" s="528"/>
      <c r="W6" s="279"/>
      <c r="X6" s="279"/>
      <c r="Y6" s="510"/>
      <c r="Z6" s="510"/>
      <c r="AA6" s="509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530" t="s">
        <v>37</v>
      </c>
      <c r="B7" s="531">
        <v>120</v>
      </c>
      <c r="C7" s="345">
        <v>724</v>
      </c>
      <c r="D7" s="345">
        <v>153</v>
      </c>
      <c r="E7" s="253">
        <v>242</v>
      </c>
      <c r="F7" s="532">
        <v>1</v>
      </c>
      <c r="G7" s="253">
        <v>3</v>
      </c>
      <c r="H7" s="532">
        <v>0</v>
      </c>
      <c r="I7" s="253">
        <v>0</v>
      </c>
      <c r="J7" s="532">
        <v>0</v>
      </c>
      <c r="K7" s="253">
        <v>0</v>
      </c>
      <c r="L7" s="532">
        <v>400</v>
      </c>
      <c r="M7" s="253">
        <v>0</v>
      </c>
      <c r="N7" s="532">
        <v>2</v>
      </c>
      <c r="O7" s="253">
        <f t="shared" ref="O7:O11" si="0">D7+E7+F7+G7+H7+I7+J7+K7+N7</f>
        <v>401</v>
      </c>
      <c r="P7" s="537">
        <f t="shared" ref="P7:P11" si="1">(O7/C7)*100</f>
        <v>55.3867403314917</v>
      </c>
      <c r="Q7" s="537">
        <f t="shared" ref="Q7:Q11" si="2">(E7/O7)*100</f>
        <v>60.3491271820449</v>
      </c>
      <c r="R7" s="253">
        <f t="shared" ref="R7:R11" si="3">(D7/O7)*100</f>
        <v>38.1546134663342</v>
      </c>
      <c r="S7" s="537">
        <f t="shared" ref="S7:S11" si="4">(F7/O7)*100</f>
        <v>0.249376558603491</v>
      </c>
      <c r="T7" s="537">
        <f t="shared" ref="T7:T11" si="5">(G7/O7)*100</f>
        <v>0.748129675810474</v>
      </c>
      <c r="U7" s="537">
        <f t="shared" ref="U7:U11" si="6">((H7+I7+J7+K7)/O7)*100</f>
        <v>0</v>
      </c>
      <c r="V7" s="537">
        <f t="shared" ref="V7:V11" si="7">(N7/O7)*100</f>
        <v>0.498753117206983</v>
      </c>
      <c r="W7" s="537">
        <f>Q7-R7</f>
        <v>22.1945137157107</v>
      </c>
      <c r="X7" s="537">
        <f>Q7-(R7+S7+T7+U7)</f>
        <v>21.1970074812968</v>
      </c>
      <c r="Y7" s="539" t="str">
        <f>IF(AND(W7&lt;0,W7&lt;=1),"LOST",IF(AND(W7&gt;1,W7&lt;=10),"NARROW",IF(AND(W7&gt;10,W7&lt;=40),"MEDIUM",IF(AND(W7&gt;40,W7&lt;=90),"STRONG",""))))</f>
        <v>MEDIUM</v>
      </c>
      <c r="Z7" s="288" t="str">
        <f>IF(AND(P7&lt;0,P7&lt;=10),"WEAK",IF(AND(P7&gt;10,P7&lt;20),"BELOW AVG",IF(AND(P7&gt;20,P7&lt;=60),"MEDIUM",IF(AND(P7&gt;60,P7&lt;=90),"STRONG",""))))</f>
        <v>MEDIUM</v>
      </c>
      <c r="AA7" s="289" t="str">
        <f>IF(Q7&gt;R7,"BJP","CONGRESS")</f>
        <v>BJP</v>
      </c>
      <c r="AB7" s="334">
        <v>722</v>
      </c>
      <c r="AC7" s="334"/>
      <c r="AD7" s="334">
        <v>378</v>
      </c>
      <c r="AE7" s="334"/>
      <c r="AF7" s="334">
        <v>344</v>
      </c>
      <c r="AG7" s="334"/>
      <c r="AH7" s="334">
        <v>428</v>
      </c>
      <c r="AI7" s="334"/>
      <c r="AJ7" s="334">
        <v>280</v>
      </c>
      <c r="AK7" s="334"/>
      <c r="AL7" s="334">
        <v>14</v>
      </c>
      <c r="AM7" s="334"/>
      <c r="AN7" s="248">
        <f>(AD7/AB7)*100</f>
        <v>52.3545706371191</v>
      </c>
      <c r="AO7" s="316" t="e">
        <f>(AE7/AC7)*100</f>
        <v>#DIV/0!</v>
      </c>
      <c r="AP7" s="317">
        <f>(AF7/AB7)*100</f>
        <v>47.6454293628809</v>
      </c>
      <c r="AQ7" s="318" t="e">
        <f>(AG7/AC7)*100</f>
        <v>#DIV/0!</v>
      </c>
      <c r="AR7" s="318" t="str">
        <f>IF(AN7&gt;AP7,"MALE DOM","FEMALE DOM")</f>
        <v>MALE DOM</v>
      </c>
      <c r="AS7" s="319" t="e">
        <f>IF(AO7&gt;AP7,"MALE","FEMALE")</f>
        <v>#DIV/0!</v>
      </c>
      <c r="AT7" s="317">
        <f>(AH7/AB7)*100</f>
        <v>59.2797783933518</v>
      </c>
      <c r="AU7" s="317" t="e">
        <f>(AI7/AC7)*100</f>
        <v>#DIV/0!</v>
      </c>
      <c r="AV7" s="248">
        <f>(AJ7/AB7)*100</f>
        <v>38.781163434903</v>
      </c>
      <c r="AW7" s="317" t="e">
        <f>(AK7/AC7)*100</f>
        <v>#DIV/0!</v>
      </c>
      <c r="AX7" s="248">
        <f>(AL7/AB7)*100</f>
        <v>1.93905817174515</v>
      </c>
      <c r="AY7" s="317" t="e">
        <f>(AM7/AC7)*100</f>
        <v>#DIV/0!</v>
      </c>
      <c r="AZ7" s="248" t="str">
        <f>IF(AT7&gt;(AV7+AX7),"HINDU","MINORITY")</f>
        <v>HINDU</v>
      </c>
      <c r="BA7" s="318" t="e">
        <f>IF(AU7&gt;(AW7+AY7),"HIND","MINORITY")</f>
        <v>#DIV/0!</v>
      </c>
    </row>
    <row r="8" spans="1:53">
      <c r="A8" s="317"/>
      <c r="B8" s="518">
        <v>121</v>
      </c>
      <c r="C8" s="199">
        <v>947</v>
      </c>
      <c r="D8" s="263">
        <v>93</v>
      </c>
      <c r="E8" s="199">
        <v>457</v>
      </c>
      <c r="F8" s="289">
        <v>1</v>
      </c>
      <c r="G8" s="519">
        <v>4</v>
      </c>
      <c r="H8" s="199">
        <v>0</v>
      </c>
      <c r="I8" s="519">
        <v>1</v>
      </c>
      <c r="J8" s="199">
        <v>0</v>
      </c>
      <c r="K8" s="519">
        <v>1</v>
      </c>
      <c r="L8" s="199">
        <v>557</v>
      </c>
      <c r="M8" s="519">
        <v>0</v>
      </c>
      <c r="N8" s="199">
        <v>13</v>
      </c>
      <c r="O8" s="519">
        <f t="shared" si="0"/>
        <v>570</v>
      </c>
      <c r="P8" s="199">
        <f t="shared" si="1"/>
        <v>60.1900739176346</v>
      </c>
      <c r="Q8" s="199">
        <f t="shared" si="2"/>
        <v>80.1754385964912</v>
      </c>
      <c r="R8" s="519">
        <f t="shared" si="3"/>
        <v>16.3157894736842</v>
      </c>
      <c r="S8" s="199">
        <f t="shared" si="4"/>
        <v>0.175438596491228</v>
      </c>
      <c r="T8" s="199">
        <f t="shared" si="5"/>
        <v>0.701754385964912</v>
      </c>
      <c r="U8" s="199">
        <f t="shared" si="6"/>
        <v>0.350877192982456</v>
      </c>
      <c r="V8" s="199">
        <f t="shared" si="7"/>
        <v>2.28070175438596</v>
      </c>
      <c r="W8" s="199">
        <f t="shared" ref="W8:W11" si="8">Q8-R8</f>
        <v>63.859649122807</v>
      </c>
      <c r="X8" s="199">
        <f t="shared" ref="X8:X11" si="9">Q8-(R8+S8+T8+U8)</f>
        <v>62.6315789473684</v>
      </c>
      <c r="Y8" s="289" t="str">
        <f t="shared" ref="Y8:Y12" si="10">IF(AND(W8&lt;0,W8&lt;=1),"LOST",IF(AND(W8&gt;1,W8&lt;=10),"NARROW",IF(AND(W8&gt;10,W8&lt;=40),"MEDIUM",IF(AND(W8&gt;40,W8&lt;=90),"STRONG",""))))</f>
        <v>STRONG</v>
      </c>
      <c r="Z8" s="283" t="str">
        <f t="shared" ref="Z8:Z12" si="11">IF(AND(P8&lt;0,P8&lt;=10),"WEAK",IF(AND(P8&gt;10,P8&lt;20),"BELOW AVG",IF(AND(P8&gt;20,P8&lt;=60),"MEDIUM",IF(AND(P8&gt;60,P8&lt;=90),"STRONG",""))))</f>
        <v>STRONG</v>
      </c>
      <c r="AA8" s="289" t="str">
        <f t="shared" ref="AA8:AA12" si="12">IF(Q8&gt;R8,"BJP","CONGRESS")</f>
        <v>BJP</v>
      </c>
      <c r="AB8" s="334">
        <v>947</v>
      </c>
      <c r="AC8" s="334"/>
      <c r="AD8" s="334">
        <v>490</v>
      </c>
      <c r="AE8" s="334"/>
      <c r="AF8" s="334">
        <v>457</v>
      </c>
      <c r="AG8" s="334"/>
      <c r="AH8" s="334">
        <v>860</v>
      </c>
      <c r="AI8" s="334"/>
      <c r="AJ8" s="334">
        <v>80</v>
      </c>
      <c r="AK8" s="334"/>
      <c r="AL8" s="334">
        <v>7</v>
      </c>
      <c r="AM8" s="334"/>
      <c r="AN8" s="248">
        <f t="shared" ref="AN8:AO12" si="13">(AD8/AB8)*100</f>
        <v>51.7423442449842</v>
      </c>
      <c r="AO8" s="316" t="e">
        <f t="shared" si="13"/>
        <v>#DIV/0!</v>
      </c>
      <c r="AP8" s="317">
        <f t="shared" ref="AP8:AQ12" si="14">(AF8/AB8)*100</f>
        <v>48.2576557550158</v>
      </c>
      <c r="AQ8" s="318" t="e">
        <f t="shared" si="14"/>
        <v>#DIV/0!</v>
      </c>
      <c r="AR8" s="318" t="str">
        <f t="shared" ref="AR8:AR12" si="15">IF(AN8&gt;AP8,"MALE DOM","FEMALE DOM")</f>
        <v>MALE DOM</v>
      </c>
      <c r="AS8" s="319" t="e">
        <f t="shared" ref="AS8:AS12" si="16">IF(AO8&gt;AP8,"MALE","FEMALE")</f>
        <v>#DIV/0!</v>
      </c>
      <c r="AT8" s="317">
        <f t="shared" ref="AT8:AU12" si="17">(AH8/AB8)*100</f>
        <v>90.8130939809926</v>
      </c>
      <c r="AU8" s="317" t="e">
        <f t="shared" si="17"/>
        <v>#DIV/0!</v>
      </c>
      <c r="AV8" s="248">
        <f t="shared" ref="AV8:AW12" si="18">(AJ8/AB8)*100</f>
        <v>8.44772967265047</v>
      </c>
      <c r="AW8" s="317" t="e">
        <f t="shared" si="18"/>
        <v>#DIV/0!</v>
      </c>
      <c r="AX8" s="248">
        <f t="shared" ref="AX8:AY12" si="19">(AL8/AB8)*100</f>
        <v>0.739176346356917</v>
      </c>
      <c r="AY8" s="317" t="e">
        <f t="shared" si="19"/>
        <v>#DIV/0!</v>
      </c>
      <c r="AZ8" s="248" t="str">
        <f t="shared" ref="AZ8:AZ12" si="20">IF(AT8&gt;(AV8+AX8),"HINDU","MINORITY")</f>
        <v>HINDU</v>
      </c>
      <c r="BA8" s="318" t="e">
        <f t="shared" ref="BA8:BA12" si="21">IF(AU8&gt;(AW8+AY8),"HIND","MINORITY")</f>
        <v>#DIV/0!</v>
      </c>
    </row>
    <row r="9" spans="1:53">
      <c r="A9" s="317"/>
      <c r="B9" s="518">
        <v>124</v>
      </c>
      <c r="C9" s="199">
        <v>962</v>
      </c>
      <c r="D9" s="519">
        <v>98</v>
      </c>
      <c r="E9" s="533">
        <v>514</v>
      </c>
      <c r="F9" s="333">
        <v>1</v>
      </c>
      <c r="G9" s="263">
        <v>9</v>
      </c>
      <c r="H9" s="533">
        <v>0</v>
      </c>
      <c r="I9" s="263">
        <v>0</v>
      </c>
      <c r="J9" s="533">
        <v>0</v>
      </c>
      <c r="K9" s="263">
        <v>1</v>
      </c>
      <c r="L9" s="533">
        <v>623</v>
      </c>
      <c r="M9" s="263">
        <v>0</v>
      </c>
      <c r="N9" s="533">
        <v>5</v>
      </c>
      <c r="O9" s="263">
        <f t="shared" si="0"/>
        <v>628</v>
      </c>
      <c r="P9" s="533">
        <f t="shared" si="1"/>
        <v>65.2806652806653</v>
      </c>
      <c r="Q9" s="533">
        <f t="shared" si="2"/>
        <v>81.8471337579618</v>
      </c>
      <c r="R9" s="263">
        <f t="shared" si="3"/>
        <v>15.6050955414013</v>
      </c>
      <c r="S9" s="533">
        <f t="shared" si="4"/>
        <v>0.159235668789809</v>
      </c>
      <c r="T9" s="533">
        <f t="shared" si="5"/>
        <v>1.43312101910828</v>
      </c>
      <c r="U9" s="533">
        <f t="shared" si="6"/>
        <v>0.159235668789809</v>
      </c>
      <c r="V9" s="533">
        <f t="shared" si="7"/>
        <v>0.796178343949045</v>
      </c>
      <c r="W9" s="533">
        <f t="shared" si="8"/>
        <v>66.2420382165605</v>
      </c>
      <c r="X9" s="533">
        <f t="shared" si="9"/>
        <v>64.4904458598726</v>
      </c>
      <c r="Y9" s="333" t="str">
        <f t="shared" si="10"/>
        <v>STRONG</v>
      </c>
      <c r="Z9" s="283" t="str">
        <f t="shared" si="11"/>
        <v>STRONG</v>
      </c>
      <c r="AA9" s="289" t="str">
        <f t="shared" si="12"/>
        <v>BJP</v>
      </c>
      <c r="AB9">
        <v>960</v>
      </c>
      <c r="AC9">
        <v>634</v>
      </c>
      <c r="AD9">
        <v>490</v>
      </c>
      <c r="AE9">
        <v>327</v>
      </c>
      <c r="AF9">
        <v>470</v>
      </c>
      <c r="AG9">
        <v>307</v>
      </c>
      <c r="AH9">
        <v>957</v>
      </c>
      <c r="AI9">
        <v>631</v>
      </c>
      <c r="AJ9">
        <v>0</v>
      </c>
      <c r="AK9">
        <v>0</v>
      </c>
      <c r="AL9">
        <v>3</v>
      </c>
      <c r="AM9">
        <v>3</v>
      </c>
      <c r="AN9" s="248">
        <f t="shared" si="13"/>
        <v>51.0416666666667</v>
      </c>
      <c r="AO9" s="316">
        <f t="shared" si="13"/>
        <v>51.5772870662461</v>
      </c>
      <c r="AP9" s="317">
        <f t="shared" si="14"/>
        <v>48.9583333333333</v>
      </c>
      <c r="AQ9" s="318">
        <f t="shared" si="14"/>
        <v>48.4227129337539</v>
      </c>
      <c r="AR9" s="318" t="str">
        <f t="shared" si="15"/>
        <v>MALE DOM</v>
      </c>
      <c r="AS9" s="319" t="str">
        <f t="shared" si="16"/>
        <v>MALE</v>
      </c>
      <c r="AT9" s="317">
        <f t="shared" si="17"/>
        <v>99.6875</v>
      </c>
      <c r="AU9" s="317">
        <f t="shared" si="17"/>
        <v>99.5268138801262</v>
      </c>
      <c r="AV9" s="248">
        <f t="shared" si="18"/>
        <v>0</v>
      </c>
      <c r="AW9" s="317">
        <f t="shared" si="18"/>
        <v>0</v>
      </c>
      <c r="AX9" s="248">
        <f t="shared" si="19"/>
        <v>0.3125</v>
      </c>
      <c r="AY9" s="317">
        <f t="shared" si="19"/>
        <v>0.473186119873817</v>
      </c>
      <c r="AZ9" s="248" t="str">
        <f t="shared" si="20"/>
        <v>HINDU</v>
      </c>
      <c r="BA9" s="318" t="str">
        <f t="shared" si="21"/>
        <v>HIND</v>
      </c>
    </row>
    <row r="10" spans="1:53">
      <c r="A10" s="317"/>
      <c r="B10" s="227">
        <v>123</v>
      </c>
      <c r="C10" s="533">
        <v>1436</v>
      </c>
      <c r="D10" s="263">
        <v>114</v>
      </c>
      <c r="E10" s="533">
        <v>787</v>
      </c>
      <c r="F10" s="333">
        <v>1</v>
      </c>
      <c r="G10" s="263">
        <v>4</v>
      </c>
      <c r="H10" s="533">
        <v>0</v>
      </c>
      <c r="I10" s="263">
        <v>0</v>
      </c>
      <c r="J10" s="533">
        <v>0</v>
      </c>
      <c r="K10" s="263">
        <v>0</v>
      </c>
      <c r="L10" s="533">
        <v>906</v>
      </c>
      <c r="M10" s="263">
        <v>0</v>
      </c>
      <c r="N10" s="533">
        <v>4</v>
      </c>
      <c r="O10" s="263">
        <f t="shared" si="0"/>
        <v>910</v>
      </c>
      <c r="P10" s="533">
        <f t="shared" si="1"/>
        <v>63.3704735376045</v>
      </c>
      <c r="Q10" s="533">
        <f t="shared" si="2"/>
        <v>86.4835164835165</v>
      </c>
      <c r="R10" s="263">
        <f t="shared" si="3"/>
        <v>12.5274725274725</v>
      </c>
      <c r="S10" s="533">
        <f t="shared" si="4"/>
        <v>0.10989010989011</v>
      </c>
      <c r="T10" s="533">
        <f t="shared" si="5"/>
        <v>0.43956043956044</v>
      </c>
      <c r="U10" s="533">
        <f t="shared" si="6"/>
        <v>0</v>
      </c>
      <c r="V10" s="533">
        <f t="shared" si="7"/>
        <v>0.43956043956044</v>
      </c>
      <c r="W10" s="533">
        <f t="shared" si="8"/>
        <v>73.956043956044</v>
      </c>
      <c r="X10" s="533">
        <f t="shared" si="9"/>
        <v>73.4065934065934</v>
      </c>
      <c r="Y10" s="333" t="str">
        <f t="shared" si="10"/>
        <v>STRONG</v>
      </c>
      <c r="Z10" s="283" t="str">
        <f t="shared" si="11"/>
        <v>STRONG</v>
      </c>
      <c r="AA10" s="289" t="str">
        <f t="shared" si="12"/>
        <v>BJP</v>
      </c>
      <c r="AB10" s="334">
        <v>1433</v>
      </c>
      <c r="AC10" s="334">
        <v>914</v>
      </c>
      <c r="AD10" s="334">
        <v>716</v>
      </c>
      <c r="AE10" s="334">
        <v>460</v>
      </c>
      <c r="AF10" s="334">
        <v>717</v>
      </c>
      <c r="AG10" s="334">
        <v>454</v>
      </c>
      <c r="AH10" s="334">
        <v>1370</v>
      </c>
      <c r="AI10" s="334">
        <v>884</v>
      </c>
      <c r="AJ10" s="334">
        <v>2</v>
      </c>
      <c r="AK10" s="334">
        <v>2</v>
      </c>
      <c r="AL10" s="334">
        <v>61</v>
      </c>
      <c r="AM10" s="334">
        <v>28</v>
      </c>
      <c r="AN10" s="248">
        <f t="shared" si="13"/>
        <v>49.9651081646895</v>
      </c>
      <c r="AO10" s="316">
        <f t="shared" si="13"/>
        <v>50.328227571116</v>
      </c>
      <c r="AP10" s="317">
        <f t="shared" si="14"/>
        <v>50.0348918353105</v>
      </c>
      <c r="AQ10" s="318">
        <f t="shared" si="14"/>
        <v>49.671772428884</v>
      </c>
      <c r="AR10" s="318" t="str">
        <f t="shared" si="15"/>
        <v>FEMALE DOM</v>
      </c>
      <c r="AS10" s="319" t="str">
        <f t="shared" si="16"/>
        <v>MALE</v>
      </c>
      <c r="AT10" s="317">
        <f t="shared" si="17"/>
        <v>95.6036287508723</v>
      </c>
      <c r="AU10" s="317">
        <f t="shared" si="17"/>
        <v>96.7177242888403</v>
      </c>
      <c r="AV10" s="248">
        <f t="shared" si="18"/>
        <v>0.139567341242149</v>
      </c>
      <c r="AW10" s="317">
        <f t="shared" si="18"/>
        <v>0.218818380743982</v>
      </c>
      <c r="AX10" s="248">
        <f t="shared" si="19"/>
        <v>4.25680390788555</v>
      </c>
      <c r="AY10" s="317">
        <f t="shared" si="19"/>
        <v>3.06345733041575</v>
      </c>
      <c r="AZ10" s="248" t="str">
        <f t="shared" si="20"/>
        <v>HINDU</v>
      </c>
      <c r="BA10" s="318" t="str">
        <f t="shared" si="21"/>
        <v>HIND</v>
      </c>
    </row>
    <row r="11" spans="1:53">
      <c r="A11" s="317"/>
      <c r="B11" s="262">
        <v>122</v>
      </c>
      <c r="C11" s="533">
        <v>739</v>
      </c>
      <c r="D11" s="263">
        <v>80</v>
      </c>
      <c r="E11" s="533">
        <v>426</v>
      </c>
      <c r="F11" s="199">
        <v>2</v>
      </c>
      <c r="G11" s="289">
        <v>4</v>
      </c>
      <c r="H11" s="333">
        <v>0</v>
      </c>
      <c r="I11" s="263">
        <v>0</v>
      </c>
      <c r="J11" s="533">
        <v>0</v>
      </c>
      <c r="K11" s="263">
        <v>0</v>
      </c>
      <c r="L11" s="533">
        <v>512</v>
      </c>
      <c r="M11" s="263">
        <v>0</v>
      </c>
      <c r="N11" s="533">
        <v>6</v>
      </c>
      <c r="O11" s="263">
        <f t="shared" si="0"/>
        <v>518</v>
      </c>
      <c r="P11" s="533">
        <f t="shared" si="1"/>
        <v>70.0947225981055</v>
      </c>
      <c r="Q11" s="533">
        <f t="shared" si="2"/>
        <v>82.2393822393822</v>
      </c>
      <c r="R11" s="263">
        <f t="shared" si="3"/>
        <v>15.4440154440154</v>
      </c>
      <c r="S11" s="533">
        <f t="shared" si="4"/>
        <v>0.386100386100386</v>
      </c>
      <c r="T11" s="533">
        <f t="shared" si="5"/>
        <v>0.772200772200772</v>
      </c>
      <c r="U11" s="533">
        <f t="shared" si="6"/>
        <v>0</v>
      </c>
      <c r="V11" s="533">
        <f t="shared" si="7"/>
        <v>1.15830115830116</v>
      </c>
      <c r="W11" s="533">
        <f t="shared" si="8"/>
        <v>66.7953667953668</v>
      </c>
      <c r="X11" s="533">
        <f t="shared" si="9"/>
        <v>65.6370656370656</v>
      </c>
      <c r="Y11" s="199" t="str">
        <f t="shared" si="10"/>
        <v>STRONG</v>
      </c>
      <c r="Z11" s="283" t="str">
        <f t="shared" si="11"/>
        <v>STRONG</v>
      </c>
      <c r="AA11" s="289" t="str">
        <f t="shared" si="12"/>
        <v>BJP</v>
      </c>
      <c r="AB11" s="334">
        <v>735</v>
      </c>
      <c r="AC11" s="334"/>
      <c r="AD11" s="334">
        <v>363</v>
      </c>
      <c r="AE11" s="334"/>
      <c r="AF11" s="334">
        <v>372</v>
      </c>
      <c r="AG11" s="334"/>
      <c r="AH11" s="334">
        <v>721</v>
      </c>
      <c r="AI11" s="334"/>
      <c r="AJ11" s="334">
        <v>3</v>
      </c>
      <c r="AK11" s="334"/>
      <c r="AL11" s="334">
        <v>11</v>
      </c>
      <c r="AM11" s="334"/>
      <c r="AN11" s="248">
        <f t="shared" si="13"/>
        <v>49.3877551020408</v>
      </c>
      <c r="AO11" s="316" t="e">
        <f t="shared" si="13"/>
        <v>#DIV/0!</v>
      </c>
      <c r="AP11" s="317">
        <f t="shared" si="14"/>
        <v>50.6122448979592</v>
      </c>
      <c r="AQ11" s="318" t="e">
        <f t="shared" si="14"/>
        <v>#DIV/0!</v>
      </c>
      <c r="AR11" s="318" t="str">
        <f t="shared" si="15"/>
        <v>FEMALE DOM</v>
      </c>
      <c r="AS11" s="319" t="e">
        <f t="shared" si="16"/>
        <v>#DIV/0!</v>
      </c>
      <c r="AT11" s="317">
        <f t="shared" si="17"/>
        <v>98.0952380952381</v>
      </c>
      <c r="AU11" s="317" t="e">
        <f t="shared" si="17"/>
        <v>#DIV/0!</v>
      </c>
      <c r="AV11" s="248">
        <f t="shared" si="18"/>
        <v>0.408163265306122</v>
      </c>
      <c r="AW11" s="317" t="e">
        <f t="shared" si="18"/>
        <v>#DIV/0!</v>
      </c>
      <c r="AX11" s="248">
        <f t="shared" si="19"/>
        <v>1.49659863945578</v>
      </c>
      <c r="AY11" s="317" t="e">
        <f t="shared" si="19"/>
        <v>#DIV/0!</v>
      </c>
      <c r="AZ11" s="248" t="str">
        <f t="shared" si="20"/>
        <v>HINDU</v>
      </c>
      <c r="BA11" s="318" t="e">
        <f t="shared" si="21"/>
        <v>#DIV/0!</v>
      </c>
    </row>
    <row r="12" ht="21" spans="1:53">
      <c r="A12" s="317"/>
      <c r="B12" s="317"/>
      <c r="C12" s="534">
        <f t="shared" ref="C12:O12" si="22">SUM(C7:C11)</f>
        <v>4808</v>
      </c>
      <c r="D12" s="535">
        <f t="shared" si="22"/>
        <v>538</v>
      </c>
      <c r="E12" s="536">
        <f t="shared" si="22"/>
        <v>2426</v>
      </c>
      <c r="F12" s="536">
        <f t="shared" si="22"/>
        <v>6</v>
      </c>
      <c r="G12" s="351">
        <f t="shared" si="22"/>
        <v>24</v>
      </c>
      <c r="H12" s="536">
        <f t="shared" si="22"/>
        <v>0</v>
      </c>
      <c r="I12" s="538">
        <f t="shared" si="22"/>
        <v>1</v>
      </c>
      <c r="J12" s="536">
        <f t="shared" si="22"/>
        <v>0</v>
      </c>
      <c r="K12" s="535">
        <f t="shared" si="22"/>
        <v>2</v>
      </c>
      <c r="L12" s="536">
        <f t="shared" si="22"/>
        <v>2998</v>
      </c>
      <c r="M12" s="538">
        <f t="shared" si="22"/>
        <v>0</v>
      </c>
      <c r="N12" s="536">
        <f t="shared" si="22"/>
        <v>30</v>
      </c>
      <c r="O12" s="538">
        <f t="shared" si="22"/>
        <v>3027</v>
      </c>
      <c r="P12" s="536">
        <f t="shared" ref="P12:X12" si="23">AVERAGE(P7:P11)</f>
        <v>62.8645351331003</v>
      </c>
      <c r="Q12" s="536">
        <f t="shared" si="23"/>
        <v>78.2189196518793</v>
      </c>
      <c r="R12" s="536">
        <f t="shared" si="23"/>
        <v>19.6093972905815</v>
      </c>
      <c r="S12" s="536">
        <f t="shared" si="23"/>
        <v>0.216008263975005</v>
      </c>
      <c r="T12" s="536">
        <f t="shared" si="23"/>
        <v>0.818953258528976</v>
      </c>
      <c r="U12" s="536">
        <f t="shared" si="23"/>
        <v>0.102022572354453</v>
      </c>
      <c r="V12" s="536">
        <f t="shared" si="23"/>
        <v>1.03469896268072</v>
      </c>
      <c r="W12" s="536">
        <f t="shared" si="23"/>
        <v>58.6095223612978</v>
      </c>
      <c r="X12" s="536">
        <f t="shared" si="23"/>
        <v>57.4725382664394</v>
      </c>
      <c r="Y12" s="536" t="str">
        <f t="shared" si="10"/>
        <v>STRONG</v>
      </c>
      <c r="Z12" s="350" t="str">
        <f t="shared" si="11"/>
        <v>STRONG</v>
      </c>
      <c r="AA12" s="351" t="str">
        <f t="shared" si="12"/>
        <v>BJP</v>
      </c>
      <c r="AN12" s="248" t="e">
        <f t="shared" si="13"/>
        <v>#DIV/0!</v>
      </c>
      <c r="AO12" s="316" t="e">
        <f t="shared" si="13"/>
        <v>#DIV/0!</v>
      </c>
      <c r="AP12" s="317" t="e">
        <f t="shared" si="14"/>
        <v>#DIV/0!</v>
      </c>
      <c r="AQ12" s="318" t="e">
        <f t="shared" si="14"/>
        <v>#DIV/0!</v>
      </c>
      <c r="AR12" s="318" t="e">
        <f t="shared" si="15"/>
        <v>#DIV/0!</v>
      </c>
      <c r="AS12" s="319" t="e">
        <f t="shared" si="16"/>
        <v>#DIV/0!</v>
      </c>
      <c r="AT12" s="317" t="e">
        <f t="shared" si="17"/>
        <v>#DIV/0!</v>
      </c>
      <c r="AU12" s="317" t="e">
        <f t="shared" si="17"/>
        <v>#DIV/0!</v>
      </c>
      <c r="AV12" s="248" t="e">
        <f t="shared" si="18"/>
        <v>#DIV/0!</v>
      </c>
      <c r="AW12" s="317" t="e">
        <f t="shared" si="18"/>
        <v>#DIV/0!</v>
      </c>
      <c r="AX12" s="248" t="e">
        <f t="shared" si="19"/>
        <v>#DIV/0!</v>
      </c>
      <c r="AY12" s="317" t="e">
        <f t="shared" si="19"/>
        <v>#DIV/0!</v>
      </c>
      <c r="AZ12" s="248" t="e">
        <f t="shared" si="20"/>
        <v>#DIV/0!</v>
      </c>
      <c r="BA12" s="318" t="e">
        <f t="shared" si="21"/>
        <v>#DIV/0!</v>
      </c>
    </row>
    <row r="13" spans="7:7">
      <c r="G13" s="358"/>
    </row>
    <row r="14" spans="7:7">
      <c r="G14" s="358"/>
    </row>
    <row r="16" spans="3:20">
      <c r="C16" s="225" t="s">
        <v>205</v>
      </c>
      <c r="D16" s="237"/>
      <c r="E16" s="237"/>
      <c r="F16" s="238"/>
      <c r="H16" s="225" t="s">
        <v>97</v>
      </c>
      <c r="I16" s="237"/>
      <c r="J16" s="237"/>
      <c r="K16" s="238"/>
      <c r="M16" s="265" t="s">
        <v>98</v>
      </c>
      <c r="N16" s="265"/>
      <c r="O16" s="265"/>
      <c r="P16" s="265"/>
      <c r="Q16" s="265"/>
      <c r="R16" s="265"/>
      <c r="S16" s="265"/>
      <c r="T16" s="265"/>
    </row>
    <row r="17" spans="3:20">
      <c r="C17" s="226"/>
      <c r="D17" s="239"/>
      <c r="E17" s="239"/>
      <c r="F17" s="240"/>
      <c r="H17" s="241"/>
      <c r="I17" s="242"/>
      <c r="J17" s="242"/>
      <c r="K17" s="243"/>
      <c r="M17" s="265"/>
      <c r="N17" s="265"/>
      <c r="O17" s="265"/>
      <c r="P17" s="265"/>
      <c r="Q17" s="265"/>
      <c r="R17" s="265"/>
      <c r="S17" s="265"/>
      <c r="T17" s="265"/>
    </row>
    <row r="18" spans="3:20">
      <c r="C18" s="227" t="s">
        <v>99</v>
      </c>
      <c r="D18" s="244"/>
      <c r="E18" s="245"/>
      <c r="F18" s="245">
        <f>COUNTIF(AA7:AA11,"BJP")</f>
        <v>5</v>
      </c>
      <c r="H18" s="246" t="s">
        <v>100</v>
      </c>
      <c r="I18" s="247"/>
      <c r="J18" s="247"/>
      <c r="K18" s="248">
        <f>COUNTIF(Y7:Y11,"NARROW")</f>
        <v>0</v>
      </c>
      <c r="M18" s="265" t="s">
        <v>101</v>
      </c>
      <c r="N18" s="265"/>
      <c r="O18" s="265"/>
      <c r="P18" s="265">
        <f>'CENTRAL-18'!E8</f>
        <v>72.3017472675407</v>
      </c>
      <c r="Q18" s="265" t="s">
        <v>102</v>
      </c>
      <c r="R18" s="265"/>
      <c r="S18" s="265"/>
      <c r="T18" s="265">
        <f>Q12</f>
        <v>78.2189196518793</v>
      </c>
    </row>
    <row r="19" spans="3:20">
      <c r="C19" s="227"/>
      <c r="D19" s="244"/>
      <c r="E19" s="245"/>
      <c r="F19" s="245"/>
      <c r="H19" s="249"/>
      <c r="I19" s="250"/>
      <c r="J19" s="250"/>
      <c r="K19" s="251"/>
      <c r="M19" s="265"/>
      <c r="N19" s="265"/>
      <c r="O19" s="265"/>
      <c r="P19" s="265"/>
      <c r="Q19" s="265"/>
      <c r="R19" s="265"/>
      <c r="S19" s="265"/>
      <c r="T19" s="265"/>
    </row>
    <row r="20" spans="3:20">
      <c r="C20" s="227"/>
      <c r="D20" s="244"/>
      <c r="E20" s="245"/>
      <c r="F20" s="245"/>
      <c r="H20" s="252" t="s">
        <v>103</v>
      </c>
      <c r="I20" s="253"/>
      <c r="J20" s="253"/>
      <c r="K20" s="248">
        <f>COUNTIF(Y7:Y11,"MEDIUM")</f>
        <v>1</v>
      </c>
      <c r="M20" s="265" t="s">
        <v>104</v>
      </c>
      <c r="N20" s="265"/>
      <c r="O20" s="265"/>
      <c r="P20" s="265">
        <f>'CENTRAL-18'!G8</f>
        <v>24.2676999685544</v>
      </c>
      <c r="Q20" s="265" t="s">
        <v>105</v>
      </c>
      <c r="R20" s="265"/>
      <c r="S20" s="265"/>
      <c r="T20" s="265">
        <f>R12</f>
        <v>19.6093972905815</v>
      </c>
    </row>
    <row r="21" spans="3:20">
      <c r="C21" s="228" t="s">
        <v>106</v>
      </c>
      <c r="D21" s="254"/>
      <c r="E21" s="255"/>
      <c r="F21" s="255">
        <f>COUNTIF(AA7:AA11,"CONGRESS")</f>
        <v>0</v>
      </c>
      <c r="H21" s="252"/>
      <c r="I21" s="253"/>
      <c r="J21" s="253"/>
      <c r="K21" s="251"/>
      <c r="M21" s="265"/>
      <c r="N21" s="265"/>
      <c r="O21" s="265"/>
      <c r="P21" s="265"/>
      <c r="Q21" s="265"/>
      <c r="R21" s="265"/>
      <c r="S21" s="265"/>
      <c r="T21" s="265"/>
    </row>
    <row r="22" spans="3:20">
      <c r="C22" s="229"/>
      <c r="D22" s="256"/>
      <c r="E22" s="257"/>
      <c r="F22" s="257"/>
      <c r="H22" s="258" t="s">
        <v>107</v>
      </c>
      <c r="I22" s="259"/>
      <c r="J22" s="259"/>
      <c r="K22" s="248">
        <f>COUNTIF(Y7:Y11,"STRONG")</f>
        <v>4</v>
      </c>
      <c r="M22" s="265" t="s">
        <v>108</v>
      </c>
      <c r="N22" s="265"/>
      <c r="O22" s="265"/>
      <c r="P22" s="265">
        <f>'CENTRAL-18'!C8</f>
        <v>3867</v>
      </c>
      <c r="Q22" s="265" t="s">
        <v>109</v>
      </c>
      <c r="R22" s="265"/>
      <c r="S22" s="265"/>
      <c r="T22" s="265">
        <f>L12</f>
        <v>2998</v>
      </c>
    </row>
    <row r="23" spans="3:20">
      <c r="C23" s="230"/>
      <c r="D23" s="260"/>
      <c r="E23" s="261"/>
      <c r="F23" s="261"/>
      <c r="H23" s="262"/>
      <c r="I23" s="263"/>
      <c r="J23" s="263"/>
      <c r="K23" s="251"/>
      <c r="M23" s="265"/>
      <c r="N23" s="265"/>
      <c r="O23" s="265"/>
      <c r="P23" s="265"/>
      <c r="Q23" s="265"/>
      <c r="R23" s="265"/>
      <c r="S23" s="265"/>
      <c r="T23" s="265"/>
    </row>
    <row r="24" spans="8:20">
      <c r="H24" s="229" t="s">
        <v>110</v>
      </c>
      <c r="I24" s="256"/>
      <c r="J24" s="256"/>
      <c r="K24" s="248">
        <f>COUNTIF(Y7:Y11,"LOST")</f>
        <v>0</v>
      </c>
      <c r="M24" s="265" t="s">
        <v>111</v>
      </c>
      <c r="N24" s="265"/>
      <c r="O24" s="265"/>
      <c r="P24" s="265">
        <f>P18-P20</f>
        <v>48.0340472989863</v>
      </c>
      <c r="Q24" s="265" t="s">
        <v>111</v>
      </c>
      <c r="R24" s="265"/>
      <c r="S24" s="265"/>
      <c r="T24" s="265">
        <f>T18-T20</f>
        <v>58.6095223612978</v>
      </c>
    </row>
    <row r="25" spans="8:20">
      <c r="H25" s="230"/>
      <c r="I25" s="260"/>
      <c r="J25" s="260"/>
      <c r="K25" s="251"/>
      <c r="M25" s="265"/>
      <c r="N25" s="265"/>
      <c r="O25" s="265"/>
      <c r="P25" s="265"/>
      <c r="Q25" s="265"/>
      <c r="R25" s="265"/>
      <c r="S25" s="265"/>
      <c r="T25" s="265"/>
    </row>
    <row r="26" spans="13:19">
      <c r="M26" s="265" t="s">
        <v>112</v>
      </c>
      <c r="N26" s="265"/>
      <c r="O26" s="265"/>
      <c r="P26" s="265">
        <f>T18-P18</f>
        <v>5.91717238433866</v>
      </c>
      <c r="Q26" s="265"/>
      <c r="R26" s="265"/>
      <c r="S26" s="265"/>
    </row>
    <row r="27" spans="13:19">
      <c r="M27" s="265"/>
      <c r="N27" s="265"/>
      <c r="O27" s="265"/>
      <c r="P27" s="265"/>
      <c r="Q27" s="265"/>
      <c r="R27" s="265"/>
      <c r="S27" s="265"/>
    </row>
    <row r="28" spans="13:19">
      <c r="M28" s="265" t="s">
        <v>113</v>
      </c>
      <c r="N28" s="265"/>
      <c r="O28" s="265"/>
      <c r="P28" s="265">
        <f>T20-P20</f>
        <v>-4.65830267797289</v>
      </c>
      <c r="Q28" s="265"/>
      <c r="R28" s="265"/>
      <c r="S28" s="265"/>
    </row>
    <row r="29" spans="13:19">
      <c r="M29" s="265"/>
      <c r="N29" s="265"/>
      <c r="O29" s="265"/>
      <c r="P29" s="265"/>
      <c r="Q29" s="265"/>
      <c r="R29" s="265"/>
      <c r="S29" s="265"/>
    </row>
    <row r="30" spans="13:19">
      <c r="M30" s="265" t="s">
        <v>114</v>
      </c>
      <c r="N30" s="265"/>
      <c r="O30" s="265"/>
      <c r="P30" s="265" t="str">
        <f>IF(P26&gt;P28,"INCREASE","DECREASE")</f>
        <v>INCREASE</v>
      </c>
      <c r="Q30" s="265"/>
      <c r="R30" s="265"/>
      <c r="S30" s="265"/>
    </row>
    <row r="31" spans="13:19">
      <c r="M31" s="265"/>
      <c r="N31" s="265"/>
      <c r="O31" s="265"/>
      <c r="P31" s="265"/>
      <c r="Q31" s="265"/>
      <c r="R31" s="265"/>
      <c r="S31" s="265"/>
    </row>
    <row r="32" spans="13:20">
      <c r="M32" s="265" t="s">
        <v>193</v>
      </c>
      <c r="N32" s="265"/>
      <c r="O32" s="265"/>
      <c r="P32" s="265"/>
      <c r="Q32" s="265"/>
      <c r="R32" s="265"/>
      <c r="S32" s="265"/>
      <c r="T32" s="265"/>
    </row>
    <row r="33" spans="13:20">
      <c r="M33" s="265"/>
      <c r="N33" s="265"/>
      <c r="O33" s="265"/>
      <c r="P33" s="265"/>
      <c r="Q33" s="265"/>
      <c r="R33" s="265"/>
      <c r="S33" s="265"/>
      <c r="T33" s="265"/>
    </row>
    <row r="34" spans="13:20">
      <c r="M34" s="265"/>
      <c r="N34" s="265"/>
      <c r="O34" s="265"/>
      <c r="P34" s="265"/>
      <c r="Q34" s="265"/>
      <c r="R34" s="265"/>
      <c r="S34" s="265"/>
      <c r="T34" s="265"/>
    </row>
  </sheetData>
  <mergeCells count="93">
    <mergeCell ref="A1:A6"/>
    <mergeCell ref="B1:B6"/>
    <mergeCell ref="C1:C6"/>
    <mergeCell ref="D3:D6"/>
    <mergeCell ref="E3:E6"/>
    <mergeCell ref="F3:F6"/>
    <mergeCell ref="F18:F20"/>
    <mergeCell ref="F21:F23"/>
    <mergeCell ref="G3:G6"/>
    <mergeCell ref="H3:H6"/>
    <mergeCell ref="I3:I6"/>
    <mergeCell ref="J3:J6"/>
    <mergeCell ref="K3:K6"/>
    <mergeCell ref="K18:K19"/>
    <mergeCell ref="K20:K21"/>
    <mergeCell ref="K22:K23"/>
    <mergeCell ref="K24:K25"/>
    <mergeCell ref="L1:L6"/>
    <mergeCell ref="M1:M6"/>
    <mergeCell ref="N1:N6"/>
    <mergeCell ref="O1:O6"/>
    <mergeCell ref="P1:P6"/>
    <mergeCell ref="P18:P19"/>
    <mergeCell ref="P20:P21"/>
    <mergeCell ref="P22:P23"/>
    <mergeCell ref="P24:P25"/>
    <mergeCell ref="Q1:Q6"/>
    <mergeCell ref="R1:R6"/>
    <mergeCell ref="S1:S6"/>
    <mergeCell ref="T1:T6"/>
    <mergeCell ref="T18:T19"/>
    <mergeCell ref="T20:T21"/>
    <mergeCell ref="T22:T23"/>
    <mergeCell ref="T24:T25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H24:J25"/>
    <mergeCell ref="Q24:S25"/>
    <mergeCell ref="C16:F17"/>
    <mergeCell ref="H16:K17"/>
    <mergeCell ref="C18:E20"/>
    <mergeCell ref="H18:J19"/>
    <mergeCell ref="Q18:S19"/>
    <mergeCell ref="H20:J21"/>
    <mergeCell ref="Q20:S21"/>
    <mergeCell ref="C21:E23"/>
    <mergeCell ref="H22:J23"/>
    <mergeCell ref="Q22:S23"/>
    <mergeCell ref="M16:T17"/>
    <mergeCell ref="M18:O19"/>
    <mergeCell ref="M20:O21"/>
    <mergeCell ref="M22:O23"/>
    <mergeCell ref="M32:T34"/>
    <mergeCell ref="M28:O29"/>
    <mergeCell ref="P28:S29"/>
    <mergeCell ref="M30:O31"/>
    <mergeCell ref="P30:Q31"/>
    <mergeCell ref="R30:S31"/>
    <mergeCell ref="M24:O25"/>
    <mergeCell ref="M26:O27"/>
    <mergeCell ref="P26:S27"/>
  </mergeCells>
  <conditionalFormatting sqref="AR7:AR12">
    <cfRule type="containsText" dxfId="6" priority="1" operator="between" text="FEMALE DOM">
      <formula>NOT(ISERROR(SEARCH("FEMALE DOM",AR7)))</formula>
    </cfRule>
  </conditionalFormatting>
  <conditionalFormatting sqref="AZ7:AZ12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2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workbookViewId="0">
      <selection activeCell="A1" sqref="A1:AJ1"/>
    </sheetView>
  </sheetViews>
  <sheetFormatPr defaultColWidth="9" defaultRowHeight="14.5" outlineLevelRow="7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92">
        <v>110</v>
      </c>
      <c r="B2" s="185" t="s">
        <v>222</v>
      </c>
      <c r="C2" s="192">
        <v>696</v>
      </c>
      <c r="D2" s="192">
        <v>562</v>
      </c>
      <c r="E2" s="184">
        <f t="shared" ref="E2:E7" si="0">(D2/C2)*100</f>
        <v>80.7471264367816</v>
      </c>
      <c r="F2" s="192">
        <v>106</v>
      </c>
      <c r="G2" s="184">
        <f t="shared" ref="G2:G7" si="1">(F2/C2)*100</f>
        <v>15.2298850574713</v>
      </c>
      <c r="H2" s="192">
        <v>2</v>
      </c>
      <c r="I2" s="184">
        <f t="shared" ref="I2:I7" si="2">(H2/C2)*100</f>
        <v>0.28735632183908</v>
      </c>
      <c r="J2" s="192">
        <v>3</v>
      </c>
      <c r="K2" s="184">
        <f t="shared" ref="K2:K7" si="3">(J2/C2)*100</f>
        <v>0.431034482758621</v>
      </c>
      <c r="L2" s="189">
        <v>509</v>
      </c>
      <c r="M2" s="189">
        <v>469</v>
      </c>
      <c r="N2" s="189">
        <f t="shared" ref="N2:N7" si="4">L2+M2</f>
        <v>978</v>
      </c>
      <c r="O2" s="184">
        <v>696</v>
      </c>
      <c r="P2" s="190">
        <f t="shared" ref="P2:P7" si="5">O2/N2*100</f>
        <v>71.1656441717791</v>
      </c>
      <c r="Q2" s="184">
        <v>900</v>
      </c>
      <c r="R2" s="184">
        <f t="shared" ref="R2:R7" si="6">(Q2/N2)*100</f>
        <v>92.0245398773006</v>
      </c>
      <c r="S2" s="184">
        <f t="shared" ref="S2:S7" si="7">Q2-U2</f>
        <v>258</v>
      </c>
      <c r="T2" s="184">
        <f t="shared" ref="T2:T7" si="8">(S2/Q2)*100</f>
        <v>28.6666666666667</v>
      </c>
      <c r="U2" s="184">
        <v>642</v>
      </c>
      <c r="V2" s="191">
        <f t="shared" ref="V2:V7" si="9">IFERROR(U2/Q2*100,0)</f>
        <v>71.3333333333333</v>
      </c>
      <c r="W2" s="184">
        <f>78</f>
        <v>78</v>
      </c>
      <c r="X2" s="184">
        <f t="shared" ref="X2:X7" si="10">100-R2</f>
        <v>7.97546012269939</v>
      </c>
      <c r="Y2" s="184">
        <f t="shared" ref="Y2:Y7" si="11">W2-AA2</f>
        <v>24</v>
      </c>
      <c r="Z2" s="193">
        <f t="shared" ref="Z2:Z7" si="12">(Y2/W2)*100</f>
        <v>30.7692307692308</v>
      </c>
      <c r="AA2" s="193">
        <v>54</v>
      </c>
      <c r="AB2" s="194">
        <f t="shared" ref="AB2:AB7" si="13">IFERROR(AA2/W2*100,0)</f>
        <v>69.2307692307692</v>
      </c>
      <c r="AC2" s="193">
        <f t="shared" ref="AC2:AC7" si="14">U2+AA2</f>
        <v>696</v>
      </c>
      <c r="AD2" s="193" t="str">
        <f t="shared" ref="AD2:AD6" si="15">IF(P2&gt;80,"EXCELLENT",IF(P2&gt;70,"STRONG",IF(P2&gt;60,"AVG",IF(P2&gt;50,"WEAK",IF(P2&lt;50,"VLOW")))))</f>
        <v>STRONG</v>
      </c>
      <c r="AE2" s="195" t="str">
        <f t="shared" ref="AE2:AE6" si="16">IF(R2&gt;80,"EXCELLENT",IF(R2&gt;70,"STRONG",IF(R2&gt;60,"AVG",IF(R2&gt;50,"WEAK",IF(R2&lt;50,"VLOW")))))</f>
        <v>EXCELLENT</v>
      </c>
      <c r="AF2" s="193" t="str">
        <f t="shared" ref="AF2:AF6" si="17">IF(X2&gt;80,"EXCELLENT",IF(X2&gt;70,"STRONG",IF(X2&gt;60,"AVG",IF(X2&gt;50,"WEAK",IF(X2&lt;50,"VLOW")))))</f>
        <v>VLOW</v>
      </c>
      <c r="AG2" s="193" t="str">
        <f t="shared" ref="AG2:AG6" si="18">IF(M2&gt;L2,"FEMALE DOM","MEN")</f>
        <v>MEN</v>
      </c>
      <c r="AH2" s="193" t="str">
        <f t="shared" ref="AH2:AH6" si="19">IF(T2&gt;Z2,"H","O")</f>
        <v>O</v>
      </c>
      <c r="AI2" s="197">
        <f t="shared" ref="AI2:AI6" si="20">E2-G2</f>
        <v>65.5172413793103</v>
      </c>
      <c r="AJ2" s="199" t="str">
        <f t="shared" ref="AJ2:AJ6" si="21">IF(E2&gt;G2,"BJP GAIN","CONGRESSGAIN")</f>
        <v>BJP GAIN</v>
      </c>
    </row>
    <row r="3" spans="1:36">
      <c r="A3" s="184">
        <v>111</v>
      </c>
      <c r="B3" s="185" t="s">
        <v>223</v>
      </c>
      <c r="C3" s="184">
        <v>614</v>
      </c>
      <c r="D3" s="184">
        <v>488</v>
      </c>
      <c r="E3" s="184">
        <f t="shared" si="0"/>
        <v>79.4788273615635</v>
      </c>
      <c r="F3" s="184">
        <v>99</v>
      </c>
      <c r="G3" s="184">
        <f t="shared" si="1"/>
        <v>16.1237785016287</v>
      </c>
      <c r="H3" s="184">
        <v>1</v>
      </c>
      <c r="I3" s="184">
        <f t="shared" si="2"/>
        <v>0.162866449511401</v>
      </c>
      <c r="J3" s="184">
        <v>1</v>
      </c>
      <c r="K3" s="184">
        <f t="shared" si="3"/>
        <v>0.162866449511401</v>
      </c>
      <c r="L3" s="189">
        <v>424</v>
      </c>
      <c r="M3" s="189">
        <v>447</v>
      </c>
      <c r="N3" s="189">
        <f t="shared" si="4"/>
        <v>871</v>
      </c>
      <c r="O3" s="184">
        <v>614</v>
      </c>
      <c r="P3" s="190">
        <f t="shared" si="5"/>
        <v>70.4936854190586</v>
      </c>
      <c r="Q3" s="184">
        <v>859</v>
      </c>
      <c r="R3" s="184">
        <f t="shared" si="6"/>
        <v>98.6222732491389</v>
      </c>
      <c r="S3" s="192">
        <f t="shared" si="7"/>
        <v>253</v>
      </c>
      <c r="T3" s="184">
        <f t="shared" si="8"/>
        <v>29.4528521536671</v>
      </c>
      <c r="U3" s="184">
        <v>606</v>
      </c>
      <c r="V3" s="191">
        <f t="shared" si="9"/>
        <v>70.5471478463329</v>
      </c>
      <c r="W3" s="184">
        <f>871-859</f>
        <v>12</v>
      </c>
      <c r="X3" s="184">
        <f t="shared" si="10"/>
        <v>1.37772675086107</v>
      </c>
      <c r="Y3" s="184">
        <f t="shared" si="11"/>
        <v>4</v>
      </c>
      <c r="Z3" s="193">
        <f t="shared" si="12"/>
        <v>33.3333333333333</v>
      </c>
      <c r="AA3" s="193">
        <v>8</v>
      </c>
      <c r="AB3" s="194">
        <f t="shared" si="13"/>
        <v>66.6666666666667</v>
      </c>
      <c r="AC3" s="193">
        <f t="shared" si="14"/>
        <v>614</v>
      </c>
      <c r="AD3" s="193" t="str">
        <f t="shared" si="15"/>
        <v>STRONG</v>
      </c>
      <c r="AE3" s="195" t="str">
        <f t="shared" si="16"/>
        <v>EXCELLENT</v>
      </c>
      <c r="AF3" s="193" t="str">
        <f t="shared" si="17"/>
        <v>VLOW</v>
      </c>
      <c r="AG3" s="193" t="str">
        <f t="shared" si="18"/>
        <v>FEMALE DOM</v>
      </c>
      <c r="AH3" s="193" t="str">
        <f t="shared" si="19"/>
        <v>O</v>
      </c>
      <c r="AI3" s="197">
        <f t="shared" si="20"/>
        <v>63.3550488599349</v>
      </c>
      <c r="AJ3" s="199" t="str">
        <f t="shared" si="21"/>
        <v>BJP GAIN</v>
      </c>
    </row>
    <row r="4" spans="1:36">
      <c r="A4" s="184">
        <v>112</v>
      </c>
      <c r="B4" s="185" t="s">
        <v>224</v>
      </c>
      <c r="C4" s="184">
        <v>906</v>
      </c>
      <c r="D4" s="184">
        <v>708</v>
      </c>
      <c r="E4" s="184">
        <f t="shared" si="0"/>
        <v>78.1456953642384</v>
      </c>
      <c r="F4" s="184">
        <v>146</v>
      </c>
      <c r="G4" s="184">
        <f t="shared" si="1"/>
        <v>16.1147902869757</v>
      </c>
      <c r="H4" s="184">
        <v>2</v>
      </c>
      <c r="I4" s="184">
        <f t="shared" si="2"/>
        <v>0.22075055187638</v>
      </c>
      <c r="J4" s="184">
        <v>3</v>
      </c>
      <c r="K4" s="184">
        <f t="shared" si="3"/>
        <v>0.33112582781457</v>
      </c>
      <c r="L4" s="189">
        <v>680</v>
      </c>
      <c r="M4" s="189">
        <v>680</v>
      </c>
      <c r="N4" s="189">
        <f t="shared" si="4"/>
        <v>1360</v>
      </c>
      <c r="O4" s="184">
        <v>906</v>
      </c>
      <c r="P4" s="190">
        <f t="shared" si="5"/>
        <v>66.6176470588235</v>
      </c>
      <c r="Q4" s="184">
        <v>1313</v>
      </c>
      <c r="R4" s="184">
        <f t="shared" si="6"/>
        <v>96.5441176470588</v>
      </c>
      <c r="S4" s="184">
        <f t="shared" si="7"/>
        <v>420</v>
      </c>
      <c r="T4" s="184">
        <f t="shared" si="8"/>
        <v>31.987814166032</v>
      </c>
      <c r="U4" s="184">
        <v>893</v>
      </c>
      <c r="V4" s="191">
        <f t="shared" si="9"/>
        <v>68.012185833968</v>
      </c>
      <c r="W4" s="184">
        <v>47</v>
      </c>
      <c r="X4" s="184">
        <f t="shared" si="10"/>
        <v>3.45588235294117</v>
      </c>
      <c r="Y4" s="196">
        <f t="shared" si="11"/>
        <v>34</v>
      </c>
      <c r="Z4" s="193">
        <f t="shared" si="12"/>
        <v>72.3404255319149</v>
      </c>
      <c r="AA4" s="193">
        <f>906-893</f>
        <v>13</v>
      </c>
      <c r="AB4" s="194">
        <f t="shared" si="13"/>
        <v>27.6595744680851</v>
      </c>
      <c r="AC4" s="193">
        <f t="shared" si="14"/>
        <v>906</v>
      </c>
      <c r="AD4" s="193" t="str">
        <f t="shared" si="15"/>
        <v>AVG</v>
      </c>
      <c r="AE4" s="195" t="str">
        <f t="shared" si="16"/>
        <v>EXCELLENT</v>
      </c>
      <c r="AF4" s="193" t="str">
        <f t="shared" si="17"/>
        <v>VLOW</v>
      </c>
      <c r="AG4" s="193" t="str">
        <f t="shared" si="18"/>
        <v>MEN</v>
      </c>
      <c r="AH4" s="193" t="str">
        <f t="shared" si="19"/>
        <v>O</v>
      </c>
      <c r="AI4" s="197">
        <f t="shared" si="20"/>
        <v>62.0309050772627</v>
      </c>
      <c r="AJ4" s="199" t="str">
        <f t="shared" si="21"/>
        <v>BJP GAIN</v>
      </c>
    </row>
    <row r="5" spans="1:36">
      <c r="A5" s="184">
        <v>113</v>
      </c>
      <c r="B5" s="185" t="s">
        <v>225</v>
      </c>
      <c r="C5" s="184">
        <v>674</v>
      </c>
      <c r="D5" s="184">
        <v>561</v>
      </c>
      <c r="E5" s="184">
        <f t="shared" si="0"/>
        <v>83.2344213649852</v>
      </c>
      <c r="F5" s="184">
        <v>93</v>
      </c>
      <c r="G5" s="184">
        <f t="shared" si="1"/>
        <v>13.7982195845697</v>
      </c>
      <c r="H5" s="184">
        <v>0</v>
      </c>
      <c r="I5" s="184">
        <f t="shared" si="2"/>
        <v>0</v>
      </c>
      <c r="J5" s="184">
        <v>3</v>
      </c>
      <c r="K5" s="184">
        <f t="shared" si="3"/>
        <v>0.445103857566766</v>
      </c>
      <c r="L5" s="189">
        <v>474</v>
      </c>
      <c r="M5" s="189">
        <v>451</v>
      </c>
      <c r="N5" s="189">
        <f t="shared" si="4"/>
        <v>925</v>
      </c>
      <c r="O5" s="184">
        <v>674</v>
      </c>
      <c r="P5" s="190">
        <f t="shared" si="5"/>
        <v>72.8648648648649</v>
      </c>
      <c r="Q5" s="184">
        <v>919</v>
      </c>
      <c r="R5" s="184">
        <f t="shared" si="6"/>
        <v>99.3513513513513</v>
      </c>
      <c r="S5" s="184">
        <f t="shared" si="7"/>
        <v>246</v>
      </c>
      <c r="T5" s="184">
        <f t="shared" si="8"/>
        <v>26.7682263329706</v>
      </c>
      <c r="U5" s="184">
        <v>673</v>
      </c>
      <c r="V5" s="191">
        <f t="shared" si="9"/>
        <v>73.2317736670294</v>
      </c>
      <c r="W5" s="184">
        <v>6</v>
      </c>
      <c r="X5" s="184">
        <f t="shared" si="10"/>
        <v>0.64864864864866</v>
      </c>
      <c r="Y5" s="184">
        <f t="shared" si="11"/>
        <v>5</v>
      </c>
      <c r="Z5" s="193">
        <f t="shared" si="12"/>
        <v>83.3333333333333</v>
      </c>
      <c r="AA5" s="193">
        <v>1</v>
      </c>
      <c r="AB5" s="194">
        <f t="shared" si="13"/>
        <v>16.6666666666667</v>
      </c>
      <c r="AC5" s="193">
        <f t="shared" si="14"/>
        <v>674</v>
      </c>
      <c r="AD5" s="193" t="str">
        <f t="shared" si="15"/>
        <v>STRONG</v>
      </c>
      <c r="AE5" s="195" t="str">
        <f t="shared" si="16"/>
        <v>EXCELLENT</v>
      </c>
      <c r="AF5" s="193" t="str">
        <f t="shared" si="17"/>
        <v>VLOW</v>
      </c>
      <c r="AG5" s="193" t="str">
        <f t="shared" si="18"/>
        <v>MEN</v>
      </c>
      <c r="AH5" s="193" t="str">
        <f t="shared" si="19"/>
        <v>O</v>
      </c>
      <c r="AI5" s="197">
        <f t="shared" si="20"/>
        <v>69.4362017804154</v>
      </c>
      <c r="AJ5" s="199" t="str">
        <f t="shared" si="21"/>
        <v>BJP GAIN</v>
      </c>
    </row>
    <row r="6" spans="1:36">
      <c r="A6" s="184">
        <v>114</v>
      </c>
      <c r="B6" s="185" t="s">
        <v>226</v>
      </c>
      <c r="C6" s="184">
        <v>547</v>
      </c>
      <c r="D6" s="184">
        <v>311</v>
      </c>
      <c r="E6" s="184">
        <f t="shared" si="0"/>
        <v>56.8555758683729</v>
      </c>
      <c r="F6" s="184">
        <v>226</v>
      </c>
      <c r="G6" s="184">
        <f t="shared" si="1"/>
        <v>41.3162705667276</v>
      </c>
      <c r="H6" s="184">
        <v>3</v>
      </c>
      <c r="I6" s="184">
        <f t="shared" si="2"/>
        <v>0.548446069469835</v>
      </c>
      <c r="J6" s="184">
        <v>3</v>
      </c>
      <c r="K6" s="184">
        <f t="shared" si="3"/>
        <v>0.548446069469835</v>
      </c>
      <c r="L6" s="189">
        <v>512</v>
      </c>
      <c r="M6" s="189">
        <v>501</v>
      </c>
      <c r="N6" s="189">
        <f t="shared" si="4"/>
        <v>1013</v>
      </c>
      <c r="O6" s="184">
        <v>547</v>
      </c>
      <c r="P6" s="190">
        <f t="shared" si="5"/>
        <v>53.9980256663376</v>
      </c>
      <c r="Q6" s="184">
        <v>673</v>
      </c>
      <c r="R6" s="184">
        <f t="shared" si="6"/>
        <v>66.436327739388</v>
      </c>
      <c r="S6" s="184">
        <f t="shared" si="7"/>
        <v>313</v>
      </c>
      <c r="T6" s="184">
        <f t="shared" si="8"/>
        <v>46.5081723625557</v>
      </c>
      <c r="U6" s="184">
        <v>360</v>
      </c>
      <c r="V6" s="191">
        <f t="shared" si="9"/>
        <v>53.4918276374443</v>
      </c>
      <c r="W6" s="184">
        <f>102+238</f>
        <v>340</v>
      </c>
      <c r="X6" s="184">
        <f t="shared" si="10"/>
        <v>33.563672260612</v>
      </c>
      <c r="Y6" s="184">
        <f t="shared" si="11"/>
        <v>153</v>
      </c>
      <c r="Z6" s="193">
        <f t="shared" si="12"/>
        <v>45</v>
      </c>
      <c r="AA6" s="193">
        <v>187</v>
      </c>
      <c r="AB6" s="194">
        <f t="shared" si="13"/>
        <v>55</v>
      </c>
      <c r="AC6" s="193">
        <f t="shared" si="14"/>
        <v>547</v>
      </c>
      <c r="AD6" s="193" t="str">
        <f t="shared" si="15"/>
        <v>WEAK</v>
      </c>
      <c r="AE6" s="195" t="str">
        <f t="shared" si="16"/>
        <v>AVG</v>
      </c>
      <c r="AF6" s="193" t="str">
        <f t="shared" si="17"/>
        <v>VLOW</v>
      </c>
      <c r="AG6" s="193" t="str">
        <f t="shared" si="18"/>
        <v>MEN</v>
      </c>
      <c r="AH6" s="193" t="str">
        <f t="shared" si="19"/>
        <v>H</v>
      </c>
      <c r="AI6" s="197">
        <f t="shared" si="20"/>
        <v>15.5393053016453</v>
      </c>
      <c r="AJ6" s="199" t="str">
        <f t="shared" si="21"/>
        <v>BJP GAIN</v>
      </c>
    </row>
    <row r="7" spans="1:29">
      <c r="A7" s="345">
        <v>109</v>
      </c>
      <c r="B7" s="346" t="s">
        <v>219</v>
      </c>
      <c r="C7" s="345">
        <v>430</v>
      </c>
      <c r="D7" s="345">
        <v>238</v>
      </c>
      <c r="E7" s="345">
        <f t="shared" si="0"/>
        <v>55.3488372093023</v>
      </c>
      <c r="F7" s="345">
        <v>185</v>
      </c>
      <c r="G7" s="345">
        <f t="shared" si="1"/>
        <v>43.0232558139535</v>
      </c>
      <c r="H7" s="345">
        <v>2</v>
      </c>
      <c r="I7" s="345">
        <f t="shared" si="2"/>
        <v>0.465116279069767</v>
      </c>
      <c r="J7" s="345">
        <v>1</v>
      </c>
      <c r="K7" s="345">
        <f t="shared" si="3"/>
        <v>0.232558139534884</v>
      </c>
      <c r="L7" s="347">
        <v>379</v>
      </c>
      <c r="M7" s="347">
        <v>347</v>
      </c>
      <c r="N7" s="347">
        <f t="shared" si="4"/>
        <v>726</v>
      </c>
      <c r="O7" s="345">
        <v>430</v>
      </c>
      <c r="P7" s="348">
        <f t="shared" si="5"/>
        <v>59.228650137741</v>
      </c>
      <c r="Q7" s="345">
        <v>448</v>
      </c>
      <c r="R7" s="345">
        <f t="shared" si="6"/>
        <v>61.7079889807163</v>
      </c>
      <c r="S7" s="345">
        <f t="shared" si="7"/>
        <v>195</v>
      </c>
      <c r="T7" s="345">
        <f t="shared" si="8"/>
        <v>43.5267857142857</v>
      </c>
      <c r="U7" s="345">
        <v>253</v>
      </c>
      <c r="V7" s="349">
        <f t="shared" si="9"/>
        <v>56.4732142857143</v>
      </c>
      <c r="W7" s="345">
        <f>726-448</f>
        <v>278</v>
      </c>
      <c r="X7" s="345">
        <f t="shared" si="10"/>
        <v>38.2920110192837</v>
      </c>
      <c r="Y7" s="529">
        <f t="shared" si="11"/>
        <v>101</v>
      </c>
      <c r="Z7" s="345">
        <f t="shared" si="12"/>
        <v>36.3309352517986</v>
      </c>
      <c r="AA7" s="345">
        <v>177</v>
      </c>
      <c r="AB7" s="349">
        <f t="shared" si="13"/>
        <v>63.6690647482014</v>
      </c>
      <c r="AC7" s="345">
        <f t="shared" si="14"/>
        <v>430</v>
      </c>
    </row>
    <row r="8" spans="3:11">
      <c r="C8">
        <f>SUM(C2:C7)</f>
        <v>3867</v>
      </c>
      <c r="D8">
        <f>SUM(D2:D7)</f>
        <v>2868</v>
      </c>
      <c r="E8" s="186">
        <f>AVERAGE(E2:E7)</f>
        <v>72.3017472675407</v>
      </c>
      <c r="F8">
        <f>SUM(F2:F7)</f>
        <v>855</v>
      </c>
      <c r="G8" s="186">
        <f>AVERAGE(G2:G7)</f>
        <v>24.2676999685544</v>
      </c>
      <c r="H8">
        <f>SUM(H2:H7)</f>
        <v>10</v>
      </c>
      <c r="I8" s="186">
        <f>AVERAGE(I2:I7)</f>
        <v>0.280755945294411</v>
      </c>
      <c r="J8">
        <f>SUM(J2:J7)</f>
        <v>14</v>
      </c>
      <c r="K8" s="186">
        <f>AVERAGE(K2:K7)</f>
        <v>0.358522471109346</v>
      </c>
    </row>
  </sheetData>
  <conditionalFormatting sqref="AD2:AD6">
    <cfRule type="containsText" dxfId="8" priority="15" operator="between" text="AVG">
      <formula>NOT(ISERROR(SEARCH("AVG",AD2)))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NOT(ISERROR(SEARCH("VSTRONG",AD2)))</formula>
    </cfRule>
    <cfRule type="containsText" dxfId="10" priority="5" operator="between" text="AVG">
      <formula>NOT(ISERROR(SEARCH("AVG",AD2)))</formula>
    </cfRule>
  </conditionalFormatting>
  <conditionalFormatting sqref="AE2:AE6">
    <cfRule type="containsText" dxfId="3" priority="9" operator="between" text="STRONG">
      <formula>NOT(ISERROR(SEARCH("STRONG",AE2)))</formula>
    </cfRule>
    <cfRule type="containsText" dxfId="1" priority="7" operator="between" text="VSTRONG">
      <formula>NOT(ISERROR(SEARCH("VSTRONG",AE2)))</formula>
    </cfRule>
  </conditionalFormatting>
  <conditionalFormatting sqref="AF2:AF6">
    <cfRule type="cellIs" dxfId="11" priority="3" operator="equal">
      <formula>"VWEAK"</formula>
    </cfRule>
    <cfRule type="containsText" dxfId="0" priority="2" operator="between" text="VSTRONG">
      <formula>NOT(ISERROR(SEARCH("VSTRONG",AF2)))</formula>
    </cfRule>
  </conditionalFormatting>
  <conditionalFormatting sqref="AG2:AG6">
    <cfRule type="containsText" dxfId="12" priority="6" operator="between" text="FEMALE DOM">
      <formula>NOT(ISERROR(SEARCH("FEMALE DOM",AG2)))</formula>
    </cfRule>
    <cfRule type="containsText" dxfId="10" priority="1" operator="between" text="MEN">
      <formula>NOT(ISERROR(SEARCH("MEN",AG2)))</formula>
    </cfRule>
  </conditionalFormatting>
  <conditionalFormatting sqref="AH2:AH6">
    <cfRule type="containsText" dxfId="0" priority="12" operator="between" text="O">
      <formula>NOT(ISERROR(SEARCH("O",AH2)))</formula>
    </cfRule>
    <cfRule type="containsText" dxfId="3" priority="10" operator="between" text="H">
      <formula>NOT(ISERROR(SEARCH("H",AH2)))</formula>
    </cfRule>
    <cfRule type="containsText" dxfId="13" priority="11" operator="between" text="H">
      <formula>NOT(ISERROR(SEARCH("H",AH2)))</formula>
    </cfRule>
    <cfRule type="containsText" dxfId="1" priority="4" operator="between" text="H">
      <formula>NOT(ISERROR(SEARCH("H",AH2)))</formula>
    </cfRule>
  </conditionalFormatting>
  <conditionalFormatting sqref="AE2:AF6">
    <cfRule type="containsText" dxfId="2" priority="8" operator="between" text="AVG">
      <formula>NOT(ISERROR(SEARCH("AVG",AE2)))</formula>
    </cfRule>
  </conditionalFormatting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4"/>
  <sheetViews>
    <sheetView topLeftCell="L13" workbookViewId="0">
      <selection activeCell="R16" sqref="R16:Y34"/>
    </sheetView>
  </sheetViews>
  <sheetFormatPr defaultColWidth="9" defaultRowHeight="14.5"/>
  <cols>
    <col min="3" max="3" width="9.13636363636364" customWidth="1"/>
    <col min="25" max="25" width="12" customWidth="1"/>
    <col min="26" max="26" width="11.5727272727273" customWidth="1"/>
    <col min="27" max="27" width="9.13636363636364" customWidth="1"/>
  </cols>
  <sheetData>
    <row r="1" spans="1:53">
      <c r="A1" s="509" t="s">
        <v>16</v>
      </c>
      <c r="B1" s="225" t="s">
        <v>177</v>
      </c>
      <c r="C1" s="267" t="s">
        <v>15</v>
      </c>
      <c r="D1" s="267" t="s">
        <v>1</v>
      </c>
      <c r="E1" s="513"/>
      <c r="F1" s="513"/>
      <c r="G1" s="513"/>
      <c r="H1" s="513"/>
      <c r="I1" s="513"/>
      <c r="J1" s="513"/>
      <c r="K1" s="508"/>
      <c r="L1" s="508" t="s">
        <v>2</v>
      </c>
      <c r="M1" s="268" t="s">
        <v>3</v>
      </c>
      <c r="N1" s="268" t="s">
        <v>4</v>
      </c>
      <c r="O1" s="513" t="s">
        <v>5</v>
      </c>
      <c r="P1" s="268" t="s">
        <v>17</v>
      </c>
      <c r="Q1" s="237" t="s">
        <v>18</v>
      </c>
      <c r="R1" s="268" t="s">
        <v>19</v>
      </c>
      <c r="S1" s="238" t="s">
        <v>20</v>
      </c>
      <c r="T1" s="237" t="s">
        <v>21</v>
      </c>
      <c r="U1" s="268" t="s">
        <v>22</v>
      </c>
      <c r="V1" s="526" t="s">
        <v>23</v>
      </c>
      <c r="W1" s="268" t="s">
        <v>156</v>
      </c>
      <c r="X1" s="513" t="s">
        <v>66</v>
      </c>
      <c r="Y1" s="268" t="s">
        <v>67</v>
      </c>
      <c r="Z1" s="508" t="s">
        <v>159</v>
      </c>
      <c r="AA1" s="508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509"/>
      <c r="B2" s="241"/>
      <c r="C2" s="273"/>
      <c r="D2" s="273"/>
      <c r="E2" s="514"/>
      <c r="F2" s="514"/>
      <c r="G2" s="514"/>
      <c r="H2" s="514"/>
      <c r="I2" s="514"/>
      <c r="J2" s="514"/>
      <c r="K2" s="509"/>
      <c r="L2" s="509"/>
      <c r="M2" s="274"/>
      <c r="N2" s="274"/>
      <c r="O2" s="514"/>
      <c r="P2" s="274"/>
      <c r="Q2" s="242"/>
      <c r="R2" s="274"/>
      <c r="S2" s="243"/>
      <c r="T2" s="242"/>
      <c r="U2" s="274"/>
      <c r="V2" s="527"/>
      <c r="W2" s="274"/>
      <c r="X2" s="514"/>
      <c r="Y2" s="274"/>
      <c r="Z2" s="509"/>
      <c r="AA2" s="509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509"/>
      <c r="B3" s="241"/>
      <c r="C3" s="273"/>
      <c r="D3" s="267" t="s">
        <v>7</v>
      </c>
      <c r="E3" s="268" t="s">
        <v>8</v>
      </c>
      <c r="F3" s="513" t="s">
        <v>9</v>
      </c>
      <c r="G3" s="267" t="s">
        <v>10</v>
      </c>
      <c r="H3" s="268" t="s">
        <v>11</v>
      </c>
      <c r="I3" s="268" t="s">
        <v>12</v>
      </c>
      <c r="J3" s="508" t="s">
        <v>9</v>
      </c>
      <c r="K3" s="508" t="s">
        <v>13</v>
      </c>
      <c r="L3" s="509"/>
      <c r="M3" s="274"/>
      <c r="N3" s="274"/>
      <c r="O3" s="514"/>
      <c r="P3" s="274"/>
      <c r="Q3" s="242"/>
      <c r="R3" s="274"/>
      <c r="S3" s="243"/>
      <c r="T3" s="242"/>
      <c r="U3" s="274"/>
      <c r="V3" s="527"/>
      <c r="W3" s="274"/>
      <c r="X3" s="514"/>
      <c r="Y3" s="274"/>
      <c r="Z3" s="509"/>
      <c r="AA3" s="509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509"/>
      <c r="B4" s="241"/>
      <c r="C4" s="273"/>
      <c r="D4" s="273"/>
      <c r="E4" s="274"/>
      <c r="F4" s="514"/>
      <c r="G4" s="273"/>
      <c r="H4" s="274"/>
      <c r="I4" s="274"/>
      <c r="J4" s="509"/>
      <c r="K4" s="509"/>
      <c r="L4" s="509"/>
      <c r="M4" s="274"/>
      <c r="N4" s="274"/>
      <c r="O4" s="514"/>
      <c r="P4" s="274"/>
      <c r="Q4" s="242"/>
      <c r="R4" s="274"/>
      <c r="S4" s="243"/>
      <c r="T4" s="242"/>
      <c r="U4" s="274"/>
      <c r="V4" s="527"/>
      <c r="W4" s="274"/>
      <c r="X4" s="514"/>
      <c r="Y4" s="274"/>
      <c r="Z4" s="509"/>
      <c r="AA4" s="509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509"/>
      <c r="B5" s="241"/>
      <c r="C5" s="273"/>
      <c r="D5" s="273"/>
      <c r="E5" s="274"/>
      <c r="F5" s="514"/>
      <c r="G5" s="273"/>
      <c r="H5" s="274"/>
      <c r="I5" s="274"/>
      <c r="J5" s="509"/>
      <c r="K5" s="509"/>
      <c r="L5" s="509"/>
      <c r="M5" s="274"/>
      <c r="N5" s="274"/>
      <c r="O5" s="514"/>
      <c r="P5" s="274"/>
      <c r="Q5" s="242"/>
      <c r="R5" s="274"/>
      <c r="S5" s="243"/>
      <c r="T5" s="242"/>
      <c r="U5" s="274"/>
      <c r="V5" s="527"/>
      <c r="W5" s="274"/>
      <c r="X5" s="514"/>
      <c r="Y5" s="274"/>
      <c r="Z5" s="509"/>
      <c r="AA5" s="509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510"/>
      <c r="B6" s="241"/>
      <c r="C6" s="278"/>
      <c r="D6" s="278"/>
      <c r="E6" s="279"/>
      <c r="F6" s="515"/>
      <c r="G6" s="278"/>
      <c r="H6" s="279"/>
      <c r="I6" s="279"/>
      <c r="J6" s="510"/>
      <c r="K6" s="510"/>
      <c r="L6" s="510"/>
      <c r="M6" s="279"/>
      <c r="N6" s="279"/>
      <c r="O6" s="514"/>
      <c r="P6" s="279"/>
      <c r="Q6" s="242"/>
      <c r="R6" s="279"/>
      <c r="S6" s="240"/>
      <c r="T6" s="242"/>
      <c r="U6" s="279"/>
      <c r="V6" s="528"/>
      <c r="W6" s="279"/>
      <c r="X6" s="514"/>
      <c r="Y6" s="274"/>
      <c r="Z6" s="510"/>
      <c r="AA6" s="509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516" t="s">
        <v>38</v>
      </c>
      <c r="B7" s="258">
        <v>150</v>
      </c>
      <c r="C7" s="517">
        <v>965</v>
      </c>
      <c r="D7" s="259">
        <v>171</v>
      </c>
      <c r="E7" s="517">
        <v>447</v>
      </c>
      <c r="F7" s="259">
        <v>1</v>
      </c>
      <c r="G7" s="258">
        <v>0</v>
      </c>
      <c r="H7" s="517">
        <v>0</v>
      </c>
      <c r="I7" s="517">
        <v>0</v>
      </c>
      <c r="J7" s="525">
        <v>3</v>
      </c>
      <c r="K7" s="259">
        <v>0</v>
      </c>
      <c r="L7" s="517">
        <v>622</v>
      </c>
      <c r="M7" s="517">
        <v>0</v>
      </c>
      <c r="N7" s="517">
        <v>8</v>
      </c>
      <c r="O7" s="259">
        <f t="shared" ref="O7:O11" si="0">D7+E7+F7+G7+H7+I7+J7+K7+N7</f>
        <v>630</v>
      </c>
      <c r="P7" s="517">
        <f t="shared" ref="P7:P11" si="1">(O7/C7)*100</f>
        <v>65.2849740932643</v>
      </c>
      <c r="Q7" s="259">
        <f t="shared" ref="Q7:Q11" si="2">(E7/O7)*100</f>
        <v>70.9523809523809</v>
      </c>
      <c r="R7" s="517">
        <f t="shared" ref="R7:R11" si="3">(D7/O7)*100</f>
        <v>27.1428571428571</v>
      </c>
      <c r="S7" s="525">
        <f t="shared" ref="S7:S11" si="4">(F7/O7)*100</f>
        <v>0.158730158730159</v>
      </c>
      <c r="T7" s="259">
        <f t="shared" ref="T7:T11" si="5">(G7/O7)*100</f>
        <v>0</v>
      </c>
      <c r="U7" s="517">
        <f t="shared" ref="U7:U11" si="6">((H7+I7+J7+K7)/O7)*100</f>
        <v>0.476190476190476</v>
      </c>
      <c r="V7" s="517">
        <f t="shared" ref="V7:V11" si="7">(N7/O7)*100</f>
        <v>1.26984126984127</v>
      </c>
      <c r="W7" s="517">
        <f>Q7-R7</f>
        <v>43.8095238095238</v>
      </c>
      <c r="X7" s="259">
        <f>Q7-(R7+S7+T7+U7)</f>
        <v>43.1746031746032</v>
      </c>
      <c r="Y7" s="517" t="str">
        <f>IF(AND(W7&lt;0,W7&lt;=1),"LOST",IF(AND(W7&gt;1,W7&lt;=10),"NARROW",IF(AND(W7&gt;10,W7&lt;=40),"MEDIUM",IF(AND(W7&gt;40,W7&lt;=90),"STRONG",""))))</f>
        <v>STRONG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981</v>
      </c>
      <c r="AC7">
        <v>604</v>
      </c>
      <c r="AD7">
        <v>381</v>
      </c>
      <c r="AE7">
        <v>250</v>
      </c>
      <c r="AF7">
        <v>600</v>
      </c>
      <c r="AG7">
        <v>354</v>
      </c>
      <c r="AH7">
        <v>486</v>
      </c>
      <c r="AI7">
        <v>325</v>
      </c>
      <c r="AJ7">
        <v>192</v>
      </c>
      <c r="AK7">
        <v>124</v>
      </c>
      <c r="AL7">
        <v>303</v>
      </c>
      <c r="AM7">
        <v>155</v>
      </c>
      <c r="AN7" s="248">
        <f>(AD7/AB7)*100</f>
        <v>38.8379204892966</v>
      </c>
      <c r="AO7" s="316">
        <f>(AE7/AC7)*100</f>
        <v>41.3907284768212</v>
      </c>
      <c r="AP7" s="317">
        <f>(AF7/AB7)*100</f>
        <v>61.1620795107034</v>
      </c>
      <c r="AQ7" s="318">
        <f>(AG7/AC7)*100</f>
        <v>58.6092715231788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49.5412844036697</v>
      </c>
      <c r="AU7" s="317">
        <f>(AI7/AC7)*100</f>
        <v>53.8079470198676</v>
      </c>
      <c r="AV7" s="248">
        <f>(AJ7/AB7)*100</f>
        <v>19.5718654434251</v>
      </c>
      <c r="AW7" s="317">
        <f>(AK7/AC7)*100</f>
        <v>20.5298013245033</v>
      </c>
      <c r="AX7" s="248">
        <f>(AL7/AB7)*100</f>
        <v>30.8868501529052</v>
      </c>
      <c r="AY7" s="317">
        <f>(AM7/AC7)*100</f>
        <v>25.6622516556291</v>
      </c>
      <c r="AZ7" s="248" t="str">
        <f>IF(AT7&gt;(AV7+AX7),"HINDU","MINORITY")</f>
        <v>MINORITY</v>
      </c>
      <c r="BA7" s="318" t="str">
        <f>IF(AU7&gt;(AW7+AY7),"HIND","MINORITY")</f>
        <v>HIND</v>
      </c>
    </row>
    <row r="8" spans="1:53">
      <c r="A8" s="317"/>
      <c r="B8" s="518">
        <v>137</v>
      </c>
      <c r="C8" s="199">
        <v>1035</v>
      </c>
      <c r="D8" s="519">
        <v>154</v>
      </c>
      <c r="E8" s="199">
        <v>571</v>
      </c>
      <c r="F8" s="519">
        <v>1</v>
      </c>
      <c r="G8" s="518">
        <v>0</v>
      </c>
      <c r="H8" s="199">
        <v>0</v>
      </c>
      <c r="I8" s="199">
        <v>2</v>
      </c>
      <c r="J8" s="289">
        <v>1</v>
      </c>
      <c r="K8" s="519">
        <v>1</v>
      </c>
      <c r="L8" s="199">
        <v>730</v>
      </c>
      <c r="M8" s="199">
        <v>0</v>
      </c>
      <c r="N8" s="199">
        <v>8</v>
      </c>
      <c r="O8" s="519">
        <f t="shared" si="0"/>
        <v>738</v>
      </c>
      <c r="P8" s="199">
        <f t="shared" si="1"/>
        <v>71.304347826087</v>
      </c>
      <c r="Q8" s="519">
        <f t="shared" si="2"/>
        <v>77.3712737127371</v>
      </c>
      <c r="R8" s="199">
        <f t="shared" si="3"/>
        <v>20.8672086720867</v>
      </c>
      <c r="S8" s="289">
        <f t="shared" si="4"/>
        <v>0.13550135501355</v>
      </c>
      <c r="T8" s="519">
        <f t="shared" si="5"/>
        <v>0</v>
      </c>
      <c r="U8" s="199">
        <f t="shared" si="6"/>
        <v>0.5420054200542</v>
      </c>
      <c r="V8" s="199">
        <f t="shared" si="7"/>
        <v>1.0840108401084</v>
      </c>
      <c r="W8" s="199">
        <f t="shared" ref="W8:W11" si="8">Q8-R8</f>
        <v>56.5040650406504</v>
      </c>
      <c r="X8" s="519">
        <f t="shared" ref="X8:X11" si="9">Q8-(R8+S8+T8+U8)</f>
        <v>55.8265582655827</v>
      </c>
      <c r="Y8" s="199" t="str">
        <f t="shared" ref="Y8:Y12" si="10">IF(AND(W8&lt;0,W8&lt;=1),"LOST",IF(AND(W8&gt;1,W8&lt;=10),"NARROW",IF(AND(W8&gt;10,W8&lt;=40),"MEDIUM",IF(AND(W8&gt;40,W8&lt;=90),"STRONG",""))))</f>
        <v>STRONG</v>
      </c>
      <c r="Z8" s="283" t="str">
        <f t="shared" ref="Z8:Z12" si="11">IF(AND(P8&lt;0,P8&lt;=10),"WEAK",IF(AND(P8&gt;10,P8&lt;20),"BELOW AVG",IF(AND(P8&gt;20,P8&lt;=60),"MEDIUM",IF(AND(P8&gt;60,P8&lt;=90),"STRONG",""))))</f>
        <v>STRONG</v>
      </c>
      <c r="AA8" s="289" t="str">
        <f t="shared" ref="AA8:AA12" si="12">IF(Q8&gt;R8,"BJP","CONGRESS")</f>
        <v>BJP</v>
      </c>
      <c r="AB8">
        <v>1031</v>
      </c>
      <c r="AD8">
        <v>492</v>
      </c>
      <c r="AF8">
        <v>539</v>
      </c>
      <c r="AH8">
        <v>953</v>
      </c>
      <c r="AJ8">
        <v>12</v>
      </c>
      <c r="AL8">
        <v>66</v>
      </c>
      <c r="AN8" s="248">
        <f t="shared" ref="AN8:AO12" si="13">(AD8/AB8)*100</f>
        <v>47.7206595538312</v>
      </c>
      <c r="AO8" s="316" t="e">
        <f t="shared" si="13"/>
        <v>#DIV/0!</v>
      </c>
      <c r="AP8" s="317">
        <f t="shared" ref="AP8:AQ12" si="14">(AF8/AB8)*100</f>
        <v>52.2793404461688</v>
      </c>
      <c r="AQ8" s="318" t="e">
        <f t="shared" si="14"/>
        <v>#DIV/0!</v>
      </c>
      <c r="AR8" s="318" t="str">
        <f t="shared" ref="AR8:AR12" si="15">IF(AN8&gt;AP8,"MALE DOM","FEMALE DOM")</f>
        <v>FEMALE DOM</v>
      </c>
      <c r="AS8" s="319" t="e">
        <f t="shared" ref="AS8:AS12" si="16">IF(AO8&gt;AP8,"MALE","FEMALE")</f>
        <v>#DIV/0!</v>
      </c>
      <c r="AT8" s="317">
        <f t="shared" ref="AT8:AU12" si="17">(AH8/AB8)*100</f>
        <v>92.4345295829292</v>
      </c>
      <c r="AU8" s="317" t="e">
        <f t="shared" si="17"/>
        <v>#DIV/0!</v>
      </c>
      <c r="AV8" s="248">
        <f t="shared" ref="AV8:AW12" si="18">(AJ8/AB8)*100</f>
        <v>1.1639185257032</v>
      </c>
      <c r="AW8" s="317" t="e">
        <f t="shared" si="18"/>
        <v>#DIV/0!</v>
      </c>
      <c r="AX8" s="248">
        <f t="shared" ref="AX8:AY12" si="19">(AL8/AB8)*100</f>
        <v>6.4015518913676</v>
      </c>
      <c r="AY8" s="317" t="e">
        <f t="shared" si="19"/>
        <v>#DIV/0!</v>
      </c>
      <c r="AZ8" s="248" t="str">
        <f t="shared" ref="AZ8:AZ12" si="20">IF(AT8&gt;(AV8+AX8),"HINDU","MINORITY")</f>
        <v>HINDU</v>
      </c>
      <c r="BA8" s="318" t="e">
        <f t="shared" ref="BA8:BA12" si="21">IF(AU8&gt;(AW8+AY8),"HIND","MINORITY")</f>
        <v>#DIV/0!</v>
      </c>
    </row>
    <row r="9" spans="1:53">
      <c r="A9" s="317"/>
      <c r="B9" s="229">
        <v>145</v>
      </c>
      <c r="C9" s="200">
        <v>1020</v>
      </c>
      <c r="D9" s="256">
        <v>342</v>
      </c>
      <c r="E9" s="200">
        <v>273</v>
      </c>
      <c r="F9" s="256">
        <v>3</v>
      </c>
      <c r="G9" s="229">
        <v>0</v>
      </c>
      <c r="H9" s="200">
        <v>0</v>
      </c>
      <c r="I9" s="200">
        <v>0</v>
      </c>
      <c r="J9" s="257">
        <v>1</v>
      </c>
      <c r="K9" s="256">
        <v>0</v>
      </c>
      <c r="L9" s="200">
        <v>619</v>
      </c>
      <c r="M9" s="200">
        <v>0</v>
      </c>
      <c r="N9" s="200">
        <v>0</v>
      </c>
      <c r="O9" s="256">
        <f t="shared" si="0"/>
        <v>619</v>
      </c>
      <c r="P9" s="200">
        <f t="shared" si="1"/>
        <v>60.6862745098039</v>
      </c>
      <c r="Q9" s="256">
        <f t="shared" si="2"/>
        <v>44.1033925686591</v>
      </c>
      <c r="R9" s="200">
        <f t="shared" si="3"/>
        <v>55.2504038772213</v>
      </c>
      <c r="S9" s="257">
        <f t="shared" si="4"/>
        <v>0.484652665589661</v>
      </c>
      <c r="T9" s="256">
        <f t="shared" si="5"/>
        <v>0</v>
      </c>
      <c r="U9" s="200">
        <f t="shared" si="6"/>
        <v>0.161550888529887</v>
      </c>
      <c r="V9" s="200">
        <f t="shared" si="7"/>
        <v>0</v>
      </c>
      <c r="W9" s="200">
        <f t="shared" si="8"/>
        <v>-11.1470113085622</v>
      </c>
      <c r="X9" s="256">
        <f t="shared" si="9"/>
        <v>-11.7932148626818</v>
      </c>
      <c r="Y9" s="200" t="str">
        <f t="shared" si="10"/>
        <v>LOST</v>
      </c>
      <c r="Z9" s="283" t="str">
        <f t="shared" si="11"/>
        <v>STRONG</v>
      </c>
      <c r="AA9" s="511" t="str">
        <f t="shared" si="12"/>
        <v>CONGRESS</v>
      </c>
      <c r="AB9">
        <v>1016</v>
      </c>
      <c r="AC9">
        <v>463</v>
      </c>
      <c r="AD9">
        <v>479</v>
      </c>
      <c r="AE9">
        <v>235</v>
      </c>
      <c r="AF9">
        <v>537</v>
      </c>
      <c r="AG9">
        <v>228</v>
      </c>
      <c r="AH9">
        <v>513</v>
      </c>
      <c r="AI9">
        <v>233</v>
      </c>
      <c r="AJ9">
        <v>466</v>
      </c>
      <c r="AK9">
        <v>215</v>
      </c>
      <c r="AL9">
        <v>37</v>
      </c>
      <c r="AM9">
        <v>15</v>
      </c>
      <c r="AN9" s="248">
        <f t="shared" si="13"/>
        <v>47.1456692913386</v>
      </c>
      <c r="AO9" s="316">
        <f t="shared" si="13"/>
        <v>50.755939524838</v>
      </c>
      <c r="AP9" s="317">
        <f t="shared" si="14"/>
        <v>52.8543307086614</v>
      </c>
      <c r="AQ9" s="318">
        <f t="shared" si="14"/>
        <v>49.244060475162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50.492125984252</v>
      </c>
      <c r="AU9" s="317">
        <f t="shared" si="17"/>
        <v>50.3239740820734</v>
      </c>
      <c r="AV9" s="248">
        <f t="shared" si="18"/>
        <v>45.8661417322835</v>
      </c>
      <c r="AW9" s="317">
        <f t="shared" si="18"/>
        <v>46.4362850971922</v>
      </c>
      <c r="AX9" s="248">
        <f t="shared" si="19"/>
        <v>3.64173228346457</v>
      </c>
      <c r="AY9" s="317">
        <f t="shared" si="19"/>
        <v>3.23974082073434</v>
      </c>
      <c r="AZ9" s="248" t="str">
        <f t="shared" si="20"/>
        <v>HINDU</v>
      </c>
      <c r="BA9" s="318" t="str">
        <f t="shared" si="21"/>
        <v>HIND</v>
      </c>
    </row>
    <row r="10" spans="1:53">
      <c r="A10" s="317"/>
      <c r="B10" s="228">
        <v>146</v>
      </c>
      <c r="C10" s="520">
        <v>1362</v>
      </c>
      <c r="D10" s="254">
        <v>377</v>
      </c>
      <c r="E10" s="520">
        <v>374</v>
      </c>
      <c r="F10" s="254">
        <v>3</v>
      </c>
      <c r="G10" s="228">
        <v>2</v>
      </c>
      <c r="H10" s="520">
        <v>0</v>
      </c>
      <c r="I10" s="520">
        <v>1</v>
      </c>
      <c r="J10" s="255">
        <v>2</v>
      </c>
      <c r="K10" s="254">
        <v>0</v>
      </c>
      <c r="L10" s="520">
        <v>759</v>
      </c>
      <c r="M10" s="520">
        <v>0</v>
      </c>
      <c r="N10" s="520">
        <v>6</v>
      </c>
      <c r="O10" s="254">
        <f t="shared" si="0"/>
        <v>765</v>
      </c>
      <c r="P10" s="520">
        <f t="shared" si="1"/>
        <v>56.1674008810573</v>
      </c>
      <c r="Q10" s="254">
        <f t="shared" si="2"/>
        <v>48.8888888888889</v>
      </c>
      <c r="R10" s="520">
        <f t="shared" si="3"/>
        <v>49.281045751634</v>
      </c>
      <c r="S10" s="255">
        <f t="shared" si="4"/>
        <v>0.392156862745098</v>
      </c>
      <c r="T10" s="254">
        <f t="shared" si="5"/>
        <v>0.261437908496732</v>
      </c>
      <c r="U10" s="520">
        <f t="shared" si="6"/>
        <v>0.392156862745098</v>
      </c>
      <c r="V10" s="520">
        <f t="shared" si="7"/>
        <v>0.784313725490196</v>
      </c>
      <c r="W10" s="520">
        <f t="shared" si="8"/>
        <v>-0.392156862745104</v>
      </c>
      <c r="X10" s="254">
        <f t="shared" si="9"/>
        <v>-1.43790849673203</v>
      </c>
      <c r="Y10" s="520" t="str">
        <f t="shared" si="10"/>
        <v>LOST</v>
      </c>
      <c r="Z10" s="288" t="str">
        <f t="shared" si="11"/>
        <v>MEDIUM</v>
      </c>
      <c r="AA10" s="511" t="str">
        <f t="shared" si="12"/>
        <v>CONGRESS</v>
      </c>
      <c r="AB10">
        <v>1358</v>
      </c>
      <c r="AC10">
        <v>748</v>
      </c>
      <c r="AD10">
        <v>665</v>
      </c>
      <c r="AE10">
        <v>355</v>
      </c>
      <c r="AF10">
        <v>693</v>
      </c>
      <c r="AG10">
        <v>393</v>
      </c>
      <c r="AH10">
        <v>808</v>
      </c>
      <c r="AI10">
        <v>444</v>
      </c>
      <c r="AJ10">
        <v>491</v>
      </c>
      <c r="AK10">
        <v>273</v>
      </c>
      <c r="AL10">
        <v>59</v>
      </c>
      <c r="AM10">
        <v>31</v>
      </c>
      <c r="AN10" s="248">
        <f t="shared" si="13"/>
        <v>48.9690721649485</v>
      </c>
      <c r="AO10" s="316">
        <f t="shared" si="13"/>
        <v>47.4598930481283</v>
      </c>
      <c r="AP10" s="317">
        <f t="shared" si="14"/>
        <v>51.0309278350515</v>
      </c>
      <c r="AQ10" s="318">
        <f t="shared" si="14"/>
        <v>52.5401069518717</v>
      </c>
      <c r="AR10" s="318" t="str">
        <f t="shared" si="15"/>
        <v>FEMALE DOM</v>
      </c>
      <c r="AS10" s="319" t="str">
        <f t="shared" si="16"/>
        <v>FEMALE</v>
      </c>
      <c r="AT10" s="317">
        <f t="shared" si="17"/>
        <v>59.499263622975</v>
      </c>
      <c r="AU10" s="317">
        <f t="shared" si="17"/>
        <v>59.3582887700535</v>
      </c>
      <c r="AV10" s="248">
        <f t="shared" si="18"/>
        <v>36.1561119293078</v>
      </c>
      <c r="AW10" s="317">
        <f t="shared" si="18"/>
        <v>36.4973262032086</v>
      </c>
      <c r="AX10" s="248">
        <f t="shared" si="19"/>
        <v>4.34462444771723</v>
      </c>
      <c r="AY10" s="317">
        <f t="shared" si="19"/>
        <v>4.14438502673797</v>
      </c>
      <c r="AZ10" s="248" t="str">
        <f t="shared" si="20"/>
        <v>HINDU</v>
      </c>
      <c r="BA10" s="318" t="str">
        <f t="shared" si="21"/>
        <v>HIND</v>
      </c>
    </row>
    <row r="11" spans="1:53">
      <c r="A11" s="317"/>
      <c r="B11" s="199">
        <v>141</v>
      </c>
      <c r="C11" s="289">
        <v>688</v>
      </c>
      <c r="D11" s="519">
        <v>68</v>
      </c>
      <c r="E11" s="199">
        <v>252</v>
      </c>
      <c r="F11" s="519">
        <v>1</v>
      </c>
      <c r="G11" s="518">
        <v>1</v>
      </c>
      <c r="H11" s="199">
        <v>0</v>
      </c>
      <c r="I11" s="199">
        <v>0</v>
      </c>
      <c r="J11" s="289">
        <v>0</v>
      </c>
      <c r="K11" s="519">
        <v>0</v>
      </c>
      <c r="L11" s="199">
        <v>322</v>
      </c>
      <c r="M11" s="199">
        <v>0</v>
      </c>
      <c r="N11" s="199">
        <v>2</v>
      </c>
      <c r="O11" s="519">
        <f t="shared" si="0"/>
        <v>324</v>
      </c>
      <c r="P11" s="199">
        <f t="shared" si="1"/>
        <v>47.093023255814</v>
      </c>
      <c r="Q11" s="519">
        <f t="shared" si="2"/>
        <v>77.7777777777778</v>
      </c>
      <c r="R11" s="199">
        <f t="shared" si="3"/>
        <v>20.9876543209877</v>
      </c>
      <c r="S11" s="289">
        <f t="shared" si="4"/>
        <v>0.308641975308642</v>
      </c>
      <c r="T11" s="519">
        <f t="shared" si="5"/>
        <v>0.308641975308642</v>
      </c>
      <c r="U11" s="199">
        <f t="shared" si="6"/>
        <v>0</v>
      </c>
      <c r="V11" s="199">
        <f t="shared" si="7"/>
        <v>0.617283950617284</v>
      </c>
      <c r="W11" s="199">
        <f t="shared" si="8"/>
        <v>56.7901234567901</v>
      </c>
      <c r="X11" s="519">
        <f t="shared" si="9"/>
        <v>56.1728395061728</v>
      </c>
      <c r="Y11" s="199" t="str">
        <f t="shared" si="10"/>
        <v>STRONG</v>
      </c>
      <c r="Z11" s="288" t="str">
        <f t="shared" si="11"/>
        <v>MEDIUM</v>
      </c>
      <c r="AA11" s="289" t="str">
        <f t="shared" si="12"/>
        <v>BJP</v>
      </c>
      <c r="AB11">
        <v>1091</v>
      </c>
      <c r="AD11">
        <v>519</v>
      </c>
      <c r="AF11">
        <v>572</v>
      </c>
      <c r="AH11">
        <v>603</v>
      </c>
      <c r="AJ11">
        <v>188</v>
      </c>
      <c r="AL11">
        <v>300</v>
      </c>
      <c r="AN11" s="248">
        <f t="shared" si="13"/>
        <v>47.5710357470211</v>
      </c>
      <c r="AO11" s="316" t="e">
        <f t="shared" si="13"/>
        <v>#DIV/0!</v>
      </c>
      <c r="AP11" s="317">
        <f t="shared" si="14"/>
        <v>52.4289642529789</v>
      </c>
      <c r="AQ11" s="318" t="e">
        <f t="shared" si="14"/>
        <v>#DIV/0!</v>
      </c>
      <c r="AR11" s="318" t="str">
        <f t="shared" si="15"/>
        <v>FEMALE DOM</v>
      </c>
      <c r="AS11" s="319" t="e">
        <f t="shared" si="16"/>
        <v>#DIV/0!</v>
      </c>
      <c r="AT11" s="317">
        <f t="shared" si="17"/>
        <v>55.2703941338222</v>
      </c>
      <c r="AU11" s="317" t="e">
        <f t="shared" si="17"/>
        <v>#DIV/0!</v>
      </c>
      <c r="AV11" s="248">
        <f t="shared" si="18"/>
        <v>17.2318973418882</v>
      </c>
      <c r="AW11" s="317" t="e">
        <f t="shared" si="18"/>
        <v>#DIV/0!</v>
      </c>
      <c r="AX11" s="248">
        <f t="shared" si="19"/>
        <v>27.4977085242896</v>
      </c>
      <c r="AY11" s="317" t="e">
        <f t="shared" si="19"/>
        <v>#DIV/0!</v>
      </c>
      <c r="AZ11" s="248" t="str">
        <f t="shared" si="20"/>
        <v>HINDU</v>
      </c>
      <c r="BA11" s="318" t="e">
        <f t="shared" si="21"/>
        <v>#DIV/0!</v>
      </c>
    </row>
    <row r="12" ht="21" spans="1:53">
      <c r="A12" s="317"/>
      <c r="B12" s="251"/>
      <c r="C12" s="521">
        <f t="shared" ref="C12:O12" si="22">SUM(C7:C11)</f>
        <v>5070</v>
      </c>
      <c r="D12" s="522">
        <f t="shared" si="22"/>
        <v>1112</v>
      </c>
      <c r="E12" s="523">
        <f t="shared" si="22"/>
        <v>1917</v>
      </c>
      <c r="F12" s="522">
        <f t="shared" si="22"/>
        <v>9</v>
      </c>
      <c r="G12" s="524">
        <f t="shared" si="22"/>
        <v>3</v>
      </c>
      <c r="H12" s="523">
        <f t="shared" si="22"/>
        <v>0</v>
      </c>
      <c r="I12" s="523">
        <f t="shared" si="22"/>
        <v>3</v>
      </c>
      <c r="J12" s="521">
        <f t="shared" si="22"/>
        <v>7</v>
      </c>
      <c r="K12" s="522">
        <f t="shared" si="22"/>
        <v>1</v>
      </c>
      <c r="L12" s="523">
        <f t="shared" si="22"/>
        <v>3052</v>
      </c>
      <c r="M12" s="523">
        <f t="shared" si="22"/>
        <v>0</v>
      </c>
      <c r="N12" s="523">
        <f t="shared" si="22"/>
        <v>24</v>
      </c>
      <c r="O12" s="522">
        <f t="shared" si="22"/>
        <v>3076</v>
      </c>
      <c r="P12" s="523">
        <f t="shared" ref="P12:X12" si="23">AVERAGE(P7:P11)</f>
        <v>60.1072041132053</v>
      </c>
      <c r="Q12" s="522">
        <f t="shared" si="23"/>
        <v>63.8187427800888</v>
      </c>
      <c r="R12" s="523">
        <f t="shared" si="23"/>
        <v>34.7058339529574</v>
      </c>
      <c r="S12" s="521">
        <f t="shared" si="23"/>
        <v>0.295936603477422</v>
      </c>
      <c r="T12" s="522">
        <f t="shared" si="23"/>
        <v>0.114015976761075</v>
      </c>
      <c r="U12" s="523">
        <f t="shared" si="23"/>
        <v>0.314380729503932</v>
      </c>
      <c r="V12" s="523">
        <f t="shared" si="23"/>
        <v>0.75108995721143</v>
      </c>
      <c r="W12" s="523">
        <f t="shared" si="23"/>
        <v>29.1129088271314</v>
      </c>
      <c r="X12" s="522">
        <f t="shared" si="23"/>
        <v>28.388575517389</v>
      </c>
      <c r="Y12" s="523" t="str">
        <f t="shared" si="10"/>
        <v>MEDIUM</v>
      </c>
      <c r="Z12" s="350" t="str">
        <f t="shared" si="11"/>
        <v>STRONG</v>
      </c>
      <c r="AA12" s="351" t="str">
        <f t="shared" si="12"/>
        <v>BJP</v>
      </c>
      <c r="AN12" s="248" t="e">
        <f t="shared" si="13"/>
        <v>#DIV/0!</v>
      </c>
      <c r="AO12" s="316" t="e">
        <f t="shared" si="13"/>
        <v>#DIV/0!</v>
      </c>
      <c r="AP12" s="317" t="e">
        <f t="shared" si="14"/>
        <v>#DIV/0!</v>
      </c>
      <c r="AQ12" s="318" t="e">
        <f t="shared" si="14"/>
        <v>#DIV/0!</v>
      </c>
      <c r="AR12" s="318" t="e">
        <f t="shared" si="15"/>
        <v>#DIV/0!</v>
      </c>
      <c r="AS12" s="319" t="e">
        <f t="shared" si="16"/>
        <v>#DIV/0!</v>
      </c>
      <c r="AT12" s="317" t="e">
        <f t="shared" si="17"/>
        <v>#DIV/0!</v>
      </c>
      <c r="AU12" s="317" t="e">
        <f t="shared" si="17"/>
        <v>#DIV/0!</v>
      </c>
      <c r="AV12" s="248" t="e">
        <f t="shared" si="18"/>
        <v>#DIV/0!</v>
      </c>
      <c r="AW12" s="317" t="e">
        <f t="shared" si="18"/>
        <v>#DIV/0!</v>
      </c>
      <c r="AX12" s="248" t="e">
        <f t="shared" si="19"/>
        <v>#DIV/0!</v>
      </c>
      <c r="AY12" s="317" t="e">
        <f t="shared" si="19"/>
        <v>#DIV/0!</v>
      </c>
      <c r="AZ12" s="248" t="e">
        <f t="shared" si="20"/>
        <v>#DIV/0!</v>
      </c>
      <c r="BA12" s="318" t="e">
        <f t="shared" si="21"/>
        <v>#DIV/0!</v>
      </c>
    </row>
    <row r="16" spans="5:25">
      <c r="E16" s="225" t="s">
        <v>205</v>
      </c>
      <c r="F16" s="237"/>
      <c r="G16" s="237"/>
      <c r="H16" s="238"/>
      <c r="J16" s="225" t="s">
        <v>97</v>
      </c>
      <c r="K16" s="237"/>
      <c r="L16" s="237"/>
      <c r="M16" s="238"/>
      <c r="R16" s="265" t="s">
        <v>98</v>
      </c>
      <c r="S16" s="265"/>
      <c r="T16" s="265"/>
      <c r="U16" s="265"/>
      <c r="V16" s="265"/>
      <c r="W16" s="265"/>
      <c r="X16" s="265"/>
      <c r="Y16" s="265"/>
    </row>
    <row r="17" spans="5:25">
      <c r="E17" s="226"/>
      <c r="F17" s="239"/>
      <c r="G17" s="239"/>
      <c r="H17" s="240"/>
      <c r="J17" s="241"/>
      <c r="K17" s="242"/>
      <c r="L17" s="242"/>
      <c r="M17" s="243"/>
      <c r="R17" s="265"/>
      <c r="S17" s="265"/>
      <c r="T17" s="265"/>
      <c r="U17" s="265"/>
      <c r="V17" s="265"/>
      <c r="W17" s="265"/>
      <c r="X17" s="265"/>
      <c r="Y17" s="265"/>
    </row>
    <row r="18" spans="5:25">
      <c r="E18" s="227" t="s">
        <v>99</v>
      </c>
      <c r="F18" s="244"/>
      <c r="G18" s="245"/>
      <c r="H18" s="245">
        <f>COUNTIF(AA7:AA11,"BJP")</f>
        <v>3</v>
      </c>
      <c r="J18" s="246" t="s">
        <v>100</v>
      </c>
      <c r="K18" s="247"/>
      <c r="L18" s="247"/>
      <c r="M18" s="248">
        <f>COUNTIF(Y7:Y11,"NARROW")</f>
        <v>0</v>
      </c>
      <c r="R18" s="265" t="s">
        <v>101</v>
      </c>
      <c r="S18" s="265"/>
      <c r="T18" s="265"/>
      <c r="U18" s="265">
        <f>'CONTONMENT-18'!E7</f>
        <v>60.734095057452</v>
      </c>
      <c r="V18" s="265" t="s">
        <v>102</v>
      </c>
      <c r="W18" s="265"/>
      <c r="X18" s="265"/>
      <c r="Y18" s="265">
        <f>Q12</f>
        <v>63.8187427800888</v>
      </c>
    </row>
    <row r="19" spans="5:25">
      <c r="E19" s="227"/>
      <c r="F19" s="244"/>
      <c r="G19" s="245"/>
      <c r="H19" s="245"/>
      <c r="J19" s="249"/>
      <c r="K19" s="250"/>
      <c r="L19" s="250"/>
      <c r="M19" s="251"/>
      <c r="R19" s="265"/>
      <c r="S19" s="265"/>
      <c r="T19" s="265"/>
      <c r="U19" s="265"/>
      <c r="V19" s="265"/>
      <c r="W19" s="265"/>
      <c r="X19" s="265"/>
      <c r="Y19" s="265"/>
    </row>
    <row r="20" spans="5:25">
      <c r="E20" s="227"/>
      <c r="F20" s="244"/>
      <c r="G20" s="245"/>
      <c r="H20" s="245"/>
      <c r="J20" s="252" t="s">
        <v>103</v>
      </c>
      <c r="K20" s="253"/>
      <c r="L20" s="253"/>
      <c r="M20" s="248">
        <f>COUNTIF(Y7:Y11,"MEDIUM")</f>
        <v>0</v>
      </c>
      <c r="R20" s="265" t="s">
        <v>104</v>
      </c>
      <c r="S20" s="265"/>
      <c r="T20" s="265"/>
      <c r="U20" s="265">
        <f>'CONTONMENT-18'!G7</f>
        <v>36.7983417073008</v>
      </c>
      <c r="V20" s="265" t="s">
        <v>105</v>
      </c>
      <c r="W20" s="265"/>
      <c r="X20" s="265"/>
      <c r="Y20" s="265">
        <f>R12</f>
        <v>34.7058339529574</v>
      </c>
    </row>
    <row r="21" spans="5:25">
      <c r="E21" s="228" t="s">
        <v>106</v>
      </c>
      <c r="F21" s="254"/>
      <c r="G21" s="255"/>
      <c r="H21" s="255">
        <f>COUNTIF(AA7:AA11,"CONGRESS")</f>
        <v>2</v>
      </c>
      <c r="J21" s="252"/>
      <c r="K21" s="253"/>
      <c r="L21" s="253"/>
      <c r="M21" s="251"/>
      <c r="R21" s="265"/>
      <c r="S21" s="265"/>
      <c r="T21" s="265"/>
      <c r="U21" s="265"/>
      <c r="V21" s="265"/>
      <c r="W21" s="265"/>
      <c r="X21" s="265"/>
      <c r="Y21" s="265"/>
    </row>
    <row r="22" spans="5:25">
      <c r="E22" s="229"/>
      <c r="F22" s="256"/>
      <c r="G22" s="257"/>
      <c r="H22" s="257"/>
      <c r="J22" s="258" t="s">
        <v>107</v>
      </c>
      <c r="K22" s="259"/>
      <c r="L22" s="259"/>
      <c r="M22" s="248">
        <f>COUNTIF(Y7:Y11,"STRONG")</f>
        <v>3</v>
      </c>
      <c r="R22" s="265" t="s">
        <v>108</v>
      </c>
      <c r="S22" s="265"/>
      <c r="T22" s="265"/>
      <c r="U22" s="265">
        <f>'CONTONMENT-18'!C7</f>
        <v>3179</v>
      </c>
      <c r="V22" s="265" t="s">
        <v>109</v>
      </c>
      <c r="W22" s="265"/>
      <c r="X22" s="265"/>
      <c r="Y22" s="265">
        <f>O12</f>
        <v>3076</v>
      </c>
    </row>
    <row r="23" spans="5:25">
      <c r="E23" s="230"/>
      <c r="F23" s="260"/>
      <c r="G23" s="261"/>
      <c r="H23" s="261"/>
      <c r="J23" s="262"/>
      <c r="K23" s="263"/>
      <c r="L23" s="263"/>
      <c r="M23" s="251"/>
      <c r="R23" s="265"/>
      <c r="S23" s="265"/>
      <c r="T23" s="265"/>
      <c r="U23" s="265"/>
      <c r="V23" s="265"/>
      <c r="W23" s="265"/>
      <c r="X23" s="265"/>
      <c r="Y23" s="265"/>
    </row>
    <row r="24" spans="10:25">
      <c r="J24" s="229" t="s">
        <v>110</v>
      </c>
      <c r="K24" s="256"/>
      <c r="L24" s="256"/>
      <c r="M24" s="248">
        <f>COUNTIF(Y7:Y11,"LOST")</f>
        <v>2</v>
      </c>
      <c r="R24" s="265" t="s">
        <v>111</v>
      </c>
      <c r="S24" s="265"/>
      <c r="T24" s="265"/>
      <c r="U24" s="265">
        <f>U18-U20</f>
        <v>23.9357533501513</v>
      </c>
      <c r="V24" s="265" t="s">
        <v>111</v>
      </c>
      <c r="W24" s="265"/>
      <c r="X24" s="265"/>
      <c r="Y24" s="265">
        <f>Y18-Y20</f>
        <v>29.1129088271314</v>
      </c>
    </row>
    <row r="25" spans="10:25">
      <c r="J25" s="230"/>
      <c r="K25" s="260"/>
      <c r="L25" s="260"/>
      <c r="M25" s="251"/>
      <c r="R25" s="265"/>
      <c r="S25" s="265"/>
      <c r="T25" s="265"/>
      <c r="U25" s="265"/>
      <c r="V25" s="265"/>
      <c r="W25" s="265"/>
      <c r="X25" s="265"/>
      <c r="Y25" s="265"/>
    </row>
    <row r="26" spans="18:24">
      <c r="R26" s="265" t="s">
        <v>112</v>
      </c>
      <c r="S26" s="265"/>
      <c r="T26" s="265"/>
      <c r="U26" s="265">
        <f>Y18-U18</f>
        <v>3.08464772263677</v>
      </c>
      <c r="V26" s="265"/>
      <c r="W26" s="265"/>
      <c r="X26" s="265"/>
    </row>
    <row r="27" spans="18:24">
      <c r="R27" s="265"/>
      <c r="S27" s="265"/>
      <c r="T27" s="265"/>
      <c r="U27" s="265"/>
      <c r="V27" s="265"/>
      <c r="W27" s="265"/>
      <c r="X27" s="265"/>
    </row>
    <row r="28" spans="18:24">
      <c r="R28" s="265" t="s">
        <v>113</v>
      </c>
      <c r="S28" s="265"/>
      <c r="T28" s="265"/>
      <c r="U28" s="265">
        <f>Y20-U20</f>
        <v>-2.09250775434339</v>
      </c>
      <c r="V28" s="265"/>
      <c r="W28" s="265"/>
      <c r="X28" s="265"/>
    </row>
    <row r="29" spans="18:24">
      <c r="R29" s="265"/>
      <c r="S29" s="265"/>
      <c r="T29" s="265"/>
      <c r="U29" s="265"/>
      <c r="V29" s="265"/>
      <c r="W29" s="265"/>
      <c r="X29" s="265"/>
    </row>
    <row r="30" spans="18:24">
      <c r="R30" s="265" t="s">
        <v>114</v>
      </c>
      <c r="S30" s="265"/>
      <c r="T30" s="265"/>
      <c r="U30" s="265" t="str">
        <f>IF(U26&gt;U28,"INCREASE","DECREASE")</f>
        <v>INCREASE</v>
      </c>
      <c r="V30" s="265"/>
      <c r="W30" s="265"/>
      <c r="X30" s="265"/>
    </row>
    <row r="31" spans="18:24">
      <c r="R31" s="265"/>
      <c r="S31" s="265"/>
      <c r="T31" s="265"/>
      <c r="U31" s="265"/>
      <c r="V31" s="265"/>
      <c r="W31" s="265"/>
      <c r="X31" s="265"/>
    </row>
    <row r="32" spans="18:25">
      <c r="R32" s="265" t="s">
        <v>193</v>
      </c>
      <c r="S32" s="265"/>
      <c r="T32" s="265"/>
      <c r="U32" s="265"/>
      <c r="V32" s="265"/>
      <c r="W32" s="265"/>
      <c r="X32" s="265"/>
      <c r="Y32" s="265"/>
    </row>
    <row r="33" spans="18:25">
      <c r="R33" s="265"/>
      <c r="S33" s="265"/>
      <c r="T33" s="265"/>
      <c r="U33" s="265"/>
      <c r="V33" s="265"/>
      <c r="W33" s="265"/>
      <c r="X33" s="265"/>
      <c r="Y33" s="265"/>
    </row>
    <row r="34" spans="18:25">
      <c r="R34" s="265"/>
      <c r="S34" s="265"/>
      <c r="T34" s="265"/>
      <c r="U34" s="265"/>
      <c r="V34" s="265"/>
      <c r="W34" s="265"/>
      <c r="X34" s="265"/>
      <c r="Y34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H18:H20"/>
    <mergeCell ref="H21:H23"/>
    <mergeCell ref="I3:I6"/>
    <mergeCell ref="J3:J6"/>
    <mergeCell ref="K3:K6"/>
    <mergeCell ref="L1:L6"/>
    <mergeCell ref="M1:M6"/>
    <mergeCell ref="M18:M19"/>
    <mergeCell ref="M20:M21"/>
    <mergeCell ref="M22:M23"/>
    <mergeCell ref="M24:M25"/>
    <mergeCell ref="N1:N6"/>
    <mergeCell ref="O1:O6"/>
    <mergeCell ref="P1:P6"/>
    <mergeCell ref="Q1:Q6"/>
    <mergeCell ref="R1:R6"/>
    <mergeCell ref="S1:S6"/>
    <mergeCell ref="T1:T6"/>
    <mergeCell ref="U1:U6"/>
    <mergeCell ref="U18:U19"/>
    <mergeCell ref="U20:U21"/>
    <mergeCell ref="U22:U23"/>
    <mergeCell ref="U24:U25"/>
    <mergeCell ref="V1:V6"/>
    <mergeCell ref="W1:W6"/>
    <mergeCell ref="X1:X6"/>
    <mergeCell ref="Y1:Y6"/>
    <mergeCell ref="Y18:Y19"/>
    <mergeCell ref="Y20:Y21"/>
    <mergeCell ref="Y22:Y23"/>
    <mergeCell ref="Y24:Y25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J24:L25"/>
    <mergeCell ref="V24:X25"/>
    <mergeCell ref="E16:H17"/>
    <mergeCell ref="J16:M17"/>
    <mergeCell ref="E18:G20"/>
    <mergeCell ref="J18:L19"/>
    <mergeCell ref="V18:X19"/>
    <mergeCell ref="J20:L21"/>
    <mergeCell ref="V20:X21"/>
    <mergeCell ref="E21:G23"/>
    <mergeCell ref="J22:L23"/>
    <mergeCell ref="V22:X23"/>
    <mergeCell ref="R16:Y17"/>
    <mergeCell ref="R18:T19"/>
    <mergeCell ref="R20:T21"/>
    <mergeCell ref="R22:T23"/>
    <mergeCell ref="R32:Y34"/>
    <mergeCell ref="R28:T29"/>
    <mergeCell ref="U28:X29"/>
    <mergeCell ref="R30:T31"/>
    <mergeCell ref="U30:V31"/>
    <mergeCell ref="W30:X31"/>
    <mergeCell ref="R24:T25"/>
    <mergeCell ref="R26:T27"/>
    <mergeCell ref="U26:X27"/>
  </mergeCells>
  <conditionalFormatting sqref="AR7:AR12">
    <cfRule type="containsText" dxfId="6" priority="1" operator="between" text="FEMALE DOM">
      <formula>NOT(ISERROR(SEARCH("FEMALE DOM",AR7)))</formula>
    </cfRule>
  </conditionalFormatting>
  <conditionalFormatting sqref="AZ7:AZ12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2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"/>
  <sheetViews>
    <sheetView workbookViewId="0">
      <selection activeCell="A1" sqref="A1:AJ1"/>
    </sheetView>
  </sheetViews>
  <sheetFormatPr defaultColWidth="9" defaultRowHeight="14.5" outlineLevelRow="6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29">
      <c r="A2" s="184">
        <v>125</v>
      </c>
      <c r="B2" s="185" t="s">
        <v>227</v>
      </c>
      <c r="C2" s="184">
        <v>779</v>
      </c>
      <c r="D2" s="184">
        <v>548</v>
      </c>
      <c r="E2" s="184">
        <f t="shared" ref="E2:E6" si="0">(D2/C2)*100</f>
        <v>70.3465982028241</v>
      </c>
      <c r="F2" s="184">
        <v>206</v>
      </c>
      <c r="G2" s="184">
        <f t="shared" ref="G2:G6" si="1">(F2/C2)*100</f>
        <v>26.4441591784339</v>
      </c>
      <c r="H2" s="184">
        <v>3</v>
      </c>
      <c r="I2" s="184">
        <f t="shared" ref="I2:I6" si="2">(H2/C2)*100</f>
        <v>0.385109114249037</v>
      </c>
      <c r="J2" s="184">
        <v>6</v>
      </c>
      <c r="K2" s="184">
        <f t="shared" ref="K2:K6" si="3">(J2/C2)*100</f>
        <v>0.770218228498075</v>
      </c>
      <c r="L2" s="189">
        <v>484</v>
      </c>
      <c r="M2" s="189">
        <v>530</v>
      </c>
      <c r="N2" s="189">
        <f t="shared" ref="N2:N6" si="4">L2+M2</f>
        <v>1014</v>
      </c>
      <c r="O2" s="184">
        <v>779</v>
      </c>
      <c r="P2" s="190">
        <f t="shared" ref="P2:P6" si="5">O2/N2*100</f>
        <v>76.8244575936884</v>
      </c>
      <c r="Q2" s="184"/>
      <c r="R2" s="184">
        <f t="shared" ref="R2:R6" si="6">(Q2/N2)*100</f>
        <v>0</v>
      </c>
      <c r="S2" s="184">
        <f t="shared" ref="S2:S6" si="7">Q2-U2</f>
        <v>0</v>
      </c>
      <c r="T2" s="184" t="e">
        <f t="shared" ref="T2:T6" si="8">(S2/Q2)*100</f>
        <v>#DIV/0!</v>
      </c>
      <c r="U2" s="184"/>
      <c r="V2" s="191">
        <f t="shared" ref="V2:V6" si="9">IFERROR(U2/Q2*100,0)</f>
        <v>0</v>
      </c>
      <c r="W2" s="184"/>
      <c r="X2" s="184">
        <f t="shared" ref="X2:X6" si="10">100-R2</f>
        <v>100</v>
      </c>
      <c r="Y2" s="184">
        <f t="shared" ref="Y2:Y6" si="11">W2-AA2</f>
        <v>0</v>
      </c>
      <c r="Z2" s="193" t="e">
        <f t="shared" ref="Z2:Z6" si="12">(Y2/W2)*100</f>
        <v>#DIV/0!</v>
      </c>
      <c r="AA2" s="193"/>
      <c r="AB2" s="194">
        <f t="shared" ref="AB2:AB6" si="13">IFERROR(AA2/W2*100,0)</f>
        <v>0</v>
      </c>
      <c r="AC2" s="193">
        <f t="shared" ref="AC2:AC6" si="14">U2+AA2</f>
        <v>0</v>
      </c>
    </row>
    <row r="3" spans="1:29">
      <c r="A3" s="184">
        <v>128</v>
      </c>
      <c r="B3" s="185" t="s">
        <v>228</v>
      </c>
      <c r="C3" s="184">
        <v>354</v>
      </c>
      <c r="D3" s="184">
        <v>273</v>
      </c>
      <c r="E3" s="184">
        <f t="shared" si="0"/>
        <v>77.1186440677966</v>
      </c>
      <c r="F3" s="184">
        <v>71</v>
      </c>
      <c r="G3" s="184">
        <f t="shared" si="1"/>
        <v>20.0564971751412</v>
      </c>
      <c r="H3" s="184">
        <v>0</v>
      </c>
      <c r="I3" s="184">
        <f t="shared" si="2"/>
        <v>0</v>
      </c>
      <c r="J3" s="184">
        <v>1</v>
      </c>
      <c r="K3" s="184">
        <f t="shared" si="3"/>
        <v>0.282485875706215</v>
      </c>
      <c r="L3" s="189">
        <v>368</v>
      </c>
      <c r="M3" s="189">
        <v>430</v>
      </c>
      <c r="N3" s="189">
        <f t="shared" si="4"/>
        <v>798</v>
      </c>
      <c r="O3" s="184">
        <v>354</v>
      </c>
      <c r="P3" s="190">
        <f t="shared" si="5"/>
        <v>44.3609022556391</v>
      </c>
      <c r="Q3" s="184">
        <v>753</v>
      </c>
      <c r="R3" s="184">
        <f t="shared" si="6"/>
        <v>94.3609022556391</v>
      </c>
      <c r="S3" s="192">
        <f t="shared" si="7"/>
        <v>411</v>
      </c>
      <c r="T3" s="184">
        <f t="shared" si="8"/>
        <v>54.5816733067729</v>
      </c>
      <c r="U3" s="184">
        <v>342</v>
      </c>
      <c r="V3" s="191">
        <f t="shared" si="9"/>
        <v>45.4183266932271</v>
      </c>
      <c r="W3" s="184">
        <v>45</v>
      </c>
      <c r="X3" s="184">
        <f t="shared" si="10"/>
        <v>5.6390977443609</v>
      </c>
      <c r="Y3" s="184">
        <f t="shared" si="11"/>
        <v>31</v>
      </c>
      <c r="Z3" s="193">
        <f t="shared" si="12"/>
        <v>68.8888888888889</v>
      </c>
      <c r="AA3" s="193">
        <v>14</v>
      </c>
      <c r="AB3" s="194">
        <f t="shared" si="13"/>
        <v>31.1111111111111</v>
      </c>
      <c r="AC3" s="193">
        <f t="shared" si="14"/>
        <v>356</v>
      </c>
    </row>
    <row r="4" spans="1:29">
      <c r="A4" s="184">
        <v>132</v>
      </c>
      <c r="B4" s="185" t="s">
        <v>229</v>
      </c>
      <c r="C4" s="184">
        <v>634</v>
      </c>
      <c r="D4" s="184">
        <v>281</v>
      </c>
      <c r="E4" s="184">
        <f t="shared" si="0"/>
        <v>44.3217665615142</v>
      </c>
      <c r="F4" s="184">
        <v>335</v>
      </c>
      <c r="G4" s="184">
        <f t="shared" si="1"/>
        <v>52.8391167192429</v>
      </c>
      <c r="H4" s="184">
        <v>5</v>
      </c>
      <c r="I4" s="184">
        <f t="shared" si="2"/>
        <v>0.788643533123028</v>
      </c>
      <c r="J4" s="184">
        <v>3</v>
      </c>
      <c r="K4" s="184">
        <f t="shared" si="3"/>
        <v>0.473186119873817</v>
      </c>
      <c r="L4" s="189">
        <v>509</v>
      </c>
      <c r="M4" s="189">
        <v>538</v>
      </c>
      <c r="N4" s="189">
        <f t="shared" si="4"/>
        <v>1047</v>
      </c>
      <c r="O4" s="184">
        <v>634</v>
      </c>
      <c r="P4" s="190">
        <f t="shared" si="5"/>
        <v>60.5539637058262</v>
      </c>
      <c r="Q4" s="184"/>
      <c r="R4" s="184">
        <f t="shared" si="6"/>
        <v>0</v>
      </c>
      <c r="S4" s="192">
        <f t="shared" si="7"/>
        <v>0</v>
      </c>
      <c r="T4" s="184" t="e">
        <f t="shared" si="8"/>
        <v>#DIV/0!</v>
      </c>
      <c r="U4" s="184"/>
      <c r="V4" s="191">
        <f t="shared" si="9"/>
        <v>0</v>
      </c>
      <c r="W4" s="184"/>
      <c r="X4" s="184">
        <f t="shared" si="10"/>
        <v>100</v>
      </c>
      <c r="Y4" s="184">
        <f t="shared" si="11"/>
        <v>0</v>
      </c>
      <c r="Z4" s="193" t="e">
        <f t="shared" si="12"/>
        <v>#DIV/0!</v>
      </c>
      <c r="AA4" s="193"/>
      <c r="AB4" s="194">
        <f t="shared" si="13"/>
        <v>0</v>
      </c>
      <c r="AC4" s="193">
        <f t="shared" si="14"/>
        <v>0</v>
      </c>
    </row>
    <row r="5" spans="1:29">
      <c r="A5" s="184">
        <v>133</v>
      </c>
      <c r="B5" s="185" t="s">
        <v>230</v>
      </c>
      <c r="C5" s="184">
        <v>761</v>
      </c>
      <c r="D5" s="184">
        <v>378</v>
      </c>
      <c r="E5" s="184">
        <f t="shared" si="0"/>
        <v>49.6714848883049</v>
      </c>
      <c r="F5" s="184">
        <v>373</v>
      </c>
      <c r="G5" s="184">
        <f t="shared" si="1"/>
        <v>49.0144546649146</v>
      </c>
      <c r="H5" s="184">
        <v>0</v>
      </c>
      <c r="I5" s="184">
        <f t="shared" si="2"/>
        <v>0</v>
      </c>
      <c r="J5" s="184">
        <v>6</v>
      </c>
      <c r="K5" s="184">
        <f t="shared" si="3"/>
        <v>0.788436268068331</v>
      </c>
      <c r="L5" s="189">
        <v>647</v>
      </c>
      <c r="M5" s="189">
        <v>650</v>
      </c>
      <c r="N5" s="189">
        <f t="shared" si="4"/>
        <v>1297</v>
      </c>
      <c r="O5" s="184">
        <v>761</v>
      </c>
      <c r="P5" s="190">
        <f t="shared" si="5"/>
        <v>58.6738627602159</v>
      </c>
      <c r="Q5" s="184"/>
      <c r="R5" s="184">
        <f t="shared" si="6"/>
        <v>0</v>
      </c>
      <c r="S5" s="184">
        <f t="shared" si="7"/>
        <v>0</v>
      </c>
      <c r="T5" s="184" t="e">
        <f t="shared" si="8"/>
        <v>#DIV/0!</v>
      </c>
      <c r="U5" s="184"/>
      <c r="V5" s="191">
        <f t="shared" si="9"/>
        <v>0</v>
      </c>
      <c r="W5" s="184"/>
      <c r="X5" s="184">
        <f t="shared" si="10"/>
        <v>100</v>
      </c>
      <c r="Y5" s="196">
        <f t="shared" si="11"/>
        <v>0</v>
      </c>
      <c r="Z5" s="193" t="e">
        <f t="shared" si="12"/>
        <v>#DIV/0!</v>
      </c>
      <c r="AA5" s="193"/>
      <c r="AB5" s="194">
        <f t="shared" si="13"/>
        <v>0</v>
      </c>
      <c r="AC5" s="193">
        <f t="shared" si="14"/>
        <v>0</v>
      </c>
    </row>
    <row r="6" spans="1:29">
      <c r="A6" s="184">
        <v>137</v>
      </c>
      <c r="B6" s="185" t="s">
        <v>231</v>
      </c>
      <c r="C6" s="184">
        <v>651</v>
      </c>
      <c r="D6" s="184">
        <v>405</v>
      </c>
      <c r="E6" s="184">
        <f t="shared" si="0"/>
        <v>62.2119815668203</v>
      </c>
      <c r="F6" s="184">
        <v>232</v>
      </c>
      <c r="G6" s="184">
        <f t="shared" si="1"/>
        <v>35.6374807987711</v>
      </c>
      <c r="H6" s="184">
        <v>2</v>
      </c>
      <c r="I6" s="184">
        <f t="shared" si="2"/>
        <v>0.307219662058372</v>
      </c>
      <c r="J6" s="184">
        <v>2</v>
      </c>
      <c r="K6" s="184">
        <f t="shared" si="3"/>
        <v>0.307219662058372</v>
      </c>
      <c r="L6" s="189">
        <v>488</v>
      </c>
      <c r="M6" s="189">
        <v>485</v>
      </c>
      <c r="N6" s="189">
        <f t="shared" si="4"/>
        <v>973</v>
      </c>
      <c r="O6" s="184">
        <v>651</v>
      </c>
      <c r="P6" s="190">
        <f t="shared" si="5"/>
        <v>66.9064748201439</v>
      </c>
      <c r="Q6" s="184"/>
      <c r="R6" s="184">
        <f t="shared" si="6"/>
        <v>0</v>
      </c>
      <c r="S6" s="184">
        <f t="shared" si="7"/>
        <v>0</v>
      </c>
      <c r="T6" s="184" t="e">
        <f t="shared" si="8"/>
        <v>#DIV/0!</v>
      </c>
      <c r="U6" s="184"/>
      <c r="V6" s="191">
        <f t="shared" si="9"/>
        <v>0</v>
      </c>
      <c r="W6" s="184"/>
      <c r="X6" s="184">
        <f t="shared" si="10"/>
        <v>100</v>
      </c>
      <c r="Y6" s="184">
        <f t="shared" si="11"/>
        <v>0</v>
      </c>
      <c r="Z6" s="193" t="e">
        <f t="shared" si="12"/>
        <v>#DIV/0!</v>
      </c>
      <c r="AA6" s="193"/>
      <c r="AB6" s="194">
        <f t="shared" si="13"/>
        <v>0</v>
      </c>
      <c r="AC6" s="193">
        <f t="shared" si="14"/>
        <v>0</v>
      </c>
    </row>
    <row r="7" spans="3:11">
      <c r="C7">
        <f>SUM(C2:C6)</f>
        <v>3179</v>
      </c>
      <c r="D7">
        <f>SUM(D2:D6)</f>
        <v>1885</v>
      </c>
      <c r="E7">
        <f>AVERAGE(E2:E6)</f>
        <v>60.734095057452</v>
      </c>
      <c r="F7">
        <f>SUM(F2:F6)</f>
        <v>1217</v>
      </c>
      <c r="G7" s="186">
        <f>AVERAGE(G2:G6)</f>
        <v>36.7983417073008</v>
      </c>
      <c r="H7">
        <f>SUM(H2:H6)</f>
        <v>10</v>
      </c>
      <c r="I7" s="186">
        <f>AVERAGE(I2:I6)</f>
        <v>0.296194461886088</v>
      </c>
      <c r="J7">
        <f>SUM(J2:J6)</f>
        <v>18</v>
      </c>
      <c r="K7" s="186">
        <f>AVERAGE(K2:K6)</f>
        <v>0.524309230840962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5"/>
  <sheetViews>
    <sheetView topLeftCell="I16" workbookViewId="0">
      <selection activeCell="S25" sqref="S25:S26"/>
    </sheetView>
  </sheetViews>
  <sheetFormatPr defaultColWidth="9" defaultRowHeight="14.5"/>
  <cols>
    <col min="26" max="26" width="11.5727272727273" customWidth="1"/>
    <col min="27" max="27" width="14.7090909090909" customWidth="1"/>
  </cols>
  <sheetData>
    <row r="1" spans="1:53">
      <c r="A1" s="208" t="s">
        <v>16</v>
      </c>
      <c r="B1" s="202" t="s">
        <v>177</v>
      </c>
      <c r="C1" s="203" t="s">
        <v>15</v>
      </c>
      <c r="D1" s="203" t="s">
        <v>1</v>
      </c>
      <c r="E1" s="204"/>
      <c r="F1" s="204"/>
      <c r="G1" s="204"/>
      <c r="H1" s="204"/>
      <c r="I1" s="204"/>
      <c r="J1" s="204"/>
      <c r="K1" s="209"/>
      <c r="L1" s="208" t="s">
        <v>2</v>
      </c>
      <c r="M1" s="204" t="s">
        <v>3</v>
      </c>
      <c r="N1" s="208" t="s">
        <v>4</v>
      </c>
      <c r="O1" s="204" t="s">
        <v>5</v>
      </c>
      <c r="P1" s="208" t="s">
        <v>17</v>
      </c>
      <c r="Q1" s="372" t="s">
        <v>18</v>
      </c>
      <c r="R1" s="203" t="s">
        <v>19</v>
      </c>
      <c r="S1" s="202" t="s">
        <v>20</v>
      </c>
      <c r="T1" s="372" t="s">
        <v>21</v>
      </c>
      <c r="U1" s="203" t="s">
        <v>22</v>
      </c>
      <c r="V1" s="202" t="s">
        <v>23</v>
      </c>
      <c r="W1" s="204" t="s">
        <v>156</v>
      </c>
      <c r="X1" s="203" t="s">
        <v>66</v>
      </c>
      <c r="Y1" s="208" t="s">
        <v>67</v>
      </c>
      <c r="Z1" s="508" t="s">
        <v>159</v>
      </c>
      <c r="AA1" s="508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ht="15" customHeight="1" spans="1:53">
      <c r="A2" s="210"/>
      <c r="B2" s="205"/>
      <c r="C2" s="206"/>
      <c r="D2" s="206"/>
      <c r="E2" s="207"/>
      <c r="F2" s="207"/>
      <c r="G2" s="207"/>
      <c r="H2" s="207"/>
      <c r="I2" s="207"/>
      <c r="J2" s="207"/>
      <c r="K2" s="211"/>
      <c r="L2" s="210"/>
      <c r="M2" s="207"/>
      <c r="N2" s="210"/>
      <c r="O2" s="207"/>
      <c r="P2" s="210"/>
      <c r="Q2" s="373"/>
      <c r="R2" s="206"/>
      <c r="S2" s="205"/>
      <c r="T2" s="373"/>
      <c r="U2" s="206"/>
      <c r="V2" s="205"/>
      <c r="W2" s="207"/>
      <c r="X2" s="206"/>
      <c r="Y2" s="210"/>
      <c r="Z2" s="509"/>
      <c r="AA2" s="509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10"/>
      <c r="B3" s="205"/>
      <c r="C3" s="206"/>
      <c r="D3" s="203" t="s">
        <v>7</v>
      </c>
      <c r="E3" s="208" t="s">
        <v>8</v>
      </c>
      <c r="F3" s="204" t="s">
        <v>9</v>
      </c>
      <c r="G3" s="208" t="s">
        <v>10</v>
      </c>
      <c r="H3" s="204" t="s">
        <v>11</v>
      </c>
      <c r="I3" s="208" t="s">
        <v>12</v>
      </c>
      <c r="J3" s="204" t="s">
        <v>9</v>
      </c>
      <c r="K3" s="208" t="s">
        <v>13</v>
      </c>
      <c r="L3" s="210"/>
      <c r="M3" s="207"/>
      <c r="N3" s="210"/>
      <c r="O3" s="207"/>
      <c r="P3" s="210"/>
      <c r="Q3" s="373"/>
      <c r="R3" s="206"/>
      <c r="S3" s="205"/>
      <c r="T3" s="373"/>
      <c r="U3" s="206"/>
      <c r="V3" s="205"/>
      <c r="W3" s="207"/>
      <c r="X3" s="206"/>
      <c r="Y3" s="210"/>
      <c r="Z3" s="509"/>
      <c r="AA3" s="509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10"/>
      <c r="B4" s="205"/>
      <c r="C4" s="206"/>
      <c r="D4" s="206"/>
      <c r="E4" s="210"/>
      <c r="F4" s="207"/>
      <c r="G4" s="210"/>
      <c r="H4" s="207"/>
      <c r="I4" s="210"/>
      <c r="J4" s="207"/>
      <c r="K4" s="210"/>
      <c r="L4" s="210"/>
      <c r="M4" s="207"/>
      <c r="N4" s="210"/>
      <c r="O4" s="207"/>
      <c r="P4" s="210"/>
      <c r="Q4" s="373"/>
      <c r="R4" s="206"/>
      <c r="S4" s="205"/>
      <c r="T4" s="373"/>
      <c r="U4" s="206"/>
      <c r="V4" s="205"/>
      <c r="W4" s="207"/>
      <c r="X4" s="206"/>
      <c r="Y4" s="210"/>
      <c r="Z4" s="509"/>
      <c r="AA4" s="509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10"/>
      <c r="B5" s="205"/>
      <c r="C5" s="206"/>
      <c r="D5" s="206"/>
      <c r="E5" s="210"/>
      <c r="F5" s="207"/>
      <c r="G5" s="210"/>
      <c r="H5" s="207"/>
      <c r="I5" s="210"/>
      <c r="J5" s="207"/>
      <c r="K5" s="210"/>
      <c r="L5" s="210"/>
      <c r="M5" s="207"/>
      <c r="N5" s="210"/>
      <c r="O5" s="207"/>
      <c r="P5" s="210"/>
      <c r="Q5" s="373"/>
      <c r="R5" s="206"/>
      <c r="S5" s="205"/>
      <c r="T5" s="373"/>
      <c r="U5" s="206"/>
      <c r="V5" s="205"/>
      <c r="W5" s="207"/>
      <c r="X5" s="206"/>
      <c r="Y5" s="210"/>
      <c r="Z5" s="509"/>
      <c r="AA5" s="509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13"/>
      <c r="B6" s="212"/>
      <c r="C6" s="206"/>
      <c r="D6" s="352"/>
      <c r="E6" s="213"/>
      <c r="F6" s="353"/>
      <c r="G6" s="213"/>
      <c r="H6" s="353"/>
      <c r="I6" s="213"/>
      <c r="J6" s="353"/>
      <c r="K6" s="210"/>
      <c r="L6" s="210"/>
      <c r="M6" s="207"/>
      <c r="N6" s="210"/>
      <c r="O6" s="207"/>
      <c r="P6" s="210"/>
      <c r="Q6" s="373"/>
      <c r="R6" s="206"/>
      <c r="S6" s="212"/>
      <c r="T6" s="373"/>
      <c r="U6" s="206"/>
      <c r="V6" s="212"/>
      <c r="W6" s="207"/>
      <c r="X6" s="206"/>
      <c r="Y6" s="213"/>
      <c r="Z6" s="510"/>
      <c r="AA6" s="509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503" t="s">
        <v>39</v>
      </c>
      <c r="B7" s="363">
        <v>143</v>
      </c>
      <c r="C7" s="361">
        <v>436</v>
      </c>
      <c r="D7" s="436">
        <v>103</v>
      </c>
      <c r="E7" s="216">
        <v>95</v>
      </c>
      <c r="F7" s="235">
        <v>1</v>
      </c>
      <c r="G7" s="216">
        <v>2</v>
      </c>
      <c r="H7" s="235">
        <v>0</v>
      </c>
      <c r="I7" s="216">
        <v>0</v>
      </c>
      <c r="J7" s="235">
        <v>1</v>
      </c>
      <c r="K7" s="216">
        <v>0</v>
      </c>
      <c r="L7" s="216">
        <v>202</v>
      </c>
      <c r="M7" s="231">
        <v>0</v>
      </c>
      <c r="N7" s="216">
        <v>2</v>
      </c>
      <c r="O7" s="231">
        <f t="shared" ref="O7:O11" si="0">D7+E7+F7+G7+H7+I7+J7+K7+N7</f>
        <v>204</v>
      </c>
      <c r="P7" s="216">
        <f t="shared" ref="P7:P11" si="1">(O7/C7)*100</f>
        <v>46.7889908256881</v>
      </c>
      <c r="Q7" s="231">
        <f t="shared" ref="Q7:Q11" si="2">(E7/O7)*100</f>
        <v>46.5686274509804</v>
      </c>
      <c r="R7" s="436">
        <f t="shared" ref="R7:R11" si="3">(D7/O7)*100</f>
        <v>50.4901960784314</v>
      </c>
      <c r="S7" s="216">
        <f t="shared" ref="S7:S11" si="4">(F7/O7)*100</f>
        <v>0.490196078431373</v>
      </c>
      <c r="T7" s="231">
        <f t="shared" ref="T7:T11" si="5">(G7/O7)*100</f>
        <v>0.980392156862745</v>
      </c>
      <c r="U7" s="436">
        <f t="shared" ref="U7:U11" si="6">((H7+I7+J7+K7)/O7)*100</f>
        <v>0.490196078431373</v>
      </c>
      <c r="V7" s="216">
        <f t="shared" ref="V7:V11" si="7">(N7/O7)*100</f>
        <v>0.980392156862745</v>
      </c>
      <c r="W7" s="231">
        <f>Q7-R7</f>
        <v>-3.92156862745097</v>
      </c>
      <c r="X7" s="436">
        <f>Q7-(R7+S7+T7+U7)</f>
        <v>-5.88235294117646</v>
      </c>
      <c r="Y7" s="216" t="str">
        <f>IF(AND(W7&lt;0,W7&lt;=1),"LOST",IF(AND(W7&gt;1,W7&lt;=10),"NARROW",IF(AND(W7&gt;10,W7&lt;=40),"MEDIUM",IF(AND(W7&gt;40,W7&lt;=90),"STRONG",""))))</f>
        <v>LOST</v>
      </c>
      <c r="Z7" s="288" t="str">
        <f>IF(AND(P7&lt;0,P7&lt;=10),"WEAK",IF(AND(P7&gt;10,P7&lt;20),"BELOW AVG",IF(AND(P7&gt;20,P7&lt;=60),"MEDIUM",IF(AND(P7&gt;60,P7&lt;=90),"STRONG",""))))</f>
        <v>MEDIUM</v>
      </c>
      <c r="AA7" s="511" t="str">
        <f>IF(Q7&gt;R7,"BJP","CONGRESS")</f>
        <v>CONGRESS</v>
      </c>
      <c r="AB7">
        <v>436</v>
      </c>
      <c r="AC7">
        <v>180</v>
      </c>
      <c r="AD7">
        <v>248</v>
      </c>
      <c r="AE7">
        <v>108</v>
      </c>
      <c r="AF7">
        <v>188</v>
      </c>
      <c r="AG7">
        <v>72</v>
      </c>
      <c r="AH7">
        <v>377</v>
      </c>
      <c r="AI7">
        <v>156</v>
      </c>
      <c r="AJ7">
        <v>57</v>
      </c>
      <c r="AK7">
        <v>23</v>
      </c>
      <c r="AL7">
        <v>2</v>
      </c>
      <c r="AM7">
        <v>1</v>
      </c>
      <c r="AN7" s="248">
        <f>(AD7/AB7)*100</f>
        <v>56.8807339449541</v>
      </c>
      <c r="AO7" s="316">
        <f>(AE7/AC7)*100</f>
        <v>60</v>
      </c>
      <c r="AP7" s="317">
        <f>(AF7/AB7)*100</f>
        <v>43.1192660550459</v>
      </c>
      <c r="AQ7" s="318">
        <f>(AG7/AC7)*100</f>
        <v>40</v>
      </c>
      <c r="AR7" s="318" t="str">
        <f>IF(AN7&gt;AP7,"MALE DOM","FEMALE DOM")</f>
        <v>MALE DOM</v>
      </c>
      <c r="AS7" s="319" t="str">
        <f>IF(AO7&gt;AP7,"MALE","FEMALE")</f>
        <v>MALE</v>
      </c>
      <c r="AT7" s="317">
        <f>(AH7/AB7)*100</f>
        <v>86.4678899082569</v>
      </c>
      <c r="AU7" s="317">
        <f>(AI7/AC7)*100</f>
        <v>86.6666666666667</v>
      </c>
      <c r="AV7" s="248">
        <f>(AJ7/AB7)*100</f>
        <v>13.0733944954128</v>
      </c>
      <c r="AW7" s="317">
        <f>(AK7/AC7)*100</f>
        <v>12.7777777777778</v>
      </c>
      <c r="AX7" s="248">
        <f>(AL7/AB7)*100</f>
        <v>0.458715596330275</v>
      </c>
      <c r="AY7" s="317">
        <f>(AM7/AC7)*100</f>
        <v>0.555555555555556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1:53">
      <c r="A8" s="504"/>
      <c r="B8" s="355">
        <v>127</v>
      </c>
      <c r="C8" s="354">
        <v>961</v>
      </c>
      <c r="D8" s="354">
        <v>227</v>
      </c>
      <c r="E8" s="355">
        <v>268</v>
      </c>
      <c r="F8" s="371">
        <v>3</v>
      </c>
      <c r="G8" s="355">
        <v>2</v>
      </c>
      <c r="H8" s="371">
        <v>0</v>
      </c>
      <c r="I8" s="355">
        <v>1</v>
      </c>
      <c r="J8" s="371">
        <v>0</v>
      </c>
      <c r="K8" s="355">
        <v>0</v>
      </c>
      <c r="L8" s="364">
        <v>501</v>
      </c>
      <c r="M8" s="357">
        <v>0</v>
      </c>
      <c r="N8" s="364">
        <v>2</v>
      </c>
      <c r="O8" s="357">
        <f t="shared" si="0"/>
        <v>503</v>
      </c>
      <c r="P8" s="364">
        <f t="shared" si="1"/>
        <v>52.3413111342352</v>
      </c>
      <c r="Q8" s="357">
        <f t="shared" si="2"/>
        <v>53.2803180914513</v>
      </c>
      <c r="R8" s="413">
        <f t="shared" si="3"/>
        <v>45.1292246520875</v>
      </c>
      <c r="S8" s="364">
        <f t="shared" si="4"/>
        <v>0.596421471172962</v>
      </c>
      <c r="T8" s="357">
        <f t="shared" si="5"/>
        <v>0.397614314115308</v>
      </c>
      <c r="U8" s="413">
        <f t="shared" si="6"/>
        <v>0.198807157057654</v>
      </c>
      <c r="V8" s="364">
        <f t="shared" si="7"/>
        <v>0.397614314115308</v>
      </c>
      <c r="W8" s="357">
        <f t="shared" ref="W8:W11" si="8">Q8-R8</f>
        <v>8.15109343936382</v>
      </c>
      <c r="X8" s="413">
        <f t="shared" ref="X8:X11" si="9">Q8-(R8+S8+T8+U8)</f>
        <v>6.9582504970179</v>
      </c>
      <c r="Y8" s="364" t="str">
        <f t="shared" ref="Y8:Y12" si="10">IF(AND(W8&lt;0,W8&lt;=1),"LOST",IF(AND(W8&gt;1,W8&lt;=10),"NARROW",IF(AND(W8&gt;10,W8&lt;=40),"MEDIUM",IF(AND(W8&gt;40,W8&lt;=90),"STRONG",""))))</f>
        <v>NARROW</v>
      </c>
      <c r="Z8" s="288" t="str">
        <f t="shared" ref="Z8:Z12" si="11">IF(AND(P8&lt;0,P8&lt;=10),"WEAK",IF(AND(P8&gt;10,P8&lt;20),"BELOW AVG",IF(AND(P8&gt;20,P8&lt;=60),"MEDIUM",IF(AND(P8&gt;60,P8&lt;=90),"STRONG",""))))</f>
        <v>MEDIUM</v>
      </c>
      <c r="AA8" s="289" t="str">
        <f t="shared" ref="AA8:AA12" si="12">IF(Q8&gt;R8,"BJP","CONGRESS")</f>
        <v>BJP</v>
      </c>
      <c r="AB8">
        <v>958</v>
      </c>
      <c r="AD8">
        <v>468</v>
      </c>
      <c r="AF8">
        <v>490</v>
      </c>
      <c r="AH8">
        <v>569</v>
      </c>
      <c r="AJ8">
        <v>209</v>
      </c>
      <c r="AL8">
        <v>180</v>
      </c>
      <c r="AN8" s="248">
        <f t="shared" ref="AN8:AO11" si="13">(AD8/AB8)*100</f>
        <v>48.8517745302714</v>
      </c>
      <c r="AO8" s="316" t="e">
        <f t="shared" si="13"/>
        <v>#DIV/0!</v>
      </c>
      <c r="AP8" s="317">
        <f t="shared" ref="AP8:AQ11" si="14">(AF8/AB8)*100</f>
        <v>51.1482254697286</v>
      </c>
      <c r="AQ8" s="318" t="e">
        <f t="shared" si="14"/>
        <v>#DIV/0!</v>
      </c>
      <c r="AR8" s="318" t="str">
        <f t="shared" ref="AR8:AR11" si="15">IF(AN8&gt;AP8,"MALE DOM","FEMALE DOM")</f>
        <v>FEMALE DOM</v>
      </c>
      <c r="AS8" s="319" t="e">
        <f t="shared" ref="AS8:AS11" si="16">IF(AO8&gt;AP8,"MALE","FEMALE")</f>
        <v>#DIV/0!</v>
      </c>
      <c r="AT8" s="317">
        <f t="shared" ref="AT8:AU11" si="17">(AH8/AB8)*100</f>
        <v>59.3945720250522</v>
      </c>
      <c r="AU8" s="317" t="e">
        <f t="shared" si="17"/>
        <v>#DIV/0!</v>
      </c>
      <c r="AV8" s="248">
        <f t="shared" ref="AV8:AW11" si="18">(AJ8/AB8)*100</f>
        <v>21.8162839248434</v>
      </c>
      <c r="AW8" s="317" t="e">
        <f t="shared" si="18"/>
        <v>#DIV/0!</v>
      </c>
      <c r="AX8" s="248">
        <f t="shared" ref="AX8:AY11" si="19">(AL8/AB8)*100</f>
        <v>18.7891440501044</v>
      </c>
      <c r="AY8" s="317" t="e">
        <f t="shared" si="19"/>
        <v>#DIV/0!</v>
      </c>
      <c r="AZ8" s="248" t="str">
        <f t="shared" ref="AZ8:AZ11" si="20">IF(AT8&gt;(AV8+AX8),"HINDU","MINORITY")</f>
        <v>HINDU</v>
      </c>
      <c r="BA8" s="318" t="e">
        <f t="shared" ref="BA8:BA11" si="21">IF(AU8&gt;(AW8+AY8),"HIND","MINORITY")</f>
        <v>#DIV/0!</v>
      </c>
    </row>
    <row r="9" spans="1:53">
      <c r="A9" s="504"/>
      <c r="B9" s="218">
        <v>126</v>
      </c>
      <c r="C9" s="217">
        <v>1216</v>
      </c>
      <c r="D9" s="217">
        <v>339</v>
      </c>
      <c r="E9" s="218">
        <v>188</v>
      </c>
      <c r="F9" s="232">
        <v>0</v>
      </c>
      <c r="G9" s="218">
        <v>1</v>
      </c>
      <c r="H9" s="232">
        <v>0</v>
      </c>
      <c r="I9" s="218">
        <v>0</v>
      </c>
      <c r="J9" s="232">
        <v>0</v>
      </c>
      <c r="K9" s="218">
        <v>0</v>
      </c>
      <c r="L9" s="224">
        <v>528</v>
      </c>
      <c r="M9" s="236">
        <v>0</v>
      </c>
      <c r="N9" s="224">
        <v>1</v>
      </c>
      <c r="O9" s="236">
        <f t="shared" si="0"/>
        <v>529</v>
      </c>
      <c r="P9" s="224">
        <f t="shared" si="1"/>
        <v>43.5032894736842</v>
      </c>
      <c r="Q9" s="236">
        <f t="shared" si="2"/>
        <v>35.538752362949</v>
      </c>
      <c r="R9" s="370">
        <f t="shared" si="3"/>
        <v>64.0831758034027</v>
      </c>
      <c r="S9" s="224">
        <f t="shared" si="4"/>
        <v>0</v>
      </c>
      <c r="T9" s="236">
        <f t="shared" si="5"/>
        <v>0.189035916824197</v>
      </c>
      <c r="U9" s="370">
        <f t="shared" si="6"/>
        <v>0</v>
      </c>
      <c r="V9" s="224">
        <f t="shared" si="7"/>
        <v>0.189035916824197</v>
      </c>
      <c r="W9" s="236">
        <f t="shared" si="8"/>
        <v>-28.5444234404537</v>
      </c>
      <c r="X9" s="370">
        <f t="shared" si="9"/>
        <v>-28.7334593572779</v>
      </c>
      <c r="Y9" s="224" t="str">
        <f t="shared" si="10"/>
        <v>LOST</v>
      </c>
      <c r="Z9" s="288" t="str">
        <f t="shared" si="11"/>
        <v>MEDIUM</v>
      </c>
      <c r="AA9" s="511" t="str">
        <f t="shared" si="12"/>
        <v>CONGRESS</v>
      </c>
      <c r="AB9">
        <v>1209</v>
      </c>
      <c r="AD9">
        <v>594</v>
      </c>
      <c r="AF9">
        <v>583</v>
      </c>
      <c r="AH9">
        <v>496</v>
      </c>
      <c r="AJ9">
        <v>301</v>
      </c>
      <c r="AL9">
        <v>412</v>
      </c>
      <c r="AN9" s="248">
        <f t="shared" si="13"/>
        <v>49.1315136476427</v>
      </c>
      <c r="AO9" s="316" t="e">
        <f t="shared" si="13"/>
        <v>#DIV/0!</v>
      </c>
      <c r="AP9" s="317">
        <f t="shared" si="14"/>
        <v>48.221670802316</v>
      </c>
      <c r="AQ9" s="318" t="e">
        <f t="shared" si="14"/>
        <v>#DIV/0!</v>
      </c>
      <c r="AR9" s="318" t="str">
        <f t="shared" si="15"/>
        <v>MALE DOM</v>
      </c>
      <c r="AS9" s="319" t="e">
        <f t="shared" si="16"/>
        <v>#DIV/0!</v>
      </c>
      <c r="AT9" s="317">
        <f t="shared" si="17"/>
        <v>41.025641025641</v>
      </c>
      <c r="AU9" s="317" t="e">
        <f t="shared" si="17"/>
        <v>#DIV/0!</v>
      </c>
      <c r="AV9" s="248">
        <f t="shared" si="18"/>
        <v>24.8966087675765</v>
      </c>
      <c r="AW9" s="317" t="e">
        <f t="shared" si="18"/>
        <v>#DIV/0!</v>
      </c>
      <c r="AX9" s="248">
        <f t="shared" si="19"/>
        <v>34.0777502067825</v>
      </c>
      <c r="AY9" s="317" t="e">
        <f t="shared" si="19"/>
        <v>#DIV/0!</v>
      </c>
      <c r="AZ9" s="248" t="str">
        <f t="shared" si="20"/>
        <v>MINORITY</v>
      </c>
      <c r="BA9" s="318" t="e">
        <f t="shared" si="21"/>
        <v>#DIV/0!</v>
      </c>
    </row>
    <row r="10" spans="1:53">
      <c r="A10" s="504"/>
      <c r="B10" s="404">
        <v>125</v>
      </c>
      <c r="C10" s="359">
        <v>993</v>
      </c>
      <c r="D10" s="359">
        <v>189</v>
      </c>
      <c r="E10" s="404">
        <v>293</v>
      </c>
      <c r="F10" s="505">
        <v>1</v>
      </c>
      <c r="G10" s="404">
        <v>5</v>
      </c>
      <c r="H10" s="505">
        <v>0</v>
      </c>
      <c r="I10" s="404">
        <v>0</v>
      </c>
      <c r="J10" s="505">
        <v>0</v>
      </c>
      <c r="K10" s="404">
        <v>0</v>
      </c>
      <c r="L10" s="404">
        <v>488</v>
      </c>
      <c r="M10" s="505">
        <v>0</v>
      </c>
      <c r="N10" s="404">
        <v>2</v>
      </c>
      <c r="O10" s="505">
        <f t="shared" si="0"/>
        <v>490</v>
      </c>
      <c r="P10" s="404">
        <f t="shared" si="1"/>
        <v>49.3454179254783</v>
      </c>
      <c r="Q10" s="505">
        <f t="shared" si="2"/>
        <v>59.7959183673469</v>
      </c>
      <c r="R10" s="359">
        <f t="shared" si="3"/>
        <v>38.5714285714286</v>
      </c>
      <c r="S10" s="404">
        <f t="shared" si="4"/>
        <v>0.204081632653061</v>
      </c>
      <c r="T10" s="505">
        <f t="shared" si="5"/>
        <v>1.02040816326531</v>
      </c>
      <c r="U10" s="359">
        <f t="shared" si="6"/>
        <v>0</v>
      </c>
      <c r="V10" s="404">
        <f t="shared" si="7"/>
        <v>0.408163265306122</v>
      </c>
      <c r="W10" s="505">
        <f t="shared" si="8"/>
        <v>21.2244897959184</v>
      </c>
      <c r="X10" s="359">
        <f t="shared" si="9"/>
        <v>20</v>
      </c>
      <c r="Y10" s="404" t="str">
        <f t="shared" si="10"/>
        <v>MEDIUM</v>
      </c>
      <c r="Z10" s="288" t="str">
        <f t="shared" si="11"/>
        <v>MEDIUM</v>
      </c>
      <c r="AA10" s="289" t="str">
        <f t="shared" si="12"/>
        <v>BJP</v>
      </c>
      <c r="AB10">
        <v>992</v>
      </c>
      <c r="AC10">
        <v>513</v>
      </c>
      <c r="AD10">
        <v>491</v>
      </c>
      <c r="AE10">
        <v>253</v>
      </c>
      <c r="AF10">
        <v>501</v>
      </c>
      <c r="AG10">
        <v>260</v>
      </c>
      <c r="AH10">
        <v>665</v>
      </c>
      <c r="AI10">
        <v>351</v>
      </c>
      <c r="AJ10">
        <v>98</v>
      </c>
      <c r="AK10">
        <v>45</v>
      </c>
      <c r="AL10">
        <v>229</v>
      </c>
      <c r="AM10">
        <v>117</v>
      </c>
      <c r="AN10" s="248">
        <f t="shared" si="13"/>
        <v>49.4959677419355</v>
      </c>
      <c r="AO10" s="316">
        <f t="shared" si="13"/>
        <v>49.317738791423</v>
      </c>
      <c r="AP10" s="317">
        <f t="shared" si="14"/>
        <v>50.5040322580645</v>
      </c>
      <c r="AQ10" s="318">
        <f t="shared" si="14"/>
        <v>50.682261208577</v>
      </c>
      <c r="AR10" s="318" t="str">
        <f t="shared" si="15"/>
        <v>FEMALE DOM</v>
      </c>
      <c r="AS10" s="319" t="str">
        <f t="shared" si="16"/>
        <v>FEMALE</v>
      </c>
      <c r="AT10" s="317">
        <f t="shared" si="17"/>
        <v>67.0362903225807</v>
      </c>
      <c r="AU10" s="317">
        <f t="shared" si="17"/>
        <v>68.4210526315789</v>
      </c>
      <c r="AV10" s="248">
        <f t="shared" si="18"/>
        <v>9.87903225806452</v>
      </c>
      <c r="AW10" s="317">
        <f t="shared" si="18"/>
        <v>8.7719298245614</v>
      </c>
      <c r="AX10" s="248">
        <f t="shared" si="19"/>
        <v>23.0846774193548</v>
      </c>
      <c r="AY10" s="317">
        <f t="shared" si="19"/>
        <v>22.8070175438596</v>
      </c>
      <c r="AZ10" s="248" t="str">
        <f t="shared" si="20"/>
        <v>HINDU</v>
      </c>
      <c r="BA10" s="318" t="str">
        <f t="shared" si="21"/>
        <v>HIND</v>
      </c>
    </row>
    <row r="11" spans="1:53">
      <c r="A11" s="506"/>
      <c r="B11" s="362">
        <v>142</v>
      </c>
      <c r="C11" s="370">
        <v>1160</v>
      </c>
      <c r="D11" s="370">
        <v>455</v>
      </c>
      <c r="E11" s="224">
        <v>142</v>
      </c>
      <c r="F11" s="236">
        <v>1</v>
      </c>
      <c r="G11" s="224">
        <v>2</v>
      </c>
      <c r="H11" s="236">
        <v>0</v>
      </c>
      <c r="I11" s="224">
        <v>0</v>
      </c>
      <c r="J11" s="236">
        <v>0</v>
      </c>
      <c r="K11" s="224">
        <v>0</v>
      </c>
      <c r="L11" s="224">
        <v>600</v>
      </c>
      <c r="M11" s="236">
        <v>0</v>
      </c>
      <c r="N11" s="224">
        <v>1</v>
      </c>
      <c r="O11" s="236">
        <f t="shared" si="0"/>
        <v>601</v>
      </c>
      <c r="P11" s="224">
        <f t="shared" si="1"/>
        <v>51.8103448275862</v>
      </c>
      <c r="Q11" s="236">
        <f t="shared" si="2"/>
        <v>23.6272878535774</v>
      </c>
      <c r="R11" s="370">
        <f t="shared" si="3"/>
        <v>75.7071547420965</v>
      </c>
      <c r="S11" s="224">
        <f t="shared" si="4"/>
        <v>0.166389351081531</v>
      </c>
      <c r="T11" s="236">
        <f t="shared" si="5"/>
        <v>0.332778702163062</v>
      </c>
      <c r="U11" s="370">
        <f t="shared" si="6"/>
        <v>0</v>
      </c>
      <c r="V11" s="224">
        <f t="shared" si="7"/>
        <v>0.166389351081531</v>
      </c>
      <c r="W11" s="236">
        <f t="shared" si="8"/>
        <v>-52.0798668885191</v>
      </c>
      <c r="X11" s="370">
        <f t="shared" si="9"/>
        <v>-52.5790349417637</v>
      </c>
      <c r="Y11" s="224" t="str">
        <f t="shared" si="10"/>
        <v>LOST</v>
      </c>
      <c r="Z11" s="288" t="str">
        <f t="shared" si="11"/>
        <v>MEDIUM</v>
      </c>
      <c r="AA11" s="511" t="str">
        <f t="shared" si="12"/>
        <v>CONGRESS</v>
      </c>
      <c r="AB11">
        <v>1148</v>
      </c>
      <c r="AC11">
        <v>555</v>
      </c>
      <c r="AD11">
        <v>588</v>
      </c>
      <c r="AE11">
        <v>281</v>
      </c>
      <c r="AF11">
        <v>560</v>
      </c>
      <c r="AG11">
        <v>274</v>
      </c>
      <c r="AH11">
        <v>312</v>
      </c>
      <c r="AI11">
        <v>159</v>
      </c>
      <c r="AJ11">
        <v>648</v>
      </c>
      <c r="AK11">
        <v>316</v>
      </c>
      <c r="AL11">
        <v>188</v>
      </c>
      <c r="AM11">
        <v>80</v>
      </c>
      <c r="AN11" s="248">
        <f t="shared" si="13"/>
        <v>51.219512195122</v>
      </c>
      <c r="AO11" s="316">
        <f t="shared" si="13"/>
        <v>50.6306306306306</v>
      </c>
      <c r="AP11" s="317">
        <f t="shared" si="14"/>
        <v>48.780487804878</v>
      </c>
      <c r="AQ11" s="318">
        <f t="shared" si="14"/>
        <v>49.3693693693694</v>
      </c>
      <c r="AR11" s="318" t="str">
        <f t="shared" si="15"/>
        <v>MALE DOM</v>
      </c>
      <c r="AS11" s="319" t="str">
        <f t="shared" si="16"/>
        <v>MALE</v>
      </c>
      <c r="AT11" s="317">
        <f t="shared" si="17"/>
        <v>27.1777003484321</v>
      </c>
      <c r="AU11" s="317">
        <f t="shared" si="17"/>
        <v>28.6486486486486</v>
      </c>
      <c r="AV11" s="248">
        <f t="shared" si="18"/>
        <v>56.4459930313589</v>
      </c>
      <c r="AW11" s="317">
        <f t="shared" si="18"/>
        <v>56.9369369369369</v>
      </c>
      <c r="AX11" s="248">
        <f t="shared" si="19"/>
        <v>16.3763066202091</v>
      </c>
      <c r="AY11" s="317">
        <f t="shared" si="19"/>
        <v>14.4144144144144</v>
      </c>
      <c r="AZ11" s="248" t="str">
        <f t="shared" si="20"/>
        <v>MINORITY</v>
      </c>
      <c r="BA11" s="318" t="str">
        <f t="shared" si="21"/>
        <v>MINORITY</v>
      </c>
    </row>
    <row r="12" ht="21" spans="1:27">
      <c r="A12" s="358"/>
      <c r="C12" s="416">
        <f t="shared" ref="C12:O12" si="22">SUM(C7:C11)</f>
        <v>4766</v>
      </c>
      <c r="D12" s="416">
        <f t="shared" si="22"/>
        <v>1313</v>
      </c>
      <c r="E12" s="416">
        <f t="shared" si="22"/>
        <v>986</v>
      </c>
      <c r="F12" s="416">
        <f t="shared" si="22"/>
        <v>6</v>
      </c>
      <c r="G12" s="416">
        <f t="shared" si="22"/>
        <v>12</v>
      </c>
      <c r="H12" s="416">
        <f t="shared" si="22"/>
        <v>0</v>
      </c>
      <c r="I12" s="507">
        <f t="shared" si="22"/>
        <v>1</v>
      </c>
      <c r="J12" s="416">
        <f t="shared" si="22"/>
        <v>1</v>
      </c>
      <c r="K12" s="507">
        <f t="shared" si="22"/>
        <v>0</v>
      </c>
      <c r="L12" s="507">
        <f t="shared" si="22"/>
        <v>2319</v>
      </c>
      <c r="M12" s="416">
        <f t="shared" si="22"/>
        <v>0</v>
      </c>
      <c r="N12" s="507">
        <f t="shared" si="22"/>
        <v>8</v>
      </c>
      <c r="O12" s="416">
        <f t="shared" si="22"/>
        <v>2327</v>
      </c>
      <c r="P12" s="507">
        <f t="shared" ref="P12:X12" si="23">AVERAGE(P7:P11)</f>
        <v>48.7578708373344</v>
      </c>
      <c r="Q12" s="416">
        <f t="shared" si="23"/>
        <v>43.762180825261</v>
      </c>
      <c r="R12" s="414">
        <f t="shared" si="23"/>
        <v>54.7962359694893</v>
      </c>
      <c r="S12" s="507">
        <f t="shared" si="23"/>
        <v>0.291417706667785</v>
      </c>
      <c r="T12" s="416">
        <f t="shared" si="23"/>
        <v>0.584045850646123</v>
      </c>
      <c r="U12" s="414">
        <f t="shared" si="23"/>
        <v>0.137800647097805</v>
      </c>
      <c r="V12" s="507">
        <f t="shared" si="23"/>
        <v>0.428319000837981</v>
      </c>
      <c r="W12" s="416">
        <f t="shared" si="23"/>
        <v>-11.0340551442283</v>
      </c>
      <c r="X12" s="414">
        <f t="shared" si="23"/>
        <v>-12.04731934864</v>
      </c>
      <c r="Y12" s="415" t="str">
        <f t="shared" si="10"/>
        <v>LOST</v>
      </c>
      <c r="Z12" s="424" t="str">
        <f t="shared" si="11"/>
        <v>MEDIUM</v>
      </c>
      <c r="AA12" s="512" t="str">
        <f t="shared" si="12"/>
        <v>CONGRESS</v>
      </c>
    </row>
    <row r="17" spans="6:23">
      <c r="F17" s="225" t="s">
        <v>205</v>
      </c>
      <c r="G17" s="237"/>
      <c r="H17" s="237"/>
      <c r="I17" s="238"/>
      <c r="K17" s="225" t="s">
        <v>97</v>
      </c>
      <c r="L17" s="237"/>
      <c r="M17" s="237"/>
      <c r="N17" s="238"/>
      <c r="P17" s="265" t="s">
        <v>98</v>
      </c>
      <c r="Q17" s="265"/>
      <c r="R17" s="265"/>
      <c r="S17" s="265"/>
      <c r="T17" s="265"/>
      <c r="U17" s="265"/>
      <c r="V17" s="265"/>
      <c r="W17" s="265"/>
    </row>
    <row r="18" spans="6:23">
      <c r="F18" s="226"/>
      <c r="G18" s="239"/>
      <c r="H18" s="239"/>
      <c r="I18" s="240"/>
      <c r="K18" s="241"/>
      <c r="L18" s="242"/>
      <c r="M18" s="242"/>
      <c r="N18" s="243"/>
      <c r="P18" s="265"/>
      <c r="Q18" s="265"/>
      <c r="R18" s="265"/>
      <c r="S18" s="265"/>
      <c r="T18" s="265"/>
      <c r="U18" s="265"/>
      <c r="V18" s="265"/>
      <c r="W18" s="265"/>
    </row>
    <row r="19" spans="6:23">
      <c r="F19" s="227" t="s">
        <v>99</v>
      </c>
      <c r="G19" s="244"/>
      <c r="H19" s="245"/>
      <c r="I19" s="245">
        <f>COUNTIF(AA7:AA11,"BJP")</f>
        <v>2</v>
      </c>
      <c r="K19" s="246" t="s">
        <v>100</v>
      </c>
      <c r="L19" s="247"/>
      <c r="M19" s="247"/>
      <c r="N19" s="248">
        <f>COUNTIF(Y7:Y11,"NARROW")</f>
        <v>1</v>
      </c>
      <c r="P19" s="265" t="s">
        <v>101</v>
      </c>
      <c r="Q19" s="265"/>
      <c r="R19" s="265"/>
      <c r="S19" s="265">
        <f>'CORT-18'!E7</f>
        <v>43.6083354957987</v>
      </c>
      <c r="T19" s="265" t="s">
        <v>102</v>
      </c>
      <c r="U19" s="265"/>
      <c r="V19" s="265"/>
      <c r="W19" s="265">
        <f>Q12</f>
        <v>43.762180825261</v>
      </c>
    </row>
    <row r="20" spans="6:23">
      <c r="F20" s="227"/>
      <c r="G20" s="244"/>
      <c r="H20" s="245"/>
      <c r="I20" s="245"/>
      <c r="K20" s="249"/>
      <c r="L20" s="250"/>
      <c r="M20" s="250"/>
      <c r="N20" s="251"/>
      <c r="P20" s="265"/>
      <c r="Q20" s="265"/>
      <c r="R20" s="265"/>
      <c r="S20" s="265"/>
      <c r="T20" s="265"/>
      <c r="U20" s="265"/>
      <c r="V20" s="265"/>
      <c r="W20" s="265"/>
    </row>
    <row r="21" spans="6:23">
      <c r="F21" s="227"/>
      <c r="G21" s="244"/>
      <c r="H21" s="245"/>
      <c r="I21" s="245"/>
      <c r="K21" s="252" t="s">
        <v>103</v>
      </c>
      <c r="L21" s="253"/>
      <c r="M21" s="253"/>
      <c r="N21" s="248">
        <f>COUNTIF(Y7:Y11,"MEDIUM")</f>
        <v>1</v>
      </c>
      <c r="P21" s="265" t="s">
        <v>104</v>
      </c>
      <c r="Q21" s="265"/>
      <c r="R21" s="265"/>
      <c r="S21" s="265">
        <f>'CORT-18'!G7</f>
        <v>53.2009738306414</v>
      </c>
      <c r="T21" s="265" t="s">
        <v>105</v>
      </c>
      <c r="U21" s="265"/>
      <c r="V21" s="265"/>
      <c r="W21" s="265">
        <f>R12</f>
        <v>54.7962359694893</v>
      </c>
    </row>
    <row r="22" spans="6:23">
      <c r="F22" s="228" t="s">
        <v>106</v>
      </c>
      <c r="G22" s="254"/>
      <c r="H22" s="255"/>
      <c r="I22" s="255">
        <f>COUNTIF(AA7:AA11,"CONGRESS")</f>
        <v>3</v>
      </c>
      <c r="K22" s="252"/>
      <c r="L22" s="253"/>
      <c r="M22" s="253"/>
      <c r="N22" s="251"/>
      <c r="P22" s="265"/>
      <c r="Q22" s="265"/>
      <c r="R22" s="265"/>
      <c r="S22" s="265"/>
      <c r="T22" s="265"/>
      <c r="U22" s="265"/>
      <c r="V22" s="265"/>
      <c r="W22" s="265"/>
    </row>
    <row r="23" spans="6:23">
      <c r="F23" s="229"/>
      <c r="G23" s="256"/>
      <c r="H23" s="257"/>
      <c r="I23" s="257"/>
      <c r="K23" s="258" t="s">
        <v>107</v>
      </c>
      <c r="L23" s="259"/>
      <c r="M23" s="259"/>
      <c r="N23" s="248">
        <f>COUNTIF(Y7:Y11,"STRONG")</f>
        <v>0</v>
      </c>
      <c r="P23" s="265" t="s">
        <v>108</v>
      </c>
      <c r="Q23" s="265"/>
      <c r="R23" s="265"/>
      <c r="S23" s="265">
        <f>'CORT-18'!C7</f>
        <v>2577</v>
      </c>
      <c r="T23" s="265" t="s">
        <v>109</v>
      </c>
      <c r="U23" s="265"/>
      <c r="V23" s="265"/>
      <c r="W23" s="265">
        <f>O12</f>
        <v>2327</v>
      </c>
    </row>
    <row r="24" spans="6:23">
      <c r="F24" s="230"/>
      <c r="G24" s="260"/>
      <c r="H24" s="261"/>
      <c r="I24" s="261"/>
      <c r="K24" s="262"/>
      <c r="L24" s="263"/>
      <c r="M24" s="263"/>
      <c r="N24" s="251"/>
      <c r="P24" s="265"/>
      <c r="Q24" s="265"/>
      <c r="R24" s="265"/>
      <c r="S24" s="265"/>
      <c r="T24" s="265"/>
      <c r="U24" s="265"/>
      <c r="V24" s="265"/>
      <c r="W24" s="265"/>
    </row>
    <row r="25" spans="11:23">
      <c r="K25" s="229" t="s">
        <v>110</v>
      </c>
      <c r="L25" s="256"/>
      <c r="M25" s="256"/>
      <c r="N25" s="248">
        <f>COUNTIF(Y7:Y11,"LOST")</f>
        <v>3</v>
      </c>
      <c r="P25" s="265" t="s">
        <v>111</v>
      </c>
      <c r="Q25" s="265"/>
      <c r="R25" s="265"/>
      <c r="S25" s="265">
        <f>S19-S21</f>
        <v>-9.59263833484266</v>
      </c>
      <c r="T25" s="265" t="s">
        <v>111</v>
      </c>
      <c r="U25" s="265"/>
      <c r="V25" s="265"/>
      <c r="W25" s="265">
        <f>W19-W21</f>
        <v>-11.0340551442283</v>
      </c>
    </row>
    <row r="26" spans="11:23">
      <c r="K26" s="230"/>
      <c r="L26" s="260"/>
      <c r="M26" s="260"/>
      <c r="N26" s="251"/>
      <c r="P26" s="265"/>
      <c r="Q26" s="265"/>
      <c r="R26" s="265"/>
      <c r="S26" s="265"/>
      <c r="T26" s="265"/>
      <c r="U26" s="265"/>
      <c r="V26" s="265"/>
      <c r="W26" s="265"/>
    </row>
    <row r="27" spans="16:22">
      <c r="P27" s="265" t="s">
        <v>112</v>
      </c>
      <c r="Q27" s="265"/>
      <c r="R27" s="265"/>
      <c r="S27" s="265">
        <f>W19-S19</f>
        <v>0.153845329462264</v>
      </c>
      <c r="T27" s="265"/>
      <c r="U27" s="265"/>
      <c r="V27" s="265"/>
    </row>
    <row r="28" spans="16:22">
      <c r="P28" s="265"/>
      <c r="Q28" s="265"/>
      <c r="R28" s="265"/>
      <c r="S28" s="265"/>
      <c r="T28" s="265"/>
      <c r="U28" s="265"/>
      <c r="V28" s="265"/>
    </row>
    <row r="29" spans="16:22">
      <c r="P29" s="265" t="s">
        <v>113</v>
      </c>
      <c r="Q29" s="265"/>
      <c r="R29" s="265"/>
      <c r="S29" s="265">
        <f>W21-S21</f>
        <v>1.59526213884793</v>
      </c>
      <c r="T29" s="265"/>
      <c r="U29" s="265"/>
      <c r="V29" s="265"/>
    </row>
    <row r="30" spans="16:22">
      <c r="P30" s="265"/>
      <c r="Q30" s="265"/>
      <c r="R30" s="265"/>
      <c r="S30" s="265"/>
      <c r="T30" s="265"/>
      <c r="U30" s="265"/>
      <c r="V30" s="265"/>
    </row>
    <row r="31" spans="16:22">
      <c r="P31" s="265" t="s">
        <v>114</v>
      </c>
      <c r="Q31" s="265"/>
      <c r="R31" s="265"/>
      <c r="S31" s="265" t="str">
        <f>IF(S27&gt;S29,"INCREASE","DECREASE")</f>
        <v>DECREASE</v>
      </c>
      <c r="T31" s="265"/>
      <c r="U31" s="265"/>
      <c r="V31" s="265"/>
    </row>
    <row r="32" spans="16:22">
      <c r="P32" s="265"/>
      <c r="Q32" s="265"/>
      <c r="R32" s="265"/>
      <c r="S32" s="265"/>
      <c r="T32" s="265"/>
      <c r="U32" s="265"/>
      <c r="V32" s="265"/>
    </row>
    <row r="33" spans="16:23">
      <c r="P33" s="265" t="s">
        <v>193</v>
      </c>
      <c r="Q33" s="265"/>
      <c r="R33" s="265"/>
      <c r="S33" s="265"/>
      <c r="T33" s="265"/>
      <c r="U33" s="265"/>
      <c r="V33" s="265"/>
      <c r="W33" s="265"/>
    </row>
    <row r="34" spans="16:23">
      <c r="P34" s="265"/>
      <c r="Q34" s="265"/>
      <c r="R34" s="265"/>
      <c r="S34" s="265"/>
      <c r="T34" s="265"/>
      <c r="U34" s="265"/>
      <c r="V34" s="265"/>
      <c r="W34" s="265"/>
    </row>
    <row r="35" spans="16:23">
      <c r="P35" s="265"/>
      <c r="Q35" s="265"/>
      <c r="R35" s="265"/>
      <c r="S35" s="265"/>
      <c r="T35" s="265"/>
      <c r="U35" s="265"/>
      <c r="V35" s="265"/>
      <c r="W35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I19:I21"/>
    <mergeCell ref="I22:I24"/>
    <mergeCell ref="J3:J6"/>
    <mergeCell ref="K3:K6"/>
    <mergeCell ref="L1:L6"/>
    <mergeCell ref="M1:M6"/>
    <mergeCell ref="N1:N6"/>
    <mergeCell ref="N19:N20"/>
    <mergeCell ref="N21:N22"/>
    <mergeCell ref="N23:N24"/>
    <mergeCell ref="N25:N26"/>
    <mergeCell ref="O1:O6"/>
    <mergeCell ref="P1:P6"/>
    <mergeCell ref="Q1:Q6"/>
    <mergeCell ref="R1:R6"/>
    <mergeCell ref="S1:S6"/>
    <mergeCell ref="S19:S20"/>
    <mergeCell ref="S21:S22"/>
    <mergeCell ref="S23:S24"/>
    <mergeCell ref="S25:S26"/>
    <mergeCell ref="T1:T6"/>
    <mergeCell ref="U1:U6"/>
    <mergeCell ref="V1:V6"/>
    <mergeCell ref="W1:W6"/>
    <mergeCell ref="W19:W20"/>
    <mergeCell ref="W21:W22"/>
    <mergeCell ref="W23:W24"/>
    <mergeCell ref="W25:W2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K25:M26"/>
    <mergeCell ref="T25:V26"/>
    <mergeCell ref="F17:I18"/>
    <mergeCell ref="K17:N18"/>
    <mergeCell ref="F19:H21"/>
    <mergeCell ref="K19:M20"/>
    <mergeCell ref="T19:V20"/>
    <mergeCell ref="K21:M22"/>
    <mergeCell ref="T21:V22"/>
    <mergeCell ref="F22:H24"/>
    <mergeCell ref="K23:M24"/>
    <mergeCell ref="T23:V24"/>
    <mergeCell ref="D1:K2"/>
    <mergeCell ref="P17:W18"/>
    <mergeCell ref="P19:R20"/>
    <mergeCell ref="P21:R22"/>
    <mergeCell ref="P23:R24"/>
    <mergeCell ref="P25:R26"/>
    <mergeCell ref="P27:R28"/>
    <mergeCell ref="S27:V28"/>
    <mergeCell ref="P33:W35"/>
    <mergeCell ref="P29:R30"/>
    <mergeCell ref="S29:V30"/>
    <mergeCell ref="P31:R32"/>
    <mergeCell ref="S31:T32"/>
    <mergeCell ref="U31:V32"/>
  </mergeCells>
  <conditionalFormatting sqref="AR7:AR11">
    <cfRule type="containsText" dxfId="6" priority="1" operator="between" text="FEMALE DOM">
      <formula>NOT(ISERROR(SEARCH("FEMALE DOM",AR7)))</formula>
    </cfRule>
  </conditionalFormatting>
  <conditionalFormatting sqref="AZ7:AZ11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1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"/>
  <sheetViews>
    <sheetView topLeftCell="P1" workbookViewId="0">
      <selection activeCell="A1" sqref="A1:AJ1"/>
    </sheetView>
  </sheetViews>
  <sheetFormatPr defaultColWidth="9" defaultRowHeight="14.5" outlineLevelRow="6"/>
  <cols>
    <col min="2" max="2" width="77.5727272727273" customWidth="1"/>
  </cols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7">
      <c r="A2" s="184">
        <v>114</v>
      </c>
      <c r="B2" s="185" t="s">
        <v>226</v>
      </c>
      <c r="C2" s="184">
        <v>547</v>
      </c>
      <c r="D2" s="184">
        <v>311</v>
      </c>
      <c r="E2" s="184">
        <f t="shared" ref="E2:E6" si="0">(D2/C2)*100</f>
        <v>56.8555758683729</v>
      </c>
      <c r="F2" s="184">
        <v>226</v>
      </c>
      <c r="G2" s="184">
        <f t="shared" ref="G2:G6" si="1">(F2/C2)*100</f>
        <v>41.3162705667276</v>
      </c>
      <c r="H2" s="184">
        <v>3</v>
      </c>
      <c r="I2" s="184">
        <f t="shared" ref="I2:I6" si="2">(H2/C2)*100</f>
        <v>0.548446069469835</v>
      </c>
      <c r="J2" s="184">
        <v>3</v>
      </c>
      <c r="K2" s="184">
        <f t="shared" ref="K2:K6" si="3">(J2/C2)*100</f>
        <v>0.548446069469835</v>
      </c>
      <c r="L2" s="189">
        <v>512</v>
      </c>
      <c r="M2" s="189">
        <v>501</v>
      </c>
      <c r="N2" s="189">
        <f t="shared" ref="N2:N6" si="4">L2+M2</f>
        <v>1013</v>
      </c>
      <c r="O2" s="184">
        <v>547</v>
      </c>
      <c r="P2" s="190">
        <f t="shared" ref="P2:P6" si="5">O2/N2*100</f>
        <v>53.9980256663376</v>
      </c>
      <c r="Q2" s="184">
        <v>673</v>
      </c>
      <c r="R2" s="184">
        <f t="shared" ref="R2:R6" si="6">(Q2/N2)*100</f>
        <v>66.436327739388</v>
      </c>
      <c r="S2" s="184">
        <f t="shared" ref="S2:S6" si="7">Q2-U2</f>
        <v>313</v>
      </c>
      <c r="T2" s="184">
        <f t="shared" ref="T2:T6" si="8">(S2/Q2)*100</f>
        <v>46.5081723625557</v>
      </c>
      <c r="U2" s="184">
        <v>360</v>
      </c>
      <c r="V2" s="191">
        <f t="shared" ref="V2:V6" si="9">IFERROR(U2/Q2*100,0)</f>
        <v>53.4918276374443</v>
      </c>
      <c r="W2" s="184">
        <f>102+238</f>
        <v>340</v>
      </c>
      <c r="X2" s="184">
        <f t="shared" ref="X2:X6" si="10">100-R2</f>
        <v>33.563672260612</v>
      </c>
      <c r="Y2" s="184">
        <f t="shared" ref="Y2:Y6" si="11">W2-AA2</f>
        <v>153</v>
      </c>
      <c r="Z2" s="193">
        <f t="shared" ref="Z2:Z6" si="12">(Y2/W2)*100</f>
        <v>45</v>
      </c>
      <c r="AA2" s="193">
        <v>187</v>
      </c>
      <c r="AB2" s="194">
        <f t="shared" ref="AB2:AB6" si="13">IFERROR(AA2/W2*100,0)</f>
        <v>55</v>
      </c>
      <c r="AC2" s="193">
        <f t="shared" ref="AC2:AC6" si="14">U2+AA2</f>
        <v>547</v>
      </c>
      <c r="AD2" s="193" t="str">
        <f t="shared" ref="AD2:AD6" si="15">IF(P2&gt;80,"EXCELLENT",IF(P2&gt;70,"STRONG",IF(P2&gt;60,"AVG",IF(P2&gt;50,"WEAK",IF(P2&lt;50,"VLOW")))))</f>
        <v>WEAK</v>
      </c>
      <c r="AE2" s="195" t="str">
        <f t="shared" ref="AE2:AE6" si="16">IF(R2&gt;80,"EXCELLENT",IF(R2&gt;70,"STRONG",IF(R2&gt;60,"AVG",IF(R2&gt;50,"WEAK",IF(R2&lt;50,"VLOW")))))</f>
        <v>AVG</v>
      </c>
      <c r="AF2" s="193" t="str">
        <f t="shared" ref="AF2:AF6" si="17">IF(X2&gt;80,"EXCELLENT",IF(X2&gt;70,"STRONG",IF(X2&gt;60,"AVG",IF(X2&gt;50,"WEAK",IF(X2&lt;50,"VLOW")))))</f>
        <v>VLOW</v>
      </c>
      <c r="AG2" s="193" t="str">
        <f t="shared" ref="AG2:AG6" si="18">IF(M2&gt;L2,"FEMALE DOM","MEN")</f>
        <v>MEN</v>
      </c>
      <c r="AH2" s="193" t="str">
        <f t="shared" ref="AH2:AH6" si="19">IF(T2&gt;Z2,"H","O")</f>
        <v>H</v>
      </c>
      <c r="AI2" s="197">
        <f t="shared" ref="AI2" si="20">E2-G2</f>
        <v>15.5393053016453</v>
      </c>
      <c r="AJ2" s="199" t="str">
        <f t="shared" ref="AJ2:AJ7" si="21">IF(E2&gt;G2,"BJP GAIN","CONGRESSGAIN")</f>
        <v>BJP GAIN</v>
      </c>
      <c r="AK2" s="199" t="str">
        <f t="shared" ref="AK2:AK4" si="22">IF(F2&gt;H2,"BJP GAIN","CONGRESSGAIN")</f>
        <v>BJP GAIN</v>
      </c>
    </row>
    <row r="3" spans="1:37">
      <c r="A3" s="184">
        <v>115</v>
      </c>
      <c r="B3" s="185" t="s">
        <v>232</v>
      </c>
      <c r="C3" s="184">
        <v>623</v>
      </c>
      <c r="D3" s="184">
        <v>226</v>
      </c>
      <c r="E3" s="184">
        <f t="shared" si="0"/>
        <v>36.2760834670947</v>
      </c>
      <c r="F3" s="184">
        <v>389</v>
      </c>
      <c r="G3" s="184">
        <f t="shared" si="1"/>
        <v>62.4398073836276</v>
      </c>
      <c r="H3" s="184">
        <v>2</v>
      </c>
      <c r="I3" s="184">
        <f t="shared" si="2"/>
        <v>0.321027287319422</v>
      </c>
      <c r="J3" s="184">
        <v>4</v>
      </c>
      <c r="K3" s="184">
        <f t="shared" si="3"/>
        <v>0.642054574638844</v>
      </c>
      <c r="L3" s="189">
        <v>602</v>
      </c>
      <c r="M3" s="189">
        <v>634</v>
      </c>
      <c r="N3" s="189">
        <f t="shared" si="4"/>
        <v>1236</v>
      </c>
      <c r="O3" s="184">
        <v>623</v>
      </c>
      <c r="P3" s="190">
        <f t="shared" si="5"/>
        <v>50.4045307443366</v>
      </c>
      <c r="Q3" s="184">
        <v>525</v>
      </c>
      <c r="R3" s="184">
        <f t="shared" si="6"/>
        <v>42.4757281553398</v>
      </c>
      <c r="S3" s="192">
        <f t="shared" si="7"/>
        <v>252</v>
      </c>
      <c r="T3" s="184">
        <f t="shared" si="8"/>
        <v>48</v>
      </c>
      <c r="U3" s="184">
        <v>273</v>
      </c>
      <c r="V3" s="191">
        <f t="shared" si="9"/>
        <v>52</v>
      </c>
      <c r="W3" s="184">
        <v>677</v>
      </c>
      <c r="X3" s="184">
        <f t="shared" si="10"/>
        <v>57.5242718446602</v>
      </c>
      <c r="Y3" s="196">
        <f t="shared" si="11"/>
        <v>327</v>
      </c>
      <c r="Z3" s="193">
        <f t="shared" si="12"/>
        <v>48.301329394387</v>
      </c>
      <c r="AA3" s="193">
        <v>350</v>
      </c>
      <c r="AB3" s="194">
        <f t="shared" si="13"/>
        <v>51.698670605613</v>
      </c>
      <c r="AC3" s="193">
        <f t="shared" si="14"/>
        <v>623</v>
      </c>
      <c r="AD3" s="193" t="str">
        <f t="shared" si="15"/>
        <v>WEAK</v>
      </c>
      <c r="AE3" s="195" t="str">
        <f t="shared" si="16"/>
        <v>VLOW</v>
      </c>
      <c r="AF3" s="193" t="str">
        <f t="shared" si="17"/>
        <v>WEAK</v>
      </c>
      <c r="AG3" s="193" t="str">
        <f t="shared" si="18"/>
        <v>FEMALE DOM</v>
      </c>
      <c r="AH3" s="193" t="str">
        <f t="shared" si="19"/>
        <v>O</v>
      </c>
      <c r="AI3" s="197">
        <f t="shared" ref="AI3:AI5" si="23">G3-E3</f>
        <v>26.1637239165329</v>
      </c>
      <c r="AJ3" s="198" t="str">
        <f t="shared" si="21"/>
        <v>CONGRESSGAIN</v>
      </c>
      <c r="AK3" s="198" t="str">
        <f t="shared" si="22"/>
        <v>BJP GAIN</v>
      </c>
    </row>
    <row r="4" spans="1:37">
      <c r="A4" s="184">
        <v>116</v>
      </c>
      <c r="B4" s="185" t="s">
        <v>233</v>
      </c>
      <c r="C4" s="184">
        <v>536</v>
      </c>
      <c r="D4" s="184">
        <v>261</v>
      </c>
      <c r="E4" s="184">
        <f t="shared" si="0"/>
        <v>48.6940298507463</v>
      </c>
      <c r="F4" s="184">
        <v>265</v>
      </c>
      <c r="G4" s="184">
        <f t="shared" si="1"/>
        <v>49.4402985074627</v>
      </c>
      <c r="H4" s="184">
        <v>2</v>
      </c>
      <c r="I4" s="184">
        <f t="shared" si="2"/>
        <v>0.373134328358209</v>
      </c>
      <c r="J4" s="184">
        <v>0</v>
      </c>
      <c r="K4" s="184">
        <f t="shared" si="3"/>
        <v>0</v>
      </c>
      <c r="L4" s="189">
        <v>494</v>
      </c>
      <c r="M4" s="189">
        <v>522</v>
      </c>
      <c r="N4" s="189">
        <f t="shared" si="4"/>
        <v>1016</v>
      </c>
      <c r="O4" s="184">
        <v>536</v>
      </c>
      <c r="P4" s="190">
        <f t="shared" si="5"/>
        <v>52.755905511811</v>
      </c>
      <c r="Q4" s="184"/>
      <c r="R4" s="184">
        <f t="shared" si="6"/>
        <v>0</v>
      </c>
      <c r="S4" s="184">
        <f t="shared" si="7"/>
        <v>0</v>
      </c>
      <c r="T4" s="184" t="e">
        <f t="shared" si="8"/>
        <v>#DIV/0!</v>
      </c>
      <c r="U4" s="184"/>
      <c r="V4" s="191">
        <f t="shared" si="9"/>
        <v>0</v>
      </c>
      <c r="W4" s="184"/>
      <c r="X4" s="184">
        <f t="shared" si="10"/>
        <v>100</v>
      </c>
      <c r="Y4" s="184">
        <f t="shared" si="11"/>
        <v>0</v>
      </c>
      <c r="Z4" s="193" t="e">
        <f t="shared" si="12"/>
        <v>#DIV/0!</v>
      </c>
      <c r="AA4" s="193"/>
      <c r="AB4" s="194">
        <f t="shared" si="13"/>
        <v>0</v>
      </c>
      <c r="AC4" s="193">
        <f t="shared" si="14"/>
        <v>0</v>
      </c>
      <c r="AD4" s="193" t="str">
        <f t="shared" si="15"/>
        <v>WEAK</v>
      </c>
      <c r="AE4" s="195" t="str">
        <f t="shared" si="16"/>
        <v>VLOW</v>
      </c>
      <c r="AF4" s="193" t="str">
        <f t="shared" si="17"/>
        <v>EXCELLENT</v>
      </c>
      <c r="AG4" s="193" t="str">
        <f t="shared" si="18"/>
        <v>FEMALE DOM</v>
      </c>
      <c r="AH4" s="193" t="e">
        <f t="shared" si="19"/>
        <v>#DIV/0!</v>
      </c>
      <c r="AI4" s="197">
        <f t="shared" si="23"/>
        <v>0.746268656716417</v>
      </c>
      <c r="AJ4" s="198" t="str">
        <f t="shared" si="21"/>
        <v>CONGRESSGAIN</v>
      </c>
      <c r="AK4" s="198" t="str">
        <f t="shared" si="22"/>
        <v>BJP GAIN</v>
      </c>
    </row>
    <row r="5" spans="1:36">
      <c r="A5" s="184">
        <v>129</v>
      </c>
      <c r="B5" s="185" t="s">
        <v>234</v>
      </c>
      <c r="C5" s="184">
        <v>604</v>
      </c>
      <c r="D5" s="184">
        <v>164</v>
      </c>
      <c r="E5" s="184">
        <f t="shared" si="0"/>
        <v>27.1523178807947</v>
      </c>
      <c r="F5" s="184">
        <v>428</v>
      </c>
      <c r="G5" s="184">
        <f t="shared" si="1"/>
        <v>70.8609271523179</v>
      </c>
      <c r="H5" s="184">
        <v>0</v>
      </c>
      <c r="I5" s="184">
        <f t="shared" si="2"/>
        <v>0</v>
      </c>
      <c r="J5" s="184">
        <v>4</v>
      </c>
      <c r="K5" s="184">
        <f t="shared" si="3"/>
        <v>0.662251655629139</v>
      </c>
      <c r="L5" s="189">
        <v>519</v>
      </c>
      <c r="M5" s="189">
        <v>492</v>
      </c>
      <c r="N5" s="189">
        <f t="shared" si="4"/>
        <v>1011</v>
      </c>
      <c r="O5" s="184">
        <v>604</v>
      </c>
      <c r="P5" s="190">
        <f t="shared" si="5"/>
        <v>59.7428288822948</v>
      </c>
      <c r="Q5" s="184">
        <v>334</v>
      </c>
      <c r="R5" s="184">
        <f t="shared" si="6"/>
        <v>33.0365974282888</v>
      </c>
      <c r="S5" s="184">
        <f t="shared" si="7"/>
        <v>136</v>
      </c>
      <c r="T5" s="184">
        <f t="shared" si="8"/>
        <v>40.7185628742515</v>
      </c>
      <c r="U5" s="184">
        <v>198</v>
      </c>
      <c r="V5" s="191">
        <f t="shared" si="9"/>
        <v>59.2814371257485</v>
      </c>
      <c r="W5" s="184">
        <f>506+171</f>
        <v>677</v>
      </c>
      <c r="X5" s="184">
        <f t="shared" si="10"/>
        <v>66.9634025717112</v>
      </c>
      <c r="Y5" s="184">
        <f t="shared" si="11"/>
        <v>275</v>
      </c>
      <c r="Z5" s="193">
        <f t="shared" si="12"/>
        <v>40.6203840472674</v>
      </c>
      <c r="AA5" s="193">
        <v>402</v>
      </c>
      <c r="AB5" s="194">
        <f t="shared" si="13"/>
        <v>59.3796159527326</v>
      </c>
      <c r="AC5" s="193">
        <f t="shared" si="14"/>
        <v>600</v>
      </c>
      <c r="AD5" s="193" t="str">
        <f t="shared" si="15"/>
        <v>WEAK</v>
      </c>
      <c r="AE5" s="195" t="str">
        <f t="shared" si="16"/>
        <v>VLOW</v>
      </c>
      <c r="AF5" s="193" t="str">
        <f t="shared" si="17"/>
        <v>AVG</v>
      </c>
      <c r="AG5" s="193" t="str">
        <f t="shared" si="18"/>
        <v>MEN</v>
      </c>
      <c r="AH5" s="193" t="str">
        <f t="shared" si="19"/>
        <v>H</v>
      </c>
      <c r="AI5" s="197">
        <f t="shared" si="23"/>
        <v>43.7086092715232</v>
      </c>
      <c r="AJ5" s="198" t="str">
        <f t="shared" si="21"/>
        <v>CONGRESSGAIN</v>
      </c>
    </row>
    <row r="6" spans="1:36">
      <c r="A6" s="184">
        <v>130</v>
      </c>
      <c r="B6" s="185" t="s">
        <v>235</v>
      </c>
      <c r="C6" s="184">
        <v>267</v>
      </c>
      <c r="D6" s="184">
        <v>131</v>
      </c>
      <c r="E6" s="184">
        <f t="shared" si="0"/>
        <v>49.063670411985</v>
      </c>
      <c r="F6" s="184">
        <v>112</v>
      </c>
      <c r="G6" s="184">
        <f t="shared" si="1"/>
        <v>41.9475655430712</v>
      </c>
      <c r="H6" s="184">
        <v>1</v>
      </c>
      <c r="I6" s="184">
        <f t="shared" si="2"/>
        <v>0.374531835205993</v>
      </c>
      <c r="J6" s="184">
        <v>18</v>
      </c>
      <c r="K6" s="184">
        <f t="shared" si="3"/>
        <v>6.74157303370786</v>
      </c>
      <c r="L6" s="189">
        <v>333</v>
      </c>
      <c r="M6" s="189">
        <v>271</v>
      </c>
      <c r="N6" s="189">
        <f t="shared" si="4"/>
        <v>604</v>
      </c>
      <c r="O6" s="184">
        <v>267</v>
      </c>
      <c r="P6" s="190">
        <f t="shared" si="5"/>
        <v>44.205298013245</v>
      </c>
      <c r="Q6" s="184"/>
      <c r="R6" s="184">
        <f t="shared" si="6"/>
        <v>0</v>
      </c>
      <c r="S6" s="184">
        <f t="shared" si="7"/>
        <v>0</v>
      </c>
      <c r="T6" s="184" t="e">
        <f t="shared" si="8"/>
        <v>#DIV/0!</v>
      </c>
      <c r="U6" s="184"/>
      <c r="V6" s="191">
        <f t="shared" si="9"/>
        <v>0</v>
      </c>
      <c r="W6" s="184"/>
      <c r="X6" s="184">
        <f t="shared" si="10"/>
        <v>100</v>
      </c>
      <c r="Y6" s="196">
        <f t="shared" si="11"/>
        <v>0</v>
      </c>
      <c r="Z6" s="193" t="e">
        <f t="shared" si="12"/>
        <v>#DIV/0!</v>
      </c>
      <c r="AA6" s="193"/>
      <c r="AB6" s="194">
        <f t="shared" si="13"/>
        <v>0</v>
      </c>
      <c r="AC6" s="193">
        <f t="shared" si="14"/>
        <v>0</v>
      </c>
      <c r="AD6" s="193" t="str">
        <f t="shared" si="15"/>
        <v>VLOW</v>
      </c>
      <c r="AE6" s="195" t="str">
        <f t="shared" si="16"/>
        <v>VLOW</v>
      </c>
      <c r="AF6" s="193" t="str">
        <f t="shared" si="17"/>
        <v>EXCELLENT</v>
      </c>
      <c r="AG6" s="193" t="str">
        <f t="shared" si="18"/>
        <v>MEN</v>
      </c>
      <c r="AH6" s="193" t="e">
        <f t="shared" si="19"/>
        <v>#DIV/0!</v>
      </c>
      <c r="AI6" s="197">
        <f>E6-G6</f>
        <v>7.11610486891385</v>
      </c>
      <c r="AJ6" s="199" t="str">
        <f t="shared" si="21"/>
        <v>BJP GAIN</v>
      </c>
    </row>
    <row r="7" spans="3:36">
      <c r="C7">
        <f>SUM(C2:C6)</f>
        <v>2577</v>
      </c>
      <c r="D7">
        <f>SUM(D2:D6)</f>
        <v>1093</v>
      </c>
      <c r="E7" s="186">
        <f>AVERAGE(E2:E6)</f>
        <v>43.6083354957987</v>
      </c>
      <c r="F7">
        <f>SUM(F2:F6)</f>
        <v>1420</v>
      </c>
      <c r="G7" s="186">
        <f>AVERAGE(G2:G6)</f>
        <v>53.2009738306414</v>
      </c>
      <c r="H7">
        <f>SUM(H2:H6)</f>
        <v>8</v>
      </c>
      <c r="I7" s="186">
        <f>AVERAGE(I2:I6)</f>
        <v>0.323427904070692</v>
      </c>
      <c r="J7">
        <f>SUM(J2:J6)</f>
        <v>29</v>
      </c>
      <c r="K7" s="186">
        <f>AVERAGE(K2:K6)</f>
        <v>1.71886506668914</v>
      </c>
      <c r="AJ7" s="200" t="str">
        <f t="shared" si="21"/>
        <v>CONGRESSGAIN</v>
      </c>
    </row>
  </sheetData>
  <conditionalFormatting sqref="AD2:AD4">
    <cfRule type="containsText" dxfId="8" priority="30" operator="between" text="AVG">
      <formula>NOT(ISERROR(SEARCH("AVG",AD2)))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NOT(ISERROR(SEARCH("VSTRONG",AD2)))</formula>
    </cfRule>
    <cfRule type="containsText" dxfId="10" priority="20" operator="between" text="AVG">
      <formula>NOT(ISERROR(SEARCH("AVG",AD2)))</formula>
    </cfRule>
  </conditionalFormatting>
  <conditionalFormatting sqref="AD5:AD6">
    <cfRule type="containsText" dxfId="8" priority="15" operator="between" text="AVG">
      <formula>NOT(ISERROR(SEARCH("AVG",AD5)))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NOT(ISERROR(SEARCH("VSTRONG",AD5)))</formula>
    </cfRule>
    <cfRule type="containsText" dxfId="10" priority="5" operator="between" text="AVG">
      <formula>NOT(ISERROR(SEARCH("AVG",AD5)))</formula>
    </cfRule>
  </conditionalFormatting>
  <conditionalFormatting sqref="AE2:AE4">
    <cfRule type="containsText" dxfId="3" priority="24" operator="between" text="STRONG">
      <formula>NOT(ISERROR(SEARCH("STRONG",AE2)))</formula>
    </cfRule>
    <cfRule type="containsText" dxfId="1" priority="22" operator="between" text="VSTRONG">
      <formula>NOT(ISERROR(SEARCH("VSTRONG",AE2)))</formula>
    </cfRule>
  </conditionalFormatting>
  <conditionalFormatting sqref="AE5:AE6">
    <cfRule type="containsText" dxfId="3" priority="9" operator="between" text="STRONG">
      <formula>NOT(ISERROR(SEARCH("STRONG",AE5)))</formula>
    </cfRule>
    <cfRule type="containsText" dxfId="1" priority="7" operator="between" text="VSTRONG">
      <formula>NOT(ISERROR(SEARCH("VSTRONG",AE5)))</formula>
    </cfRule>
  </conditionalFormatting>
  <conditionalFormatting sqref="AF2:AF4">
    <cfRule type="cellIs" dxfId="11" priority="18" operator="equal">
      <formula>"VWEAK"</formula>
    </cfRule>
    <cfRule type="containsText" dxfId="0" priority="17" operator="between" text="VSTRONG">
      <formula>NOT(ISERROR(SEARCH("VSTRONG",AF2)))</formula>
    </cfRule>
  </conditionalFormatting>
  <conditionalFormatting sqref="AF5:AF6">
    <cfRule type="cellIs" dxfId="11" priority="3" operator="equal">
      <formula>"VWEAK"</formula>
    </cfRule>
    <cfRule type="containsText" dxfId="0" priority="2" operator="between" text="VSTRONG">
      <formula>NOT(ISERROR(SEARCH("VSTRONG",AF5)))</formula>
    </cfRule>
  </conditionalFormatting>
  <conditionalFormatting sqref="AG2:AG4">
    <cfRule type="containsText" dxfId="12" priority="21" operator="between" text="FEMALE DOM">
      <formula>NOT(ISERROR(SEARCH("FEMALE DOM",AG2)))</formula>
    </cfRule>
    <cfRule type="containsText" dxfId="10" priority="16" operator="between" text="MEN">
      <formula>NOT(ISERROR(SEARCH("MEN",AG2)))</formula>
    </cfRule>
  </conditionalFormatting>
  <conditionalFormatting sqref="AG5:AG6">
    <cfRule type="containsText" dxfId="12" priority="6" operator="between" text="FEMALE DOM">
      <formula>NOT(ISERROR(SEARCH("FEMALE DOM",AG5)))</formula>
    </cfRule>
    <cfRule type="containsText" dxfId="10" priority="1" operator="between" text="MEN">
      <formula>NOT(ISERROR(SEARCH("MEN",AG5)))</formula>
    </cfRule>
  </conditionalFormatting>
  <conditionalFormatting sqref="AH2:AH4">
    <cfRule type="containsText" dxfId="0" priority="27" operator="between" text="O">
      <formula>NOT(ISERROR(SEARCH("O",AH2)))</formula>
    </cfRule>
    <cfRule type="containsText" dxfId="3" priority="25" operator="between" text="H">
      <formula>NOT(ISERROR(SEARCH("H",AH2)))</formula>
    </cfRule>
    <cfRule type="containsText" dxfId="13" priority="26" operator="between" text="H">
      <formula>NOT(ISERROR(SEARCH("H",AH2)))</formula>
    </cfRule>
    <cfRule type="containsText" dxfId="1" priority="19" operator="between" text="H">
      <formula>NOT(ISERROR(SEARCH("H",AH2)))</formula>
    </cfRule>
  </conditionalFormatting>
  <conditionalFormatting sqref="AH5:AH6">
    <cfRule type="containsText" dxfId="0" priority="12" operator="between" text="O">
      <formula>NOT(ISERROR(SEARCH("O",AH5)))</formula>
    </cfRule>
    <cfRule type="containsText" dxfId="3" priority="10" operator="between" text="H">
      <formula>NOT(ISERROR(SEARCH("H",AH5)))</formula>
    </cfRule>
    <cfRule type="containsText" dxfId="13" priority="11" operator="between" text="H">
      <formula>NOT(ISERROR(SEARCH("H",AH5)))</formula>
    </cfRule>
    <cfRule type="containsText" dxfId="1" priority="4" operator="between" text="H">
      <formula>NOT(ISERROR(SEARCH("H",AH5)))</formula>
    </cfRule>
  </conditionalFormatting>
  <conditionalFormatting sqref="AE2:AF4">
    <cfRule type="containsText" dxfId="2" priority="23" operator="between" text="AVG">
      <formula>NOT(ISERROR(SEARCH("AVG",AE2)))</formula>
    </cfRule>
  </conditionalFormatting>
  <conditionalFormatting sqref="AE5:AF6">
    <cfRule type="containsText" dxfId="2" priority="8" operator="between" text="AVG">
      <formula>NOT(ISERROR(SEARCH("AVG",AE5)))</formula>
    </cfRule>
  </conditionalFormatting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B37"/>
  <sheetViews>
    <sheetView topLeftCell="Z4" workbookViewId="0">
      <selection activeCell="U19" sqref="U19:AB37"/>
    </sheetView>
  </sheetViews>
  <sheetFormatPr defaultColWidth="9" defaultRowHeight="14.5"/>
  <cols>
    <col min="26" max="26" width="12.8545454545455" customWidth="1"/>
  </cols>
  <sheetData>
    <row r="1" spans="1:54">
      <c r="A1" s="486" t="s">
        <v>16</v>
      </c>
      <c r="B1" s="487" t="s">
        <v>177</v>
      </c>
      <c r="C1" s="374" t="s">
        <v>15</v>
      </c>
      <c r="D1" s="488" t="s">
        <v>1</v>
      </c>
      <c r="E1" s="489"/>
      <c r="F1" s="489"/>
      <c r="G1" s="489"/>
      <c r="H1" s="489"/>
      <c r="I1" s="489"/>
      <c r="J1" s="489"/>
      <c r="K1" s="266"/>
      <c r="L1" s="486" t="s">
        <v>2</v>
      </c>
      <c r="M1" s="374" t="s">
        <v>3</v>
      </c>
      <c r="N1" s="375" t="s">
        <v>4</v>
      </c>
      <c r="O1" s="375" t="s">
        <v>5</v>
      </c>
      <c r="P1" s="486" t="s">
        <v>17</v>
      </c>
      <c r="Q1" s="487" t="s">
        <v>18</v>
      </c>
      <c r="R1" s="486" t="s">
        <v>19</v>
      </c>
      <c r="S1" s="487" t="s">
        <v>20</v>
      </c>
      <c r="T1" s="490" t="s">
        <v>21</v>
      </c>
      <c r="U1" s="375" t="s">
        <v>22</v>
      </c>
      <c r="V1" s="499" t="s">
        <v>23</v>
      </c>
      <c r="W1" s="374" t="s">
        <v>156</v>
      </c>
      <c r="X1" s="374" t="s">
        <v>66</v>
      </c>
      <c r="Y1" s="486" t="s">
        <v>67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  <c r="BB1" s="399"/>
    </row>
    <row r="2" spans="1:54">
      <c r="A2" s="486"/>
      <c r="B2" s="490"/>
      <c r="C2" s="375"/>
      <c r="D2" s="491"/>
      <c r="E2" s="492"/>
      <c r="F2" s="492"/>
      <c r="G2" s="492"/>
      <c r="H2" s="492"/>
      <c r="I2" s="492"/>
      <c r="J2" s="492"/>
      <c r="K2" s="272"/>
      <c r="L2" s="486"/>
      <c r="M2" s="375"/>
      <c r="N2" s="375"/>
      <c r="O2" s="375"/>
      <c r="P2" s="486"/>
      <c r="Q2" s="490"/>
      <c r="R2" s="486"/>
      <c r="S2" s="490"/>
      <c r="T2" s="490"/>
      <c r="U2" s="375"/>
      <c r="V2" s="499"/>
      <c r="W2" s="375"/>
      <c r="X2" s="375"/>
      <c r="Y2" s="486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  <c r="BB2" s="398"/>
    </row>
    <row r="3" spans="1:54">
      <c r="A3" s="486"/>
      <c r="B3" s="490"/>
      <c r="C3" s="375"/>
      <c r="D3" s="488" t="s">
        <v>7</v>
      </c>
      <c r="E3" s="489" t="s">
        <v>8</v>
      </c>
      <c r="F3" s="489" t="s">
        <v>9</v>
      </c>
      <c r="G3" s="489" t="s">
        <v>10</v>
      </c>
      <c r="H3" s="489" t="s">
        <v>11</v>
      </c>
      <c r="I3" s="489" t="s">
        <v>12</v>
      </c>
      <c r="J3" s="489" t="s">
        <v>9</v>
      </c>
      <c r="K3" s="266" t="s">
        <v>13</v>
      </c>
      <c r="L3" s="486"/>
      <c r="M3" s="375"/>
      <c r="N3" s="375"/>
      <c r="O3" s="375"/>
      <c r="P3" s="486"/>
      <c r="Q3" s="490"/>
      <c r="R3" s="486"/>
      <c r="S3" s="490"/>
      <c r="T3" s="490"/>
      <c r="U3" s="375"/>
      <c r="V3" s="499"/>
      <c r="W3" s="375"/>
      <c r="X3" s="375"/>
      <c r="Y3" s="486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  <c r="BB3" s="398"/>
    </row>
    <row r="4" spans="1:54">
      <c r="A4" s="486"/>
      <c r="B4" s="490"/>
      <c r="C4" s="375"/>
      <c r="D4" s="491"/>
      <c r="E4" s="492"/>
      <c r="F4" s="492"/>
      <c r="G4" s="492"/>
      <c r="H4" s="492"/>
      <c r="I4" s="492"/>
      <c r="J4" s="492"/>
      <c r="K4" s="272"/>
      <c r="L4" s="486"/>
      <c r="M4" s="375"/>
      <c r="N4" s="375"/>
      <c r="O4" s="375"/>
      <c r="P4" s="486"/>
      <c r="Q4" s="490"/>
      <c r="R4" s="486"/>
      <c r="S4" s="490"/>
      <c r="T4" s="490"/>
      <c r="U4" s="375"/>
      <c r="V4" s="499"/>
      <c r="W4" s="375"/>
      <c r="X4" s="375"/>
      <c r="Y4" s="486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  <c r="BB4" s="398"/>
    </row>
    <row r="5" spans="1:54">
      <c r="A5" s="486"/>
      <c r="B5" s="490"/>
      <c r="C5" s="375"/>
      <c r="D5" s="491"/>
      <c r="E5" s="492"/>
      <c r="F5" s="492"/>
      <c r="G5" s="492"/>
      <c r="H5" s="492"/>
      <c r="I5" s="492"/>
      <c r="J5" s="492"/>
      <c r="K5" s="272"/>
      <c r="L5" s="486"/>
      <c r="M5" s="375"/>
      <c r="N5" s="375"/>
      <c r="O5" s="375"/>
      <c r="P5" s="486"/>
      <c r="Q5" s="490"/>
      <c r="R5" s="486"/>
      <c r="S5" s="490"/>
      <c r="T5" s="490"/>
      <c r="U5" s="375"/>
      <c r="V5" s="499"/>
      <c r="W5" s="375"/>
      <c r="X5" s="375"/>
      <c r="Y5" s="486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  <c r="BB5" s="398"/>
    </row>
    <row r="6" spans="1:54">
      <c r="A6" s="486"/>
      <c r="B6" s="490"/>
      <c r="C6" s="375"/>
      <c r="D6" s="491"/>
      <c r="E6" s="492"/>
      <c r="F6" s="492"/>
      <c r="G6" s="492"/>
      <c r="H6" s="492"/>
      <c r="I6" s="492"/>
      <c r="J6" s="492"/>
      <c r="K6" s="272"/>
      <c r="L6" s="486"/>
      <c r="M6" s="375"/>
      <c r="N6" s="375"/>
      <c r="O6" s="375"/>
      <c r="P6" s="486"/>
      <c r="Q6" s="490"/>
      <c r="R6" s="486"/>
      <c r="S6" s="490"/>
      <c r="T6" s="490"/>
      <c r="U6" s="375"/>
      <c r="V6" s="499"/>
      <c r="W6" s="375"/>
      <c r="X6" s="375"/>
      <c r="Y6" s="486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  <c r="BB6" s="400"/>
    </row>
    <row r="7" ht="43.5" spans="1:54">
      <c r="A7" s="336" t="s">
        <v>40</v>
      </c>
      <c r="B7" s="391">
        <v>4</v>
      </c>
      <c r="C7" s="391">
        <v>1301</v>
      </c>
      <c r="D7" s="391">
        <v>205</v>
      </c>
      <c r="E7" s="391">
        <v>736</v>
      </c>
      <c r="F7" s="394">
        <v>0</v>
      </c>
      <c r="G7" s="391">
        <v>9</v>
      </c>
      <c r="H7" s="391">
        <v>1</v>
      </c>
      <c r="I7" s="394">
        <v>0</v>
      </c>
      <c r="J7" s="391">
        <v>3</v>
      </c>
      <c r="K7" s="496">
        <v>2</v>
      </c>
      <c r="L7" s="394">
        <v>956</v>
      </c>
      <c r="M7" s="391">
        <v>0</v>
      </c>
      <c r="N7" s="394">
        <v>13</v>
      </c>
      <c r="O7" s="391">
        <f t="shared" ref="O7:O14" si="0">D7+E7+F7+G7+H7+I7+J7+K7+N7</f>
        <v>969</v>
      </c>
      <c r="P7" s="394">
        <f t="shared" ref="P7:P14" si="1">(O7/C7)*100</f>
        <v>74.4811683320523</v>
      </c>
      <c r="Q7" s="391">
        <f t="shared" ref="Q7:Q14" si="2">(E7/O7)*100</f>
        <v>75.9545923632611</v>
      </c>
      <c r="R7" s="394">
        <f t="shared" ref="R7:R14" si="3">(D7/O7)*100</f>
        <v>21.155830753354</v>
      </c>
      <c r="S7" s="391">
        <f t="shared" ref="S7:S14" si="4">(F7/O7)*100</f>
        <v>0</v>
      </c>
      <c r="T7" s="391">
        <f t="shared" ref="T7:T14" si="5">(G7/O7)*100</f>
        <v>0.928792569659443</v>
      </c>
      <c r="U7" s="391">
        <f t="shared" ref="U7:U14" si="6">((H7+I7+J7+K7)/O7)*100</f>
        <v>0.619195046439629</v>
      </c>
      <c r="V7" s="394">
        <f t="shared" ref="V7:V14" si="7">(N7/O7)*100</f>
        <v>1.34158926728586</v>
      </c>
      <c r="W7" s="391">
        <f>Q7-R7</f>
        <v>54.7987616099071</v>
      </c>
      <c r="X7" s="391">
        <f>Q7-(R7+S7+T7+U7)</f>
        <v>53.2507739938081</v>
      </c>
      <c r="Y7" s="394" t="str">
        <f>IF(AND(W7&lt;0,W7&lt;=1),"LOST",IF(AND(W7&gt;1,W7&lt;=10),"NARROW",IF(AND(W7&gt;10,W7&lt;=40),"MEDIUM",IF(AND(W7&gt;40,W7&lt;=90),"STRONG",""))))</f>
        <v>STRONG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 s="334">
        <v>1296</v>
      </c>
      <c r="AC7" s="334">
        <v>942</v>
      </c>
      <c r="AD7" s="334">
        <v>619</v>
      </c>
      <c r="AE7" s="334">
        <v>445</v>
      </c>
      <c r="AF7" s="334">
        <v>677</v>
      </c>
      <c r="AG7" s="334">
        <v>497</v>
      </c>
      <c r="AH7" s="334">
        <v>1213</v>
      </c>
      <c r="AI7" s="334">
        <v>887</v>
      </c>
      <c r="AJ7" s="334">
        <v>3</v>
      </c>
      <c r="AK7" s="334">
        <v>2</v>
      </c>
      <c r="AL7" s="334">
        <v>80</v>
      </c>
      <c r="AM7" s="334">
        <v>53</v>
      </c>
      <c r="AN7" s="248">
        <f>(AD7/AB7)*100</f>
        <v>47.7623456790123</v>
      </c>
      <c r="AO7" s="316">
        <f>(AE7/AC7)*100</f>
        <v>47.23991507431</v>
      </c>
      <c r="AP7" s="317">
        <f>(AF7/AB7)*100</f>
        <v>52.2376543209877</v>
      </c>
      <c r="AQ7" s="318">
        <f>(AG7/AC7)*100</f>
        <v>52.76008492569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93.5956790123457</v>
      </c>
      <c r="AU7" s="317">
        <f>(AI7/AC7)*100</f>
        <v>94.1613588110403</v>
      </c>
      <c r="AV7" s="248">
        <f>(AJ7/AB7)*100</f>
        <v>0.231481481481481</v>
      </c>
      <c r="AW7" s="317">
        <f>(AK7/AC7)*100</f>
        <v>0.212314225053079</v>
      </c>
      <c r="AX7" s="248">
        <f>(AL7/AB7)*100</f>
        <v>6.17283950617284</v>
      </c>
      <c r="AY7" s="317">
        <f>(AM7/AC7)*100</f>
        <v>5.62632696390658</v>
      </c>
      <c r="AZ7" s="248" t="str">
        <f>IF(AT7&gt;(AV7+AX7),"HINDU","MINORITY")</f>
        <v>HINDU</v>
      </c>
      <c r="BA7" s="318" t="str">
        <f>IF(AU7&gt;(AW7+AY7),"HIND","MINORITY")</f>
        <v>HIND</v>
      </c>
      <c r="BB7" s="502"/>
    </row>
    <row r="8" spans="2:54">
      <c r="B8" s="220">
        <v>90</v>
      </c>
      <c r="C8" s="220">
        <v>1323</v>
      </c>
      <c r="D8" s="220">
        <v>250</v>
      </c>
      <c r="E8" s="220">
        <v>554</v>
      </c>
      <c r="F8" s="233">
        <v>3</v>
      </c>
      <c r="G8" s="220">
        <v>5</v>
      </c>
      <c r="H8" s="220">
        <v>2</v>
      </c>
      <c r="I8" s="233">
        <v>1</v>
      </c>
      <c r="J8" s="220">
        <v>0</v>
      </c>
      <c r="K8" s="418">
        <v>0</v>
      </c>
      <c r="L8" s="233">
        <v>815</v>
      </c>
      <c r="M8" s="220">
        <v>0</v>
      </c>
      <c r="N8" s="233">
        <v>4</v>
      </c>
      <c r="O8" s="220">
        <f t="shared" si="0"/>
        <v>819</v>
      </c>
      <c r="P8" s="233">
        <f t="shared" si="1"/>
        <v>61.9047619047619</v>
      </c>
      <c r="Q8" s="220">
        <f t="shared" si="2"/>
        <v>67.6434676434676</v>
      </c>
      <c r="R8" s="233">
        <f t="shared" si="3"/>
        <v>30.5250305250305</v>
      </c>
      <c r="S8" s="220">
        <f t="shared" si="4"/>
        <v>0.366300366300366</v>
      </c>
      <c r="T8" s="220">
        <f t="shared" si="5"/>
        <v>0.610500610500611</v>
      </c>
      <c r="U8" s="220">
        <f t="shared" si="6"/>
        <v>0.366300366300366</v>
      </c>
      <c r="V8" s="233">
        <f t="shared" si="7"/>
        <v>0.488400488400488</v>
      </c>
      <c r="W8" s="220">
        <f t="shared" ref="W8:W14" si="8">Q8-R8</f>
        <v>37.1184371184371</v>
      </c>
      <c r="X8" s="220">
        <f t="shared" ref="X8:X14" si="9">Q8-(R8+S8+T8+U8)</f>
        <v>35.7753357753358</v>
      </c>
      <c r="Y8" s="233" t="str">
        <f t="shared" ref="Y8:Y15" si="10">IF(AND(W8&lt;0,W8&lt;=1),"LOST",IF(AND(W8&gt;1,W8&lt;=10),"NARROW",IF(AND(W8&gt;10,W8&lt;=40),"MEDIUM",IF(AND(W8&gt;40,W8&lt;=90),"STRONG",""))))</f>
        <v>MEDIUM</v>
      </c>
      <c r="Z8" s="285" t="str">
        <f t="shared" ref="Z8:Z15" si="11">IF(AND(P8&lt;0,P8&lt;=10),"WEAK",IF(AND(P8&gt;10,P8&lt;20),"BELOW AVG",IF(AND(P8&gt;20,P8&lt;=60),"MEDIUM",IF(AND(P8&gt;60,P8&lt;=90),"STRONG",""))))</f>
        <v>STRONG</v>
      </c>
      <c r="AA8" s="333" t="str">
        <f t="shared" ref="AA8:AA15" si="12">IF(Q8&gt;R8,"BJP","CONGRESS")</f>
        <v>BJP</v>
      </c>
      <c r="AB8" s="334">
        <v>1316</v>
      </c>
      <c r="AC8" s="334"/>
      <c r="AD8" s="334">
        <v>619</v>
      </c>
      <c r="AE8" s="334"/>
      <c r="AF8" s="334">
        <v>697</v>
      </c>
      <c r="AG8" s="334"/>
      <c r="AH8" s="334">
        <v>1113</v>
      </c>
      <c r="AI8" s="334"/>
      <c r="AJ8" s="334">
        <v>13</v>
      </c>
      <c r="AK8" s="334"/>
      <c r="AL8" s="334">
        <v>190</v>
      </c>
      <c r="AM8" s="334"/>
      <c r="AN8" s="248">
        <f t="shared" ref="AN8:AO11" si="13">(AD8/AB8)*100</f>
        <v>47.0364741641337</v>
      </c>
      <c r="AO8" s="316" t="e">
        <f t="shared" si="13"/>
        <v>#DIV/0!</v>
      </c>
      <c r="AP8" s="317">
        <f t="shared" ref="AP8:AQ11" si="14">(AF8/AB8)*100</f>
        <v>52.9635258358663</v>
      </c>
      <c r="AQ8" s="318" t="e">
        <f t="shared" si="14"/>
        <v>#DIV/0!</v>
      </c>
      <c r="AR8" s="318" t="str">
        <f t="shared" ref="AR8:AR12" si="15">IF(AN8&gt;AP8,"MALE DOM","FEMALE DOM")</f>
        <v>FEMALE DOM</v>
      </c>
      <c r="AS8" s="319" t="e">
        <f t="shared" ref="AS8:AS12" si="16">IF(AO8&gt;AP8,"MALE","FEMALE")</f>
        <v>#DIV/0!</v>
      </c>
      <c r="AT8" s="317">
        <f t="shared" ref="AT8:AU11" si="17">(AH8/AB8)*100</f>
        <v>84.5744680851064</v>
      </c>
      <c r="AU8" s="317" t="e">
        <f t="shared" si="17"/>
        <v>#DIV/0!</v>
      </c>
      <c r="AV8" s="248">
        <f t="shared" ref="AV8:AW11" si="18">(AJ8/AB8)*100</f>
        <v>0.987841945288754</v>
      </c>
      <c r="AW8" s="317" t="e">
        <f t="shared" si="18"/>
        <v>#DIV/0!</v>
      </c>
      <c r="AX8" s="248">
        <f t="shared" ref="AX8:AY11" si="19">(AL8/AB8)*100</f>
        <v>14.4376899696049</v>
      </c>
      <c r="AY8" s="317" t="e">
        <f t="shared" si="19"/>
        <v>#DIV/0!</v>
      </c>
      <c r="AZ8" s="248" t="str">
        <f t="shared" ref="AZ8:AZ12" si="20">IF(AT8&gt;(AV8+AX8),"HINDU","MINORITY")</f>
        <v>HINDU</v>
      </c>
      <c r="BA8" s="318" t="e">
        <f t="shared" ref="BA8:BA12" si="21">IF(AU8&gt;(AW8+AY8),"HIND","MINORITY")</f>
        <v>#DIV/0!</v>
      </c>
      <c r="BB8" s="502"/>
    </row>
    <row r="9" spans="2:54">
      <c r="B9" s="391">
        <v>89</v>
      </c>
      <c r="C9" s="391">
        <v>872</v>
      </c>
      <c r="D9" s="391">
        <v>116</v>
      </c>
      <c r="E9" s="391">
        <v>405</v>
      </c>
      <c r="F9" s="394">
        <v>1</v>
      </c>
      <c r="G9" s="391">
        <v>3</v>
      </c>
      <c r="H9" s="391">
        <v>1</v>
      </c>
      <c r="I9" s="394">
        <v>0</v>
      </c>
      <c r="J9" s="391">
        <v>0</v>
      </c>
      <c r="K9" s="496">
        <v>0</v>
      </c>
      <c r="L9" s="394">
        <v>526</v>
      </c>
      <c r="M9" s="391">
        <v>0</v>
      </c>
      <c r="N9" s="394">
        <v>1</v>
      </c>
      <c r="O9" s="391">
        <f t="shared" si="0"/>
        <v>527</v>
      </c>
      <c r="P9" s="394">
        <f t="shared" si="1"/>
        <v>60.4357798165138</v>
      </c>
      <c r="Q9" s="391">
        <f t="shared" si="2"/>
        <v>76.8500948766603</v>
      </c>
      <c r="R9" s="394">
        <f t="shared" si="3"/>
        <v>22.011385199241</v>
      </c>
      <c r="S9" s="391">
        <f t="shared" si="4"/>
        <v>0.189753320683112</v>
      </c>
      <c r="T9" s="391">
        <f t="shared" si="5"/>
        <v>0.569259962049336</v>
      </c>
      <c r="U9" s="391">
        <f t="shared" si="6"/>
        <v>0.189753320683112</v>
      </c>
      <c r="V9" s="394">
        <f t="shared" si="7"/>
        <v>0.189753320683112</v>
      </c>
      <c r="W9" s="391">
        <f t="shared" si="8"/>
        <v>54.8387096774194</v>
      </c>
      <c r="X9" s="391">
        <f t="shared" si="9"/>
        <v>53.8899430740038</v>
      </c>
      <c r="Y9" s="496" t="str">
        <f t="shared" si="10"/>
        <v>STRONG</v>
      </c>
      <c r="Z9" s="283" t="str">
        <f t="shared" si="11"/>
        <v>STRONG</v>
      </c>
      <c r="AA9" s="289" t="str">
        <f t="shared" si="12"/>
        <v>BJP</v>
      </c>
      <c r="AB9" s="334">
        <v>867</v>
      </c>
      <c r="AC9" s="334">
        <v>532</v>
      </c>
      <c r="AD9" s="334">
        <v>402</v>
      </c>
      <c r="AE9" s="334">
        <v>258</v>
      </c>
      <c r="AF9" s="334">
        <v>465</v>
      </c>
      <c r="AG9" s="334">
        <v>274</v>
      </c>
      <c r="AH9" s="334">
        <v>817</v>
      </c>
      <c r="AI9" s="334">
        <v>504</v>
      </c>
      <c r="AJ9" s="334">
        <v>1</v>
      </c>
      <c r="AK9" s="334">
        <v>0</v>
      </c>
      <c r="AL9" s="334">
        <v>49</v>
      </c>
      <c r="AM9" s="334">
        <v>28</v>
      </c>
      <c r="AN9" s="248">
        <f t="shared" si="13"/>
        <v>46.3667820069204</v>
      </c>
      <c r="AO9" s="316">
        <f t="shared" si="13"/>
        <v>48.4962406015038</v>
      </c>
      <c r="AP9" s="317">
        <f t="shared" si="14"/>
        <v>53.6332179930796</v>
      </c>
      <c r="AQ9" s="318">
        <f t="shared" si="14"/>
        <v>51.5037593984962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94.2329873125721</v>
      </c>
      <c r="AU9" s="317">
        <f t="shared" si="17"/>
        <v>94.7368421052632</v>
      </c>
      <c r="AV9" s="248">
        <f t="shared" si="18"/>
        <v>0.115340253748558</v>
      </c>
      <c r="AW9" s="317">
        <f t="shared" si="18"/>
        <v>0</v>
      </c>
      <c r="AX9" s="248">
        <f t="shared" si="19"/>
        <v>5.65167243367935</v>
      </c>
      <c r="AY9" s="317">
        <f t="shared" si="19"/>
        <v>5.26315789473684</v>
      </c>
      <c r="AZ9" s="248" t="str">
        <f t="shared" si="20"/>
        <v>HINDU</v>
      </c>
      <c r="BA9" s="318" t="str">
        <f t="shared" si="21"/>
        <v>HIND</v>
      </c>
      <c r="BB9" s="502"/>
    </row>
    <row r="10" spans="2:54">
      <c r="B10" s="493">
        <v>86</v>
      </c>
      <c r="C10" s="493">
        <v>495</v>
      </c>
      <c r="D10" s="493">
        <v>94</v>
      </c>
      <c r="E10" s="493">
        <v>229</v>
      </c>
      <c r="F10" s="494">
        <v>1</v>
      </c>
      <c r="G10" s="493">
        <v>2</v>
      </c>
      <c r="H10" s="493">
        <v>0</v>
      </c>
      <c r="I10" s="494">
        <v>0</v>
      </c>
      <c r="J10" s="493">
        <v>2</v>
      </c>
      <c r="K10" s="497">
        <v>1</v>
      </c>
      <c r="L10" s="494">
        <v>329</v>
      </c>
      <c r="M10" s="493">
        <v>0</v>
      </c>
      <c r="N10" s="494">
        <v>1</v>
      </c>
      <c r="O10" s="493">
        <f t="shared" si="0"/>
        <v>330</v>
      </c>
      <c r="P10" s="494">
        <f t="shared" si="1"/>
        <v>66.6666666666667</v>
      </c>
      <c r="Q10" s="493">
        <f t="shared" si="2"/>
        <v>69.3939393939394</v>
      </c>
      <c r="R10" s="494">
        <f t="shared" si="3"/>
        <v>28.4848484848485</v>
      </c>
      <c r="S10" s="493">
        <f t="shared" si="4"/>
        <v>0.303030303030303</v>
      </c>
      <c r="T10" s="493">
        <f t="shared" si="5"/>
        <v>0.606060606060606</v>
      </c>
      <c r="U10" s="493">
        <f t="shared" si="6"/>
        <v>0.909090909090909</v>
      </c>
      <c r="V10" s="494">
        <f t="shared" si="7"/>
        <v>0.303030303030303</v>
      </c>
      <c r="W10" s="493">
        <f t="shared" si="8"/>
        <v>40.9090909090909</v>
      </c>
      <c r="X10" s="493">
        <f t="shared" si="9"/>
        <v>39.0909090909091</v>
      </c>
      <c r="Y10" s="497" t="str">
        <f t="shared" si="10"/>
        <v>STRONG</v>
      </c>
      <c r="Z10" s="285" t="str">
        <f t="shared" si="11"/>
        <v>STRONG</v>
      </c>
      <c r="AA10" s="289" t="str">
        <f t="shared" si="12"/>
        <v>BJP</v>
      </c>
      <c r="AB10" s="334">
        <v>1284</v>
      </c>
      <c r="AC10" s="334">
        <v>832</v>
      </c>
      <c r="AD10" s="334">
        <v>620</v>
      </c>
      <c r="AE10" s="334">
        <v>405</v>
      </c>
      <c r="AF10" s="334">
        <v>664</v>
      </c>
      <c r="AG10" s="334">
        <v>427</v>
      </c>
      <c r="AH10" s="334">
        <v>1084</v>
      </c>
      <c r="AI10" s="334">
        <v>713</v>
      </c>
      <c r="AJ10" s="334">
        <v>10</v>
      </c>
      <c r="AK10" s="334">
        <v>8</v>
      </c>
      <c r="AL10" s="334">
        <v>190</v>
      </c>
      <c r="AM10" s="334">
        <v>111</v>
      </c>
      <c r="AN10" s="248">
        <f t="shared" si="13"/>
        <v>48.2866043613707</v>
      </c>
      <c r="AO10" s="316">
        <f t="shared" si="13"/>
        <v>48.6778846153846</v>
      </c>
      <c r="AP10" s="317">
        <f t="shared" si="14"/>
        <v>51.7133956386293</v>
      </c>
      <c r="AQ10" s="318">
        <f t="shared" si="14"/>
        <v>51.3221153846154</v>
      </c>
      <c r="AR10" s="318" t="str">
        <f t="shared" si="15"/>
        <v>FEMALE DOM</v>
      </c>
      <c r="AS10" s="319" t="str">
        <f t="shared" si="16"/>
        <v>FEMALE</v>
      </c>
      <c r="AT10" s="317">
        <f t="shared" si="17"/>
        <v>84.4236760124611</v>
      </c>
      <c r="AU10" s="317">
        <f t="shared" si="17"/>
        <v>85.6971153846154</v>
      </c>
      <c r="AV10" s="248">
        <f t="shared" si="18"/>
        <v>0.778816199376947</v>
      </c>
      <c r="AW10" s="317">
        <f t="shared" si="18"/>
        <v>0.961538461538462</v>
      </c>
      <c r="AX10" s="248">
        <f t="shared" si="19"/>
        <v>14.797507788162</v>
      </c>
      <c r="AY10" s="317">
        <f t="shared" si="19"/>
        <v>13.3413461538462</v>
      </c>
      <c r="AZ10" s="248" t="str">
        <f t="shared" si="20"/>
        <v>HINDU</v>
      </c>
      <c r="BA10" s="318" t="str">
        <f t="shared" si="21"/>
        <v>HIND</v>
      </c>
      <c r="BB10" s="502"/>
    </row>
    <row r="11" spans="2:54">
      <c r="B11" s="220">
        <v>85</v>
      </c>
      <c r="C11" s="220">
        <v>1287</v>
      </c>
      <c r="D11" s="220">
        <v>248</v>
      </c>
      <c r="E11" s="220">
        <v>575</v>
      </c>
      <c r="F11" s="233">
        <v>4</v>
      </c>
      <c r="G11" s="220">
        <v>4</v>
      </c>
      <c r="H11" s="220">
        <v>0</v>
      </c>
      <c r="I11" s="233">
        <v>0</v>
      </c>
      <c r="J11" s="220">
        <v>0</v>
      </c>
      <c r="K11" s="418">
        <v>0</v>
      </c>
      <c r="L11" s="233">
        <v>831</v>
      </c>
      <c r="M11" s="220">
        <v>0</v>
      </c>
      <c r="N11" s="233">
        <v>9</v>
      </c>
      <c r="O11" s="220">
        <f t="shared" si="0"/>
        <v>840</v>
      </c>
      <c r="P11" s="233">
        <f t="shared" si="1"/>
        <v>65.2680652680653</v>
      </c>
      <c r="Q11" s="220">
        <f t="shared" si="2"/>
        <v>68.4523809523809</v>
      </c>
      <c r="R11" s="233">
        <f t="shared" si="3"/>
        <v>29.5238095238095</v>
      </c>
      <c r="S11" s="220">
        <f t="shared" si="4"/>
        <v>0.476190476190476</v>
      </c>
      <c r="T11" s="220">
        <f t="shared" si="5"/>
        <v>0.476190476190476</v>
      </c>
      <c r="U11" s="220">
        <f t="shared" si="6"/>
        <v>0</v>
      </c>
      <c r="V11" s="233">
        <f t="shared" si="7"/>
        <v>1.07142857142857</v>
      </c>
      <c r="W11" s="220">
        <f t="shared" si="8"/>
        <v>38.9285714285714</v>
      </c>
      <c r="X11" s="220">
        <f t="shared" si="9"/>
        <v>37.9761904761905</v>
      </c>
      <c r="Y11" s="233" t="str">
        <f t="shared" si="10"/>
        <v>MEDIUM</v>
      </c>
      <c r="Z11" s="341" t="str">
        <f t="shared" si="11"/>
        <v>STRONG</v>
      </c>
      <c r="AA11" s="289" t="str">
        <f t="shared" si="12"/>
        <v>BJP</v>
      </c>
      <c r="AB11" s="334">
        <v>957</v>
      </c>
      <c r="AC11" s="334">
        <v>796</v>
      </c>
      <c r="AD11" s="334">
        <v>453</v>
      </c>
      <c r="AE11" s="334">
        <v>370</v>
      </c>
      <c r="AF11" s="334">
        <v>504</v>
      </c>
      <c r="AG11" s="334">
        <v>426</v>
      </c>
      <c r="AH11" s="334">
        <v>743</v>
      </c>
      <c r="AI11" s="334">
        <v>635</v>
      </c>
      <c r="AJ11" s="334">
        <v>9</v>
      </c>
      <c r="AK11" s="334">
        <v>5</v>
      </c>
      <c r="AL11" s="334">
        <v>205</v>
      </c>
      <c r="AM11" s="334">
        <v>156</v>
      </c>
      <c r="AN11" s="248">
        <f t="shared" si="13"/>
        <v>47.3354231974922</v>
      </c>
      <c r="AO11" s="316">
        <f t="shared" si="13"/>
        <v>46.4824120603015</v>
      </c>
      <c r="AP11" s="317">
        <f t="shared" si="14"/>
        <v>52.6645768025078</v>
      </c>
      <c r="AQ11" s="318">
        <f t="shared" si="14"/>
        <v>53.5175879396985</v>
      </c>
      <c r="AR11" s="318" t="str">
        <f t="shared" si="15"/>
        <v>FEMALE DOM</v>
      </c>
      <c r="AS11" s="319" t="str">
        <f t="shared" si="16"/>
        <v>FEMALE</v>
      </c>
      <c r="AT11" s="317">
        <f t="shared" si="17"/>
        <v>77.6384535005225</v>
      </c>
      <c r="AU11" s="317">
        <f t="shared" si="17"/>
        <v>79.7738693467337</v>
      </c>
      <c r="AV11" s="248">
        <f t="shared" si="18"/>
        <v>0.940438871473354</v>
      </c>
      <c r="AW11" s="317">
        <f t="shared" si="18"/>
        <v>0.628140703517588</v>
      </c>
      <c r="AX11" s="248">
        <f t="shared" si="19"/>
        <v>21.4211076280042</v>
      </c>
      <c r="AY11" s="317">
        <f t="shared" si="19"/>
        <v>19.5979899497487</v>
      </c>
      <c r="AZ11" s="248" t="str">
        <f t="shared" si="20"/>
        <v>HINDU</v>
      </c>
      <c r="BA11" s="318" t="str">
        <f t="shared" si="21"/>
        <v>HIND</v>
      </c>
      <c r="BB11" s="502"/>
    </row>
    <row r="12" ht="21" spans="2:54">
      <c r="B12" s="222">
        <v>87</v>
      </c>
      <c r="C12" s="222">
        <v>961</v>
      </c>
      <c r="D12" s="222">
        <v>202</v>
      </c>
      <c r="E12" s="222">
        <v>456</v>
      </c>
      <c r="F12" s="234">
        <v>2</v>
      </c>
      <c r="G12" s="222">
        <v>0</v>
      </c>
      <c r="H12" s="222">
        <v>0</v>
      </c>
      <c r="I12" s="234">
        <v>0</v>
      </c>
      <c r="J12" s="222">
        <v>0</v>
      </c>
      <c r="K12" s="360">
        <v>1</v>
      </c>
      <c r="L12" s="234">
        <v>661</v>
      </c>
      <c r="M12" s="222">
        <v>0</v>
      </c>
      <c r="N12" s="234">
        <v>6</v>
      </c>
      <c r="O12" s="222">
        <f t="shared" si="0"/>
        <v>667</v>
      </c>
      <c r="P12" s="234">
        <f t="shared" si="1"/>
        <v>69.4068678459938</v>
      </c>
      <c r="Q12" s="222">
        <f t="shared" si="2"/>
        <v>68.3658170914543</v>
      </c>
      <c r="R12" s="234">
        <f t="shared" si="3"/>
        <v>30.2848575712144</v>
      </c>
      <c r="S12" s="222">
        <f t="shared" si="4"/>
        <v>0.299850074962519</v>
      </c>
      <c r="T12" s="222">
        <f t="shared" si="5"/>
        <v>0</v>
      </c>
      <c r="U12" s="222">
        <f t="shared" si="6"/>
        <v>0.149925037481259</v>
      </c>
      <c r="V12" s="234">
        <f t="shared" si="7"/>
        <v>0.899550224887556</v>
      </c>
      <c r="W12" s="222">
        <f t="shared" si="8"/>
        <v>38.0809595202399</v>
      </c>
      <c r="X12" s="222">
        <f t="shared" si="9"/>
        <v>37.6311844077961</v>
      </c>
      <c r="Y12" s="234" t="str">
        <f t="shared" si="10"/>
        <v>MEDIUM</v>
      </c>
      <c r="Z12" s="350" t="str">
        <f t="shared" si="11"/>
        <v>STRONG</v>
      </c>
      <c r="AA12" s="351" t="str">
        <f t="shared" si="12"/>
        <v>BJP</v>
      </c>
      <c r="AB12" s="334">
        <v>1284</v>
      </c>
      <c r="AC12" s="334">
        <v>832</v>
      </c>
      <c r="AD12" s="334">
        <v>620</v>
      </c>
      <c r="AE12" s="334">
        <v>405</v>
      </c>
      <c r="AF12" s="334">
        <v>664</v>
      </c>
      <c r="AG12" s="334">
        <v>427</v>
      </c>
      <c r="AH12" s="334">
        <v>1084</v>
      </c>
      <c r="AI12" s="334">
        <v>713</v>
      </c>
      <c r="AJ12" s="334">
        <v>10</v>
      </c>
      <c r="AK12" s="334">
        <v>8</v>
      </c>
      <c r="AL12" s="334">
        <v>190</v>
      </c>
      <c r="AM12" s="334">
        <v>111</v>
      </c>
      <c r="AN12" s="248">
        <f>(AD12/AB12)*100</f>
        <v>48.2866043613707</v>
      </c>
      <c r="AO12" s="316">
        <f>(AE12/AC12)*100</f>
        <v>48.6778846153846</v>
      </c>
      <c r="AP12" s="317">
        <f>(AF12/AB12)*100</f>
        <v>51.7133956386293</v>
      </c>
      <c r="AQ12" s="318">
        <f>(AG12/AC12)*100</f>
        <v>51.3221153846154</v>
      </c>
      <c r="AR12" s="318" t="str">
        <f t="shared" si="15"/>
        <v>FEMALE DOM</v>
      </c>
      <c r="AS12" s="319" t="str">
        <f t="shared" si="16"/>
        <v>FEMALE</v>
      </c>
      <c r="AT12" s="317">
        <f>(AH12/AB12)*100</f>
        <v>84.4236760124611</v>
      </c>
      <c r="AU12" s="317">
        <f>(AI12/AC12)*100</f>
        <v>85.6971153846154</v>
      </c>
      <c r="AV12" s="248">
        <f>(AJ12/AB12)*100</f>
        <v>0.778816199376947</v>
      </c>
      <c r="AW12" s="317">
        <f>(AK12/AC12)*100</f>
        <v>0.961538461538462</v>
      </c>
      <c r="AX12" s="248">
        <f>(AL12/AB12)*100</f>
        <v>14.797507788162</v>
      </c>
      <c r="AY12" s="317">
        <f>(AM12/AC12)*100</f>
        <v>13.3413461538462</v>
      </c>
      <c r="AZ12" s="248" t="str">
        <f t="shared" si="20"/>
        <v>HINDU</v>
      </c>
      <c r="BA12" s="318" t="str">
        <f t="shared" si="21"/>
        <v>HIND</v>
      </c>
      <c r="BB12" s="502"/>
    </row>
    <row r="13" ht="21" spans="2:54">
      <c r="B13" s="493">
        <v>88</v>
      </c>
      <c r="C13" s="493">
        <v>1275</v>
      </c>
      <c r="D13" s="493">
        <v>186</v>
      </c>
      <c r="E13" s="493">
        <v>651</v>
      </c>
      <c r="F13" s="494">
        <v>1</v>
      </c>
      <c r="G13" s="493">
        <v>3</v>
      </c>
      <c r="H13" s="493">
        <v>0</v>
      </c>
      <c r="I13" s="494">
        <v>0</v>
      </c>
      <c r="J13" s="493">
        <v>1</v>
      </c>
      <c r="K13" s="497">
        <v>1</v>
      </c>
      <c r="L13" s="494">
        <v>843</v>
      </c>
      <c r="M13" s="493">
        <v>0</v>
      </c>
      <c r="N13" s="494">
        <v>9</v>
      </c>
      <c r="O13" s="493">
        <f t="shared" si="0"/>
        <v>852</v>
      </c>
      <c r="P13" s="494">
        <f t="shared" si="1"/>
        <v>66.8235294117647</v>
      </c>
      <c r="Q13" s="493">
        <f t="shared" si="2"/>
        <v>76.4084507042253</v>
      </c>
      <c r="R13" s="494">
        <f t="shared" si="3"/>
        <v>21.830985915493</v>
      </c>
      <c r="S13" s="493">
        <f t="shared" si="4"/>
        <v>0.117370892018779</v>
      </c>
      <c r="T13" s="493">
        <f t="shared" si="5"/>
        <v>0.352112676056338</v>
      </c>
      <c r="U13" s="493">
        <f t="shared" si="6"/>
        <v>0.234741784037559</v>
      </c>
      <c r="V13" s="494">
        <f t="shared" si="7"/>
        <v>1.05633802816901</v>
      </c>
      <c r="W13" s="493">
        <f t="shared" si="8"/>
        <v>54.5774647887324</v>
      </c>
      <c r="X13" s="493">
        <f t="shared" si="9"/>
        <v>53.8732394366197</v>
      </c>
      <c r="Y13" s="494" t="str">
        <f t="shared" si="10"/>
        <v>STRONG</v>
      </c>
      <c r="Z13" s="350" t="str">
        <f t="shared" si="11"/>
        <v>STRONG</v>
      </c>
      <c r="AA13" s="351" t="str">
        <f t="shared" si="12"/>
        <v>BJP</v>
      </c>
      <c r="AB13" s="334">
        <v>1271</v>
      </c>
      <c r="AC13" s="334">
        <v>880</v>
      </c>
      <c r="AD13" s="334">
        <v>607</v>
      </c>
      <c r="AE13" s="334">
        <v>422</v>
      </c>
      <c r="AF13" s="334">
        <v>664</v>
      </c>
      <c r="AG13" s="334">
        <v>458</v>
      </c>
      <c r="AH13" s="334">
        <v>1126</v>
      </c>
      <c r="AI13" s="334">
        <v>793</v>
      </c>
      <c r="AJ13" s="334">
        <v>6</v>
      </c>
      <c r="AK13" s="334">
        <v>3</v>
      </c>
      <c r="AL13" s="334">
        <v>139</v>
      </c>
      <c r="AM13" s="334">
        <v>84</v>
      </c>
      <c r="AN13" s="248">
        <f t="shared" ref="AN13:AN14" si="22">(AD13/AB13)*100</f>
        <v>47.7576711250983</v>
      </c>
      <c r="AO13" s="316">
        <f t="shared" ref="AO13:AO14" si="23">(AE13/AC13)*100</f>
        <v>47.9545454545455</v>
      </c>
      <c r="AP13" s="317">
        <f t="shared" ref="AP13:AP14" si="24">(AF13/AB13)*100</f>
        <v>52.2423288749017</v>
      </c>
      <c r="AQ13" s="318">
        <f t="shared" ref="AQ13:AQ14" si="25">(AG13/AC13)*100</f>
        <v>52.0454545454545</v>
      </c>
      <c r="AR13" s="318" t="str">
        <f t="shared" ref="AR13:AR14" si="26">IF(AN13&gt;AP13,"MALE DOM","FEMALE DOM")</f>
        <v>FEMALE DOM</v>
      </c>
      <c r="AS13" s="319" t="str">
        <f t="shared" ref="AS13:AS14" si="27">IF(AO13&gt;AP13,"MALE","FEMALE")</f>
        <v>FEMALE</v>
      </c>
      <c r="AT13" s="317">
        <f t="shared" ref="AT13:AT14" si="28">(AH13/AB13)*100</f>
        <v>88.5916601101495</v>
      </c>
      <c r="AU13" s="317">
        <f t="shared" ref="AU13:AU14" si="29">(AI13/AC13)*100</f>
        <v>90.1136363636364</v>
      </c>
      <c r="AV13" s="248">
        <f t="shared" ref="AV13:AV14" si="30">(AJ13/AB13)*100</f>
        <v>0.4720692368214</v>
      </c>
      <c r="AW13" s="317">
        <f t="shared" ref="AW13:AW14" si="31">(AK13/AC13)*100</f>
        <v>0.340909090909091</v>
      </c>
      <c r="AX13" s="248">
        <f t="shared" ref="AX13:AX14" si="32">(AL13/AB13)*100</f>
        <v>10.9362706530291</v>
      </c>
      <c r="AY13" s="317">
        <f t="shared" ref="AY13:AY14" si="33">(AM13/AC13)*100</f>
        <v>9.54545454545455</v>
      </c>
      <c r="AZ13" s="248" t="str">
        <f t="shared" ref="AZ13:AZ14" si="34">IF(AT13&gt;(AV13+AX13),"HINDU","MINORITY")</f>
        <v>HINDU</v>
      </c>
      <c r="BA13" s="318" t="str">
        <f t="shared" ref="BA13:BA14" si="35">IF(AU13&gt;(AW13+AY13),"HIND","MINORITY")</f>
        <v>HIND</v>
      </c>
      <c r="BB13" s="502"/>
    </row>
    <row r="14" ht="21" spans="2:54">
      <c r="B14" s="493">
        <v>10</v>
      </c>
      <c r="C14" s="493">
        <v>943</v>
      </c>
      <c r="D14" s="493">
        <v>128</v>
      </c>
      <c r="E14" s="493">
        <v>340</v>
      </c>
      <c r="F14" s="494">
        <v>4</v>
      </c>
      <c r="G14" s="493">
        <v>1</v>
      </c>
      <c r="H14" s="493">
        <v>0</v>
      </c>
      <c r="I14" s="494">
        <v>1</v>
      </c>
      <c r="J14" s="493">
        <v>1</v>
      </c>
      <c r="K14" s="497">
        <v>0</v>
      </c>
      <c r="L14" s="494">
        <v>475</v>
      </c>
      <c r="M14" s="493">
        <v>0</v>
      </c>
      <c r="N14" s="494">
        <v>4</v>
      </c>
      <c r="O14" s="493">
        <f t="shared" si="0"/>
        <v>479</v>
      </c>
      <c r="P14" s="494">
        <f t="shared" si="1"/>
        <v>50.7953340402969</v>
      </c>
      <c r="Q14" s="493">
        <f t="shared" si="2"/>
        <v>70.9812108559499</v>
      </c>
      <c r="R14" s="494">
        <f t="shared" si="3"/>
        <v>26.7223382045929</v>
      </c>
      <c r="S14" s="493">
        <f t="shared" si="4"/>
        <v>0.835073068893528</v>
      </c>
      <c r="T14" s="493">
        <f t="shared" si="5"/>
        <v>0.208768267223382</v>
      </c>
      <c r="U14" s="493">
        <f t="shared" si="6"/>
        <v>0.417536534446764</v>
      </c>
      <c r="V14" s="494">
        <f t="shared" si="7"/>
        <v>0.835073068893528</v>
      </c>
      <c r="W14" s="493">
        <f t="shared" si="8"/>
        <v>44.258872651357</v>
      </c>
      <c r="X14" s="493">
        <f t="shared" si="9"/>
        <v>42.7974947807933</v>
      </c>
      <c r="Y14" s="494" t="str">
        <f t="shared" si="10"/>
        <v>STRONG</v>
      </c>
      <c r="Z14" s="501" t="str">
        <f t="shared" si="11"/>
        <v>MEDIUM</v>
      </c>
      <c r="AA14" s="351" t="str">
        <f t="shared" si="12"/>
        <v>BJP</v>
      </c>
      <c r="AB14" s="334">
        <v>941</v>
      </c>
      <c r="AC14" s="334"/>
      <c r="AD14" s="334">
        <v>436</v>
      </c>
      <c r="AE14" s="334"/>
      <c r="AF14" s="334">
        <v>505</v>
      </c>
      <c r="AG14" s="334"/>
      <c r="AH14" s="334">
        <v>841</v>
      </c>
      <c r="AI14" s="334"/>
      <c r="AJ14" s="334">
        <v>6</v>
      </c>
      <c r="AK14" s="334"/>
      <c r="AL14" s="334">
        <v>94</v>
      </c>
      <c r="AM14" s="334"/>
      <c r="AN14" s="248">
        <f t="shared" si="22"/>
        <v>46.3336875664187</v>
      </c>
      <c r="AO14" s="316" t="e">
        <f t="shared" si="23"/>
        <v>#DIV/0!</v>
      </c>
      <c r="AP14" s="317">
        <f t="shared" si="24"/>
        <v>53.6663124335813</v>
      </c>
      <c r="AQ14" s="318" t="e">
        <f t="shared" si="25"/>
        <v>#DIV/0!</v>
      </c>
      <c r="AR14" s="318" t="str">
        <f t="shared" si="26"/>
        <v>FEMALE DOM</v>
      </c>
      <c r="AS14" s="319" t="e">
        <f t="shared" si="27"/>
        <v>#DIV/0!</v>
      </c>
      <c r="AT14" s="317">
        <f t="shared" si="28"/>
        <v>89.3730074388948</v>
      </c>
      <c r="AU14" s="317" t="e">
        <f t="shared" si="29"/>
        <v>#DIV/0!</v>
      </c>
      <c r="AV14" s="248">
        <f t="shared" si="30"/>
        <v>0.637619553666312</v>
      </c>
      <c r="AW14" s="317" t="e">
        <f t="shared" si="31"/>
        <v>#DIV/0!</v>
      </c>
      <c r="AX14" s="248">
        <f t="shared" si="32"/>
        <v>9.9893730074389</v>
      </c>
      <c r="AY14" s="317" t="e">
        <f t="shared" si="33"/>
        <v>#DIV/0!</v>
      </c>
      <c r="AZ14" s="248" t="str">
        <f t="shared" si="34"/>
        <v>HINDU</v>
      </c>
      <c r="BA14" s="318" t="e">
        <f t="shared" si="35"/>
        <v>#DIV/0!</v>
      </c>
      <c r="BB14" s="502"/>
    </row>
    <row r="15" ht="21" spans="2:27">
      <c r="B15" s="495"/>
      <c r="C15" s="430">
        <f t="shared" ref="C15:O15" si="36">SUM(C7:C14)</f>
        <v>8457</v>
      </c>
      <c r="D15" s="430">
        <f t="shared" si="36"/>
        <v>1429</v>
      </c>
      <c r="E15" s="430">
        <f t="shared" si="36"/>
        <v>3946</v>
      </c>
      <c r="F15" s="431">
        <f t="shared" si="36"/>
        <v>16</v>
      </c>
      <c r="G15" s="430">
        <f t="shared" si="36"/>
        <v>27</v>
      </c>
      <c r="H15" s="430">
        <f t="shared" si="36"/>
        <v>4</v>
      </c>
      <c r="I15" s="431">
        <f t="shared" si="36"/>
        <v>2</v>
      </c>
      <c r="J15" s="430">
        <f t="shared" si="36"/>
        <v>7</v>
      </c>
      <c r="K15" s="434">
        <f t="shared" si="36"/>
        <v>5</v>
      </c>
      <c r="L15" s="498">
        <f t="shared" si="36"/>
        <v>5436</v>
      </c>
      <c r="M15" s="430">
        <f t="shared" si="36"/>
        <v>0</v>
      </c>
      <c r="N15" s="498">
        <f t="shared" si="36"/>
        <v>47</v>
      </c>
      <c r="O15" s="430">
        <f t="shared" si="36"/>
        <v>5483</v>
      </c>
      <c r="P15" s="498">
        <f t="shared" ref="P15:X15" si="37">AVERAGE(P7:P14)</f>
        <v>64.4727716607644</v>
      </c>
      <c r="Q15" s="430">
        <f t="shared" si="37"/>
        <v>71.7562442351674</v>
      </c>
      <c r="R15" s="498">
        <f t="shared" si="37"/>
        <v>26.317385772198</v>
      </c>
      <c r="S15" s="430">
        <f t="shared" si="37"/>
        <v>0.323446062759885</v>
      </c>
      <c r="T15" s="500">
        <f t="shared" si="37"/>
        <v>0.468960645967524</v>
      </c>
      <c r="U15" s="500">
        <f t="shared" si="37"/>
        <v>0.36081787480995</v>
      </c>
      <c r="V15" s="498">
        <f t="shared" si="37"/>
        <v>0.773145409097304</v>
      </c>
      <c r="W15" s="430">
        <f t="shared" si="37"/>
        <v>45.4388584629694</v>
      </c>
      <c r="X15" s="430">
        <f t="shared" si="37"/>
        <v>44.285633879432</v>
      </c>
      <c r="Y15" s="498" t="str">
        <f t="shared" si="10"/>
        <v>STRONG</v>
      </c>
      <c r="Z15" s="397" t="str">
        <f t="shared" si="11"/>
        <v>STRONG</v>
      </c>
      <c r="AA15" s="351" t="str">
        <f t="shared" si="12"/>
        <v>BJP</v>
      </c>
    </row>
    <row r="19" spans="11:28">
      <c r="K19" s="225" t="s">
        <v>205</v>
      </c>
      <c r="L19" s="237"/>
      <c r="M19" s="237"/>
      <c r="N19" s="238"/>
      <c r="P19" s="225" t="s">
        <v>97</v>
      </c>
      <c r="Q19" s="237"/>
      <c r="R19" s="237"/>
      <c r="S19" s="238"/>
      <c r="U19" s="265" t="s">
        <v>98</v>
      </c>
      <c r="V19" s="265"/>
      <c r="W19" s="265"/>
      <c r="X19" s="265"/>
      <c r="Y19" s="265"/>
      <c r="Z19" s="265"/>
      <c r="AA19" s="265"/>
      <c r="AB19" s="265"/>
    </row>
    <row r="20" spans="11:28">
      <c r="K20" s="226"/>
      <c r="L20" s="239"/>
      <c r="M20" s="239"/>
      <c r="N20" s="240"/>
      <c r="P20" s="241"/>
      <c r="Q20" s="242"/>
      <c r="R20" s="242"/>
      <c r="S20" s="243"/>
      <c r="U20" s="265"/>
      <c r="V20" s="265"/>
      <c r="W20" s="265"/>
      <c r="X20" s="265"/>
      <c r="Y20" s="265"/>
      <c r="Z20" s="265"/>
      <c r="AA20" s="265"/>
      <c r="AB20" s="265"/>
    </row>
    <row r="21" spans="11:28">
      <c r="K21" s="227" t="s">
        <v>99</v>
      </c>
      <c r="L21" s="244"/>
      <c r="M21" s="245"/>
      <c r="N21" s="245">
        <f>COUNTIF(AA7:AA14,"BJP")</f>
        <v>8</v>
      </c>
      <c r="P21" s="246" t="s">
        <v>100</v>
      </c>
      <c r="Q21" s="247"/>
      <c r="R21" s="247"/>
      <c r="S21" s="248">
        <f>COUNTIF(Y7:Y14,"NARROW")</f>
        <v>0</v>
      </c>
      <c r="U21" s="265" t="s">
        <v>101</v>
      </c>
      <c r="V21" s="265"/>
      <c r="W21" s="265"/>
      <c r="X21" s="265">
        <f>DEREBAILNAIRTYHYA18!E9</f>
        <v>67.3415333582726</v>
      </c>
      <c r="Y21" s="265" t="s">
        <v>102</v>
      </c>
      <c r="Z21" s="265"/>
      <c r="AA21" s="265"/>
      <c r="AB21" s="265">
        <f>Q15</f>
        <v>71.7562442351674</v>
      </c>
    </row>
    <row r="22" spans="11:28">
      <c r="K22" s="227"/>
      <c r="L22" s="244"/>
      <c r="M22" s="245"/>
      <c r="N22" s="245"/>
      <c r="P22" s="249"/>
      <c r="Q22" s="250"/>
      <c r="R22" s="250"/>
      <c r="S22" s="251"/>
      <c r="U22" s="265"/>
      <c r="V22" s="265"/>
      <c r="W22" s="265"/>
      <c r="X22" s="265"/>
      <c r="Y22" s="265"/>
      <c r="Z22" s="265"/>
      <c r="AA22" s="265"/>
      <c r="AB22" s="265"/>
    </row>
    <row r="23" spans="11:28">
      <c r="K23" s="227"/>
      <c r="L23" s="244"/>
      <c r="M23" s="245"/>
      <c r="N23" s="245"/>
      <c r="P23" s="252" t="s">
        <v>103</v>
      </c>
      <c r="Q23" s="253"/>
      <c r="R23" s="253"/>
      <c r="S23" s="248">
        <f>COUNTIF(Y7:Y14,"MEDIUM")</f>
        <v>3</v>
      </c>
      <c r="U23" s="265" t="s">
        <v>104</v>
      </c>
      <c r="V23" s="265"/>
      <c r="W23" s="265"/>
      <c r="X23" s="265">
        <f>DEREBAILNAIRTYHYA18!G9</f>
        <v>28.9340261957507</v>
      </c>
      <c r="Y23" s="265" t="s">
        <v>105</v>
      </c>
      <c r="Z23" s="265"/>
      <c r="AA23" s="265"/>
      <c r="AB23" s="265">
        <f>R15</f>
        <v>26.317385772198</v>
      </c>
    </row>
    <row r="24" spans="11:28">
      <c r="K24" s="228" t="s">
        <v>106</v>
      </c>
      <c r="L24" s="254"/>
      <c r="M24" s="255"/>
      <c r="N24" s="255">
        <f>COUNTIF(AA7:AA14,"CONGRESS")</f>
        <v>0</v>
      </c>
      <c r="P24" s="252"/>
      <c r="Q24" s="253"/>
      <c r="R24" s="253"/>
      <c r="S24" s="251"/>
      <c r="U24" s="265"/>
      <c r="V24" s="265"/>
      <c r="W24" s="265"/>
      <c r="X24" s="265"/>
      <c r="Y24" s="265"/>
      <c r="Z24" s="265"/>
      <c r="AA24" s="265"/>
      <c r="AB24" s="265"/>
    </row>
    <row r="25" spans="11:28">
      <c r="K25" s="229"/>
      <c r="L25" s="256"/>
      <c r="M25" s="257"/>
      <c r="N25" s="257"/>
      <c r="P25" s="258" t="s">
        <v>107</v>
      </c>
      <c r="Q25" s="259"/>
      <c r="R25" s="259"/>
      <c r="S25" s="248">
        <f>COUNTIF(Y7:Y14,"STRONG")</f>
        <v>5</v>
      </c>
      <c r="U25" s="265" t="s">
        <v>108</v>
      </c>
      <c r="V25" s="265"/>
      <c r="W25" s="265"/>
      <c r="X25" s="265">
        <f>DEREBAILNAIRTYHYA18!C9</f>
        <v>5660</v>
      </c>
      <c r="Y25" s="265" t="s">
        <v>109</v>
      </c>
      <c r="Z25" s="265"/>
      <c r="AA25" s="265"/>
      <c r="AB25" s="265">
        <f>O15</f>
        <v>5483</v>
      </c>
    </row>
    <row r="26" spans="11:28">
      <c r="K26" s="230"/>
      <c r="L26" s="260"/>
      <c r="M26" s="261"/>
      <c r="N26" s="261"/>
      <c r="P26" s="262"/>
      <c r="Q26" s="263"/>
      <c r="R26" s="263"/>
      <c r="S26" s="251"/>
      <c r="U26" s="265"/>
      <c r="V26" s="265"/>
      <c r="W26" s="265"/>
      <c r="X26" s="265"/>
      <c r="Y26" s="265"/>
      <c r="Z26" s="265"/>
      <c r="AA26" s="265"/>
      <c r="AB26" s="265"/>
    </row>
    <row r="27" spans="16:28">
      <c r="P27" s="229" t="s">
        <v>110</v>
      </c>
      <c r="Q27" s="256"/>
      <c r="R27" s="256"/>
      <c r="S27" s="248">
        <f>COUNTIF(Y7:Y14,"LOST")</f>
        <v>0</v>
      </c>
      <c r="U27" s="265" t="s">
        <v>111</v>
      </c>
      <c r="V27" s="265"/>
      <c r="W27" s="265"/>
      <c r="X27" s="265">
        <f>X21-X23</f>
        <v>38.4075071625218</v>
      </c>
      <c r="Y27" s="265" t="s">
        <v>111</v>
      </c>
      <c r="Z27" s="265"/>
      <c r="AA27" s="265"/>
      <c r="AB27" s="265">
        <f>AB21-AB23</f>
        <v>45.4388584629694</v>
      </c>
    </row>
    <row r="28" spans="16:28">
      <c r="P28" s="230"/>
      <c r="Q28" s="260"/>
      <c r="R28" s="260"/>
      <c r="S28" s="251"/>
      <c r="U28" s="265"/>
      <c r="V28" s="265"/>
      <c r="W28" s="265"/>
      <c r="X28" s="265"/>
      <c r="Y28" s="265"/>
      <c r="Z28" s="265"/>
      <c r="AA28" s="265"/>
      <c r="AB28" s="265"/>
    </row>
    <row r="29" spans="21:27">
      <c r="U29" s="265" t="s">
        <v>112</v>
      </c>
      <c r="V29" s="265"/>
      <c r="W29" s="265"/>
      <c r="X29" s="265">
        <f>AB21-X21</f>
        <v>4.4147108768948</v>
      </c>
      <c r="Y29" s="265"/>
      <c r="Z29" s="265"/>
      <c r="AA29" s="265"/>
    </row>
    <row r="30" spans="21:27">
      <c r="U30" s="265"/>
      <c r="V30" s="265"/>
      <c r="W30" s="265"/>
      <c r="X30" s="265"/>
      <c r="Y30" s="265"/>
      <c r="Z30" s="265"/>
      <c r="AA30" s="265"/>
    </row>
    <row r="31" spans="21:27">
      <c r="U31" s="265" t="s">
        <v>113</v>
      </c>
      <c r="V31" s="265"/>
      <c r="W31" s="265"/>
      <c r="X31" s="265">
        <f>AB23-X23</f>
        <v>-2.61664042355278</v>
      </c>
      <c r="Y31" s="265"/>
      <c r="Z31" s="265"/>
      <c r="AA31" s="265"/>
    </row>
    <row r="32" spans="21:27">
      <c r="U32" s="265"/>
      <c r="V32" s="265"/>
      <c r="W32" s="265"/>
      <c r="X32" s="265"/>
      <c r="Y32" s="265"/>
      <c r="Z32" s="265"/>
      <c r="AA32" s="265"/>
    </row>
    <row r="33" spans="21:27">
      <c r="U33" s="265" t="s">
        <v>114</v>
      </c>
      <c r="V33" s="265"/>
      <c r="W33" s="265"/>
      <c r="X33" s="265" t="str">
        <f>IF(X29&gt;X31,"INCREASE","DECREASE")</f>
        <v>INCREASE</v>
      </c>
      <c r="Y33" s="265"/>
      <c r="Z33" s="265"/>
      <c r="AA33" s="265"/>
    </row>
    <row r="34" spans="21:27">
      <c r="U34" s="265"/>
      <c r="V34" s="265"/>
      <c r="W34" s="265"/>
      <c r="X34" s="265"/>
      <c r="Y34" s="265"/>
      <c r="Z34" s="265"/>
      <c r="AA34" s="265"/>
    </row>
    <row r="35" spans="21:28">
      <c r="U35" s="265" t="s">
        <v>178</v>
      </c>
      <c r="V35" s="265"/>
      <c r="W35" s="265"/>
      <c r="X35" s="265"/>
      <c r="Y35" s="265"/>
      <c r="Z35" s="265"/>
      <c r="AA35" s="265"/>
      <c r="AB35" s="265"/>
    </row>
    <row r="36" spans="21:28">
      <c r="U36" s="265"/>
      <c r="V36" s="265"/>
      <c r="W36" s="265"/>
      <c r="X36" s="265"/>
      <c r="Y36" s="265"/>
      <c r="Z36" s="265"/>
      <c r="AA36" s="265"/>
      <c r="AB36" s="265"/>
    </row>
    <row r="37" spans="21:28">
      <c r="U37" s="265"/>
      <c r="V37" s="265"/>
      <c r="W37" s="265"/>
      <c r="X37" s="265"/>
      <c r="Y37" s="265"/>
      <c r="Z37" s="265"/>
      <c r="AA37" s="265"/>
      <c r="AB37" s="265"/>
    </row>
  </sheetData>
  <mergeCells count="94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N21:N23"/>
    <mergeCell ref="N24:N26"/>
    <mergeCell ref="O1:O6"/>
    <mergeCell ref="P1:P6"/>
    <mergeCell ref="Q1:Q6"/>
    <mergeCell ref="R1:R6"/>
    <mergeCell ref="S1:S6"/>
    <mergeCell ref="S21:S22"/>
    <mergeCell ref="S23:S24"/>
    <mergeCell ref="S25:S26"/>
    <mergeCell ref="S27:S28"/>
    <mergeCell ref="T1:T6"/>
    <mergeCell ref="U1:U6"/>
    <mergeCell ref="V1:V6"/>
    <mergeCell ref="W1:W6"/>
    <mergeCell ref="X1:X6"/>
    <mergeCell ref="X21:X22"/>
    <mergeCell ref="X23:X24"/>
    <mergeCell ref="X25:X26"/>
    <mergeCell ref="X27:X28"/>
    <mergeCell ref="Y1:Y6"/>
    <mergeCell ref="Z1:Z6"/>
    <mergeCell ref="AA1:AA6"/>
    <mergeCell ref="AB1:AB6"/>
    <mergeCell ref="AB21:AB22"/>
    <mergeCell ref="AB23:AB24"/>
    <mergeCell ref="AB25:AB26"/>
    <mergeCell ref="AB27:AB28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BB1:BB6"/>
    <mergeCell ref="P27:R28"/>
    <mergeCell ref="Y27:AA28"/>
    <mergeCell ref="K19:N20"/>
    <mergeCell ref="P19:S20"/>
    <mergeCell ref="K21:M23"/>
    <mergeCell ref="P21:R22"/>
    <mergeCell ref="Y21:AA22"/>
    <mergeCell ref="P23:R24"/>
    <mergeCell ref="Y23:AA24"/>
    <mergeCell ref="K24:M26"/>
    <mergeCell ref="P25:R26"/>
    <mergeCell ref="Y25:AA26"/>
    <mergeCell ref="D1:K2"/>
    <mergeCell ref="U19:AB20"/>
    <mergeCell ref="U21:W22"/>
    <mergeCell ref="U23:W24"/>
    <mergeCell ref="U25:W26"/>
    <mergeCell ref="U27:W28"/>
    <mergeCell ref="U29:W30"/>
    <mergeCell ref="X29:AA30"/>
    <mergeCell ref="U35:AB37"/>
    <mergeCell ref="U31:W32"/>
    <mergeCell ref="X31:AA32"/>
    <mergeCell ref="U33:W34"/>
    <mergeCell ref="X33:Y34"/>
    <mergeCell ref="Z33:AA34"/>
  </mergeCells>
  <conditionalFormatting sqref="AR7:AR14">
    <cfRule type="containsText" dxfId="6" priority="1" operator="between" text="FEMALE DOM">
      <formula>NOT(ISERROR(SEARCH("FEMALE DOM",AR7)))</formula>
    </cfRule>
  </conditionalFormatting>
  <conditionalFormatting sqref="AZ7:AZ14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4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conditionalFormatting sqref="BB7:BB14">
    <cfRule type="containsText" dxfId="0" priority="7" operator="between" text="MINORITY">
      <formula>NOT(ISERROR(SEARCH("MINORITY",BB7)))</formula>
    </cfRule>
    <cfRule type="containsText" dxfId="1" priority="9" operator="between" text="HIND">
      <formula>NOT(ISERROR(SEARCH("HIND",BB7)))</formula>
    </cfRule>
  </conditionalFormatting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"/>
  <sheetViews>
    <sheetView workbookViewId="0">
      <selection activeCell="A1" sqref="A1:AJ1"/>
    </sheetView>
  </sheetViews>
  <sheetFormatPr defaultColWidth="9" defaultRowHeight="14.5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3</v>
      </c>
      <c r="B2" s="185" t="s">
        <v>236</v>
      </c>
      <c r="C2" s="184">
        <v>999</v>
      </c>
      <c r="D2" s="184">
        <v>684</v>
      </c>
      <c r="E2" s="184">
        <f t="shared" ref="E2:E8" si="0">(D2/C2)*100</f>
        <v>68.4684684684685</v>
      </c>
      <c r="F2" s="184">
        <v>273</v>
      </c>
      <c r="G2" s="184">
        <f t="shared" ref="G2:G8" si="1">(F2/C2)*100</f>
        <v>27.3273273273273</v>
      </c>
      <c r="H2" s="184">
        <v>3</v>
      </c>
      <c r="I2" s="184">
        <f t="shared" ref="I2:I8" si="2">(H2/C2)*100</f>
        <v>0.3003003003003</v>
      </c>
      <c r="J2" s="184">
        <v>14</v>
      </c>
      <c r="K2" s="184">
        <f t="shared" ref="K2:K8" si="3">(J2/C2)*100</f>
        <v>1.4014014014014</v>
      </c>
      <c r="L2" s="189">
        <v>637</v>
      </c>
      <c r="M2" s="189">
        <v>659</v>
      </c>
      <c r="N2" s="189">
        <f t="shared" ref="N2:N8" si="4">L2+M2</f>
        <v>1296</v>
      </c>
      <c r="O2" s="184">
        <v>999</v>
      </c>
      <c r="P2" s="190">
        <f t="shared" ref="P2:P8" si="5">O2/N2*100</f>
        <v>77.0833333333333</v>
      </c>
      <c r="Q2" s="184">
        <v>1205</v>
      </c>
      <c r="R2" s="184">
        <f t="shared" ref="R2:R8" si="6">(Q2/N2)*100</f>
        <v>92.9783950617284</v>
      </c>
      <c r="S2" s="184">
        <f t="shared" ref="S2:S8" si="7">Q2-U2</f>
        <v>263</v>
      </c>
      <c r="T2" s="184">
        <f t="shared" ref="T2:T8" si="8">(S2/Q2)*100</f>
        <v>21.8257261410788</v>
      </c>
      <c r="U2" s="184">
        <v>942</v>
      </c>
      <c r="V2" s="191">
        <f t="shared" ref="V2:V8" si="9">IFERROR(U2/Q2*100,0)</f>
        <v>78.1742738589212</v>
      </c>
      <c r="W2" s="184">
        <v>82</v>
      </c>
      <c r="X2" s="184">
        <f t="shared" ref="X2:X8" si="10">100-R2</f>
        <v>7.02160493827161</v>
      </c>
      <c r="Y2" s="184">
        <f t="shared" ref="Y2:Y8" si="11">W2-AA2</f>
        <v>25</v>
      </c>
      <c r="Z2" s="193">
        <f t="shared" ref="Z2:Z8" si="12">(Y2/W2)*100</f>
        <v>30.4878048780488</v>
      </c>
      <c r="AA2" s="193">
        <v>57</v>
      </c>
      <c r="AB2" s="194">
        <f t="shared" ref="AB2:AB8" si="13">IFERROR(AA2/W2*100,0)</f>
        <v>69.5121951219512</v>
      </c>
      <c r="AC2" s="193">
        <f t="shared" ref="AC2:AC8" si="14">U2+AA2</f>
        <v>999</v>
      </c>
      <c r="AD2" s="193" t="str">
        <f t="shared" ref="AD2:AD8" si="15">IF(P2&gt;80,"EXCELLENT",IF(P2&gt;70,"STRONG",IF(P2&gt;60,"AVG",IF(P2&gt;50,"WEAK",IF(P2&lt;50,"VLOW")))))</f>
        <v>STRONG</v>
      </c>
      <c r="AE2" s="195" t="str">
        <f t="shared" ref="AE2:AE8" si="16">IF(R2&gt;80,"EXCELLENT",IF(R2&gt;70,"STRONG",IF(R2&gt;60,"AVG",IF(R2&gt;50,"WEAK",IF(R2&lt;50,"VLOW")))))</f>
        <v>EXCELLENT</v>
      </c>
      <c r="AF2" s="193" t="str">
        <f t="shared" ref="AF2:AF8" si="17">IF(X2&gt;80,"EXCELLENT",IF(X2&gt;70,"STRONG",IF(X2&gt;60,"AVG",IF(X2&gt;50,"WEAK",IF(X2&lt;50,"VLOW")))))</f>
        <v>VLOW</v>
      </c>
      <c r="AG2" s="193" t="str">
        <f t="shared" ref="AG2:AG8" si="18">IF(M2&gt;L2,"FEMALE DOM","MEN")</f>
        <v>FEMALE DOM</v>
      </c>
      <c r="AH2" s="193" t="str">
        <f t="shared" ref="AH2:AH8" si="19">IF(T2&gt;Z2,"H","O")</f>
        <v>O</v>
      </c>
      <c r="AI2" s="197">
        <f t="shared" ref="AI2:AI9" si="20">E2-G2</f>
        <v>41.1411411411411</v>
      </c>
      <c r="AJ2" s="199" t="str">
        <f t="shared" ref="AJ2:AJ9" si="21">IF(E2&gt;G2,"BJP GAIN","CONGRESSGAIN")</f>
        <v>BJP GAIN</v>
      </c>
    </row>
    <row r="3" spans="1:36">
      <c r="A3" s="184">
        <v>4</v>
      </c>
      <c r="B3" s="185" t="s">
        <v>237</v>
      </c>
      <c r="C3" s="184">
        <v>806</v>
      </c>
      <c r="D3" s="184">
        <v>551</v>
      </c>
      <c r="E3" s="184">
        <f t="shared" si="0"/>
        <v>68.3622828784119</v>
      </c>
      <c r="F3" s="184">
        <v>217</v>
      </c>
      <c r="G3" s="184">
        <f t="shared" si="1"/>
        <v>26.9230769230769</v>
      </c>
      <c r="H3" s="184">
        <v>2</v>
      </c>
      <c r="I3" s="184">
        <f t="shared" si="2"/>
        <v>0.248138957816377</v>
      </c>
      <c r="J3" s="184">
        <v>20</v>
      </c>
      <c r="K3" s="184">
        <f t="shared" si="3"/>
        <v>2.48138957816377</v>
      </c>
      <c r="L3" s="189">
        <v>527</v>
      </c>
      <c r="M3" s="189">
        <v>548</v>
      </c>
      <c r="N3" s="189">
        <f t="shared" si="4"/>
        <v>1075</v>
      </c>
      <c r="O3" s="184">
        <v>806</v>
      </c>
      <c r="P3" s="190">
        <f t="shared" si="5"/>
        <v>74.9767441860465</v>
      </c>
      <c r="Q3" s="184">
        <f>1075-235</f>
        <v>840</v>
      </c>
      <c r="R3" s="184">
        <f t="shared" si="6"/>
        <v>78.1395348837209</v>
      </c>
      <c r="S3" s="184">
        <f t="shared" si="7"/>
        <v>219</v>
      </c>
      <c r="T3" s="184">
        <f t="shared" si="8"/>
        <v>26.0714285714286</v>
      </c>
      <c r="U3" s="184">
        <v>621</v>
      </c>
      <c r="V3" s="191">
        <f t="shared" si="9"/>
        <v>73.9285714285714</v>
      </c>
      <c r="W3" s="184">
        <v>235</v>
      </c>
      <c r="X3" s="184">
        <f t="shared" si="10"/>
        <v>21.8604651162791</v>
      </c>
      <c r="Y3" s="196">
        <f t="shared" si="11"/>
        <v>50</v>
      </c>
      <c r="Z3" s="193">
        <f t="shared" si="12"/>
        <v>21.2765957446809</v>
      </c>
      <c r="AA3" s="193">
        <f>806-621</f>
        <v>185</v>
      </c>
      <c r="AB3" s="194">
        <f t="shared" si="13"/>
        <v>78.7234042553192</v>
      </c>
      <c r="AC3" s="193">
        <f t="shared" si="14"/>
        <v>806</v>
      </c>
      <c r="AD3" s="193" t="str">
        <f t="shared" si="15"/>
        <v>STRONG</v>
      </c>
      <c r="AE3" s="195" t="str">
        <f t="shared" si="16"/>
        <v>STRONG</v>
      </c>
      <c r="AF3" s="193" t="str">
        <f t="shared" si="17"/>
        <v>VLOW</v>
      </c>
      <c r="AG3" s="193" t="str">
        <f t="shared" si="18"/>
        <v>FEMALE DOM</v>
      </c>
      <c r="AH3" s="193" t="str">
        <f t="shared" si="19"/>
        <v>H</v>
      </c>
      <c r="AI3" s="197">
        <f t="shared" si="20"/>
        <v>41.439205955335</v>
      </c>
      <c r="AJ3" s="199" t="str">
        <f t="shared" si="21"/>
        <v>BJP GAIN</v>
      </c>
    </row>
    <row r="4" spans="1:36">
      <c r="A4" s="184">
        <v>75</v>
      </c>
      <c r="B4" s="185" t="s">
        <v>238</v>
      </c>
      <c r="C4" s="184">
        <v>846</v>
      </c>
      <c r="D4" s="184">
        <v>563</v>
      </c>
      <c r="E4" s="184">
        <f t="shared" si="0"/>
        <v>66.548463356974</v>
      </c>
      <c r="F4" s="184">
        <v>250</v>
      </c>
      <c r="G4" s="184">
        <f t="shared" si="1"/>
        <v>29.5508274231678</v>
      </c>
      <c r="H4" s="184">
        <v>1</v>
      </c>
      <c r="I4" s="184">
        <f t="shared" si="2"/>
        <v>0.118203309692671</v>
      </c>
      <c r="J4" s="184">
        <v>4</v>
      </c>
      <c r="K4" s="184">
        <f t="shared" si="3"/>
        <v>0.472813238770686</v>
      </c>
      <c r="L4" s="189">
        <v>634</v>
      </c>
      <c r="M4" s="189">
        <v>666</v>
      </c>
      <c r="N4" s="189">
        <f t="shared" si="4"/>
        <v>1300</v>
      </c>
      <c r="O4" s="184">
        <v>846</v>
      </c>
      <c r="P4" s="190">
        <f t="shared" si="5"/>
        <v>65.0769230769231</v>
      </c>
      <c r="Q4" s="184">
        <v>1092</v>
      </c>
      <c r="R4" s="184">
        <f t="shared" si="6"/>
        <v>84</v>
      </c>
      <c r="S4" s="192">
        <f t="shared" si="7"/>
        <v>360</v>
      </c>
      <c r="T4" s="184">
        <f t="shared" si="8"/>
        <v>32.967032967033</v>
      </c>
      <c r="U4" s="184">
        <v>732</v>
      </c>
      <c r="V4" s="191">
        <f t="shared" si="9"/>
        <v>67.032967032967</v>
      </c>
      <c r="W4" s="184">
        <v>208</v>
      </c>
      <c r="X4" s="184">
        <f t="shared" si="10"/>
        <v>16</v>
      </c>
      <c r="Y4" s="184">
        <f t="shared" si="11"/>
        <v>94</v>
      </c>
      <c r="Z4" s="193">
        <f t="shared" si="12"/>
        <v>45.1923076923077</v>
      </c>
      <c r="AA4" s="193">
        <v>114</v>
      </c>
      <c r="AB4" s="194">
        <f t="shared" si="13"/>
        <v>54.8076923076923</v>
      </c>
      <c r="AC4" s="193">
        <f t="shared" si="14"/>
        <v>846</v>
      </c>
      <c r="AD4" s="193" t="str">
        <f t="shared" si="15"/>
        <v>AVG</v>
      </c>
      <c r="AE4" s="195" t="str">
        <f t="shared" si="16"/>
        <v>EXCELLENT</v>
      </c>
      <c r="AF4" s="193" t="str">
        <f t="shared" si="17"/>
        <v>VLOW</v>
      </c>
      <c r="AG4" s="193" t="str">
        <f t="shared" si="18"/>
        <v>FEMALE DOM</v>
      </c>
      <c r="AH4" s="193" t="str">
        <f t="shared" si="19"/>
        <v>O</v>
      </c>
      <c r="AI4" s="197">
        <f t="shared" si="20"/>
        <v>36.9976359338062</v>
      </c>
      <c r="AJ4" s="199" t="str">
        <f t="shared" si="21"/>
        <v>BJP GAIN</v>
      </c>
    </row>
    <row r="5" spans="1:36">
      <c r="A5" s="184">
        <v>77</v>
      </c>
      <c r="B5" s="185" t="s">
        <v>239</v>
      </c>
      <c r="C5" s="184">
        <v>662</v>
      </c>
      <c r="D5" s="184">
        <v>402</v>
      </c>
      <c r="E5" s="184">
        <f t="shared" si="0"/>
        <v>60.7250755287009</v>
      </c>
      <c r="F5" s="184">
        <v>243</v>
      </c>
      <c r="G5" s="184">
        <f t="shared" si="1"/>
        <v>36.7069486404834</v>
      </c>
      <c r="H5" s="184">
        <v>0</v>
      </c>
      <c r="I5" s="184">
        <f t="shared" si="2"/>
        <v>0</v>
      </c>
      <c r="J5" s="184">
        <v>5</v>
      </c>
      <c r="K5" s="184">
        <f t="shared" si="3"/>
        <v>0.755287009063444</v>
      </c>
      <c r="L5" s="189">
        <v>436</v>
      </c>
      <c r="M5" s="189">
        <v>454</v>
      </c>
      <c r="N5" s="189">
        <f t="shared" si="4"/>
        <v>890</v>
      </c>
      <c r="O5" s="184">
        <v>662</v>
      </c>
      <c r="P5" s="190">
        <f t="shared" si="5"/>
        <v>74.3820224719101</v>
      </c>
      <c r="Q5" s="184">
        <v>693</v>
      </c>
      <c r="R5" s="184">
        <f t="shared" si="6"/>
        <v>77.8651685393259</v>
      </c>
      <c r="S5" s="184">
        <f t="shared" si="7"/>
        <v>164</v>
      </c>
      <c r="T5" s="184">
        <f t="shared" si="8"/>
        <v>23.6652236652237</v>
      </c>
      <c r="U5" s="184">
        <v>529</v>
      </c>
      <c r="V5" s="191">
        <f t="shared" si="9"/>
        <v>76.3347763347763</v>
      </c>
      <c r="W5" s="184">
        <v>199</v>
      </c>
      <c r="X5" s="184">
        <f t="shared" si="10"/>
        <v>22.1348314606741</v>
      </c>
      <c r="Y5" s="184">
        <f t="shared" si="11"/>
        <v>66</v>
      </c>
      <c r="Z5" s="193">
        <f t="shared" si="12"/>
        <v>33.1658291457286</v>
      </c>
      <c r="AA5" s="193">
        <v>133</v>
      </c>
      <c r="AB5" s="194">
        <f t="shared" si="13"/>
        <v>66.8341708542714</v>
      </c>
      <c r="AC5" s="193">
        <f t="shared" si="14"/>
        <v>662</v>
      </c>
      <c r="AD5" s="193" t="str">
        <f t="shared" si="15"/>
        <v>STRONG</v>
      </c>
      <c r="AE5" s="195" t="str">
        <f t="shared" si="16"/>
        <v>STRONG</v>
      </c>
      <c r="AF5" s="193" t="str">
        <f t="shared" si="17"/>
        <v>VLOW</v>
      </c>
      <c r="AG5" s="193" t="str">
        <f t="shared" si="18"/>
        <v>FEMALE DOM</v>
      </c>
      <c r="AH5" s="193" t="str">
        <f t="shared" si="19"/>
        <v>O</v>
      </c>
      <c r="AI5" s="197">
        <f t="shared" si="20"/>
        <v>24.0181268882175</v>
      </c>
      <c r="AJ5" s="199" t="str">
        <f t="shared" si="21"/>
        <v>BJP GAIN</v>
      </c>
    </row>
    <row r="6" spans="1:36">
      <c r="A6" s="184">
        <v>78</v>
      </c>
      <c r="B6" s="185" t="s">
        <v>240</v>
      </c>
      <c r="C6" s="184">
        <v>936</v>
      </c>
      <c r="D6" s="184">
        <v>664</v>
      </c>
      <c r="E6" s="184">
        <f t="shared" si="0"/>
        <v>70.9401709401709</v>
      </c>
      <c r="F6" s="184">
        <v>240</v>
      </c>
      <c r="G6" s="184">
        <f t="shared" si="1"/>
        <v>25.6410256410256</v>
      </c>
      <c r="H6" s="184">
        <v>2</v>
      </c>
      <c r="I6" s="184">
        <f t="shared" si="2"/>
        <v>0.213675213675214</v>
      </c>
      <c r="J6" s="184">
        <v>2</v>
      </c>
      <c r="K6" s="184">
        <f t="shared" si="3"/>
        <v>0.213675213675214</v>
      </c>
      <c r="L6" s="189">
        <v>631</v>
      </c>
      <c r="M6" s="189">
        <v>674</v>
      </c>
      <c r="N6" s="189">
        <f t="shared" si="4"/>
        <v>1305</v>
      </c>
      <c r="O6" s="184">
        <v>936</v>
      </c>
      <c r="P6" s="190">
        <f t="shared" si="5"/>
        <v>71.7241379310345</v>
      </c>
      <c r="Q6" s="184">
        <v>1148</v>
      </c>
      <c r="R6" s="184">
        <f t="shared" si="6"/>
        <v>87.9693486590038</v>
      </c>
      <c r="S6" s="184">
        <f t="shared" si="7"/>
        <v>298</v>
      </c>
      <c r="T6" s="184">
        <f t="shared" si="8"/>
        <v>25.9581881533101</v>
      </c>
      <c r="U6" s="184">
        <v>850</v>
      </c>
      <c r="V6" s="191">
        <f t="shared" si="9"/>
        <v>74.0418118466899</v>
      </c>
      <c r="W6" s="184">
        <v>157</v>
      </c>
      <c r="X6" s="184">
        <f t="shared" si="10"/>
        <v>12.0306513409962</v>
      </c>
      <c r="Y6" s="184">
        <f t="shared" si="11"/>
        <v>71</v>
      </c>
      <c r="Z6" s="193">
        <f t="shared" si="12"/>
        <v>45.2229299363057</v>
      </c>
      <c r="AA6" s="193">
        <v>86</v>
      </c>
      <c r="AB6" s="194">
        <f t="shared" si="13"/>
        <v>54.7770700636943</v>
      </c>
      <c r="AC6" s="193">
        <f t="shared" si="14"/>
        <v>936</v>
      </c>
      <c r="AD6" s="193" t="str">
        <f t="shared" si="15"/>
        <v>STRONG</v>
      </c>
      <c r="AE6" s="195" t="str">
        <f t="shared" si="16"/>
        <v>EXCELLENT</v>
      </c>
      <c r="AF6" s="193" t="str">
        <f t="shared" si="17"/>
        <v>VLOW</v>
      </c>
      <c r="AG6" s="193" t="str">
        <f t="shared" si="18"/>
        <v>FEMALE DOM</v>
      </c>
      <c r="AH6" s="193" t="str">
        <f t="shared" si="19"/>
        <v>O</v>
      </c>
      <c r="AI6" s="197">
        <f t="shared" si="20"/>
        <v>45.2991452991453</v>
      </c>
      <c r="AJ6" s="199" t="str">
        <f t="shared" si="21"/>
        <v>BJP GAIN</v>
      </c>
    </row>
    <row r="7" spans="1:36">
      <c r="A7" s="184">
        <v>79</v>
      </c>
      <c r="B7" s="185" t="s">
        <v>241</v>
      </c>
      <c r="C7" s="184">
        <v>541</v>
      </c>
      <c r="D7" s="184">
        <v>395</v>
      </c>
      <c r="E7" s="184">
        <f t="shared" si="0"/>
        <v>73.0129390018484</v>
      </c>
      <c r="F7" s="184">
        <v>121</v>
      </c>
      <c r="G7" s="184">
        <f t="shared" si="1"/>
        <v>22.365988909427</v>
      </c>
      <c r="H7" s="184">
        <v>5</v>
      </c>
      <c r="I7" s="184">
        <f t="shared" si="2"/>
        <v>0.924214417744917</v>
      </c>
      <c r="J7" s="184">
        <v>3</v>
      </c>
      <c r="K7" s="184">
        <f t="shared" si="3"/>
        <v>0.55452865064695</v>
      </c>
      <c r="L7" s="189">
        <v>383</v>
      </c>
      <c r="M7" s="189">
        <v>434</v>
      </c>
      <c r="N7" s="189">
        <f t="shared" si="4"/>
        <v>817</v>
      </c>
      <c r="O7" s="184">
        <v>541</v>
      </c>
      <c r="P7" s="190">
        <f t="shared" si="5"/>
        <v>66.2178702570379</v>
      </c>
      <c r="Q7" s="184">
        <v>769</v>
      </c>
      <c r="R7" s="184">
        <f t="shared" si="6"/>
        <v>94.124847001224</v>
      </c>
      <c r="S7" s="192">
        <f t="shared" si="7"/>
        <v>254</v>
      </c>
      <c r="T7" s="184">
        <f t="shared" si="8"/>
        <v>33.0299089726918</v>
      </c>
      <c r="U7" s="184">
        <v>515</v>
      </c>
      <c r="V7" s="191">
        <f t="shared" si="9"/>
        <v>66.9700910273082</v>
      </c>
      <c r="W7" s="184">
        <v>46</v>
      </c>
      <c r="X7" s="184">
        <f t="shared" si="10"/>
        <v>5.87515299877602</v>
      </c>
      <c r="Y7" s="196">
        <f t="shared" si="11"/>
        <v>19</v>
      </c>
      <c r="Z7" s="193">
        <f t="shared" si="12"/>
        <v>41.304347826087</v>
      </c>
      <c r="AA7" s="193">
        <v>27</v>
      </c>
      <c r="AB7" s="194">
        <f t="shared" si="13"/>
        <v>58.695652173913</v>
      </c>
      <c r="AC7" s="193">
        <f t="shared" si="14"/>
        <v>542</v>
      </c>
      <c r="AD7" s="193" t="str">
        <f t="shared" si="15"/>
        <v>AVG</v>
      </c>
      <c r="AE7" s="195" t="str">
        <f t="shared" si="16"/>
        <v>EXCELLENT</v>
      </c>
      <c r="AF7" s="193" t="str">
        <f t="shared" si="17"/>
        <v>VLOW</v>
      </c>
      <c r="AG7" s="193" t="str">
        <f t="shared" si="18"/>
        <v>FEMALE DOM</v>
      </c>
      <c r="AH7" s="193" t="str">
        <f t="shared" si="19"/>
        <v>O</v>
      </c>
      <c r="AI7" s="197">
        <f t="shared" si="20"/>
        <v>50.6469500924214</v>
      </c>
      <c r="AJ7" s="199" t="str">
        <f t="shared" si="21"/>
        <v>BJP GAIN</v>
      </c>
    </row>
    <row r="8" spans="1:36">
      <c r="A8" s="184">
        <v>80</v>
      </c>
      <c r="B8" s="185" t="s">
        <v>242</v>
      </c>
      <c r="C8" s="184">
        <v>870</v>
      </c>
      <c r="D8" s="184">
        <v>551</v>
      </c>
      <c r="E8" s="184">
        <f t="shared" si="0"/>
        <v>63.3333333333333</v>
      </c>
      <c r="F8" s="184">
        <v>296</v>
      </c>
      <c r="G8" s="184">
        <f t="shared" si="1"/>
        <v>34.0229885057471</v>
      </c>
      <c r="H8" s="184">
        <v>1</v>
      </c>
      <c r="I8" s="184">
        <f t="shared" si="2"/>
        <v>0.114942528735632</v>
      </c>
      <c r="J8" s="184">
        <v>7</v>
      </c>
      <c r="K8" s="184">
        <f t="shared" si="3"/>
        <v>0.804597701149425</v>
      </c>
      <c r="L8" s="189">
        <v>620</v>
      </c>
      <c r="M8" s="189">
        <v>702</v>
      </c>
      <c r="N8" s="189">
        <f t="shared" si="4"/>
        <v>1322</v>
      </c>
      <c r="O8" s="184">
        <v>870</v>
      </c>
      <c r="P8" s="190">
        <f t="shared" si="5"/>
        <v>65.8093797276853</v>
      </c>
      <c r="Q8" s="184">
        <v>1132</v>
      </c>
      <c r="R8" s="184">
        <f t="shared" si="6"/>
        <v>85.6278366111952</v>
      </c>
      <c r="S8" s="184">
        <f t="shared" si="7"/>
        <v>404</v>
      </c>
      <c r="T8" s="184">
        <f t="shared" si="8"/>
        <v>35.6890459363958</v>
      </c>
      <c r="U8" s="184">
        <v>728</v>
      </c>
      <c r="V8" s="191">
        <f t="shared" si="9"/>
        <v>64.3109540636042</v>
      </c>
      <c r="W8" s="184">
        <v>186</v>
      </c>
      <c r="X8" s="184">
        <f t="shared" si="10"/>
        <v>14.3721633888048</v>
      </c>
      <c r="Y8" s="184">
        <f t="shared" si="11"/>
        <v>44</v>
      </c>
      <c r="Z8" s="193">
        <f t="shared" si="12"/>
        <v>23.6559139784946</v>
      </c>
      <c r="AA8" s="193">
        <v>142</v>
      </c>
      <c r="AB8" s="194">
        <f t="shared" si="13"/>
        <v>76.3440860215054</v>
      </c>
      <c r="AC8" s="193">
        <f t="shared" si="14"/>
        <v>870</v>
      </c>
      <c r="AD8" s="193" t="str">
        <f t="shared" si="15"/>
        <v>AVG</v>
      </c>
      <c r="AE8" s="195" t="str">
        <f t="shared" si="16"/>
        <v>EXCELLENT</v>
      </c>
      <c r="AF8" s="193" t="str">
        <f t="shared" si="17"/>
        <v>VLOW</v>
      </c>
      <c r="AG8" s="193" t="str">
        <f t="shared" si="18"/>
        <v>FEMALE DOM</v>
      </c>
      <c r="AH8" s="193" t="str">
        <f t="shared" si="19"/>
        <v>H</v>
      </c>
      <c r="AI8" s="197">
        <f t="shared" si="20"/>
        <v>29.3103448275862</v>
      </c>
      <c r="AJ8" s="199" t="str">
        <f t="shared" si="21"/>
        <v>BJP GAIN</v>
      </c>
    </row>
    <row r="9" spans="3:36">
      <c r="C9">
        <f>SUM(C2:C8)</f>
        <v>5660</v>
      </c>
      <c r="D9">
        <f>SUM(D2:D8)</f>
        <v>3810</v>
      </c>
      <c r="E9" s="186">
        <f>AVERAGE(E2:E8)</f>
        <v>67.3415333582726</v>
      </c>
      <c r="F9">
        <f>SUM(F2:F8)</f>
        <v>1640</v>
      </c>
      <c r="G9" s="186">
        <f>AVERAGE(G2:G8)</f>
        <v>28.9340261957507</v>
      </c>
      <c r="H9">
        <f>SUM(H2:H8)</f>
        <v>14</v>
      </c>
      <c r="I9">
        <f>AVERAGE(I2:I8)</f>
        <v>0.274210675423587</v>
      </c>
      <c r="J9">
        <f>SUM(J2:J8)</f>
        <v>55</v>
      </c>
      <c r="K9" s="186">
        <f>AVERAGE(K2:K8)</f>
        <v>0.954813256124413</v>
      </c>
      <c r="AI9" s="329">
        <f t="shared" si="20"/>
        <v>38.4075071625218</v>
      </c>
      <c r="AJ9" s="335" t="str">
        <f t="shared" si="21"/>
        <v>BJP GAIN</v>
      </c>
    </row>
  </sheetData>
  <conditionalFormatting sqref="AD4">
    <cfRule type="containsText" dxfId="8" priority="30" operator="between" text="AVG">
      <formula>NOT(ISERROR(SEARCH("AVG",AD4)))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NOT(ISERROR(SEARCH("VSTRONG",AD4)))</formula>
    </cfRule>
    <cfRule type="containsText" dxfId="10" priority="20" operator="between" text="AVG">
      <formula>NOT(ISERROR(SEARCH("AVG",AD4)))</formula>
    </cfRule>
  </conditionalFormatting>
  <conditionalFormatting sqref="AE4">
    <cfRule type="containsText" dxfId="3" priority="24" operator="between" text="STRONG">
      <formula>NOT(ISERROR(SEARCH("STRONG",AE4)))</formula>
    </cfRule>
    <cfRule type="containsText" dxfId="1" priority="22" operator="between" text="VSTRONG">
      <formula>NOT(ISERROR(SEARCH("VSTRONG",AE4)))</formula>
    </cfRule>
  </conditionalFormatting>
  <conditionalFormatting sqref="AE4:AF4">
    <cfRule type="containsText" dxfId="2" priority="23" operator="between" text="AVG">
      <formula>NOT(ISERROR(SEARCH("AVG",AE4)))</formula>
    </cfRule>
  </conditionalFormatting>
  <conditionalFormatting sqref="AF4">
    <cfRule type="cellIs" dxfId="11" priority="18" operator="equal">
      <formula>"VWEAK"</formula>
    </cfRule>
    <cfRule type="containsText" dxfId="0" priority="17" operator="between" text="VSTRONG">
      <formula>NOT(ISERROR(SEARCH("VSTRONG",AF4)))</formula>
    </cfRule>
  </conditionalFormatting>
  <conditionalFormatting sqref="AG4">
    <cfRule type="containsText" dxfId="12" priority="21" operator="between" text="FEMALE DOM">
      <formula>NOT(ISERROR(SEARCH("FEMALE DOM",AG4)))</formula>
    </cfRule>
    <cfRule type="containsText" dxfId="10" priority="16" operator="between" text="MEN">
      <formula>NOT(ISERROR(SEARCH("MEN",AG4)))</formula>
    </cfRule>
  </conditionalFormatting>
  <conditionalFormatting sqref="AH4">
    <cfRule type="containsText" dxfId="0" priority="27" operator="between" text="O">
      <formula>NOT(ISERROR(SEARCH("O",AH4)))</formula>
    </cfRule>
    <cfRule type="containsText" dxfId="3" priority="25" operator="between" text="H">
      <formula>NOT(ISERROR(SEARCH("H",AH4)))</formula>
    </cfRule>
    <cfRule type="containsText" dxfId="13" priority="26" operator="between" text="H">
      <formula>NOT(ISERROR(SEARCH("H",AH4)))</formula>
    </cfRule>
    <cfRule type="containsText" dxfId="1" priority="19" operator="between" text="H">
      <formula>NOT(ISERROR(SEARCH("H",AH4)))</formula>
    </cfRule>
  </conditionalFormatting>
  <conditionalFormatting sqref="AD2:AD3">
    <cfRule type="containsText" dxfId="8" priority="39" operator="between" text="AVG">
      <formula>NOT(ISERROR(SEARCH("AVG",AD2)))</formula>
    </cfRule>
    <cfRule type="cellIs" dxfId="9" priority="38" operator="equal">
      <formula>"STRONG"</formula>
    </cfRule>
    <cfRule type="containsText" dxfId="10" priority="33" operator="between" text="AVG">
      <formula>NOT(ISERROR(SEARCH("AVG",AD2)))</formula>
    </cfRule>
  </conditionalFormatting>
  <conditionalFormatting sqref="AD5:AD8">
    <cfRule type="containsText" dxfId="8" priority="15" operator="between" text="AVG">
      <formula>NOT(ISERROR(SEARCH("AVG",AD5)))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NOT(ISERROR(SEARCH("VSTRONG",AD5)))</formula>
    </cfRule>
    <cfRule type="containsText" dxfId="10" priority="5" operator="between" text="AVG">
      <formula>NOT(ISERROR(SEARCH("AVG",AD5)))</formula>
    </cfRule>
  </conditionalFormatting>
  <conditionalFormatting sqref="AE2:AE3">
    <cfRule type="containsText" dxfId="3" priority="36" operator="between" text="STRONG">
      <formula>NOT(ISERROR(SEARCH("STRONG",AE2)))</formula>
    </cfRule>
  </conditionalFormatting>
  <conditionalFormatting sqref="AE5:AE8">
    <cfRule type="containsText" dxfId="3" priority="9" operator="between" text="STRONG">
      <formula>NOT(ISERROR(SEARCH("STRONG",AE5)))</formula>
    </cfRule>
    <cfRule type="containsText" dxfId="1" priority="7" operator="between" text="VSTRONG">
      <formula>NOT(ISERROR(SEARCH("VSTRONG",AE5)))</formula>
    </cfRule>
  </conditionalFormatting>
  <conditionalFormatting sqref="AF2:AF3">
    <cfRule type="containsText" dxfId="2" priority="35" operator="between" text="AVG">
      <formula>NOT(ISERROR(SEARCH("AVG",AF2)))</formula>
    </cfRule>
    <cfRule type="cellIs" dxfId="11" priority="31" operator="equal">
      <formula>"VWEAK"</formula>
    </cfRule>
  </conditionalFormatting>
  <conditionalFormatting sqref="AF5:AF8">
    <cfRule type="cellIs" dxfId="11" priority="3" operator="equal">
      <formula>"VWEAK"</formula>
    </cfRule>
    <cfRule type="containsText" dxfId="0" priority="2" operator="between" text="VSTRONG">
      <formula>NOT(ISERROR(SEARCH("VSTRONG",AF5)))</formula>
    </cfRule>
  </conditionalFormatting>
  <conditionalFormatting sqref="AG2:AG3">
    <cfRule type="containsText" dxfId="12" priority="34" operator="between" text="FEMALE DOM">
      <formula>NOT(ISERROR(SEARCH("FEMALE DOM",AG2)))</formula>
    </cfRule>
  </conditionalFormatting>
  <conditionalFormatting sqref="AG5:AG8">
    <cfRule type="containsText" dxfId="12" priority="6" operator="between" text="FEMALE DOM">
      <formula>NOT(ISERROR(SEARCH("FEMALE DOM",AG5)))</formula>
    </cfRule>
    <cfRule type="containsText" dxfId="10" priority="1" operator="between" text="MEN">
      <formula>NOT(ISERROR(SEARCH("MEN",AG5)))</formula>
    </cfRule>
  </conditionalFormatting>
  <conditionalFormatting sqref="AH2:AH3">
    <cfRule type="containsText" dxfId="0" priority="37" operator="between" text="O">
      <formula>NOT(ISERROR(SEARCH("O",AH2)))</formula>
    </cfRule>
    <cfRule type="containsText" dxfId="1" priority="32" operator="between" text="H">
      <formula>NOT(ISERROR(SEARCH("H",AH2)))</formula>
    </cfRule>
  </conditionalFormatting>
  <conditionalFormatting sqref="AH5:AH8">
    <cfRule type="containsText" dxfId="0" priority="12" operator="between" text="O">
      <formula>NOT(ISERROR(SEARCH("O",AH5)))</formula>
    </cfRule>
    <cfRule type="containsText" dxfId="3" priority="10" operator="between" text="H">
      <formula>NOT(ISERROR(SEARCH("H",AH5)))</formula>
    </cfRule>
    <cfRule type="containsText" dxfId="13" priority="11" operator="between" text="H">
      <formula>NOT(ISERROR(SEARCH("H",AH5)))</formula>
    </cfRule>
    <cfRule type="containsText" dxfId="1" priority="4" operator="between" text="H">
      <formula>NOT(ISERROR(SEARCH("H",AH5)))</formula>
    </cfRule>
  </conditionalFormatting>
  <conditionalFormatting sqref="AE5:AF8">
    <cfRule type="containsText" dxfId="2" priority="8" operator="between" text="AVG">
      <formula>NOT(ISERROR(SEARCH("AVG",AE5)))</formula>
    </cfRule>
  </conditionalFormatting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5"/>
  <sheetViews>
    <sheetView topLeftCell="AA4" workbookViewId="0">
      <selection activeCell="AE16" sqref="AE16"/>
    </sheetView>
  </sheetViews>
  <sheetFormatPr defaultColWidth="9" defaultRowHeight="14.5"/>
  <cols>
    <col min="26" max="26" width="13.5727272727273" customWidth="1"/>
    <col min="27" max="27" width="10.1363636363636" customWidth="1"/>
  </cols>
  <sheetData>
    <row r="1" spans="1:53">
      <c r="A1" s="449" t="s">
        <v>16</v>
      </c>
      <c r="B1" s="450" t="s">
        <v>177</v>
      </c>
      <c r="C1" s="451" t="s">
        <v>15</v>
      </c>
      <c r="D1" s="452" t="s">
        <v>1</v>
      </c>
      <c r="E1" s="453"/>
      <c r="F1" s="453"/>
      <c r="G1" s="453"/>
      <c r="H1" s="453"/>
      <c r="I1" s="453"/>
      <c r="J1" s="453"/>
      <c r="K1" s="475"/>
      <c r="L1" s="476" t="s">
        <v>2</v>
      </c>
      <c r="M1" s="476" t="s">
        <v>3</v>
      </c>
      <c r="N1" s="476" t="s">
        <v>4</v>
      </c>
      <c r="O1" s="476" t="s">
        <v>5</v>
      </c>
      <c r="P1" s="476" t="s">
        <v>17</v>
      </c>
      <c r="Q1" s="477" t="s">
        <v>18</v>
      </c>
      <c r="R1" s="476" t="s">
        <v>19</v>
      </c>
      <c r="S1" s="477" t="s">
        <v>20</v>
      </c>
      <c r="T1" s="477" t="s">
        <v>21</v>
      </c>
      <c r="U1" s="454" t="s">
        <v>22</v>
      </c>
      <c r="V1" s="202" t="s">
        <v>23</v>
      </c>
      <c r="W1" s="208" t="s">
        <v>156</v>
      </c>
      <c r="X1" s="208" t="s">
        <v>66</v>
      </c>
      <c r="Y1" s="208" t="s">
        <v>67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449"/>
      <c r="B2" s="450"/>
      <c r="C2" s="451"/>
      <c r="D2" s="454"/>
      <c r="E2" s="207"/>
      <c r="F2" s="207"/>
      <c r="G2" s="207"/>
      <c r="H2" s="207"/>
      <c r="I2" s="207"/>
      <c r="J2" s="207"/>
      <c r="K2" s="449"/>
      <c r="L2" s="451"/>
      <c r="M2" s="451"/>
      <c r="N2" s="451"/>
      <c r="O2" s="451"/>
      <c r="P2" s="451"/>
      <c r="Q2" s="450"/>
      <c r="R2" s="451"/>
      <c r="S2" s="450"/>
      <c r="T2" s="450"/>
      <c r="U2" s="454"/>
      <c r="V2" s="205"/>
      <c r="W2" s="210"/>
      <c r="X2" s="210"/>
      <c r="Y2" s="210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ht="15" customHeight="1" spans="1:53">
      <c r="A3" s="449"/>
      <c r="B3" s="450"/>
      <c r="C3" s="451"/>
      <c r="D3" s="454" t="s">
        <v>7</v>
      </c>
      <c r="E3" s="207" t="s">
        <v>8</v>
      </c>
      <c r="F3" s="207" t="s">
        <v>9</v>
      </c>
      <c r="G3" s="207" t="s">
        <v>10</v>
      </c>
      <c r="H3" s="207" t="s">
        <v>11</v>
      </c>
      <c r="I3" s="207" t="s">
        <v>12</v>
      </c>
      <c r="J3" s="207" t="s">
        <v>9</v>
      </c>
      <c r="K3" s="449" t="s">
        <v>13</v>
      </c>
      <c r="L3" s="451"/>
      <c r="M3" s="451"/>
      <c r="N3" s="451"/>
      <c r="O3" s="451"/>
      <c r="P3" s="451"/>
      <c r="Q3" s="450"/>
      <c r="R3" s="451"/>
      <c r="S3" s="450"/>
      <c r="T3" s="450"/>
      <c r="U3" s="454"/>
      <c r="V3" s="205"/>
      <c r="W3" s="210"/>
      <c r="X3" s="210"/>
      <c r="Y3" s="210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449"/>
      <c r="B4" s="450"/>
      <c r="C4" s="451"/>
      <c r="D4" s="454"/>
      <c r="E4" s="207"/>
      <c r="F4" s="207"/>
      <c r="G4" s="207"/>
      <c r="H4" s="207"/>
      <c r="I4" s="207"/>
      <c r="J4" s="207"/>
      <c r="K4" s="449"/>
      <c r="L4" s="451"/>
      <c r="M4" s="451"/>
      <c r="N4" s="451"/>
      <c r="O4" s="451"/>
      <c r="P4" s="451"/>
      <c r="Q4" s="450"/>
      <c r="R4" s="451"/>
      <c r="S4" s="450"/>
      <c r="T4" s="450"/>
      <c r="U4" s="454"/>
      <c r="V4" s="205"/>
      <c r="W4" s="210"/>
      <c r="X4" s="210"/>
      <c r="Y4" s="210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449"/>
      <c r="B5" s="450"/>
      <c r="C5" s="451"/>
      <c r="D5" s="454"/>
      <c r="E5" s="207"/>
      <c r="F5" s="207"/>
      <c r="G5" s="207"/>
      <c r="H5" s="207"/>
      <c r="I5" s="207"/>
      <c r="J5" s="207"/>
      <c r="K5" s="449"/>
      <c r="L5" s="451"/>
      <c r="M5" s="451"/>
      <c r="N5" s="451"/>
      <c r="O5" s="451"/>
      <c r="P5" s="451"/>
      <c r="Q5" s="450"/>
      <c r="R5" s="451"/>
      <c r="S5" s="450"/>
      <c r="T5" s="450"/>
      <c r="U5" s="454"/>
      <c r="V5" s="205"/>
      <c r="W5" s="210"/>
      <c r="X5" s="210"/>
      <c r="Y5" s="210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449"/>
      <c r="B6" s="450"/>
      <c r="C6" s="451"/>
      <c r="D6" s="454"/>
      <c r="E6" s="207"/>
      <c r="F6" s="207"/>
      <c r="G6" s="207"/>
      <c r="H6" s="207"/>
      <c r="I6" s="207"/>
      <c r="J6" s="207"/>
      <c r="K6" s="449"/>
      <c r="L6" s="451"/>
      <c r="M6" s="451"/>
      <c r="N6" s="451"/>
      <c r="O6" s="451"/>
      <c r="P6" s="451"/>
      <c r="Q6" s="450"/>
      <c r="R6" s="451"/>
      <c r="S6" s="450"/>
      <c r="T6" s="450"/>
      <c r="U6" s="454"/>
      <c r="V6" s="205"/>
      <c r="W6" s="210"/>
      <c r="X6" s="210"/>
      <c r="Y6" s="210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455" t="s">
        <v>41</v>
      </c>
      <c r="B7" s="456">
        <v>17</v>
      </c>
      <c r="C7" s="457">
        <v>1336</v>
      </c>
      <c r="D7" s="457">
        <v>333</v>
      </c>
      <c r="E7" s="458">
        <v>591</v>
      </c>
      <c r="F7" s="457">
        <v>3</v>
      </c>
      <c r="G7" s="457">
        <v>4</v>
      </c>
      <c r="H7" s="457">
        <v>0</v>
      </c>
      <c r="I7" s="457">
        <v>2</v>
      </c>
      <c r="J7" s="457">
        <v>2</v>
      </c>
      <c r="K7" s="457">
        <v>0</v>
      </c>
      <c r="L7" s="457">
        <v>935</v>
      </c>
      <c r="M7" s="457">
        <v>0</v>
      </c>
      <c r="N7" s="457">
        <v>17</v>
      </c>
      <c r="O7" s="457">
        <f t="shared" ref="O7:O13" si="0">D7+E7+F7+G7+H7+I7+J7+K7+N7</f>
        <v>952</v>
      </c>
      <c r="P7" s="457">
        <f t="shared" ref="P7:P13" si="1">(O7/C7)*100</f>
        <v>71.2574850299401</v>
      </c>
      <c r="Q7" s="457">
        <f t="shared" ref="Q7:Q13" si="2">(E7/O7)*100</f>
        <v>62.0798319327731</v>
      </c>
      <c r="R7" s="457">
        <f t="shared" ref="R7:R13" si="3">(D7/O7)*100</f>
        <v>34.9789915966387</v>
      </c>
      <c r="S7" s="457">
        <f t="shared" ref="S7:S13" si="4">(F7/O7)*100</f>
        <v>0.315126050420168</v>
      </c>
      <c r="T7" s="478">
        <f t="shared" ref="T7:T13" si="5">(G7/O7)*100</f>
        <v>0.420168067226891</v>
      </c>
      <c r="U7" s="479">
        <f t="shared" ref="U7:U13" si="6">((H7+I7+J7+K7)/O7)*100</f>
        <v>0.420168067226891</v>
      </c>
      <c r="V7" s="403">
        <f t="shared" ref="V7:V13" si="7">(N7/O7)*100</f>
        <v>1.78571428571429</v>
      </c>
      <c r="W7" s="403">
        <f>Q7-R7</f>
        <v>27.1008403361345</v>
      </c>
      <c r="X7" s="403">
        <f>Q7-(R7+S7+T7+U7)</f>
        <v>25.9453781512605</v>
      </c>
      <c r="Y7" s="403" t="str">
        <f>IF(AND(W7&lt;0,W7&lt;=1),"LOST",IF(AND(W7&gt;1,W7&lt;=10),"NARROW",IF(AND(W7&gt;10,W7&lt;=40),"MEDIUM",IF(AND(W7&gt;40,W7&lt;=90),"STRONG",""))))</f>
        <v>MEDIUM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1332</v>
      </c>
      <c r="AD7">
        <v>612</v>
      </c>
      <c r="AF7">
        <v>720</v>
      </c>
      <c r="AH7">
        <v>1087</v>
      </c>
      <c r="AJ7">
        <v>7</v>
      </c>
      <c r="AL7">
        <v>238</v>
      </c>
      <c r="AN7" s="248">
        <f>(AD7/AB7)*100</f>
        <v>45.945945945946</v>
      </c>
      <c r="AO7" s="316" t="e">
        <f>(AE7/AC7)*100</f>
        <v>#DIV/0!</v>
      </c>
      <c r="AP7" s="317">
        <f>(AF7/AB7)*100</f>
        <v>54.0540540540541</v>
      </c>
      <c r="AQ7" s="318" t="e">
        <f>(AG7/AC7)*100</f>
        <v>#DIV/0!</v>
      </c>
      <c r="AR7" s="318" t="str">
        <f>IF(AN7&gt;AP7,"MALE DOM","FEMALE DOM")</f>
        <v>FEMALE DOM</v>
      </c>
      <c r="AS7" s="319" t="e">
        <f>IF(AO7&gt;AP7,"MALE","FEMALE")</f>
        <v>#DIV/0!</v>
      </c>
      <c r="AT7" s="317">
        <f>(AH7/AB7)*100</f>
        <v>81.6066066066066</v>
      </c>
      <c r="AU7" s="317" t="e">
        <f>(AI7/AC7)*100</f>
        <v>#DIV/0!</v>
      </c>
      <c r="AV7" s="248">
        <f>(AJ7/AB7)*100</f>
        <v>0.525525525525526</v>
      </c>
      <c r="AW7" s="317" t="e">
        <f>(AK7/AC7)*100</f>
        <v>#DIV/0!</v>
      </c>
      <c r="AX7" s="248">
        <f>(AL7/AB7)*100</f>
        <v>17.8678678678679</v>
      </c>
      <c r="AY7" s="317" t="e">
        <f>(AM7/AC7)*100</f>
        <v>#DIV/0!</v>
      </c>
      <c r="AZ7" s="248" t="str">
        <f>IF(AT7&gt;(AV7+AX7),"HINDU","MINORITY")</f>
        <v>HINDU</v>
      </c>
      <c r="BA7" s="318" t="e">
        <f>IF(AU7&gt;(AW7+AY7),"HIND","MINORITY")</f>
        <v>#DIV/0!</v>
      </c>
    </row>
    <row r="8" spans="2:53">
      <c r="B8" s="459">
        <v>11</v>
      </c>
      <c r="C8" s="460">
        <v>1345</v>
      </c>
      <c r="D8" s="460">
        <v>317</v>
      </c>
      <c r="E8" s="461">
        <v>567</v>
      </c>
      <c r="F8" s="460">
        <v>5</v>
      </c>
      <c r="G8" s="460">
        <v>2</v>
      </c>
      <c r="H8" s="460">
        <v>1</v>
      </c>
      <c r="I8" s="460">
        <v>0</v>
      </c>
      <c r="J8" s="460">
        <v>0</v>
      </c>
      <c r="K8" s="460">
        <v>0</v>
      </c>
      <c r="L8" s="460">
        <v>892</v>
      </c>
      <c r="M8" s="460">
        <v>0</v>
      </c>
      <c r="N8" s="460">
        <v>5</v>
      </c>
      <c r="O8" s="460">
        <f t="shared" si="0"/>
        <v>897</v>
      </c>
      <c r="P8" s="460">
        <f t="shared" si="1"/>
        <v>66.6914498141264</v>
      </c>
      <c r="Q8" s="460">
        <f t="shared" si="2"/>
        <v>63.2107023411371</v>
      </c>
      <c r="R8" s="460">
        <f t="shared" si="3"/>
        <v>35.340022296544</v>
      </c>
      <c r="S8" s="460">
        <f t="shared" si="4"/>
        <v>0.557413600891862</v>
      </c>
      <c r="T8" s="480">
        <f t="shared" si="5"/>
        <v>0.222965440356745</v>
      </c>
      <c r="U8" s="221">
        <f t="shared" si="6"/>
        <v>0.111482720178372</v>
      </c>
      <c r="V8" s="222">
        <f t="shared" si="7"/>
        <v>0.557413600891862</v>
      </c>
      <c r="W8" s="222">
        <f t="shared" ref="W8:W13" si="8">Q8-R8</f>
        <v>27.8706800445931</v>
      </c>
      <c r="X8" s="222">
        <f t="shared" ref="X8:X13" si="9">Q8-(R8+S8+T8+U8)</f>
        <v>26.9788182831661</v>
      </c>
      <c r="Y8" s="222" t="str">
        <f t="shared" ref="Y8:Y14" si="10">IF(AND(W8&lt;0,W8&lt;=1),"LOST",IF(AND(W8&gt;1,W8&lt;=10),"NARROW",IF(AND(W8&gt;10,W8&lt;=40),"MEDIUM",IF(AND(W8&gt;40,W8&lt;=90),"STRONG",""))))</f>
        <v>MEDIUM</v>
      </c>
      <c r="Z8" s="285" t="str">
        <f t="shared" ref="Z8:Z14" si="11">IF(AND(P8&lt;0,P8&lt;=10),"WEAK",IF(AND(P8&gt;10,P8&lt;20),"BELOW AVG",IF(AND(P8&gt;20,P8&lt;=60),"MEDIUM",IF(AND(P8&gt;60,P8&lt;=90),"STRONG",""))))</f>
        <v>STRONG</v>
      </c>
      <c r="AA8" s="333" t="str">
        <f t="shared" ref="AA8:AA14" si="12">IF(Q8&gt;R8,"BJP","CONGRESS")</f>
        <v>BJP</v>
      </c>
      <c r="AB8">
        <v>1338</v>
      </c>
      <c r="AC8">
        <v>889</v>
      </c>
      <c r="AD8">
        <v>624</v>
      </c>
      <c r="AE8">
        <v>408</v>
      </c>
      <c r="AF8">
        <v>714</v>
      </c>
      <c r="AG8">
        <v>481</v>
      </c>
      <c r="AH8">
        <v>1129</v>
      </c>
      <c r="AI8">
        <v>755</v>
      </c>
      <c r="AJ8">
        <v>17</v>
      </c>
      <c r="AK8">
        <v>13</v>
      </c>
      <c r="AL8">
        <v>192</v>
      </c>
      <c r="AM8">
        <v>121</v>
      </c>
      <c r="AN8" s="248">
        <f t="shared" ref="AN8:AO11" si="13">(AD8/AB8)*100</f>
        <v>46.6367713004484</v>
      </c>
      <c r="AO8" s="316">
        <f t="shared" si="13"/>
        <v>45.8942632170979</v>
      </c>
      <c r="AP8" s="317">
        <f t="shared" ref="AP8:AQ11" si="14">(AF8/AB8)*100</f>
        <v>53.3632286995516</v>
      </c>
      <c r="AQ8" s="318">
        <f t="shared" si="14"/>
        <v>54.1057367829021</v>
      </c>
      <c r="AR8" s="318" t="str">
        <f t="shared" ref="AR8:AR12" si="15">IF(AN8&gt;AP8,"MALE DOM","FEMALE DOM")</f>
        <v>FEMALE DOM</v>
      </c>
      <c r="AS8" s="319" t="str">
        <f t="shared" ref="AS8:AS12" si="16">IF(AO8&gt;AP8,"MALE","FEMALE")</f>
        <v>FEMALE</v>
      </c>
      <c r="AT8" s="317">
        <f t="shared" ref="AT8:AU11" si="17">(AH8/AB8)*100</f>
        <v>84.3796711509716</v>
      </c>
      <c r="AU8" s="317">
        <f t="shared" si="17"/>
        <v>84.9268841394826</v>
      </c>
      <c r="AV8" s="248">
        <f t="shared" ref="AV8:AW11" si="18">(AJ8/AB8)*100</f>
        <v>1.27055306427504</v>
      </c>
      <c r="AW8" s="317">
        <f t="shared" si="18"/>
        <v>1.46231721034871</v>
      </c>
      <c r="AX8" s="248">
        <f t="shared" ref="AX8:AY11" si="19">(AL8/AB8)*100</f>
        <v>14.3497757847534</v>
      </c>
      <c r="AY8" s="317">
        <f t="shared" si="19"/>
        <v>13.6107986501687</v>
      </c>
      <c r="AZ8" s="248" t="str">
        <f t="shared" ref="AZ8:AZ12" si="20">IF(AT8&gt;(AV8+AX8),"HINDU","MINORITY")</f>
        <v>HINDU</v>
      </c>
      <c r="BA8" s="318" t="str">
        <f t="shared" ref="BA8:BA12" si="21">IF(AU8&gt;(AW8+AY8),"HIND","MINORITY")</f>
        <v>HIND</v>
      </c>
    </row>
    <row r="9" spans="1:53">
      <c r="A9" s="462"/>
      <c r="B9" s="459">
        <v>12</v>
      </c>
      <c r="C9" s="460">
        <v>1023</v>
      </c>
      <c r="D9" s="460">
        <v>167</v>
      </c>
      <c r="E9" s="461">
        <v>343</v>
      </c>
      <c r="F9" s="460">
        <v>1</v>
      </c>
      <c r="G9" s="460">
        <v>5</v>
      </c>
      <c r="H9" s="460">
        <v>0</v>
      </c>
      <c r="I9" s="460">
        <v>0</v>
      </c>
      <c r="J9" s="460">
        <v>1</v>
      </c>
      <c r="K9" s="460">
        <v>1</v>
      </c>
      <c r="L9" s="460">
        <v>518</v>
      </c>
      <c r="M9" s="460">
        <v>0</v>
      </c>
      <c r="N9" s="460">
        <v>4</v>
      </c>
      <c r="O9" s="460">
        <f t="shared" si="0"/>
        <v>522</v>
      </c>
      <c r="P9" s="460">
        <f t="shared" si="1"/>
        <v>51.0263929618768</v>
      </c>
      <c r="Q9" s="460">
        <f t="shared" si="2"/>
        <v>65.7088122605364</v>
      </c>
      <c r="R9" s="460">
        <f t="shared" si="3"/>
        <v>31.992337164751</v>
      </c>
      <c r="S9" s="460">
        <f t="shared" si="4"/>
        <v>0.191570881226054</v>
      </c>
      <c r="T9" s="480">
        <f t="shared" si="5"/>
        <v>0.957854406130268</v>
      </c>
      <c r="U9" s="221">
        <f t="shared" si="6"/>
        <v>0.383141762452107</v>
      </c>
      <c r="V9" s="222">
        <f t="shared" si="7"/>
        <v>0.766283524904214</v>
      </c>
      <c r="W9" s="222">
        <f t="shared" si="8"/>
        <v>33.7164750957854</v>
      </c>
      <c r="X9" s="222">
        <f t="shared" si="9"/>
        <v>32.183908045977</v>
      </c>
      <c r="Y9" s="222" t="str">
        <f t="shared" si="10"/>
        <v>MEDIUM</v>
      </c>
      <c r="Z9" s="288" t="str">
        <f t="shared" si="11"/>
        <v>MEDIUM</v>
      </c>
      <c r="AA9" s="289" t="str">
        <f t="shared" si="12"/>
        <v>BJP</v>
      </c>
      <c r="AB9">
        <v>1017</v>
      </c>
      <c r="AC9">
        <v>490</v>
      </c>
      <c r="AD9">
        <v>466</v>
      </c>
      <c r="AE9">
        <v>206</v>
      </c>
      <c r="AF9">
        <v>551</v>
      </c>
      <c r="AG9">
        <v>284</v>
      </c>
      <c r="AH9">
        <v>771</v>
      </c>
      <c r="AI9">
        <v>371</v>
      </c>
      <c r="AJ9">
        <v>93</v>
      </c>
      <c r="AK9">
        <v>46</v>
      </c>
      <c r="AL9">
        <v>152</v>
      </c>
      <c r="AM9">
        <v>73</v>
      </c>
      <c r="AN9" s="248">
        <f t="shared" si="13"/>
        <v>45.8210422812193</v>
      </c>
      <c r="AO9" s="316">
        <f t="shared" si="13"/>
        <v>42.0408163265306</v>
      </c>
      <c r="AP9" s="317">
        <f t="shared" si="14"/>
        <v>54.1789577187807</v>
      </c>
      <c r="AQ9" s="318">
        <f t="shared" si="14"/>
        <v>57.9591836734694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75.811209439528</v>
      </c>
      <c r="AU9" s="317">
        <f t="shared" si="17"/>
        <v>75.7142857142857</v>
      </c>
      <c r="AV9" s="248">
        <f t="shared" si="18"/>
        <v>9.14454277286136</v>
      </c>
      <c r="AW9" s="317">
        <f t="shared" si="18"/>
        <v>9.38775510204082</v>
      </c>
      <c r="AX9" s="248">
        <f t="shared" si="19"/>
        <v>14.9459193706981</v>
      </c>
      <c r="AY9" s="317">
        <f t="shared" si="19"/>
        <v>14.8979591836735</v>
      </c>
      <c r="AZ9" s="248" t="str">
        <f t="shared" si="20"/>
        <v>HINDU</v>
      </c>
      <c r="BA9" s="318" t="str">
        <f t="shared" si="21"/>
        <v>HIND</v>
      </c>
    </row>
    <row r="10" spans="1:53">
      <c r="A10" s="462"/>
      <c r="B10" s="463">
        <v>8</v>
      </c>
      <c r="C10" s="464">
        <v>893</v>
      </c>
      <c r="D10" s="464">
        <v>161</v>
      </c>
      <c r="E10" s="465">
        <v>366</v>
      </c>
      <c r="F10" s="464">
        <v>1</v>
      </c>
      <c r="G10" s="464">
        <v>2</v>
      </c>
      <c r="H10" s="464">
        <v>0</v>
      </c>
      <c r="I10" s="464">
        <v>0</v>
      </c>
      <c r="J10" s="464">
        <v>0</v>
      </c>
      <c r="K10" s="464">
        <v>0</v>
      </c>
      <c r="L10" s="464">
        <v>530</v>
      </c>
      <c r="M10" s="464">
        <v>0</v>
      </c>
      <c r="N10" s="464">
        <v>8</v>
      </c>
      <c r="O10" s="464">
        <f t="shared" si="0"/>
        <v>538</v>
      </c>
      <c r="P10" s="464">
        <f t="shared" si="1"/>
        <v>60.2463605823068</v>
      </c>
      <c r="Q10" s="464">
        <f t="shared" si="2"/>
        <v>68.0297397769517</v>
      </c>
      <c r="R10" s="464">
        <f t="shared" si="3"/>
        <v>29.9256505576208</v>
      </c>
      <c r="S10" s="464">
        <f t="shared" si="4"/>
        <v>0.185873605947955</v>
      </c>
      <c r="T10" s="481">
        <f t="shared" si="5"/>
        <v>0.371747211895911</v>
      </c>
      <c r="U10" s="388">
        <f t="shared" si="6"/>
        <v>0</v>
      </c>
      <c r="V10" s="220">
        <f t="shared" si="7"/>
        <v>1.48698884758364</v>
      </c>
      <c r="W10" s="220">
        <f t="shared" si="8"/>
        <v>38.1040892193309</v>
      </c>
      <c r="X10" s="220">
        <f t="shared" si="9"/>
        <v>37.546468401487</v>
      </c>
      <c r="Y10" s="220" t="str">
        <f t="shared" si="10"/>
        <v>MEDIUM</v>
      </c>
      <c r="Z10" s="285" t="str">
        <f t="shared" si="11"/>
        <v>STRONG</v>
      </c>
      <c r="AA10" s="289" t="str">
        <f t="shared" si="12"/>
        <v>BJP</v>
      </c>
      <c r="AB10">
        <v>892</v>
      </c>
      <c r="AD10">
        <v>430</v>
      </c>
      <c r="AF10">
        <v>462</v>
      </c>
      <c r="AH10">
        <v>716</v>
      </c>
      <c r="AJ10">
        <v>7</v>
      </c>
      <c r="AL10">
        <v>169</v>
      </c>
      <c r="AN10" s="248">
        <f t="shared" si="13"/>
        <v>48.2062780269058</v>
      </c>
      <c r="AO10" s="316" t="e">
        <f t="shared" si="13"/>
        <v>#DIV/0!</v>
      </c>
      <c r="AP10" s="317">
        <f t="shared" si="14"/>
        <v>51.7937219730942</v>
      </c>
      <c r="AQ10" s="318" t="e">
        <f t="shared" si="14"/>
        <v>#DIV/0!</v>
      </c>
      <c r="AR10" s="318" t="str">
        <f t="shared" si="15"/>
        <v>FEMALE DOM</v>
      </c>
      <c r="AS10" s="319" t="e">
        <f t="shared" si="16"/>
        <v>#DIV/0!</v>
      </c>
      <c r="AT10" s="317">
        <f t="shared" si="17"/>
        <v>80.2690582959641</v>
      </c>
      <c r="AU10" s="317" t="e">
        <f t="shared" si="17"/>
        <v>#DIV/0!</v>
      </c>
      <c r="AV10" s="248">
        <f t="shared" si="18"/>
        <v>0.7847533632287</v>
      </c>
      <c r="AW10" s="317" t="e">
        <f t="shared" si="18"/>
        <v>#DIV/0!</v>
      </c>
      <c r="AX10" s="248">
        <f t="shared" si="19"/>
        <v>18.9461883408072</v>
      </c>
      <c r="AY10" s="317" t="e">
        <f t="shared" si="19"/>
        <v>#DIV/0!</v>
      </c>
      <c r="AZ10" s="248" t="str">
        <f t="shared" si="20"/>
        <v>HINDU</v>
      </c>
      <c r="BA10" s="318" t="e">
        <f t="shared" si="21"/>
        <v>#DIV/0!</v>
      </c>
    </row>
    <row r="11" spans="1:53">
      <c r="A11" s="462"/>
      <c r="B11" s="459">
        <v>9</v>
      </c>
      <c r="C11" s="460">
        <v>1047</v>
      </c>
      <c r="D11" s="460">
        <v>248</v>
      </c>
      <c r="E11" s="461">
        <v>392</v>
      </c>
      <c r="F11" s="460">
        <v>10</v>
      </c>
      <c r="G11" s="460">
        <v>4</v>
      </c>
      <c r="H11" s="460">
        <v>0</v>
      </c>
      <c r="I11" s="460">
        <v>1</v>
      </c>
      <c r="J11" s="460">
        <v>1</v>
      </c>
      <c r="K11" s="460">
        <v>0</v>
      </c>
      <c r="L11" s="460">
        <v>656</v>
      </c>
      <c r="M11" s="460">
        <v>0</v>
      </c>
      <c r="N11" s="460">
        <v>8</v>
      </c>
      <c r="O11" s="460">
        <f t="shared" si="0"/>
        <v>664</v>
      </c>
      <c r="P11" s="460">
        <f t="shared" si="1"/>
        <v>63.4192932187201</v>
      </c>
      <c r="Q11" s="460">
        <f t="shared" si="2"/>
        <v>59.0361445783133</v>
      </c>
      <c r="R11" s="460">
        <f t="shared" si="3"/>
        <v>37.3493975903614</v>
      </c>
      <c r="S11" s="460">
        <f t="shared" si="4"/>
        <v>1.50602409638554</v>
      </c>
      <c r="T11" s="480">
        <f t="shared" si="5"/>
        <v>0.602409638554217</v>
      </c>
      <c r="U11" s="221">
        <f t="shared" si="6"/>
        <v>0.301204819277108</v>
      </c>
      <c r="V11" s="222">
        <f t="shared" si="7"/>
        <v>1.20481927710843</v>
      </c>
      <c r="W11" s="222">
        <f t="shared" si="8"/>
        <v>21.6867469879518</v>
      </c>
      <c r="X11" s="222">
        <f t="shared" si="9"/>
        <v>19.2771084337349</v>
      </c>
      <c r="Y11" s="222" t="str">
        <f t="shared" si="10"/>
        <v>MEDIUM</v>
      </c>
      <c r="Z11" s="341" t="str">
        <f t="shared" si="11"/>
        <v>STRONG</v>
      </c>
      <c r="AA11" s="289" t="str">
        <f t="shared" si="12"/>
        <v>BJP</v>
      </c>
      <c r="AB11">
        <v>1037</v>
      </c>
      <c r="AC11">
        <v>663</v>
      </c>
      <c r="AD11">
        <v>507</v>
      </c>
      <c r="AE11">
        <v>311</v>
      </c>
      <c r="AF11">
        <v>530</v>
      </c>
      <c r="AG11">
        <v>352</v>
      </c>
      <c r="AH11">
        <v>822</v>
      </c>
      <c r="AI11">
        <v>538</v>
      </c>
      <c r="AJ11">
        <v>9</v>
      </c>
      <c r="AK11">
        <v>5</v>
      </c>
      <c r="AL11">
        <v>206</v>
      </c>
      <c r="AM11">
        <v>120</v>
      </c>
      <c r="AN11" s="248">
        <f t="shared" si="13"/>
        <v>48.8910318225651</v>
      </c>
      <c r="AO11" s="316">
        <f t="shared" si="13"/>
        <v>46.9079939668175</v>
      </c>
      <c r="AP11" s="317">
        <f t="shared" si="14"/>
        <v>51.1089681774349</v>
      </c>
      <c r="AQ11" s="318">
        <f t="shared" si="14"/>
        <v>53.0920060331825</v>
      </c>
      <c r="AR11" s="318" t="str">
        <f t="shared" si="15"/>
        <v>FEMALE DOM</v>
      </c>
      <c r="AS11" s="319" t="str">
        <f t="shared" si="16"/>
        <v>FEMALE</v>
      </c>
      <c r="AT11" s="317">
        <f t="shared" si="17"/>
        <v>79.2671166827387</v>
      </c>
      <c r="AU11" s="317">
        <f t="shared" si="17"/>
        <v>81.1463046757164</v>
      </c>
      <c r="AV11" s="248">
        <f t="shared" si="18"/>
        <v>0.867888138862102</v>
      </c>
      <c r="AW11" s="317">
        <f t="shared" si="18"/>
        <v>0.754147812971342</v>
      </c>
      <c r="AX11" s="248">
        <f t="shared" si="19"/>
        <v>19.8649951783992</v>
      </c>
      <c r="AY11" s="317">
        <f t="shared" si="19"/>
        <v>18.0995475113122</v>
      </c>
      <c r="AZ11" s="248" t="str">
        <f t="shared" si="20"/>
        <v>HINDU</v>
      </c>
      <c r="BA11" s="318" t="str">
        <f t="shared" si="21"/>
        <v>HIND</v>
      </c>
    </row>
    <row r="12" ht="21" spans="1:53">
      <c r="A12" s="462"/>
      <c r="B12" s="466">
        <v>14</v>
      </c>
      <c r="C12" s="467">
        <v>893</v>
      </c>
      <c r="D12" s="467">
        <v>98</v>
      </c>
      <c r="E12" s="468">
        <v>273</v>
      </c>
      <c r="F12" s="467">
        <v>3</v>
      </c>
      <c r="G12" s="467">
        <v>5</v>
      </c>
      <c r="H12" s="467">
        <v>0</v>
      </c>
      <c r="I12" s="467">
        <v>0</v>
      </c>
      <c r="J12" s="467">
        <v>0</v>
      </c>
      <c r="K12" s="467">
        <v>0</v>
      </c>
      <c r="L12" s="467">
        <v>379</v>
      </c>
      <c r="M12" s="467">
        <v>0</v>
      </c>
      <c r="N12" s="467">
        <v>2</v>
      </c>
      <c r="O12" s="467">
        <f t="shared" si="0"/>
        <v>381</v>
      </c>
      <c r="P12" s="467">
        <f t="shared" si="1"/>
        <v>42.6651735722284</v>
      </c>
      <c r="Q12" s="467">
        <f t="shared" si="2"/>
        <v>71.6535433070866</v>
      </c>
      <c r="R12" s="467">
        <f t="shared" si="3"/>
        <v>25.7217847769029</v>
      </c>
      <c r="S12" s="467">
        <f t="shared" si="4"/>
        <v>0.78740157480315</v>
      </c>
      <c r="T12" s="482">
        <f t="shared" si="5"/>
        <v>1.31233595800525</v>
      </c>
      <c r="U12" s="392">
        <f t="shared" si="6"/>
        <v>0</v>
      </c>
      <c r="V12" s="391">
        <f t="shared" si="7"/>
        <v>0.5249343832021</v>
      </c>
      <c r="W12" s="391">
        <f t="shared" si="8"/>
        <v>45.9317585301837</v>
      </c>
      <c r="X12" s="391">
        <f t="shared" si="9"/>
        <v>43.8320209973753</v>
      </c>
      <c r="Y12" s="391" t="str">
        <f t="shared" si="10"/>
        <v>STRONG</v>
      </c>
      <c r="Z12" s="424" t="str">
        <f t="shared" si="11"/>
        <v>MEDIUM</v>
      </c>
      <c r="AA12" s="351" t="str">
        <f t="shared" si="12"/>
        <v>BJP</v>
      </c>
      <c r="AB12">
        <v>884</v>
      </c>
      <c r="AD12">
        <v>437</v>
      </c>
      <c r="AF12">
        <v>447</v>
      </c>
      <c r="AH12">
        <v>776</v>
      </c>
      <c r="AJ12">
        <v>17</v>
      </c>
      <c r="AL12">
        <v>91</v>
      </c>
      <c r="AN12" s="248">
        <f>(AD12/AB12)*100</f>
        <v>49.4343891402715</v>
      </c>
      <c r="AO12" s="316" t="e">
        <f>(AE12/AC12)*100</f>
        <v>#DIV/0!</v>
      </c>
      <c r="AP12" s="317">
        <f>(AF12/AB12)*100</f>
        <v>50.5656108597285</v>
      </c>
      <c r="AQ12" s="318" t="e">
        <f>(AG12/AC12)*100</f>
        <v>#DIV/0!</v>
      </c>
      <c r="AR12" s="318" t="str">
        <f t="shared" si="15"/>
        <v>FEMALE DOM</v>
      </c>
      <c r="AS12" s="319" t="e">
        <f t="shared" si="16"/>
        <v>#DIV/0!</v>
      </c>
      <c r="AT12" s="317">
        <f>(AH12/AB12)*100</f>
        <v>87.7828054298643</v>
      </c>
      <c r="AU12" s="317" t="e">
        <f>(AI12/AC12)*100</f>
        <v>#DIV/0!</v>
      </c>
      <c r="AV12" s="248">
        <f>(AJ12/AB12)*100</f>
        <v>1.92307692307692</v>
      </c>
      <c r="AW12" s="317" t="e">
        <f>(AK12/AC12)*100</f>
        <v>#DIV/0!</v>
      </c>
      <c r="AX12" s="248">
        <f>(AL12/AB12)*100</f>
        <v>10.2941176470588</v>
      </c>
      <c r="AY12" s="317" t="e">
        <f>(AM12/AC12)*100</f>
        <v>#DIV/0!</v>
      </c>
      <c r="AZ12" s="248" t="str">
        <f t="shared" si="20"/>
        <v>HINDU</v>
      </c>
      <c r="BA12" s="318" t="e">
        <f t="shared" si="21"/>
        <v>#DIV/0!</v>
      </c>
    </row>
    <row r="13" ht="21" spans="1:53">
      <c r="A13" s="462"/>
      <c r="B13" s="469">
        <v>13</v>
      </c>
      <c r="C13" s="470">
        <v>967</v>
      </c>
      <c r="D13" s="470">
        <v>222</v>
      </c>
      <c r="E13" s="471">
        <v>391</v>
      </c>
      <c r="F13" s="470">
        <v>2</v>
      </c>
      <c r="G13" s="470">
        <v>1</v>
      </c>
      <c r="H13" s="470">
        <v>1</v>
      </c>
      <c r="I13" s="470">
        <v>2</v>
      </c>
      <c r="J13" s="470">
        <v>0</v>
      </c>
      <c r="K13" s="470">
        <v>0</v>
      </c>
      <c r="L13" s="470">
        <v>619</v>
      </c>
      <c r="M13" s="470">
        <v>0</v>
      </c>
      <c r="N13" s="470">
        <v>5</v>
      </c>
      <c r="O13" s="470">
        <f t="shared" si="0"/>
        <v>624</v>
      </c>
      <c r="P13" s="470">
        <f t="shared" si="1"/>
        <v>64.5294725956567</v>
      </c>
      <c r="Q13" s="470">
        <f t="shared" si="2"/>
        <v>62.6602564102564</v>
      </c>
      <c r="R13" s="470">
        <f t="shared" si="3"/>
        <v>35.5769230769231</v>
      </c>
      <c r="S13" s="470">
        <f t="shared" si="4"/>
        <v>0.32051282051282</v>
      </c>
      <c r="T13" s="483">
        <f t="shared" si="5"/>
        <v>0.16025641025641</v>
      </c>
      <c r="U13" s="359">
        <f t="shared" si="6"/>
        <v>0.480769230769231</v>
      </c>
      <c r="V13" s="404">
        <f t="shared" si="7"/>
        <v>0.801282051282051</v>
      </c>
      <c r="W13" s="404">
        <f t="shared" si="8"/>
        <v>27.0833333333333</v>
      </c>
      <c r="X13" s="404">
        <f t="shared" si="9"/>
        <v>26.1217948717949</v>
      </c>
      <c r="Y13" s="404" t="str">
        <f t="shared" si="10"/>
        <v>MEDIUM</v>
      </c>
      <c r="Z13" s="350" t="str">
        <f t="shared" si="11"/>
        <v>STRONG</v>
      </c>
      <c r="AA13" s="351" t="str">
        <f t="shared" si="12"/>
        <v>BJP</v>
      </c>
      <c r="AB13" s="334">
        <v>967</v>
      </c>
      <c r="AC13" s="334">
        <v>578</v>
      </c>
      <c r="AD13" s="334">
        <v>455</v>
      </c>
      <c r="AE13" s="334">
        <v>275</v>
      </c>
      <c r="AF13" s="334">
        <v>512</v>
      </c>
      <c r="AG13" s="334">
        <v>303</v>
      </c>
      <c r="AH13" s="334">
        <v>681</v>
      </c>
      <c r="AI13" s="334">
        <v>418</v>
      </c>
      <c r="AJ13" s="334">
        <v>38</v>
      </c>
      <c r="AK13" s="334">
        <v>22</v>
      </c>
      <c r="AL13" s="334">
        <v>248</v>
      </c>
      <c r="AM13" s="334">
        <v>138</v>
      </c>
      <c r="AN13" s="248">
        <f t="shared" ref="AN13:AO13" si="22">(AD13/AB13)*100</f>
        <v>47.052740434333</v>
      </c>
      <c r="AO13" s="316">
        <f t="shared" si="22"/>
        <v>47.5778546712803</v>
      </c>
      <c r="AP13" s="317">
        <f t="shared" ref="AP13:AQ13" si="23">(AF13/AB13)*100</f>
        <v>52.947259565667</v>
      </c>
      <c r="AQ13" s="318">
        <f t="shared" si="23"/>
        <v>52.4221453287197</v>
      </c>
      <c r="AR13" s="318" t="str">
        <f t="shared" ref="AR13" si="24">IF(AN13&gt;AP13,"MALE DOM","FEMALE DOM")</f>
        <v>FEMALE DOM</v>
      </c>
      <c r="AS13" s="319" t="str">
        <f t="shared" ref="AS13" si="25">IF(AO13&gt;AP13,"MALE","FEMALE")</f>
        <v>FEMALE</v>
      </c>
      <c r="AT13" s="317">
        <f t="shared" ref="AT13:AU13" si="26">(AH13/AB13)*100</f>
        <v>70.4239917269907</v>
      </c>
      <c r="AU13" s="317">
        <f t="shared" si="26"/>
        <v>72.318339100346</v>
      </c>
      <c r="AV13" s="248">
        <f t="shared" ref="AV13:AW13" si="27">(AJ13/AB13)*100</f>
        <v>3.92967942088935</v>
      </c>
      <c r="AW13" s="317">
        <f t="shared" si="27"/>
        <v>3.80622837370242</v>
      </c>
      <c r="AX13" s="248">
        <f t="shared" ref="AX13:AY13" si="28">(AL13/AB13)*100</f>
        <v>25.64632885212</v>
      </c>
      <c r="AY13" s="317">
        <f t="shared" si="28"/>
        <v>23.8754325259516</v>
      </c>
      <c r="AZ13" s="248" t="str">
        <f t="shared" ref="AZ13" si="29">IF(AT13&gt;(AV13+AX13),"HINDU","MINORITY")</f>
        <v>HINDU</v>
      </c>
      <c r="BA13" s="318" t="str">
        <f t="shared" ref="BA13" si="30">IF(AU13&gt;(AW13+AY13),"HIND","MINORITY")</f>
        <v>HIND</v>
      </c>
    </row>
    <row r="14" ht="21" spans="1:27">
      <c r="A14" s="358"/>
      <c r="B14" s="472"/>
      <c r="C14" s="473">
        <f t="shared" ref="C14:O14" si="31">SUM(C7:C13)</f>
        <v>7504</v>
      </c>
      <c r="D14" s="473">
        <f t="shared" si="31"/>
        <v>1546</v>
      </c>
      <c r="E14" s="474">
        <f t="shared" si="31"/>
        <v>2923</v>
      </c>
      <c r="F14" s="473">
        <f t="shared" si="31"/>
        <v>25</v>
      </c>
      <c r="G14" s="473">
        <f t="shared" si="31"/>
        <v>23</v>
      </c>
      <c r="H14" s="473">
        <f t="shared" si="31"/>
        <v>2</v>
      </c>
      <c r="I14" s="473">
        <f t="shared" si="31"/>
        <v>5</v>
      </c>
      <c r="J14" s="473">
        <f t="shared" si="31"/>
        <v>4</v>
      </c>
      <c r="K14" s="473">
        <f t="shared" si="31"/>
        <v>1</v>
      </c>
      <c r="L14" s="473">
        <f t="shared" si="31"/>
        <v>4529</v>
      </c>
      <c r="M14" s="473">
        <f t="shared" si="31"/>
        <v>0</v>
      </c>
      <c r="N14" s="473">
        <f t="shared" si="31"/>
        <v>49</v>
      </c>
      <c r="O14" s="473">
        <f t="shared" si="31"/>
        <v>4578</v>
      </c>
      <c r="P14" s="473">
        <f t="shared" ref="P14:X14" si="32">AVERAGE(P7:P13)</f>
        <v>59.9765182535508</v>
      </c>
      <c r="Q14" s="473">
        <f t="shared" si="32"/>
        <v>64.6255758010078</v>
      </c>
      <c r="R14" s="473">
        <f t="shared" si="32"/>
        <v>32.9835867228203</v>
      </c>
      <c r="S14" s="473">
        <f t="shared" si="32"/>
        <v>0.55198894716965</v>
      </c>
      <c r="T14" s="484">
        <f t="shared" si="32"/>
        <v>0.578248161775099</v>
      </c>
      <c r="U14" s="485">
        <f t="shared" si="32"/>
        <v>0.242395228557673</v>
      </c>
      <c r="V14" s="446">
        <f t="shared" si="32"/>
        <v>1.01820513866951</v>
      </c>
      <c r="W14" s="446">
        <f t="shared" si="32"/>
        <v>31.6419890781875</v>
      </c>
      <c r="X14" s="446">
        <f t="shared" si="32"/>
        <v>30.2693567406851</v>
      </c>
      <c r="Y14" s="446" t="str">
        <f t="shared" si="10"/>
        <v>MEDIUM</v>
      </c>
      <c r="Z14" s="424" t="str">
        <f t="shared" si="11"/>
        <v>MEDIUM</v>
      </c>
      <c r="AA14" s="351" t="str">
        <f t="shared" si="12"/>
        <v>BJP</v>
      </c>
    </row>
    <row r="17" spans="11:28">
      <c r="K17" s="225" t="s">
        <v>205</v>
      </c>
      <c r="L17" s="237"/>
      <c r="M17" s="237"/>
      <c r="N17" s="238"/>
      <c r="P17" s="225" t="s">
        <v>97</v>
      </c>
      <c r="Q17" s="237"/>
      <c r="R17" s="237"/>
      <c r="S17" s="238"/>
      <c r="U17" s="265" t="s">
        <v>98</v>
      </c>
      <c r="V17" s="265"/>
      <c r="W17" s="265"/>
      <c r="X17" s="265"/>
      <c r="Y17" s="265"/>
      <c r="Z17" s="265"/>
      <c r="AA17" s="265"/>
      <c r="AB17" s="265"/>
    </row>
    <row r="18" spans="11:28">
      <c r="K18" s="226"/>
      <c r="L18" s="239"/>
      <c r="M18" s="239"/>
      <c r="N18" s="240"/>
      <c r="P18" s="241"/>
      <c r="Q18" s="242"/>
      <c r="R18" s="242"/>
      <c r="S18" s="243"/>
      <c r="U18" s="265"/>
      <c r="V18" s="265"/>
      <c r="W18" s="265"/>
      <c r="X18" s="265"/>
      <c r="Y18" s="265"/>
      <c r="Z18" s="265"/>
      <c r="AA18" s="265"/>
      <c r="AB18" s="265"/>
    </row>
    <row r="19" spans="11:28">
      <c r="K19" s="227" t="s">
        <v>99</v>
      </c>
      <c r="L19" s="244"/>
      <c r="M19" s="245"/>
      <c r="N19" s="245">
        <f>COUNTIF(AA7:AA13,"BJP")</f>
        <v>7</v>
      </c>
      <c r="P19" s="246" t="s">
        <v>100</v>
      </c>
      <c r="Q19" s="247"/>
      <c r="R19" s="247"/>
      <c r="S19" s="248">
        <f>COUNTIF(Y7:Y13,"NARROW")</f>
        <v>0</v>
      </c>
      <c r="U19" s="265" t="s">
        <v>101</v>
      </c>
      <c r="V19" s="265"/>
      <c r="W19" s="265"/>
      <c r="X19" s="265">
        <f>'DEREBAIL SOTH18'!E8</f>
        <v>60.3963946031579</v>
      </c>
      <c r="Y19" s="265" t="s">
        <v>102</v>
      </c>
      <c r="Z19" s="265"/>
      <c r="AA19" s="265"/>
      <c r="AB19" s="265">
        <f>Q14</f>
        <v>64.6255758010078</v>
      </c>
    </row>
    <row r="20" spans="11:28">
      <c r="K20" s="227"/>
      <c r="L20" s="244"/>
      <c r="M20" s="245"/>
      <c r="N20" s="245"/>
      <c r="P20" s="249"/>
      <c r="Q20" s="250"/>
      <c r="R20" s="250"/>
      <c r="S20" s="251"/>
      <c r="U20" s="265"/>
      <c r="V20" s="265"/>
      <c r="W20" s="265"/>
      <c r="X20" s="265"/>
      <c r="Y20" s="265"/>
      <c r="Z20" s="265"/>
      <c r="AA20" s="265"/>
      <c r="AB20" s="265"/>
    </row>
    <row r="21" spans="11:28">
      <c r="K21" s="227"/>
      <c r="L21" s="244"/>
      <c r="M21" s="245"/>
      <c r="N21" s="245"/>
      <c r="P21" s="252" t="s">
        <v>103</v>
      </c>
      <c r="Q21" s="253"/>
      <c r="R21" s="253"/>
      <c r="S21" s="248">
        <f>COUNTIF(Y7:Y13,"MEDIUM")</f>
        <v>6</v>
      </c>
      <c r="U21" s="265" t="s">
        <v>104</v>
      </c>
      <c r="V21" s="265"/>
      <c r="W21" s="265"/>
      <c r="X21" s="265">
        <f>'DEREBAIL SOTH18'!G8</f>
        <v>36.1722925336166</v>
      </c>
      <c r="Y21" s="265" t="s">
        <v>105</v>
      </c>
      <c r="Z21" s="265"/>
      <c r="AA21" s="265"/>
      <c r="AB21" s="265">
        <f>R14</f>
        <v>32.9835867228203</v>
      </c>
    </row>
    <row r="22" spans="11:28">
      <c r="K22" s="228" t="s">
        <v>106</v>
      </c>
      <c r="L22" s="254"/>
      <c r="M22" s="255"/>
      <c r="N22" s="255">
        <f>COUNTIF(AA7:AA13,"CONGRESS")</f>
        <v>0</v>
      </c>
      <c r="P22" s="252"/>
      <c r="Q22" s="253"/>
      <c r="R22" s="253"/>
      <c r="S22" s="251"/>
      <c r="U22" s="265"/>
      <c r="V22" s="265"/>
      <c r="W22" s="265"/>
      <c r="X22" s="265"/>
      <c r="Y22" s="265"/>
      <c r="Z22" s="265"/>
      <c r="AA22" s="265"/>
      <c r="AB22" s="265"/>
    </row>
    <row r="23" spans="11:28">
      <c r="K23" s="229"/>
      <c r="L23" s="256"/>
      <c r="M23" s="257"/>
      <c r="N23" s="257"/>
      <c r="P23" s="258" t="s">
        <v>107</v>
      </c>
      <c r="Q23" s="259"/>
      <c r="R23" s="259"/>
      <c r="S23" s="248">
        <f>COUNTIF(Y7:Y13,"STRONG")</f>
        <v>1</v>
      </c>
      <c r="U23" s="265" t="s">
        <v>108</v>
      </c>
      <c r="V23" s="265"/>
      <c r="W23" s="265"/>
      <c r="X23" s="265">
        <f>'DEREBAIL SOTH18'!C8</f>
        <v>4035</v>
      </c>
      <c r="Y23" s="265" t="s">
        <v>109</v>
      </c>
      <c r="Z23" s="265"/>
      <c r="AA23" s="265"/>
      <c r="AB23" s="265">
        <f>O14</f>
        <v>4578</v>
      </c>
    </row>
    <row r="24" spans="11:28">
      <c r="K24" s="230"/>
      <c r="L24" s="260"/>
      <c r="M24" s="261"/>
      <c r="N24" s="261"/>
      <c r="P24" s="262"/>
      <c r="Q24" s="263"/>
      <c r="R24" s="263"/>
      <c r="S24" s="251"/>
      <c r="U24" s="265"/>
      <c r="V24" s="265"/>
      <c r="W24" s="265"/>
      <c r="X24" s="265"/>
      <c r="Y24" s="265"/>
      <c r="Z24" s="265"/>
      <c r="AA24" s="265"/>
      <c r="AB24" s="265"/>
    </row>
    <row r="25" spans="16:28">
      <c r="P25" s="229" t="s">
        <v>110</v>
      </c>
      <c r="Q25" s="256"/>
      <c r="R25" s="256"/>
      <c r="S25" s="248">
        <f>COUNTIF(Y7:Y13,"LOST")</f>
        <v>0</v>
      </c>
      <c r="U25" s="265" t="s">
        <v>111</v>
      </c>
      <c r="V25" s="265"/>
      <c r="W25" s="265"/>
      <c r="X25" s="265">
        <f>X19-X21</f>
        <v>24.2241020695413</v>
      </c>
      <c r="Y25" s="265" t="s">
        <v>111</v>
      </c>
      <c r="Z25" s="265"/>
      <c r="AA25" s="265"/>
      <c r="AB25" s="265">
        <f>AB19-AB21</f>
        <v>31.6419890781875</v>
      </c>
    </row>
    <row r="26" spans="16:28">
      <c r="P26" s="230"/>
      <c r="Q26" s="260"/>
      <c r="R26" s="260"/>
      <c r="S26" s="251"/>
      <c r="U26" s="265"/>
      <c r="V26" s="265"/>
      <c r="W26" s="265"/>
      <c r="X26" s="265"/>
      <c r="Y26" s="265"/>
      <c r="Z26" s="265"/>
      <c r="AA26" s="265"/>
      <c r="AB26" s="265"/>
    </row>
    <row r="27" spans="21:27">
      <c r="U27" s="265" t="s">
        <v>112</v>
      </c>
      <c r="V27" s="265"/>
      <c r="W27" s="265"/>
      <c r="X27" s="265">
        <f>AB19-X19</f>
        <v>4.22918119784989</v>
      </c>
      <c r="Y27" s="265"/>
      <c r="Z27" s="265"/>
      <c r="AA27" s="265"/>
    </row>
    <row r="28" spans="21:27">
      <c r="U28" s="265"/>
      <c r="V28" s="265"/>
      <c r="W28" s="265"/>
      <c r="X28" s="265"/>
      <c r="Y28" s="265"/>
      <c r="Z28" s="265"/>
      <c r="AA28" s="265"/>
    </row>
    <row r="29" spans="21:27">
      <c r="U29" s="265" t="s">
        <v>113</v>
      </c>
      <c r="V29" s="265"/>
      <c r="W29" s="265"/>
      <c r="X29" s="265">
        <f>AB21-X21</f>
        <v>-3.18870581079634</v>
      </c>
      <c r="Y29" s="265"/>
      <c r="Z29" s="265"/>
      <c r="AA29" s="265"/>
    </row>
    <row r="30" spans="21:27">
      <c r="U30" s="265"/>
      <c r="V30" s="265"/>
      <c r="W30" s="265"/>
      <c r="X30" s="265"/>
      <c r="Y30" s="265"/>
      <c r="Z30" s="265"/>
      <c r="AA30" s="265"/>
    </row>
    <row r="31" spans="21:27">
      <c r="U31" s="265" t="s">
        <v>114</v>
      </c>
      <c r="V31" s="265"/>
      <c r="W31" s="265"/>
      <c r="X31" s="265" t="str">
        <f>IF(X27&gt;X29,"INCREASE","DECREASE")</f>
        <v>INCREASE</v>
      </c>
      <c r="Y31" s="265"/>
      <c r="Z31" s="265"/>
      <c r="AA31" s="265"/>
    </row>
    <row r="32" spans="21:27">
      <c r="U32" s="265"/>
      <c r="V32" s="265"/>
      <c r="W32" s="265"/>
      <c r="X32" s="265"/>
      <c r="Y32" s="265"/>
      <c r="Z32" s="265"/>
      <c r="AA32" s="265"/>
    </row>
    <row r="33" spans="21:28">
      <c r="U33" s="265" t="s">
        <v>178</v>
      </c>
      <c r="V33" s="265"/>
      <c r="W33" s="265"/>
      <c r="X33" s="265"/>
      <c r="Y33" s="265"/>
      <c r="Z33" s="265"/>
      <c r="AA33" s="265"/>
      <c r="AB33" s="265"/>
    </row>
    <row r="34" spans="21:28">
      <c r="U34" s="265"/>
      <c r="V34" s="265"/>
      <c r="W34" s="265"/>
      <c r="X34" s="265"/>
      <c r="Y34" s="265"/>
      <c r="Z34" s="265"/>
      <c r="AA34" s="265"/>
      <c r="AB34" s="265"/>
    </row>
    <row r="35" spans="21:28">
      <c r="U35" s="265"/>
      <c r="V35" s="265"/>
      <c r="W35" s="265"/>
      <c r="X35" s="265"/>
      <c r="Y35" s="265"/>
      <c r="Z35" s="265"/>
      <c r="AA35" s="265"/>
      <c r="AB35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N19:N21"/>
    <mergeCell ref="N22:N24"/>
    <mergeCell ref="O1:O6"/>
    <mergeCell ref="P1:P6"/>
    <mergeCell ref="Q1:Q6"/>
    <mergeCell ref="R1:R6"/>
    <mergeCell ref="S1:S6"/>
    <mergeCell ref="S19:S20"/>
    <mergeCell ref="S21:S22"/>
    <mergeCell ref="S23:S24"/>
    <mergeCell ref="S25:S26"/>
    <mergeCell ref="T1:T6"/>
    <mergeCell ref="U1:U6"/>
    <mergeCell ref="V1:V6"/>
    <mergeCell ref="W1:W6"/>
    <mergeCell ref="X1:X6"/>
    <mergeCell ref="X19:X20"/>
    <mergeCell ref="X21:X22"/>
    <mergeCell ref="X23:X24"/>
    <mergeCell ref="X25:X26"/>
    <mergeCell ref="Y1:Y6"/>
    <mergeCell ref="Z1:Z6"/>
    <mergeCell ref="AA1:AA6"/>
    <mergeCell ref="AB1:AB6"/>
    <mergeCell ref="AB19:AB20"/>
    <mergeCell ref="AB21:AB22"/>
    <mergeCell ref="AB23:AB24"/>
    <mergeCell ref="AB25:AB2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P25:R26"/>
    <mergeCell ref="Y25:AA26"/>
    <mergeCell ref="K17:N18"/>
    <mergeCell ref="P17:S18"/>
    <mergeCell ref="K19:M21"/>
    <mergeCell ref="P19:R20"/>
    <mergeCell ref="Y19:AA20"/>
    <mergeCell ref="P21:R22"/>
    <mergeCell ref="Y21:AA22"/>
    <mergeCell ref="K22:M24"/>
    <mergeCell ref="P23:R24"/>
    <mergeCell ref="Y23:AA24"/>
    <mergeCell ref="D1:K2"/>
    <mergeCell ref="U17:AB18"/>
    <mergeCell ref="U19:W20"/>
    <mergeCell ref="U21:W22"/>
    <mergeCell ref="U23:W24"/>
    <mergeCell ref="U25:W26"/>
    <mergeCell ref="U27:W28"/>
    <mergeCell ref="X27:AA28"/>
    <mergeCell ref="U33:AB35"/>
    <mergeCell ref="U29:W30"/>
    <mergeCell ref="X29:AA30"/>
    <mergeCell ref="U31:W32"/>
    <mergeCell ref="X31:Y32"/>
    <mergeCell ref="Z31:AA32"/>
  </mergeCells>
  <conditionalFormatting sqref="AR7:AR13">
    <cfRule type="containsText" dxfId="6" priority="1" operator="between" text="FEMALE DOM">
      <formula>NOT(ISERROR(SEARCH("FEMALE DOM",AR7)))</formula>
    </cfRule>
  </conditionalFormatting>
  <conditionalFormatting sqref="AZ7:AZ13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3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topLeftCell="O1" workbookViewId="0">
      <selection activeCell="A1" sqref="A1:AJ1"/>
    </sheetView>
  </sheetViews>
  <sheetFormatPr defaultColWidth="9" defaultRowHeight="14.5" outlineLevelRow="7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8</v>
      </c>
      <c r="B2" s="185" t="s">
        <v>243</v>
      </c>
      <c r="C2" s="184">
        <v>651</v>
      </c>
      <c r="D2" s="184">
        <v>367</v>
      </c>
      <c r="E2" s="184">
        <f t="shared" ref="E2:E7" si="0">(D2/C2)*100</f>
        <v>56.3748079877112</v>
      </c>
      <c r="F2" s="184">
        <v>250</v>
      </c>
      <c r="G2" s="184">
        <f t="shared" ref="G2:G7" si="1">(F2/C2)*100</f>
        <v>38.4024577572965</v>
      </c>
      <c r="H2" s="184">
        <v>4</v>
      </c>
      <c r="I2" s="184">
        <f t="shared" ref="I2:I7" si="2">(H2/C2)*100</f>
        <v>0.614439324116744</v>
      </c>
      <c r="J2" s="184">
        <v>8</v>
      </c>
      <c r="K2" s="184">
        <f t="shared" ref="K2:K7" si="3">(J2/C2)*100</f>
        <v>1.22887864823349</v>
      </c>
      <c r="L2" s="189">
        <v>468</v>
      </c>
      <c r="M2" s="189">
        <v>497</v>
      </c>
      <c r="N2" s="189">
        <f t="shared" ref="N2:N7" si="4">L2+M2</f>
        <v>965</v>
      </c>
      <c r="O2" s="184">
        <v>651</v>
      </c>
      <c r="P2" s="190">
        <f t="shared" ref="P2:P7" si="5">O2/N2*100</f>
        <v>67.4611398963731</v>
      </c>
      <c r="Q2" s="184"/>
      <c r="R2" s="184">
        <f t="shared" ref="R2:R7" si="6">(Q2/N2)*100</f>
        <v>0</v>
      </c>
      <c r="S2" s="184">
        <f t="shared" ref="S2:S7" si="7">Q2-U2</f>
        <v>0</v>
      </c>
      <c r="T2" s="184" t="e">
        <f t="shared" ref="T2:T7" si="8">(S2/Q2)*100</f>
        <v>#DIV/0!</v>
      </c>
      <c r="U2" s="184"/>
      <c r="V2" s="191">
        <f t="shared" ref="V2:V7" si="9">IFERROR(U2/Q2*100,0)</f>
        <v>0</v>
      </c>
      <c r="W2" s="184"/>
      <c r="X2" s="184">
        <f t="shared" ref="X2:X7" si="10">100-R2</f>
        <v>100</v>
      </c>
      <c r="Y2" s="184">
        <f t="shared" ref="Y2:Y7" si="11">W2-AA2</f>
        <v>0</v>
      </c>
      <c r="Z2" s="193" t="e">
        <f t="shared" ref="Z2:Z7" si="12">(Y2/W2)*100</f>
        <v>#DIV/0!</v>
      </c>
      <c r="AA2" s="193"/>
      <c r="AB2" s="194">
        <f t="shared" ref="AB2:AB7" si="13">IFERROR(AA2/W2*100,0)</f>
        <v>0</v>
      </c>
      <c r="AC2" s="193">
        <f t="shared" ref="AC2:AC7" si="14">U2+AA2</f>
        <v>0</v>
      </c>
      <c r="AD2" s="193" t="str">
        <f t="shared" ref="AD2:AD7" si="15">IF(P2&gt;80,"EXCELLENT",IF(P2&gt;70,"STRONG",IF(P2&gt;60,"AVG",IF(P2&gt;50,"WEAK",IF(P2&lt;50,"VLOW")))))</f>
        <v>AVG</v>
      </c>
      <c r="AE2" s="195" t="str">
        <f t="shared" ref="AE2:AE7" si="16">IF(R2&gt;80,"EXCELLENT",IF(R2&gt;70,"STRONG",IF(R2&gt;60,"AVG",IF(R2&gt;50,"WEAK",IF(R2&lt;50,"VLOW")))))</f>
        <v>VLOW</v>
      </c>
      <c r="AF2" s="193" t="str">
        <f t="shared" ref="AF2:AF7" si="17">IF(X2&gt;80,"EXCELLENT",IF(X2&gt;70,"STRONG",IF(X2&gt;60,"AVG",IF(X2&gt;50,"WEAK",IF(X2&lt;50,"VLOW")))))</f>
        <v>EXCELLENT</v>
      </c>
      <c r="AG2" s="193" t="str">
        <f t="shared" ref="AG2:AG7" si="18">IF(M2&gt;L2,"FEMALE DOM","MEN")</f>
        <v>FEMALE DOM</v>
      </c>
      <c r="AH2" s="193" t="e">
        <f t="shared" ref="AH2:AH7" si="19">IF(T2&gt;Z2,"H","O")</f>
        <v>#DIV/0!</v>
      </c>
      <c r="AI2" s="197">
        <f t="shared" ref="AI2:AI8" si="20">E2-G2</f>
        <v>17.9723502304147</v>
      </c>
      <c r="AJ2" s="199" t="str">
        <f t="shared" ref="AJ2:AJ8" si="21">IF(E2&gt;G2,"BJP GAIN","CONGRESSGAIN")</f>
        <v>BJP GAIN</v>
      </c>
    </row>
    <row r="3" spans="1:36">
      <c r="A3" s="184">
        <v>10</v>
      </c>
      <c r="B3" s="185" t="s">
        <v>244</v>
      </c>
      <c r="C3" s="184">
        <v>903</v>
      </c>
      <c r="D3" s="184">
        <v>537</v>
      </c>
      <c r="E3" s="184">
        <f t="shared" si="0"/>
        <v>59.468438538206</v>
      </c>
      <c r="F3" s="184">
        <v>327</v>
      </c>
      <c r="G3" s="184">
        <f t="shared" si="1"/>
        <v>36.2126245847176</v>
      </c>
      <c r="H3" s="184">
        <v>8</v>
      </c>
      <c r="I3" s="184">
        <f t="shared" si="2"/>
        <v>0.8859357696567</v>
      </c>
      <c r="J3" s="184">
        <v>11</v>
      </c>
      <c r="K3" s="184">
        <f t="shared" si="3"/>
        <v>1.21816168327796</v>
      </c>
      <c r="L3" s="189">
        <v>614</v>
      </c>
      <c r="M3" s="189">
        <v>697</v>
      </c>
      <c r="N3" s="189">
        <f t="shared" si="4"/>
        <v>1311</v>
      </c>
      <c r="O3" s="184">
        <v>903</v>
      </c>
      <c r="P3" s="190">
        <f t="shared" si="5"/>
        <v>68.8787185354691</v>
      </c>
      <c r="Q3" s="184"/>
      <c r="R3" s="184">
        <f t="shared" si="6"/>
        <v>0</v>
      </c>
      <c r="S3" s="192">
        <f t="shared" si="7"/>
        <v>0</v>
      </c>
      <c r="T3" s="184" t="e">
        <f t="shared" si="8"/>
        <v>#DIV/0!</v>
      </c>
      <c r="U3" s="184"/>
      <c r="V3" s="191">
        <f t="shared" si="9"/>
        <v>0</v>
      </c>
      <c r="W3" s="184"/>
      <c r="X3" s="184">
        <f t="shared" si="10"/>
        <v>100</v>
      </c>
      <c r="Y3" s="196">
        <f t="shared" si="11"/>
        <v>0</v>
      </c>
      <c r="Z3" s="193" t="e">
        <f t="shared" si="12"/>
        <v>#DIV/0!</v>
      </c>
      <c r="AA3" s="193"/>
      <c r="AB3" s="194">
        <f t="shared" si="13"/>
        <v>0</v>
      </c>
      <c r="AC3" s="193">
        <f t="shared" si="14"/>
        <v>0</v>
      </c>
      <c r="AD3" s="193" t="str">
        <f t="shared" si="15"/>
        <v>AVG</v>
      </c>
      <c r="AE3" s="195" t="str">
        <f t="shared" si="16"/>
        <v>VLOW</v>
      </c>
      <c r="AF3" s="193" t="str">
        <f t="shared" si="17"/>
        <v>EXCELLENT</v>
      </c>
      <c r="AG3" s="193" t="str">
        <f t="shared" si="18"/>
        <v>FEMALE DOM</v>
      </c>
      <c r="AH3" s="193" t="e">
        <f t="shared" si="19"/>
        <v>#DIV/0!</v>
      </c>
      <c r="AI3" s="197">
        <f t="shared" si="20"/>
        <v>23.2558139534884</v>
      </c>
      <c r="AJ3" s="199" t="str">
        <f t="shared" si="21"/>
        <v>BJP GAIN</v>
      </c>
    </row>
    <row r="4" spans="1:36">
      <c r="A4" s="184">
        <v>11</v>
      </c>
      <c r="B4" s="185" t="s">
        <v>245</v>
      </c>
      <c r="C4" s="184">
        <v>517</v>
      </c>
      <c r="D4" s="184">
        <v>326</v>
      </c>
      <c r="E4" s="184">
        <f t="shared" si="0"/>
        <v>63.0560928433269</v>
      </c>
      <c r="F4" s="184">
        <v>179</v>
      </c>
      <c r="G4" s="184">
        <f t="shared" si="1"/>
        <v>34.6228239845261</v>
      </c>
      <c r="H4" s="184">
        <v>3</v>
      </c>
      <c r="I4" s="184">
        <f t="shared" si="2"/>
        <v>0.580270793036751</v>
      </c>
      <c r="J4" s="184">
        <v>4</v>
      </c>
      <c r="K4" s="184">
        <f t="shared" si="3"/>
        <v>0.773694390715667</v>
      </c>
      <c r="L4" s="189">
        <v>431</v>
      </c>
      <c r="M4" s="189">
        <v>509</v>
      </c>
      <c r="N4" s="189">
        <f t="shared" si="4"/>
        <v>940</v>
      </c>
      <c r="O4" s="184">
        <v>517</v>
      </c>
      <c r="P4" s="190">
        <f t="shared" si="5"/>
        <v>55</v>
      </c>
      <c r="Q4" s="184"/>
      <c r="R4" s="184">
        <f t="shared" si="6"/>
        <v>0</v>
      </c>
      <c r="S4" s="184">
        <f t="shared" si="7"/>
        <v>0</v>
      </c>
      <c r="T4" s="184" t="e">
        <f t="shared" si="8"/>
        <v>#DIV/0!</v>
      </c>
      <c r="U4" s="184"/>
      <c r="V4" s="191">
        <f t="shared" si="9"/>
        <v>0</v>
      </c>
      <c r="W4" s="184"/>
      <c r="X4" s="184">
        <f t="shared" si="10"/>
        <v>100</v>
      </c>
      <c r="Y4" s="184">
        <f t="shared" si="11"/>
        <v>0</v>
      </c>
      <c r="Z4" s="193" t="e">
        <f t="shared" si="12"/>
        <v>#DIV/0!</v>
      </c>
      <c r="AA4" s="193"/>
      <c r="AB4" s="194">
        <f t="shared" si="13"/>
        <v>0</v>
      </c>
      <c r="AC4" s="193">
        <f t="shared" si="14"/>
        <v>0</v>
      </c>
      <c r="AD4" s="193" t="str">
        <f t="shared" si="15"/>
        <v>WEAK</v>
      </c>
      <c r="AE4" s="195" t="str">
        <f t="shared" si="16"/>
        <v>VLOW</v>
      </c>
      <c r="AF4" s="193" t="str">
        <f t="shared" si="17"/>
        <v>EXCELLENT</v>
      </c>
      <c r="AG4" s="193" t="str">
        <f t="shared" si="18"/>
        <v>FEMALE DOM</v>
      </c>
      <c r="AH4" s="193" t="e">
        <f t="shared" si="19"/>
        <v>#DIV/0!</v>
      </c>
      <c r="AI4" s="197">
        <f t="shared" si="20"/>
        <v>28.4332688588008</v>
      </c>
      <c r="AJ4" s="199" t="str">
        <f t="shared" si="21"/>
        <v>BJP GAIN</v>
      </c>
    </row>
    <row r="5" spans="1:36">
      <c r="A5" s="184">
        <v>12</v>
      </c>
      <c r="B5" s="185" t="s">
        <v>246</v>
      </c>
      <c r="C5" s="184">
        <v>614</v>
      </c>
      <c r="D5" s="184">
        <v>364</v>
      </c>
      <c r="E5" s="184">
        <f t="shared" si="0"/>
        <v>59.2833876221498</v>
      </c>
      <c r="F5" s="184">
        <v>234</v>
      </c>
      <c r="G5" s="184">
        <f t="shared" si="1"/>
        <v>38.1107491856677</v>
      </c>
      <c r="H5" s="184">
        <v>2</v>
      </c>
      <c r="I5" s="184">
        <f t="shared" si="2"/>
        <v>0.325732899022801</v>
      </c>
      <c r="J5" s="184">
        <v>7</v>
      </c>
      <c r="K5" s="184">
        <f t="shared" si="3"/>
        <v>1.1400651465798</v>
      </c>
      <c r="L5" s="189">
        <v>449</v>
      </c>
      <c r="M5" s="189">
        <v>507</v>
      </c>
      <c r="N5" s="189">
        <f t="shared" si="4"/>
        <v>956</v>
      </c>
      <c r="O5" s="184">
        <v>614</v>
      </c>
      <c r="P5" s="190">
        <f t="shared" si="5"/>
        <v>64.2259414225941</v>
      </c>
      <c r="Q5" s="184"/>
      <c r="R5" s="184">
        <f t="shared" si="6"/>
        <v>0</v>
      </c>
      <c r="S5" s="184">
        <f t="shared" si="7"/>
        <v>0</v>
      </c>
      <c r="T5" s="184" t="e">
        <f t="shared" si="8"/>
        <v>#DIV/0!</v>
      </c>
      <c r="U5" s="184"/>
      <c r="V5" s="191">
        <f t="shared" si="9"/>
        <v>0</v>
      </c>
      <c r="W5" s="184"/>
      <c r="X5" s="184">
        <f t="shared" si="10"/>
        <v>100</v>
      </c>
      <c r="Y5" s="184">
        <f t="shared" si="11"/>
        <v>0</v>
      </c>
      <c r="Z5" s="193" t="e">
        <f t="shared" si="12"/>
        <v>#DIV/0!</v>
      </c>
      <c r="AA5" s="193"/>
      <c r="AB5" s="194">
        <f t="shared" si="13"/>
        <v>0</v>
      </c>
      <c r="AC5" s="193">
        <f t="shared" si="14"/>
        <v>0</v>
      </c>
      <c r="AD5" s="193" t="str">
        <f t="shared" si="15"/>
        <v>AVG</v>
      </c>
      <c r="AE5" s="195" t="str">
        <f t="shared" si="16"/>
        <v>VLOW</v>
      </c>
      <c r="AF5" s="193" t="str">
        <f t="shared" si="17"/>
        <v>EXCELLENT</v>
      </c>
      <c r="AG5" s="193" t="str">
        <f t="shared" si="18"/>
        <v>FEMALE DOM</v>
      </c>
      <c r="AH5" s="193" t="e">
        <f t="shared" si="19"/>
        <v>#DIV/0!</v>
      </c>
      <c r="AI5" s="197">
        <f t="shared" si="20"/>
        <v>21.1726384364821</v>
      </c>
      <c r="AJ5" s="199" t="str">
        <f t="shared" si="21"/>
        <v>BJP GAIN</v>
      </c>
    </row>
    <row r="6" spans="1:36">
      <c r="A6" s="184">
        <v>13</v>
      </c>
      <c r="B6" s="185" t="s">
        <v>247</v>
      </c>
      <c r="C6" s="184">
        <v>422</v>
      </c>
      <c r="D6" s="184">
        <v>279</v>
      </c>
      <c r="E6" s="184">
        <f t="shared" si="0"/>
        <v>66.1137440758294</v>
      </c>
      <c r="F6" s="184">
        <v>129</v>
      </c>
      <c r="G6" s="184">
        <f t="shared" si="1"/>
        <v>30.5687203791469</v>
      </c>
      <c r="H6" s="184">
        <v>2</v>
      </c>
      <c r="I6" s="184">
        <f t="shared" si="2"/>
        <v>0.4739336492891</v>
      </c>
      <c r="J6" s="184">
        <v>3</v>
      </c>
      <c r="K6" s="184">
        <f t="shared" si="3"/>
        <v>0.710900473933649</v>
      </c>
      <c r="L6" s="189">
        <v>423</v>
      </c>
      <c r="M6" s="189">
        <v>447</v>
      </c>
      <c r="N6" s="189">
        <f t="shared" si="4"/>
        <v>870</v>
      </c>
      <c r="O6" s="184">
        <v>422</v>
      </c>
      <c r="P6" s="190">
        <f t="shared" si="5"/>
        <v>48.5057471264368</v>
      </c>
      <c r="Q6" s="184"/>
      <c r="R6" s="184">
        <f t="shared" si="6"/>
        <v>0</v>
      </c>
      <c r="S6" s="184">
        <f t="shared" si="7"/>
        <v>0</v>
      </c>
      <c r="T6" s="184" t="e">
        <f t="shared" si="8"/>
        <v>#DIV/0!</v>
      </c>
      <c r="U6" s="184"/>
      <c r="V6" s="191">
        <f t="shared" si="9"/>
        <v>0</v>
      </c>
      <c r="W6" s="184"/>
      <c r="X6" s="184">
        <f t="shared" si="10"/>
        <v>100</v>
      </c>
      <c r="Y6" s="196">
        <f t="shared" si="11"/>
        <v>0</v>
      </c>
      <c r="Z6" s="193" t="e">
        <f t="shared" si="12"/>
        <v>#DIV/0!</v>
      </c>
      <c r="AA6" s="193"/>
      <c r="AB6" s="194">
        <f t="shared" si="13"/>
        <v>0</v>
      </c>
      <c r="AC6" s="193">
        <f t="shared" si="14"/>
        <v>0</v>
      </c>
      <c r="AD6" s="193" t="str">
        <f t="shared" si="15"/>
        <v>VLOW</v>
      </c>
      <c r="AE6" s="195" t="str">
        <f t="shared" si="16"/>
        <v>VLOW</v>
      </c>
      <c r="AF6" s="193" t="str">
        <f t="shared" si="17"/>
        <v>EXCELLENT</v>
      </c>
      <c r="AG6" s="193" t="str">
        <f t="shared" si="18"/>
        <v>FEMALE DOM</v>
      </c>
      <c r="AH6" s="193" t="e">
        <f t="shared" si="19"/>
        <v>#DIV/0!</v>
      </c>
      <c r="AI6" s="197">
        <f t="shared" si="20"/>
        <v>35.5450236966825</v>
      </c>
      <c r="AJ6" s="199" t="str">
        <f t="shared" si="21"/>
        <v>BJP GAIN</v>
      </c>
    </row>
    <row r="7" spans="1:36">
      <c r="A7" s="184">
        <v>15</v>
      </c>
      <c r="B7" s="185" t="s">
        <v>248</v>
      </c>
      <c r="C7" s="184">
        <v>928</v>
      </c>
      <c r="D7" s="184">
        <v>539</v>
      </c>
      <c r="E7" s="184">
        <f t="shared" si="0"/>
        <v>58.0818965517241</v>
      </c>
      <c r="F7" s="184">
        <v>363</v>
      </c>
      <c r="G7" s="184">
        <f t="shared" si="1"/>
        <v>39.1163793103448</v>
      </c>
      <c r="H7" s="184">
        <v>7</v>
      </c>
      <c r="I7" s="184">
        <f t="shared" si="2"/>
        <v>0.754310344827586</v>
      </c>
      <c r="J7" s="184">
        <v>5</v>
      </c>
      <c r="K7" s="184">
        <f t="shared" si="3"/>
        <v>0.538793103448276</v>
      </c>
      <c r="L7" s="189">
        <v>593</v>
      </c>
      <c r="M7" s="189">
        <v>666</v>
      </c>
      <c r="N7" s="189">
        <f t="shared" si="4"/>
        <v>1259</v>
      </c>
      <c r="O7" s="184">
        <v>928</v>
      </c>
      <c r="P7" s="190">
        <f t="shared" si="5"/>
        <v>73.7092930897538</v>
      </c>
      <c r="Q7" s="184"/>
      <c r="R7" s="184">
        <f t="shared" si="6"/>
        <v>0</v>
      </c>
      <c r="S7" s="184">
        <f t="shared" si="7"/>
        <v>0</v>
      </c>
      <c r="T7" s="184" t="e">
        <f t="shared" si="8"/>
        <v>#DIV/0!</v>
      </c>
      <c r="U7" s="184"/>
      <c r="V7" s="191">
        <f t="shared" si="9"/>
        <v>0</v>
      </c>
      <c r="W7" s="184"/>
      <c r="X7" s="184">
        <f t="shared" si="10"/>
        <v>100</v>
      </c>
      <c r="Y7" s="184">
        <f t="shared" si="11"/>
        <v>0</v>
      </c>
      <c r="Z7" s="193" t="e">
        <f t="shared" si="12"/>
        <v>#DIV/0!</v>
      </c>
      <c r="AA7" s="193"/>
      <c r="AB7" s="194">
        <f t="shared" si="13"/>
        <v>0</v>
      </c>
      <c r="AC7" s="193">
        <f t="shared" si="14"/>
        <v>0</v>
      </c>
      <c r="AD7" s="193" t="str">
        <f t="shared" si="15"/>
        <v>STRONG</v>
      </c>
      <c r="AE7" s="195" t="str">
        <f t="shared" si="16"/>
        <v>VLOW</v>
      </c>
      <c r="AF7" s="193" t="str">
        <f t="shared" si="17"/>
        <v>EXCELLENT</v>
      </c>
      <c r="AG7" s="193" t="str">
        <f t="shared" si="18"/>
        <v>FEMALE DOM</v>
      </c>
      <c r="AH7" s="193" t="e">
        <f t="shared" si="19"/>
        <v>#DIV/0!</v>
      </c>
      <c r="AI7" s="197">
        <f t="shared" si="20"/>
        <v>18.9655172413793</v>
      </c>
      <c r="AJ7" s="199" t="str">
        <f t="shared" si="21"/>
        <v>BJP GAIN</v>
      </c>
    </row>
    <row r="8" spans="3:36">
      <c r="C8">
        <f>SUM(C2:C7)</f>
        <v>4035</v>
      </c>
      <c r="D8">
        <f>SUM(D2:D7)</f>
        <v>2412</v>
      </c>
      <c r="E8" s="186">
        <f>AVERAGE(E2:E7)</f>
        <v>60.3963946031579</v>
      </c>
      <c r="F8">
        <f>SUM(F2:F7)</f>
        <v>1482</v>
      </c>
      <c r="G8" s="186">
        <f>AVERAGE(G2:G7)</f>
        <v>36.1722925336166</v>
      </c>
      <c r="H8">
        <f>SUM(H2:H7)</f>
        <v>26</v>
      </c>
      <c r="I8" s="186">
        <f>SUM(I2:I7)</f>
        <v>3.63462277994968</v>
      </c>
      <c r="J8">
        <f>SUM(J2:J7)</f>
        <v>38</v>
      </c>
      <c r="K8" s="186">
        <f>AVERAGE(K2:K7)</f>
        <v>0.935082241031474</v>
      </c>
      <c r="AI8" s="329">
        <f t="shared" si="20"/>
        <v>24.2241020695413</v>
      </c>
      <c r="AJ8" s="335" t="str">
        <f t="shared" si="21"/>
        <v>BJP GAIN</v>
      </c>
    </row>
  </sheetData>
  <conditionalFormatting sqref="AD2">
    <cfRule type="containsText" dxfId="8" priority="50" operator="between" text="AVG">
      <formula>NOT(ISERROR(SEARCH("AVG",AD2)))</formula>
    </cfRule>
    <cfRule type="cellIs" dxfId="9" priority="49" operator="equal">
      <formula>"STRONG"</formula>
    </cfRule>
    <cfRule type="containsText" dxfId="3" priority="48" operator="between" text="VSTRONG">
      <formula>NOT(ISERROR(SEARCH("VSTRONG",AD2)))</formula>
    </cfRule>
    <cfRule type="containsText" dxfId="10" priority="42" operator="between" text="AVG">
      <formula>NOT(ISERROR(SEARCH("AVG",AD2)))</formula>
    </cfRule>
  </conditionalFormatting>
  <conditionalFormatting sqref="AE2">
    <cfRule type="containsText" dxfId="3" priority="46" operator="between" text="STRONG">
      <formula>NOT(ISERROR(SEARCH("STRONG",AE2)))</formula>
    </cfRule>
    <cfRule type="containsText" dxfId="1" priority="44" operator="between" text="VSTRONG">
      <formula>NOT(ISERROR(SEARCH("VSTRONG",AE2)))</formula>
    </cfRule>
  </conditionalFormatting>
  <conditionalFormatting sqref="AF2">
    <cfRule type="containsText" dxfId="2" priority="45" operator="between" text="AVG">
      <formula>NOT(ISERROR(SEARCH("AVG",AF2)))</formula>
    </cfRule>
    <cfRule type="cellIs" dxfId="11" priority="40" operator="equal">
      <formula>"VWEAK"</formula>
    </cfRule>
    <cfRule type="containsText" dxfId="0" priority="39" operator="between" text="VSTRONG">
      <formula>NOT(ISERROR(SEARCH("VSTRONG",AF2)))</formula>
    </cfRule>
  </conditionalFormatting>
  <conditionalFormatting sqref="AG2">
    <cfRule type="containsText" dxfId="12" priority="43" operator="between" text="FEMALE DOM">
      <formula>NOT(ISERROR(SEARCH("FEMALE DOM",AG2)))</formula>
    </cfRule>
  </conditionalFormatting>
  <conditionalFormatting sqref="AH2">
    <cfRule type="containsText" dxfId="0" priority="47" operator="between" text="O">
      <formula>NOT(ISERROR(SEARCH("O",AH2)))</formula>
    </cfRule>
    <cfRule type="containsText" dxfId="1" priority="41" operator="between" text="H">
      <formula>NOT(ISERROR(SEARCH("H",AH2)))</formula>
    </cfRule>
  </conditionalFormatting>
  <conditionalFormatting sqref="AD7">
    <cfRule type="containsText" dxfId="10" priority="4" operator="between" text="AVG">
      <formula>NOT(ISERROR(SEARCH("AVG",AD7)))</formula>
    </cfRule>
    <cfRule type="containsText" dxfId="8" priority="14" operator="between" text="AVG">
      <formula>NOT(ISERROR(SEARCH("AVG",AD7)))</formula>
    </cfRule>
    <cfRule type="cellIs" dxfId="9" priority="13" operator="equal">
      <formula>"STRONG"</formula>
    </cfRule>
    <cfRule type="containsText" dxfId="3" priority="12" operator="between" text="VSTRONG">
      <formula>NOT(ISERROR(SEARCH("VSTRONG",AD7)))</formula>
    </cfRule>
  </conditionalFormatting>
  <conditionalFormatting sqref="AE7">
    <cfRule type="containsText" dxfId="3" priority="8" operator="between" text="STRONG">
      <formula>NOT(ISERROR(SEARCH("STRONG",AE7)))</formula>
    </cfRule>
    <cfRule type="containsText" dxfId="1" priority="6" operator="between" text="VSTRONG">
      <formula>NOT(ISERROR(SEARCH("VSTRONG",AE7)))</formula>
    </cfRule>
  </conditionalFormatting>
  <conditionalFormatting sqref="AF7">
    <cfRule type="containsText" dxfId="2" priority="7" operator="between" text="AVG">
      <formula>NOT(ISERROR(SEARCH("AVG",AF7)))</formula>
    </cfRule>
    <cfRule type="cellIs" dxfId="11" priority="2" operator="equal">
      <formula>"VWEAK"</formula>
    </cfRule>
    <cfRule type="containsText" dxfId="0" priority="1" operator="between" text="VSTRONG">
      <formula>NOT(ISERROR(SEARCH("VSTRONG",AF7)))</formula>
    </cfRule>
  </conditionalFormatting>
  <conditionalFormatting sqref="AG7">
    <cfRule type="containsText" dxfId="12" priority="5" operator="between" text="FEMALE DOM">
      <formula>NOT(ISERROR(SEARCH("FEMALE DOM",AG7)))</formula>
    </cfRule>
  </conditionalFormatting>
  <conditionalFormatting sqref="AH7">
    <cfRule type="containsText" dxfId="1" priority="3" operator="between" text="H">
      <formula>NOT(ISERROR(SEARCH("H",AH7)))</formula>
    </cfRule>
    <cfRule type="containsText" dxfId="0" priority="11" operator="between" text="O">
      <formula>NOT(ISERROR(SEARCH("O",AH7)))</formula>
    </cfRule>
    <cfRule type="containsText" dxfId="3" priority="9" operator="between" text="H">
      <formula>NOT(ISERROR(SEARCH("H",AH7)))</formula>
    </cfRule>
    <cfRule type="containsText" dxfId="13" priority="10" operator="between" text="H">
      <formula>NOT(ISERROR(SEARCH("H",AH7)))</formula>
    </cfRule>
  </conditionalFormatting>
  <conditionalFormatting sqref="AD3:AD6">
    <cfRule type="containsText" dxfId="8" priority="26" operator="between" text="AVG">
      <formula>NOT(ISERROR(SEARCH("AVG",AD3)))</formula>
    </cfRule>
    <cfRule type="cellIs" dxfId="9" priority="25" operator="equal">
      <formula>"STRONG"</formula>
    </cfRule>
    <cfRule type="containsText" dxfId="3" priority="24" operator="between" text="VSTRONG">
      <formula>NOT(ISERROR(SEARCH("VSTRONG",AD3)))</formula>
    </cfRule>
    <cfRule type="containsText" dxfId="10" priority="18" operator="between" text="AVG">
      <formula>NOT(ISERROR(SEARCH("AVG",AD3)))</formula>
    </cfRule>
  </conditionalFormatting>
  <conditionalFormatting sqref="AE3:AE6">
    <cfRule type="containsText" dxfId="3" priority="22" operator="between" text="STRONG">
      <formula>NOT(ISERROR(SEARCH("STRONG",AE3)))</formula>
    </cfRule>
    <cfRule type="containsText" dxfId="1" priority="20" operator="between" text="VSTRONG">
      <formula>NOT(ISERROR(SEARCH("VSTRONG",AE3)))</formula>
    </cfRule>
  </conditionalFormatting>
  <conditionalFormatting sqref="AF3:AF6">
    <cfRule type="containsText" dxfId="2" priority="21" operator="between" text="AVG">
      <formula>NOT(ISERROR(SEARCH("AVG",AF3)))</formula>
    </cfRule>
    <cfRule type="cellIs" dxfId="11" priority="16" operator="equal">
      <formula>"VWEAK"</formula>
    </cfRule>
    <cfRule type="containsText" dxfId="0" priority="15" operator="between" text="VSTRONG">
      <formula>NOT(ISERROR(SEARCH("VSTRONG",AF3)))</formula>
    </cfRule>
  </conditionalFormatting>
  <conditionalFormatting sqref="AG3:AG6">
    <cfRule type="containsText" dxfId="12" priority="19" operator="between" text="FEMALE DOM">
      <formula>NOT(ISERROR(SEARCH("FEMALE DOM",AG3)))</formula>
    </cfRule>
  </conditionalFormatting>
  <conditionalFormatting sqref="AH3:AH6">
    <cfRule type="containsText" dxfId="0" priority="23" operator="between" text="O">
      <formula>NOT(ISERROR(SEARCH("O",AH3)))</formula>
    </cfRule>
    <cfRule type="containsText" dxfId="1" priority="17" operator="between" text="H">
      <formula>NOT(ISERROR(SEARCH("H",AH3)))</formula>
    </cfRule>
  </conditionalFormatting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4"/>
  <sheetViews>
    <sheetView zoomScale="66" zoomScaleNormal="66" topLeftCell="I1" workbookViewId="0">
      <selection activeCell="AA29" sqref="AA29"/>
    </sheetView>
  </sheetViews>
  <sheetFormatPr defaultColWidth="9" defaultRowHeight="14.5"/>
  <cols>
    <col min="4" max="4" width="9.13636363636364" customWidth="1"/>
    <col min="14" max="14" width="9" customWidth="1"/>
    <col min="26" max="26" width="12" customWidth="1"/>
    <col min="27" max="27" width="11.7090909090909" customWidth="1"/>
  </cols>
  <sheetData>
    <row r="1" spans="1:53">
      <c r="A1" s="211" t="s">
        <v>16</v>
      </c>
      <c r="B1" s="441" t="s">
        <v>177</v>
      </c>
      <c r="C1" s="208" t="s">
        <v>15</v>
      </c>
      <c r="D1" s="203" t="s">
        <v>1</v>
      </c>
      <c r="E1" s="204"/>
      <c r="F1" s="204"/>
      <c r="G1" s="204"/>
      <c r="H1" s="204"/>
      <c r="I1" s="204"/>
      <c r="J1" s="204"/>
      <c r="K1" s="209"/>
      <c r="L1" s="210" t="s">
        <v>2</v>
      </c>
      <c r="M1" s="208" t="s">
        <v>3</v>
      </c>
      <c r="N1" s="210" t="s">
        <v>4</v>
      </c>
      <c r="O1" s="201" t="s">
        <v>5</v>
      </c>
      <c r="P1" s="208" t="s">
        <v>17</v>
      </c>
      <c r="Q1" s="205" t="s">
        <v>18</v>
      </c>
      <c r="R1" s="210" t="s">
        <v>19</v>
      </c>
      <c r="S1" s="205" t="s">
        <v>20</v>
      </c>
      <c r="T1" s="205" t="s">
        <v>21</v>
      </c>
      <c r="U1" s="210" t="s">
        <v>22</v>
      </c>
      <c r="V1" s="205" t="s">
        <v>23</v>
      </c>
      <c r="W1" s="210" t="s">
        <v>156</v>
      </c>
      <c r="X1" s="210" t="s">
        <v>66</v>
      </c>
      <c r="Y1" s="210" t="s">
        <v>67</v>
      </c>
      <c r="Z1" s="209" t="s">
        <v>159</v>
      </c>
      <c r="AA1" s="209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11"/>
      <c r="B2" s="442"/>
      <c r="C2" s="210"/>
      <c r="D2" s="352"/>
      <c r="E2" s="353"/>
      <c r="F2" s="353"/>
      <c r="G2" s="353"/>
      <c r="H2" s="353"/>
      <c r="I2" s="353"/>
      <c r="J2" s="353"/>
      <c r="K2" s="214"/>
      <c r="L2" s="210"/>
      <c r="M2" s="210"/>
      <c r="N2" s="210"/>
      <c r="O2" s="201"/>
      <c r="P2" s="210"/>
      <c r="Q2" s="205"/>
      <c r="R2" s="210"/>
      <c r="S2" s="205"/>
      <c r="T2" s="205"/>
      <c r="U2" s="210"/>
      <c r="V2" s="205"/>
      <c r="W2" s="210"/>
      <c r="X2" s="210"/>
      <c r="Y2" s="210"/>
      <c r="Z2" s="211"/>
      <c r="AA2" s="211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11"/>
      <c r="B3" s="442"/>
      <c r="C3" s="210"/>
      <c r="D3" s="210" t="s">
        <v>7</v>
      </c>
      <c r="E3" s="210" t="s">
        <v>8</v>
      </c>
      <c r="F3" s="207" t="s">
        <v>9</v>
      </c>
      <c r="G3" s="210" t="s">
        <v>10</v>
      </c>
      <c r="H3" s="210" t="s">
        <v>11</v>
      </c>
      <c r="I3" s="210" t="s">
        <v>12</v>
      </c>
      <c r="J3" s="210" t="s">
        <v>9</v>
      </c>
      <c r="K3" s="211" t="s">
        <v>13</v>
      </c>
      <c r="L3" s="210"/>
      <c r="M3" s="210"/>
      <c r="N3" s="210"/>
      <c r="O3" s="201"/>
      <c r="P3" s="210"/>
      <c r="Q3" s="205"/>
      <c r="R3" s="210"/>
      <c r="S3" s="205"/>
      <c r="T3" s="205"/>
      <c r="U3" s="210"/>
      <c r="V3" s="205"/>
      <c r="W3" s="210"/>
      <c r="X3" s="210"/>
      <c r="Y3" s="210"/>
      <c r="Z3" s="211"/>
      <c r="AA3" s="211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11"/>
      <c r="B4" s="442"/>
      <c r="C4" s="210"/>
      <c r="D4" s="210"/>
      <c r="E4" s="210"/>
      <c r="F4" s="207"/>
      <c r="G4" s="210"/>
      <c r="H4" s="210"/>
      <c r="I4" s="210"/>
      <c r="J4" s="210"/>
      <c r="K4" s="211"/>
      <c r="L4" s="210"/>
      <c r="M4" s="210"/>
      <c r="N4" s="210"/>
      <c r="O4" s="201"/>
      <c r="P4" s="210"/>
      <c r="Q4" s="205"/>
      <c r="R4" s="210"/>
      <c r="S4" s="205"/>
      <c r="T4" s="205"/>
      <c r="U4" s="210"/>
      <c r="V4" s="205"/>
      <c r="W4" s="210"/>
      <c r="X4" s="210"/>
      <c r="Y4" s="210"/>
      <c r="Z4" s="211"/>
      <c r="AA4" s="211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11"/>
      <c r="B5" s="442"/>
      <c r="C5" s="210"/>
      <c r="D5" s="210"/>
      <c r="E5" s="210"/>
      <c r="F5" s="207"/>
      <c r="G5" s="210"/>
      <c r="H5" s="210"/>
      <c r="I5" s="210"/>
      <c r="J5" s="210"/>
      <c r="K5" s="211"/>
      <c r="L5" s="210"/>
      <c r="M5" s="210"/>
      <c r="N5" s="210"/>
      <c r="O5" s="201"/>
      <c r="P5" s="210"/>
      <c r="Q5" s="205"/>
      <c r="R5" s="210"/>
      <c r="S5" s="205"/>
      <c r="T5" s="205"/>
      <c r="U5" s="210"/>
      <c r="V5" s="205"/>
      <c r="W5" s="210"/>
      <c r="X5" s="210"/>
      <c r="Y5" s="210"/>
      <c r="Z5" s="211"/>
      <c r="AA5" s="211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14"/>
      <c r="B6" s="443"/>
      <c r="C6" s="213"/>
      <c r="D6" s="213"/>
      <c r="E6" s="213"/>
      <c r="F6" s="353"/>
      <c r="G6" s="213"/>
      <c r="H6" s="213"/>
      <c r="I6" s="213"/>
      <c r="J6" s="213"/>
      <c r="K6" s="214"/>
      <c r="L6" s="210"/>
      <c r="M6" s="213"/>
      <c r="N6" s="210"/>
      <c r="O6" s="201"/>
      <c r="P6" s="213"/>
      <c r="Q6" s="205"/>
      <c r="R6" s="210"/>
      <c r="S6" s="205"/>
      <c r="T6" s="205"/>
      <c r="U6" s="210"/>
      <c r="V6" s="205"/>
      <c r="W6" s="210"/>
      <c r="X6" s="210"/>
      <c r="Y6" s="210"/>
      <c r="Z6" s="211"/>
      <c r="AA6" s="211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444" t="s">
        <v>42</v>
      </c>
      <c r="B7" s="390">
        <v>5</v>
      </c>
      <c r="C7" s="389">
        <v>1170</v>
      </c>
      <c r="D7" s="389">
        <v>180</v>
      </c>
      <c r="E7" s="389">
        <v>598</v>
      </c>
      <c r="F7" s="393">
        <v>2</v>
      </c>
      <c r="G7" s="389">
        <v>1</v>
      </c>
      <c r="H7" s="389">
        <v>1</v>
      </c>
      <c r="I7" s="389">
        <v>2</v>
      </c>
      <c r="J7" s="389">
        <v>3</v>
      </c>
      <c r="K7" s="433">
        <v>1</v>
      </c>
      <c r="L7" s="389">
        <v>788</v>
      </c>
      <c r="M7" s="385">
        <v>0</v>
      </c>
      <c r="N7" s="389">
        <v>8</v>
      </c>
      <c r="O7" s="337">
        <f t="shared" ref="O7:O12" si="0">D7+E7+F7+G7+H7+I7+J7+K7+N7</f>
        <v>796</v>
      </c>
      <c r="P7" s="385">
        <f t="shared" ref="P7:P12" si="1">(O7/C7)*100</f>
        <v>68.034188034188</v>
      </c>
      <c r="Q7" s="389">
        <f t="shared" ref="Q7:Q12" si="2">(E7/O7)*100</f>
        <v>75.1256281407035</v>
      </c>
      <c r="R7" s="389">
        <f t="shared" ref="R7:R12" si="3">(D7/O7)*100</f>
        <v>22.6130653266332</v>
      </c>
      <c r="S7" s="389">
        <f t="shared" ref="S7:S12" si="4">(F7/O7)*100</f>
        <v>0.251256281407035</v>
      </c>
      <c r="T7" s="389">
        <f t="shared" ref="T7:T12" si="5">(G7/O7)*100</f>
        <v>0.125628140703518</v>
      </c>
      <c r="U7" s="389">
        <f t="shared" ref="U7:U12" si="6">((H7+I7+J7+K7)/O7)*100</f>
        <v>0.879396984924623</v>
      </c>
      <c r="V7" s="389">
        <f t="shared" ref="V7:V12" si="7">(N7/O7)*100</f>
        <v>1.00502512562814</v>
      </c>
      <c r="W7" s="389">
        <f>Q7-R7</f>
        <v>52.5125628140703</v>
      </c>
      <c r="X7" s="389">
        <f>Q7-(R7+S7+T7+U7)</f>
        <v>51.2562814070352</v>
      </c>
      <c r="Y7" s="389" t="str">
        <f>IF(AND(W7&lt;0,W7&lt;=1),"LOST",IF(AND(W7&gt;1,W7&lt;=10),"NARROW",IF(AND(W7&gt;10,W7&lt;=40),"MEDIUM",IF(AND(W7&gt;40,W7&lt;=90),"STRONG",""))))</f>
        <v>STRONG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1167</v>
      </c>
      <c r="AD7">
        <v>568</v>
      </c>
      <c r="AF7">
        <v>599</v>
      </c>
      <c r="AH7">
        <v>1125</v>
      </c>
      <c r="AJ7">
        <v>1</v>
      </c>
      <c r="AL7">
        <v>41</v>
      </c>
      <c r="AN7" s="248">
        <f>(AD7/AB7)*100</f>
        <v>48.6718080548415</v>
      </c>
      <c r="AO7" s="316" t="e">
        <f>(AE7/AC7)*100</f>
        <v>#DIV/0!</v>
      </c>
      <c r="AP7" s="317">
        <f>(AF7/AB7)*100</f>
        <v>51.3281919451585</v>
      </c>
      <c r="AQ7" s="318" t="e">
        <f>(AG7/AC7)*100</f>
        <v>#DIV/0!</v>
      </c>
      <c r="AR7" s="318" t="str">
        <f>IF(AN7&gt;AP7,"MALE DOM","FEMALE DOM")</f>
        <v>FEMALE DOM</v>
      </c>
      <c r="AS7" s="319" t="e">
        <f>IF(AO7&gt;AP7,"MALE","FEMALE")</f>
        <v>#DIV/0!</v>
      </c>
      <c r="AT7" s="317">
        <f>(AH7/AB7)*100</f>
        <v>96.401028277635</v>
      </c>
      <c r="AU7" s="317" t="e">
        <f>(AI7/AC7)*100</f>
        <v>#DIV/0!</v>
      </c>
      <c r="AV7" s="248">
        <f>(AJ7/AB7)*100</f>
        <v>0.0856898029134533</v>
      </c>
      <c r="AW7" s="317" t="e">
        <f>(AK7/AC7)*100</f>
        <v>#DIV/0!</v>
      </c>
      <c r="AX7" s="248">
        <f>(AL7/AB7)*100</f>
        <v>3.51328191945158</v>
      </c>
      <c r="AY7" s="317" t="e">
        <f>(AM7/AC7)*100</f>
        <v>#DIV/0!</v>
      </c>
      <c r="AZ7" s="248" t="str">
        <f>IF(AT7&gt;(AV7+AX7),"HINDU","MINORITY")</f>
        <v>HINDU</v>
      </c>
      <c r="BA7" s="318" t="e">
        <f>IF(AU7&gt;(AW7+AY7),"HIND","MINORITY")</f>
        <v>#DIV/0!</v>
      </c>
    </row>
    <row r="8" spans="1:53">
      <c r="A8" s="445"/>
      <c r="B8" s="221">
        <v>1</v>
      </c>
      <c r="C8" s="222">
        <v>1154</v>
      </c>
      <c r="D8" s="222">
        <v>273</v>
      </c>
      <c r="E8" s="222">
        <v>500</v>
      </c>
      <c r="F8" s="234">
        <v>1</v>
      </c>
      <c r="G8" s="222">
        <v>2</v>
      </c>
      <c r="H8" s="222">
        <v>1</v>
      </c>
      <c r="I8" s="222">
        <v>0</v>
      </c>
      <c r="J8" s="222">
        <v>1</v>
      </c>
      <c r="K8" s="360">
        <v>0</v>
      </c>
      <c r="L8" s="222">
        <v>778</v>
      </c>
      <c r="M8" s="222">
        <v>0</v>
      </c>
      <c r="N8" s="222">
        <v>6</v>
      </c>
      <c r="O8" s="234">
        <f t="shared" si="0"/>
        <v>784</v>
      </c>
      <c r="P8" s="222">
        <f t="shared" si="1"/>
        <v>67.9376083188908</v>
      </c>
      <c r="Q8" s="222">
        <f t="shared" si="2"/>
        <v>63.7755102040816</v>
      </c>
      <c r="R8" s="222">
        <f t="shared" si="3"/>
        <v>34.8214285714286</v>
      </c>
      <c r="S8" s="222">
        <f t="shared" si="4"/>
        <v>0.127551020408163</v>
      </c>
      <c r="T8" s="222">
        <f t="shared" si="5"/>
        <v>0.255102040816327</v>
      </c>
      <c r="U8" s="222">
        <f t="shared" si="6"/>
        <v>0.255102040816327</v>
      </c>
      <c r="V8" s="222">
        <f t="shared" si="7"/>
        <v>0.76530612244898</v>
      </c>
      <c r="W8" s="222">
        <f t="shared" ref="W8:W12" si="8">Q8-R8</f>
        <v>28.9540816326531</v>
      </c>
      <c r="X8" s="222">
        <f t="shared" ref="X8:X12" si="9">Q8-(R8+S8+T8+U8)</f>
        <v>28.3163265306123</v>
      </c>
      <c r="Y8" s="222" t="str">
        <f>IF(AND(W8&lt;0,W8&lt;=1),"LOST",IF(AND(W8&gt;1,W8&lt;=10),"NARROW",IF(AND(W8&gt;10,W8&lt;=40),"MEDIUM",IF(AND(W8&gt;40,W8&lt;=90),"STRONG",""))))</f>
        <v>MEDIUM</v>
      </c>
      <c r="Z8" s="285" t="str">
        <f t="shared" ref="Z8:Z13" si="10">IF(AND(P8&lt;0,P8&lt;=10),"WEAK",IF(AND(P8&gt;10,P8&lt;20),"BELOW AVG",IF(AND(P8&gt;20,P8&lt;=60),"MEDIUM",IF(AND(P8&gt;60,P8&lt;=90),"STRONG",""))))</f>
        <v>STRONG</v>
      </c>
      <c r="AA8" s="333" t="str">
        <f t="shared" ref="AA8:AA13" si="11">IF(Q8&gt;R8,"BJP","CONGRESS")</f>
        <v>BJP</v>
      </c>
      <c r="AB8">
        <v>1148</v>
      </c>
      <c r="AC8">
        <v>787</v>
      </c>
      <c r="AD8">
        <v>555</v>
      </c>
      <c r="AE8">
        <v>380</v>
      </c>
      <c r="AF8">
        <v>592</v>
      </c>
      <c r="AG8">
        <v>406</v>
      </c>
      <c r="AH8">
        <v>915</v>
      </c>
      <c r="AI8">
        <v>639</v>
      </c>
      <c r="AJ8">
        <v>1</v>
      </c>
      <c r="AK8">
        <v>0</v>
      </c>
      <c r="AL8">
        <v>232</v>
      </c>
      <c r="AM8">
        <v>148</v>
      </c>
      <c r="AN8" s="248">
        <f t="shared" ref="AN8:AO11" si="12">(AD8/AB8)*100</f>
        <v>48.3449477351916</v>
      </c>
      <c r="AO8" s="316">
        <f t="shared" si="12"/>
        <v>48.284625158831</v>
      </c>
      <c r="AP8" s="317">
        <f t="shared" ref="AP8:AQ11" si="13">(AF8/AB8)*100</f>
        <v>51.5679442508711</v>
      </c>
      <c r="AQ8" s="318">
        <f t="shared" si="13"/>
        <v>51.5883100381194</v>
      </c>
      <c r="AR8" s="318" t="str">
        <f t="shared" ref="AR8:AR12" si="14">IF(AN8&gt;AP8,"MALE DOM","FEMALE DOM")</f>
        <v>FEMALE DOM</v>
      </c>
      <c r="AS8" s="319" t="str">
        <f t="shared" ref="AS8:AS12" si="15">IF(AO8&gt;AP8,"MALE","FEMALE")</f>
        <v>FEMALE</v>
      </c>
      <c r="AT8" s="317">
        <f t="shared" ref="AT8:AU11" si="16">(AH8/AB8)*100</f>
        <v>79.7038327526132</v>
      </c>
      <c r="AU8" s="317">
        <f t="shared" si="16"/>
        <v>81.1944091486658</v>
      </c>
      <c r="AV8" s="248">
        <f t="shared" ref="AV8:AW11" si="17">(AJ8/AB8)*100</f>
        <v>0.0871080139372822</v>
      </c>
      <c r="AW8" s="317">
        <f t="shared" si="17"/>
        <v>0</v>
      </c>
      <c r="AX8" s="248">
        <f t="shared" ref="AX8:AY11" si="18">(AL8/AB8)*100</f>
        <v>20.2090592334495</v>
      </c>
      <c r="AY8" s="317">
        <f t="shared" si="18"/>
        <v>18.8055908513342</v>
      </c>
      <c r="AZ8" s="248" t="str">
        <f t="shared" ref="AZ8:AZ12" si="19">IF(AT8&gt;(AV8+AX8),"HINDU","MINORITY")</f>
        <v>HINDU</v>
      </c>
      <c r="BA8" s="318" t="str">
        <f t="shared" ref="BA8:BA12" si="20">IF(AU8&gt;(AW8+AY8),"HIND","MINORITY")</f>
        <v>HIND</v>
      </c>
    </row>
    <row r="9" spans="1:53">
      <c r="A9" s="358"/>
      <c r="B9" s="390">
        <v>2</v>
      </c>
      <c r="C9" s="389">
        <v>1078</v>
      </c>
      <c r="D9" s="389">
        <v>208</v>
      </c>
      <c r="E9" s="389">
        <v>521</v>
      </c>
      <c r="F9" s="393">
        <v>2</v>
      </c>
      <c r="G9" s="389">
        <v>2</v>
      </c>
      <c r="H9" s="389">
        <v>0</v>
      </c>
      <c r="I9" s="389">
        <v>0</v>
      </c>
      <c r="J9" s="389">
        <v>3</v>
      </c>
      <c r="K9" s="433">
        <v>2</v>
      </c>
      <c r="L9" s="389">
        <v>738</v>
      </c>
      <c r="M9" s="389">
        <v>0</v>
      </c>
      <c r="N9" s="389">
        <v>4</v>
      </c>
      <c r="O9" s="337">
        <f t="shared" si="0"/>
        <v>742</v>
      </c>
      <c r="P9" s="389">
        <f t="shared" si="1"/>
        <v>68.8311688311688</v>
      </c>
      <c r="Q9" s="389">
        <f t="shared" si="2"/>
        <v>70.2156334231806</v>
      </c>
      <c r="R9" s="389">
        <f t="shared" si="3"/>
        <v>28.0323450134771</v>
      </c>
      <c r="S9" s="389">
        <f t="shared" si="4"/>
        <v>0.269541778975741</v>
      </c>
      <c r="T9" s="389">
        <f t="shared" si="5"/>
        <v>0.269541778975741</v>
      </c>
      <c r="U9" s="389">
        <f t="shared" si="6"/>
        <v>0.673854447439353</v>
      </c>
      <c r="V9" s="389">
        <f t="shared" si="7"/>
        <v>0.539083557951483</v>
      </c>
      <c r="W9" s="389">
        <f t="shared" si="8"/>
        <v>42.1832884097035</v>
      </c>
      <c r="X9" s="389">
        <f t="shared" si="9"/>
        <v>40.9703504043127</v>
      </c>
      <c r="Y9" s="389" t="str">
        <f>IF(AND(W9&lt;0,W9&lt;=1),"LOST",IF(AND(W9&gt;1,W9&lt;=10),"NARROW",IF(AND(W9&gt;10,W9&lt;=40),"MEDIUM",IF(AND(W9&gt;40,W9&lt;=90),"STRONG",""))))</f>
        <v>STRONG</v>
      </c>
      <c r="Z9" s="341" t="str">
        <f t="shared" si="10"/>
        <v>STRONG</v>
      </c>
      <c r="AA9" s="289" t="str">
        <f t="shared" si="11"/>
        <v>BJP</v>
      </c>
      <c r="AB9">
        <v>1075</v>
      </c>
      <c r="AC9">
        <v>747</v>
      </c>
      <c r="AD9">
        <v>507</v>
      </c>
      <c r="AE9">
        <v>357</v>
      </c>
      <c r="AF9">
        <v>568</v>
      </c>
      <c r="AG9">
        <v>390</v>
      </c>
      <c r="AH9">
        <v>923</v>
      </c>
      <c r="AI9">
        <v>657</v>
      </c>
      <c r="AJ9">
        <v>3</v>
      </c>
      <c r="AK9">
        <v>0</v>
      </c>
      <c r="AL9">
        <v>149</v>
      </c>
      <c r="AM9">
        <v>90</v>
      </c>
      <c r="AN9" s="248">
        <f t="shared" si="12"/>
        <v>47.1627906976744</v>
      </c>
      <c r="AO9" s="316">
        <f t="shared" si="12"/>
        <v>47.7911646586345</v>
      </c>
      <c r="AP9" s="317">
        <f t="shared" si="13"/>
        <v>52.8372093023256</v>
      </c>
      <c r="AQ9" s="318">
        <f t="shared" si="13"/>
        <v>52.2088353413655</v>
      </c>
      <c r="AR9" s="318" t="str">
        <f t="shared" si="14"/>
        <v>FEMALE DOM</v>
      </c>
      <c r="AS9" s="319" t="str">
        <f t="shared" si="15"/>
        <v>FEMALE</v>
      </c>
      <c r="AT9" s="317">
        <f t="shared" si="16"/>
        <v>85.8604651162791</v>
      </c>
      <c r="AU9" s="317">
        <f t="shared" si="16"/>
        <v>87.9518072289157</v>
      </c>
      <c r="AV9" s="248">
        <f t="shared" si="17"/>
        <v>0.27906976744186</v>
      </c>
      <c r="AW9" s="317">
        <f t="shared" si="17"/>
        <v>0</v>
      </c>
      <c r="AX9" s="248">
        <f t="shared" si="18"/>
        <v>13.8604651162791</v>
      </c>
      <c r="AY9" s="317">
        <f t="shared" si="18"/>
        <v>12.0481927710843</v>
      </c>
      <c r="AZ9" s="248" t="str">
        <f t="shared" si="19"/>
        <v>HINDU</v>
      </c>
      <c r="BA9" s="318" t="str">
        <f t="shared" si="20"/>
        <v>HIND</v>
      </c>
    </row>
    <row r="10" spans="1:53">
      <c r="A10" s="358"/>
      <c r="B10" s="221">
        <v>3</v>
      </c>
      <c r="C10" s="222">
        <v>806</v>
      </c>
      <c r="D10" s="222">
        <v>191</v>
      </c>
      <c r="E10" s="222">
        <v>278</v>
      </c>
      <c r="F10" s="234">
        <v>2</v>
      </c>
      <c r="G10" s="222">
        <v>0</v>
      </c>
      <c r="H10" s="222">
        <v>0</v>
      </c>
      <c r="I10" s="222">
        <v>1</v>
      </c>
      <c r="J10" s="222">
        <v>1</v>
      </c>
      <c r="K10" s="360">
        <v>0</v>
      </c>
      <c r="L10" s="222">
        <v>473</v>
      </c>
      <c r="M10" s="222">
        <v>0</v>
      </c>
      <c r="N10" s="222">
        <v>5</v>
      </c>
      <c r="O10" s="234">
        <f t="shared" si="0"/>
        <v>478</v>
      </c>
      <c r="P10" s="222">
        <f t="shared" si="1"/>
        <v>59.3052109181141</v>
      </c>
      <c r="Q10" s="222">
        <f t="shared" si="2"/>
        <v>58.1589958158996</v>
      </c>
      <c r="R10" s="222">
        <f t="shared" si="3"/>
        <v>39.9581589958159</v>
      </c>
      <c r="S10" s="222">
        <f t="shared" si="4"/>
        <v>0.418410041841004</v>
      </c>
      <c r="T10" s="222">
        <f t="shared" si="5"/>
        <v>0</v>
      </c>
      <c r="U10" s="222">
        <f t="shared" si="6"/>
        <v>0.418410041841004</v>
      </c>
      <c r="V10" s="222">
        <f t="shared" si="7"/>
        <v>1.04602510460251</v>
      </c>
      <c r="W10" s="222">
        <f t="shared" si="8"/>
        <v>18.2008368200837</v>
      </c>
      <c r="X10" s="222">
        <f t="shared" si="9"/>
        <v>17.3640167364017</v>
      </c>
      <c r="Y10" s="222" t="str">
        <f t="shared" ref="Y10:Y13" si="21">IF(AND(W10&lt;0,W10&lt;=1),"LOST",IF(AND(W10&gt;1,W10&lt;=10),"NARROW",IF(AND(W10&gt;10,W10&lt;=40),"MEDIUM",IF(AND(W10&gt;40,W10&lt;=90),"STRONG",""))))</f>
        <v>MEDIUM</v>
      </c>
      <c r="Z10" s="288" t="str">
        <f t="shared" si="10"/>
        <v>MEDIUM</v>
      </c>
      <c r="AA10" s="289" t="str">
        <f t="shared" si="11"/>
        <v>BJP</v>
      </c>
      <c r="AB10">
        <v>803</v>
      </c>
      <c r="AC10">
        <v>485</v>
      </c>
      <c r="AD10">
        <v>384</v>
      </c>
      <c r="AE10">
        <v>237</v>
      </c>
      <c r="AF10">
        <v>419</v>
      </c>
      <c r="AG10">
        <v>248</v>
      </c>
      <c r="AH10">
        <v>535</v>
      </c>
      <c r="AI10">
        <v>338</v>
      </c>
      <c r="AJ10">
        <v>3</v>
      </c>
      <c r="AK10">
        <v>1</v>
      </c>
      <c r="AL10">
        <v>265</v>
      </c>
      <c r="AM10">
        <v>146</v>
      </c>
      <c r="AN10" s="248">
        <f t="shared" si="12"/>
        <v>47.8206724782067</v>
      </c>
      <c r="AO10" s="316">
        <f t="shared" si="12"/>
        <v>48.8659793814433</v>
      </c>
      <c r="AP10" s="317">
        <f t="shared" si="13"/>
        <v>52.1793275217933</v>
      </c>
      <c r="AQ10" s="318">
        <f t="shared" si="13"/>
        <v>51.1340206185567</v>
      </c>
      <c r="AR10" s="318" t="str">
        <f t="shared" si="14"/>
        <v>FEMALE DOM</v>
      </c>
      <c r="AS10" s="319" t="str">
        <f t="shared" si="15"/>
        <v>FEMALE</v>
      </c>
      <c r="AT10" s="317">
        <f t="shared" si="16"/>
        <v>66.6251556662516</v>
      </c>
      <c r="AU10" s="317">
        <f t="shared" si="16"/>
        <v>69.6907216494845</v>
      </c>
      <c r="AV10" s="248">
        <f t="shared" si="17"/>
        <v>0.37359900373599</v>
      </c>
      <c r="AW10" s="317">
        <f t="shared" si="17"/>
        <v>0.206185567010309</v>
      </c>
      <c r="AX10" s="248">
        <f t="shared" si="18"/>
        <v>33.0012453300125</v>
      </c>
      <c r="AY10" s="317">
        <f t="shared" si="18"/>
        <v>30.1030927835052</v>
      </c>
      <c r="AZ10" s="248" t="str">
        <f t="shared" si="19"/>
        <v>HINDU</v>
      </c>
      <c r="BA10" s="318" t="str">
        <f t="shared" si="20"/>
        <v>HIND</v>
      </c>
    </row>
    <row r="11" spans="1:53">
      <c r="A11" s="358"/>
      <c r="B11" s="390">
        <v>7</v>
      </c>
      <c r="C11" s="389">
        <v>779</v>
      </c>
      <c r="D11" s="389">
        <v>130</v>
      </c>
      <c r="E11" s="389">
        <v>375</v>
      </c>
      <c r="F11" s="393">
        <v>2</v>
      </c>
      <c r="G11" s="389">
        <v>1</v>
      </c>
      <c r="H11" s="389">
        <v>0</v>
      </c>
      <c r="I11" s="389">
        <v>0</v>
      </c>
      <c r="J11" s="389">
        <v>0</v>
      </c>
      <c r="K11" s="433">
        <v>0</v>
      </c>
      <c r="L11" s="389">
        <v>508</v>
      </c>
      <c r="M11" s="389">
        <v>0</v>
      </c>
      <c r="N11" s="389">
        <v>2</v>
      </c>
      <c r="O11" s="337">
        <f t="shared" si="0"/>
        <v>510</v>
      </c>
      <c r="P11" s="389">
        <f t="shared" si="1"/>
        <v>65.4685494223363</v>
      </c>
      <c r="Q11" s="389">
        <f t="shared" si="2"/>
        <v>73.5294117647059</v>
      </c>
      <c r="R11" s="389">
        <f t="shared" si="3"/>
        <v>25.4901960784314</v>
      </c>
      <c r="S11" s="389">
        <f t="shared" si="4"/>
        <v>0.392156862745098</v>
      </c>
      <c r="T11" s="389">
        <f t="shared" si="5"/>
        <v>0.196078431372549</v>
      </c>
      <c r="U11" s="389">
        <f t="shared" si="6"/>
        <v>0</v>
      </c>
      <c r="V11" s="389">
        <f t="shared" si="7"/>
        <v>0.392156862745098</v>
      </c>
      <c r="W11" s="389">
        <f t="shared" si="8"/>
        <v>48.0392156862745</v>
      </c>
      <c r="X11" s="389">
        <f t="shared" si="9"/>
        <v>47.4509803921569</v>
      </c>
      <c r="Y11" s="389" t="str">
        <f t="shared" si="21"/>
        <v>STRONG</v>
      </c>
      <c r="Z11" s="448" t="str">
        <f t="shared" si="10"/>
        <v>STRONG</v>
      </c>
      <c r="AA11" s="289" t="str">
        <f t="shared" si="11"/>
        <v>BJP</v>
      </c>
      <c r="AB11">
        <v>1210</v>
      </c>
      <c r="AD11">
        <v>566</v>
      </c>
      <c r="AF11">
        <v>644</v>
      </c>
      <c r="AH11">
        <v>1112</v>
      </c>
      <c r="AJ11">
        <v>35</v>
      </c>
      <c r="AL11">
        <v>63</v>
      </c>
      <c r="AN11" s="248">
        <f t="shared" si="12"/>
        <v>46.7768595041322</v>
      </c>
      <c r="AO11" s="316" t="e">
        <f t="shared" si="12"/>
        <v>#DIV/0!</v>
      </c>
      <c r="AP11" s="317">
        <f t="shared" si="13"/>
        <v>53.2231404958678</v>
      </c>
      <c r="AQ11" s="318" t="e">
        <f t="shared" si="13"/>
        <v>#DIV/0!</v>
      </c>
      <c r="AR11" s="318" t="str">
        <f t="shared" si="14"/>
        <v>FEMALE DOM</v>
      </c>
      <c r="AS11" s="319" t="e">
        <f t="shared" si="15"/>
        <v>#DIV/0!</v>
      </c>
      <c r="AT11" s="317">
        <f t="shared" si="16"/>
        <v>91.900826446281</v>
      </c>
      <c r="AU11" s="317" t="e">
        <f t="shared" si="16"/>
        <v>#DIV/0!</v>
      </c>
      <c r="AV11" s="248">
        <f t="shared" si="17"/>
        <v>2.89256198347107</v>
      </c>
      <c r="AW11" s="317" t="e">
        <f t="shared" si="17"/>
        <v>#DIV/0!</v>
      </c>
      <c r="AX11" s="248">
        <f t="shared" si="18"/>
        <v>5.20661157024793</v>
      </c>
      <c r="AY11" s="317" t="e">
        <f t="shared" si="18"/>
        <v>#DIV/0!</v>
      </c>
      <c r="AZ11" s="248" t="str">
        <f t="shared" si="19"/>
        <v>HINDU</v>
      </c>
      <c r="BA11" s="318" t="e">
        <f t="shared" si="20"/>
        <v>#DIV/0!</v>
      </c>
    </row>
    <row r="12" ht="21" spans="1:53">
      <c r="A12" s="358"/>
      <c r="B12" s="221">
        <v>6</v>
      </c>
      <c r="C12" s="222">
        <v>1211</v>
      </c>
      <c r="D12" s="222">
        <v>388</v>
      </c>
      <c r="E12" s="222">
        <v>497</v>
      </c>
      <c r="F12" s="234">
        <v>5</v>
      </c>
      <c r="G12" s="222">
        <v>1</v>
      </c>
      <c r="H12" s="222">
        <v>0</v>
      </c>
      <c r="I12" s="222">
        <v>0</v>
      </c>
      <c r="J12" s="222">
        <v>1</v>
      </c>
      <c r="K12" s="360">
        <v>1</v>
      </c>
      <c r="L12" s="222">
        <v>893</v>
      </c>
      <c r="M12" s="222">
        <v>0</v>
      </c>
      <c r="N12" s="222">
        <v>10</v>
      </c>
      <c r="O12" s="234">
        <f t="shared" si="0"/>
        <v>903</v>
      </c>
      <c r="P12" s="222">
        <f t="shared" si="1"/>
        <v>74.5664739884393</v>
      </c>
      <c r="Q12" s="222">
        <f t="shared" si="2"/>
        <v>55.0387596899225</v>
      </c>
      <c r="R12" s="222">
        <f t="shared" si="3"/>
        <v>42.9678848283499</v>
      </c>
      <c r="S12" s="222">
        <f t="shared" si="4"/>
        <v>0.553709856035437</v>
      </c>
      <c r="T12" s="222">
        <f t="shared" si="5"/>
        <v>0.110741971207087</v>
      </c>
      <c r="U12" s="222">
        <f t="shared" si="6"/>
        <v>0.221483942414175</v>
      </c>
      <c r="V12" s="222">
        <f t="shared" si="7"/>
        <v>1.10741971207087</v>
      </c>
      <c r="W12" s="222">
        <f t="shared" si="8"/>
        <v>12.0708748615725</v>
      </c>
      <c r="X12" s="222">
        <f t="shared" si="9"/>
        <v>11.1849390919158</v>
      </c>
      <c r="Y12" s="222" t="str">
        <f t="shared" si="21"/>
        <v>MEDIUM</v>
      </c>
      <c r="Z12" s="350" t="str">
        <f t="shared" si="10"/>
        <v>STRONG</v>
      </c>
      <c r="AA12" s="351" t="str">
        <f t="shared" si="11"/>
        <v>BJP</v>
      </c>
      <c r="AB12">
        <v>1167</v>
      </c>
      <c r="AD12">
        <v>568</v>
      </c>
      <c r="AF12">
        <v>599</v>
      </c>
      <c r="AH12">
        <v>1125</v>
      </c>
      <c r="AJ12">
        <v>1</v>
      </c>
      <c r="AL12">
        <v>41</v>
      </c>
      <c r="AN12" s="248">
        <f>(AD12/AB12)*100</f>
        <v>48.6718080548415</v>
      </c>
      <c r="AO12" s="316" t="e">
        <f>(AE12/AC12)*100</f>
        <v>#DIV/0!</v>
      </c>
      <c r="AP12" s="317">
        <f>(AF12/AB12)*100</f>
        <v>51.3281919451585</v>
      </c>
      <c r="AQ12" s="318" t="e">
        <f>(AG12/AC12)*100</f>
        <v>#DIV/0!</v>
      </c>
      <c r="AR12" s="318" t="str">
        <f t="shared" si="14"/>
        <v>FEMALE DOM</v>
      </c>
      <c r="AS12" s="319" t="e">
        <f t="shared" si="15"/>
        <v>#DIV/0!</v>
      </c>
      <c r="AT12" s="317">
        <f>(AH12/AB12)*100</f>
        <v>96.401028277635</v>
      </c>
      <c r="AU12" s="317" t="e">
        <f>(AI12/AC12)*100</f>
        <v>#DIV/0!</v>
      </c>
      <c r="AV12" s="248">
        <f>(AJ12/AB12)*100</f>
        <v>0.0856898029134533</v>
      </c>
      <c r="AW12" s="317" t="e">
        <f>(AK12/AC12)*100</f>
        <v>#DIV/0!</v>
      </c>
      <c r="AX12" s="248">
        <f>(AL12/AB12)*100</f>
        <v>3.51328191945158</v>
      </c>
      <c r="AY12" s="317" t="e">
        <f>(AM12/AC12)*100</f>
        <v>#DIV/0!</v>
      </c>
      <c r="AZ12" s="248" t="str">
        <f t="shared" si="19"/>
        <v>HINDU</v>
      </c>
      <c r="BA12" s="318" t="e">
        <f t="shared" si="20"/>
        <v>#DIV/0!</v>
      </c>
    </row>
    <row r="13" ht="21" spans="2:53">
      <c r="B13" s="334"/>
      <c r="C13" s="406">
        <f t="shared" ref="C13:O13" si="22">SUM(C7:C12)</f>
        <v>6198</v>
      </c>
      <c r="D13" s="406">
        <f t="shared" si="22"/>
        <v>1370</v>
      </c>
      <c r="E13" s="406">
        <f t="shared" si="22"/>
        <v>2769</v>
      </c>
      <c r="F13" s="407">
        <f t="shared" si="22"/>
        <v>14</v>
      </c>
      <c r="G13" s="406">
        <f t="shared" si="22"/>
        <v>7</v>
      </c>
      <c r="H13" s="406">
        <f t="shared" si="22"/>
        <v>2</v>
      </c>
      <c r="I13" s="406">
        <f t="shared" si="22"/>
        <v>3</v>
      </c>
      <c r="J13" s="406">
        <f t="shared" si="22"/>
        <v>9</v>
      </c>
      <c r="K13" s="411">
        <f t="shared" si="22"/>
        <v>4</v>
      </c>
      <c r="L13" s="446">
        <f t="shared" si="22"/>
        <v>4178</v>
      </c>
      <c r="M13" s="446">
        <f t="shared" si="22"/>
        <v>0</v>
      </c>
      <c r="N13" s="446">
        <f t="shared" si="22"/>
        <v>35</v>
      </c>
      <c r="O13" s="447">
        <f t="shared" si="22"/>
        <v>4213</v>
      </c>
      <c r="P13" s="446">
        <f t="shared" ref="P13:X13" si="23">AVERAGE(P7:P12)</f>
        <v>67.3571999188563</v>
      </c>
      <c r="Q13" s="446">
        <f t="shared" si="23"/>
        <v>65.9739898397489</v>
      </c>
      <c r="R13" s="446">
        <f t="shared" si="23"/>
        <v>32.3138464690227</v>
      </c>
      <c r="S13" s="446">
        <f t="shared" si="23"/>
        <v>0.335437640235413</v>
      </c>
      <c r="T13" s="446">
        <f t="shared" si="23"/>
        <v>0.15951539384587</v>
      </c>
      <c r="U13" s="446">
        <f t="shared" si="23"/>
        <v>0.408041242905914</v>
      </c>
      <c r="V13" s="446">
        <f t="shared" si="23"/>
        <v>0.809169414241181</v>
      </c>
      <c r="W13" s="446">
        <f t="shared" si="23"/>
        <v>33.6601433707263</v>
      </c>
      <c r="X13" s="446">
        <f t="shared" si="23"/>
        <v>32.7571490937391</v>
      </c>
      <c r="Y13" s="446" t="str">
        <f t="shared" si="21"/>
        <v>MEDIUM</v>
      </c>
      <c r="Z13" s="350" t="str">
        <f t="shared" si="10"/>
        <v>STRONG</v>
      </c>
      <c r="AA13" s="351" t="str">
        <f t="shared" si="11"/>
        <v>BJP</v>
      </c>
      <c r="AN13" s="248" t="e">
        <f t="shared" ref="AN13:AO13" si="24">(AD13/AB13)*100</f>
        <v>#DIV/0!</v>
      </c>
      <c r="AO13" s="316" t="e">
        <f t="shared" si="24"/>
        <v>#DIV/0!</v>
      </c>
      <c r="AP13" s="317" t="e">
        <f t="shared" ref="AP13:AQ13" si="25">(AF13/AB13)*100</f>
        <v>#DIV/0!</v>
      </c>
      <c r="AQ13" s="318" t="e">
        <f t="shared" si="25"/>
        <v>#DIV/0!</v>
      </c>
      <c r="AR13" s="318" t="e">
        <f t="shared" ref="AR13" si="26">IF(AN13&gt;AP13,"MALE DOM","FEMALE DOM")</f>
        <v>#DIV/0!</v>
      </c>
      <c r="AS13" s="319" t="e">
        <f t="shared" ref="AS13" si="27">IF(AO13&gt;AP13,"MALE","FEMALE")</f>
        <v>#DIV/0!</v>
      </c>
      <c r="AT13" s="317" t="e">
        <f t="shared" ref="AT13:AU13" si="28">(AH13/AB13)*100</f>
        <v>#DIV/0!</v>
      </c>
      <c r="AU13" s="317" t="e">
        <f t="shared" si="28"/>
        <v>#DIV/0!</v>
      </c>
      <c r="AV13" s="248" t="e">
        <f t="shared" ref="AV13:AW13" si="29">(AJ13/AB13)*100</f>
        <v>#DIV/0!</v>
      </c>
      <c r="AW13" s="317" t="e">
        <f t="shared" si="29"/>
        <v>#DIV/0!</v>
      </c>
      <c r="AX13" s="248" t="e">
        <f t="shared" ref="AX13:AY13" si="30">(AL13/AB13)*100</f>
        <v>#DIV/0!</v>
      </c>
      <c r="AY13" s="317" t="e">
        <f t="shared" si="30"/>
        <v>#DIV/0!</v>
      </c>
      <c r="AZ13" s="248" t="e">
        <f t="shared" ref="AZ13" si="31">IF(AT13&gt;(AV13+AX13),"HINDU","MINORITY")</f>
        <v>#DIV/0!</v>
      </c>
      <c r="BA13" s="318" t="e">
        <f t="shared" ref="BA13" si="32">IF(AU13&gt;(AW13+AY13),"HIND","MINORITY")</f>
        <v>#DIV/0!</v>
      </c>
    </row>
    <row r="16" spans="5:23">
      <c r="E16" s="225" t="s">
        <v>205</v>
      </c>
      <c r="F16" s="237"/>
      <c r="G16" s="237"/>
      <c r="H16" s="238"/>
      <c r="J16" s="225" t="s">
        <v>97</v>
      </c>
      <c r="K16" s="237"/>
      <c r="L16" s="237"/>
      <c r="M16" s="238"/>
      <c r="P16" s="265" t="s">
        <v>98</v>
      </c>
      <c r="Q16" s="265"/>
      <c r="R16" s="265"/>
      <c r="S16" s="265"/>
      <c r="T16" s="265"/>
      <c r="U16" s="265"/>
      <c r="V16" s="265"/>
      <c r="W16" s="265"/>
    </row>
    <row r="17" spans="5:23">
      <c r="E17" s="226"/>
      <c r="F17" s="239"/>
      <c r="G17" s="239"/>
      <c r="H17" s="240"/>
      <c r="J17" s="241"/>
      <c r="K17" s="242"/>
      <c r="L17" s="242"/>
      <c r="M17" s="243"/>
      <c r="P17" s="265"/>
      <c r="Q17" s="265"/>
      <c r="R17" s="265"/>
      <c r="S17" s="265"/>
      <c r="T17" s="265"/>
      <c r="U17" s="265"/>
      <c r="V17" s="265"/>
      <c r="W17" s="265"/>
    </row>
    <row r="18" spans="5:23">
      <c r="E18" s="227" t="s">
        <v>99</v>
      </c>
      <c r="F18" s="244"/>
      <c r="G18" s="245"/>
      <c r="H18" s="245">
        <f>COUNTIF(AA7:AA12,"BJP")</f>
        <v>6</v>
      </c>
      <c r="J18" s="246" t="s">
        <v>100</v>
      </c>
      <c r="K18" s="247"/>
      <c r="L18" s="247"/>
      <c r="M18" s="248">
        <f>COUNTIF(Y7:Y12,"NARROW")</f>
        <v>0</v>
      </c>
      <c r="P18" s="265" t="s">
        <v>101</v>
      </c>
      <c r="Q18" s="265"/>
      <c r="R18" s="265"/>
      <c r="S18" s="265">
        <f>'DEREBAIL WEST18'!E8</f>
        <v>61.2645191747806</v>
      </c>
      <c r="T18" s="265" t="s">
        <v>102</v>
      </c>
      <c r="U18" s="265"/>
      <c r="V18" s="265"/>
      <c r="W18" s="265">
        <f>Q13</f>
        <v>65.9739898397489</v>
      </c>
    </row>
    <row r="19" spans="5:23">
      <c r="E19" s="227"/>
      <c r="F19" s="244"/>
      <c r="G19" s="245"/>
      <c r="H19" s="245"/>
      <c r="J19" s="249"/>
      <c r="K19" s="250"/>
      <c r="L19" s="250"/>
      <c r="M19" s="251"/>
      <c r="P19" s="265"/>
      <c r="Q19" s="265"/>
      <c r="R19" s="265"/>
      <c r="S19" s="265"/>
      <c r="T19" s="265"/>
      <c r="U19" s="265"/>
      <c r="V19" s="265"/>
      <c r="W19" s="265"/>
    </row>
    <row r="20" spans="5:23">
      <c r="E20" s="227"/>
      <c r="F20" s="244"/>
      <c r="G20" s="245"/>
      <c r="H20" s="245"/>
      <c r="J20" s="252" t="s">
        <v>103</v>
      </c>
      <c r="K20" s="253"/>
      <c r="L20" s="253"/>
      <c r="M20" s="248">
        <f>COUNTIF(Y7:Y12,"MEDIUM")</f>
        <v>3</v>
      </c>
      <c r="P20" s="265" t="s">
        <v>104</v>
      </c>
      <c r="Q20" s="265"/>
      <c r="R20" s="265"/>
      <c r="S20" s="265">
        <f>'DEREBAIL WEST18'!G8</f>
        <v>33.261726473821</v>
      </c>
      <c r="T20" s="265" t="s">
        <v>105</v>
      </c>
      <c r="U20" s="265"/>
      <c r="V20" s="265"/>
      <c r="W20" s="265">
        <f>R13</f>
        <v>32.3138464690227</v>
      </c>
    </row>
    <row r="21" spans="5:23">
      <c r="E21" s="228" t="s">
        <v>106</v>
      </c>
      <c r="F21" s="254"/>
      <c r="G21" s="255"/>
      <c r="H21" s="255">
        <f>COUNTIF(AA7:AA12,"CONGRESS")</f>
        <v>0</v>
      </c>
      <c r="J21" s="252"/>
      <c r="K21" s="253"/>
      <c r="L21" s="253"/>
      <c r="M21" s="251"/>
      <c r="P21" s="265"/>
      <c r="Q21" s="265"/>
      <c r="R21" s="265"/>
      <c r="S21" s="265"/>
      <c r="T21" s="265"/>
      <c r="U21" s="265"/>
      <c r="V21" s="265"/>
      <c r="W21" s="265"/>
    </row>
    <row r="22" spans="5:23">
      <c r="E22" s="229"/>
      <c r="F22" s="256"/>
      <c r="G22" s="257"/>
      <c r="H22" s="257"/>
      <c r="J22" s="258" t="s">
        <v>107</v>
      </c>
      <c r="K22" s="259"/>
      <c r="L22" s="259"/>
      <c r="M22" s="248">
        <f>COUNTIF(Y7:Y12,"STRONG")</f>
        <v>3</v>
      </c>
      <c r="P22" s="265" t="s">
        <v>108</v>
      </c>
      <c r="Q22" s="265"/>
      <c r="R22" s="265"/>
      <c r="S22" s="265">
        <f>'DEREBAIL WEST18'!C8</f>
        <v>4632</v>
      </c>
      <c r="T22" s="265" t="s">
        <v>109</v>
      </c>
      <c r="U22" s="265"/>
      <c r="V22" s="265"/>
      <c r="W22" s="265">
        <f>O13</f>
        <v>4213</v>
      </c>
    </row>
    <row r="23" spans="5:23">
      <c r="E23" s="230"/>
      <c r="F23" s="260"/>
      <c r="G23" s="261"/>
      <c r="H23" s="261"/>
      <c r="J23" s="262"/>
      <c r="K23" s="263"/>
      <c r="L23" s="263"/>
      <c r="M23" s="251"/>
      <c r="P23" s="265"/>
      <c r="Q23" s="265"/>
      <c r="R23" s="265"/>
      <c r="S23" s="265"/>
      <c r="T23" s="265"/>
      <c r="U23" s="265"/>
      <c r="V23" s="265"/>
      <c r="W23" s="265"/>
    </row>
    <row r="24" spans="10:23">
      <c r="J24" s="229" t="s">
        <v>110</v>
      </c>
      <c r="K24" s="256"/>
      <c r="L24" s="256"/>
      <c r="M24" s="248">
        <f>COUNTIF(Y7:Y12,"LOST")</f>
        <v>0</v>
      </c>
      <c r="P24" s="265" t="s">
        <v>111</v>
      </c>
      <c r="Q24" s="265"/>
      <c r="R24" s="265"/>
      <c r="S24" s="265">
        <f>S18-S20</f>
        <v>28.0027927009596</v>
      </c>
      <c r="T24" s="265" t="s">
        <v>111</v>
      </c>
      <c r="U24" s="265"/>
      <c r="V24" s="265"/>
      <c r="W24" s="265">
        <f>W18-W20</f>
        <v>33.6601433707263</v>
      </c>
    </row>
    <row r="25" spans="10:23">
      <c r="J25" s="230"/>
      <c r="K25" s="260"/>
      <c r="L25" s="260"/>
      <c r="M25" s="251"/>
      <c r="P25" s="265"/>
      <c r="Q25" s="265"/>
      <c r="R25" s="265"/>
      <c r="S25" s="265"/>
      <c r="T25" s="265"/>
      <c r="U25" s="265"/>
      <c r="V25" s="265"/>
      <c r="W25" s="265"/>
    </row>
    <row r="26" spans="16:22">
      <c r="P26" s="265" t="s">
        <v>112</v>
      </c>
      <c r="Q26" s="265"/>
      <c r="R26" s="265"/>
      <c r="S26" s="265">
        <f>W18-S18</f>
        <v>4.70947066496838</v>
      </c>
      <c r="T26" s="265"/>
      <c r="U26" s="265"/>
      <c r="V26" s="265"/>
    </row>
    <row r="27" spans="16:22">
      <c r="P27" s="265"/>
      <c r="Q27" s="265"/>
      <c r="R27" s="265"/>
      <c r="S27" s="265"/>
      <c r="T27" s="265"/>
      <c r="U27" s="265"/>
      <c r="V27" s="265"/>
    </row>
    <row r="28" spans="16:22">
      <c r="P28" s="265" t="s">
        <v>113</v>
      </c>
      <c r="Q28" s="265"/>
      <c r="R28" s="265"/>
      <c r="S28" s="265">
        <f>W20-S20</f>
        <v>-0.947880004798307</v>
      </c>
      <c r="T28" s="265"/>
      <c r="U28" s="265"/>
      <c r="V28" s="265"/>
    </row>
    <row r="29" spans="16:22">
      <c r="P29" s="265"/>
      <c r="Q29" s="265"/>
      <c r="R29" s="265"/>
      <c r="S29" s="265"/>
      <c r="T29" s="265"/>
      <c r="U29" s="265"/>
      <c r="V29" s="265"/>
    </row>
    <row r="30" spans="16:22">
      <c r="P30" s="265" t="s">
        <v>114</v>
      </c>
      <c r="Q30" s="265"/>
      <c r="R30" s="265"/>
      <c r="S30" s="265" t="str">
        <f>IF(S26&gt;S28,"INCREASE","DECREASE")</f>
        <v>INCREASE</v>
      </c>
      <c r="T30" s="265"/>
      <c r="U30" s="265"/>
      <c r="V30" s="265"/>
    </row>
    <row r="31" spans="16:22">
      <c r="P31" s="265"/>
      <c r="Q31" s="265"/>
      <c r="R31" s="265"/>
      <c r="S31" s="265"/>
      <c r="T31" s="265"/>
      <c r="U31" s="265"/>
      <c r="V31" s="265"/>
    </row>
    <row r="32" spans="16:23">
      <c r="P32" s="265">
        <v>0</v>
      </c>
      <c r="Q32" s="265"/>
      <c r="R32" s="265"/>
      <c r="S32" s="265"/>
      <c r="T32" s="265"/>
      <c r="U32" s="265"/>
      <c r="V32" s="265"/>
      <c r="W32" s="265"/>
    </row>
    <row r="33" spans="16:23">
      <c r="P33" s="265"/>
      <c r="Q33" s="265"/>
      <c r="R33" s="265"/>
      <c r="S33" s="265"/>
      <c r="T33" s="265"/>
      <c r="U33" s="265"/>
      <c r="V33" s="265"/>
      <c r="W33" s="265"/>
    </row>
    <row r="34" spans="16:23">
      <c r="P34" s="265"/>
      <c r="Q34" s="265"/>
      <c r="R34" s="265"/>
      <c r="S34" s="265"/>
      <c r="T34" s="265"/>
      <c r="U34" s="265"/>
      <c r="V34" s="265"/>
      <c r="W34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H18:H20"/>
    <mergeCell ref="H21:H23"/>
    <mergeCell ref="I3:I6"/>
    <mergeCell ref="J3:J6"/>
    <mergeCell ref="K3:K6"/>
    <mergeCell ref="L1:L6"/>
    <mergeCell ref="M1:M6"/>
    <mergeCell ref="M18:M19"/>
    <mergeCell ref="M20:M21"/>
    <mergeCell ref="M22:M23"/>
    <mergeCell ref="M24:M25"/>
    <mergeCell ref="N1:N6"/>
    <mergeCell ref="O1:O6"/>
    <mergeCell ref="P1:P6"/>
    <mergeCell ref="Q1:Q6"/>
    <mergeCell ref="R1:R6"/>
    <mergeCell ref="S1:S6"/>
    <mergeCell ref="S18:S19"/>
    <mergeCell ref="S20:S21"/>
    <mergeCell ref="S22:S23"/>
    <mergeCell ref="S24:S25"/>
    <mergeCell ref="T1:T6"/>
    <mergeCell ref="U1:U6"/>
    <mergeCell ref="V1:V6"/>
    <mergeCell ref="W1:W6"/>
    <mergeCell ref="W18:W19"/>
    <mergeCell ref="W20:W21"/>
    <mergeCell ref="W22:W23"/>
    <mergeCell ref="W24:W25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J24:L25"/>
    <mergeCell ref="P24:R25"/>
    <mergeCell ref="E16:H17"/>
    <mergeCell ref="J16:M17"/>
    <mergeCell ref="E18:G20"/>
    <mergeCell ref="J18:L19"/>
    <mergeCell ref="P18:R19"/>
    <mergeCell ref="J20:L21"/>
    <mergeCell ref="P20:R21"/>
    <mergeCell ref="E21:G23"/>
    <mergeCell ref="J22:L23"/>
    <mergeCell ref="P22:R23"/>
    <mergeCell ref="D1:K2"/>
    <mergeCell ref="P16:W17"/>
    <mergeCell ref="T18:V19"/>
    <mergeCell ref="T20:V21"/>
    <mergeCell ref="T22:V23"/>
    <mergeCell ref="T24:V25"/>
    <mergeCell ref="P26:R27"/>
    <mergeCell ref="S26:V27"/>
    <mergeCell ref="P32:W34"/>
    <mergeCell ref="P28:R29"/>
    <mergeCell ref="S28:V29"/>
    <mergeCell ref="P30:R31"/>
    <mergeCell ref="S30:T31"/>
    <mergeCell ref="U30:V31"/>
  </mergeCells>
  <conditionalFormatting sqref="AR7:AR13">
    <cfRule type="containsText" dxfId="6" priority="1" operator="between" text="FEMALE DOM">
      <formula>NOT(ISERROR(SEARCH("FEMALE DOM",AR7)))</formula>
    </cfRule>
  </conditionalFormatting>
  <conditionalFormatting sqref="AZ7:AZ13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3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workbookViewId="0">
      <selection activeCell="A1" sqref="A1:AJ1"/>
    </sheetView>
  </sheetViews>
  <sheetFormatPr defaultColWidth="9" defaultRowHeight="14.5" outlineLevelRow="7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4</v>
      </c>
      <c r="B2" s="185" t="s">
        <v>237</v>
      </c>
      <c r="C2" s="184">
        <v>806</v>
      </c>
      <c r="D2" s="184">
        <v>551</v>
      </c>
      <c r="E2" s="184">
        <f t="shared" ref="E2:E7" si="0">(D2/C2)*100</f>
        <v>68.3622828784119</v>
      </c>
      <c r="F2" s="184">
        <v>217</v>
      </c>
      <c r="G2" s="184">
        <f t="shared" ref="G2:G7" si="1">(F2/C2)*100</f>
        <v>26.9230769230769</v>
      </c>
      <c r="H2" s="184">
        <v>2</v>
      </c>
      <c r="I2" s="184">
        <f t="shared" ref="I2:I7" si="2">(H2/C2)*100</f>
        <v>0.248138957816377</v>
      </c>
      <c r="J2" s="184">
        <v>20</v>
      </c>
      <c r="K2" s="184">
        <f t="shared" ref="K2:K7" si="3">(J2/C2)*100</f>
        <v>2.48138957816377</v>
      </c>
      <c r="L2" s="189">
        <v>527</v>
      </c>
      <c r="M2" s="189">
        <v>548</v>
      </c>
      <c r="N2" s="189">
        <f t="shared" ref="N2:N7" si="4">L2+M2</f>
        <v>1075</v>
      </c>
      <c r="O2" s="184">
        <v>806</v>
      </c>
      <c r="P2" s="190">
        <f t="shared" ref="P2:P6" si="5">O2/N2*100</f>
        <v>74.9767441860465</v>
      </c>
      <c r="Q2" s="184">
        <f>1075-235</f>
        <v>840</v>
      </c>
      <c r="R2" s="184">
        <f t="shared" ref="R2:R6" si="6">(Q2/N2)*100</f>
        <v>78.1395348837209</v>
      </c>
      <c r="S2" s="184">
        <f t="shared" ref="S2:S7" si="7">Q2-U2</f>
        <v>219</v>
      </c>
      <c r="T2" s="184">
        <f t="shared" ref="T2:T6" si="8">(S2/Q2)*100</f>
        <v>26.0714285714286</v>
      </c>
      <c r="U2" s="184">
        <v>621</v>
      </c>
      <c r="V2" s="191">
        <f t="shared" ref="V2:V6" si="9">IFERROR(U2/Q2*100,0)</f>
        <v>73.9285714285714</v>
      </c>
      <c r="W2" s="184">
        <v>235</v>
      </c>
      <c r="X2" s="184">
        <f t="shared" ref="X2:X6" si="10">100-R2</f>
        <v>21.8604651162791</v>
      </c>
      <c r="Y2" s="196">
        <f t="shared" ref="Y2:Y7" si="11">W2-AA2</f>
        <v>50</v>
      </c>
      <c r="Z2" s="193">
        <f t="shared" ref="Z2:Z6" si="12">(Y2/W2)*100</f>
        <v>21.2765957446809</v>
      </c>
      <c r="AA2" s="193">
        <f>806-621</f>
        <v>185</v>
      </c>
      <c r="AB2" s="194">
        <f t="shared" ref="AB2:AB6" si="13">IFERROR(AA2/W2*100,0)</f>
        <v>78.7234042553192</v>
      </c>
      <c r="AC2" s="193">
        <f t="shared" ref="AC2:AC7" si="14">U2+AA2</f>
        <v>806</v>
      </c>
      <c r="AD2" s="193" t="str">
        <f t="shared" ref="AD2:AD6" si="15">IF(P2&gt;80,"EXCELLENT",IF(P2&gt;70,"STRONG",IF(P2&gt;60,"AVG",IF(P2&gt;50,"WEAK",IF(P2&lt;50,"VLOW")))))</f>
        <v>STRONG</v>
      </c>
      <c r="AE2" s="195" t="str">
        <f t="shared" ref="AE2:AE6" si="16">IF(R2&gt;80,"EXCELLENT",IF(R2&gt;70,"STRONG",IF(R2&gt;60,"AVG",IF(R2&gt;50,"WEAK",IF(R2&lt;50,"VLOW")))))</f>
        <v>STRONG</v>
      </c>
      <c r="AF2" s="193" t="str">
        <f t="shared" ref="AF2:AF6" si="17">IF(X2&gt;80,"EXCELLENT",IF(X2&gt;70,"STRONG",IF(X2&gt;60,"AVG",IF(X2&gt;50,"WEAK",IF(X2&lt;50,"VLOW")))))</f>
        <v>VLOW</v>
      </c>
      <c r="AG2" s="193" t="str">
        <f t="shared" ref="AG2:AG7" si="18">IF(M2&gt;L2,"FEMALE DOM","MEN")</f>
        <v>FEMALE DOM</v>
      </c>
      <c r="AH2" s="193" t="str">
        <f t="shared" ref="AH2:AH6" si="19">IF(T2&gt;Z2,"H","O")</f>
        <v>H</v>
      </c>
      <c r="AI2" s="197">
        <f t="shared" ref="AI2:AI8" si="20">E2-G2</f>
        <v>41.439205955335</v>
      </c>
      <c r="AJ2" s="199" t="str">
        <f t="shared" ref="AJ2:AJ8" si="21">IF(E2&gt;G2,"BJP GAIN","CONGRESSGAIN")</f>
        <v>BJP GAIN</v>
      </c>
    </row>
    <row r="3" spans="1:36">
      <c r="A3" s="184">
        <v>5</v>
      </c>
      <c r="B3" s="185" t="s">
        <v>249</v>
      </c>
      <c r="C3" s="184">
        <v>920</v>
      </c>
      <c r="D3" s="184">
        <v>460</v>
      </c>
      <c r="E3" s="184">
        <f t="shared" si="0"/>
        <v>50</v>
      </c>
      <c r="F3" s="184">
        <v>308</v>
      </c>
      <c r="G3" s="184">
        <f t="shared" si="1"/>
        <v>33.4782608695652</v>
      </c>
      <c r="H3" s="184">
        <v>5</v>
      </c>
      <c r="I3" s="184">
        <f t="shared" si="2"/>
        <v>0.543478260869565</v>
      </c>
      <c r="J3" s="184">
        <v>128</v>
      </c>
      <c r="K3" s="184">
        <f t="shared" si="3"/>
        <v>13.9130434782609</v>
      </c>
      <c r="L3" s="189">
        <v>542</v>
      </c>
      <c r="M3" s="189">
        <v>589</v>
      </c>
      <c r="N3" s="189">
        <f t="shared" si="4"/>
        <v>1131</v>
      </c>
      <c r="O3" s="184">
        <v>920</v>
      </c>
      <c r="P3" s="190">
        <f t="shared" si="5"/>
        <v>81.3439434129089</v>
      </c>
      <c r="Q3" s="184">
        <v>1027</v>
      </c>
      <c r="R3" s="184">
        <f t="shared" si="6"/>
        <v>90.8045977011494</v>
      </c>
      <c r="S3" s="184">
        <f t="shared" si="7"/>
        <v>201</v>
      </c>
      <c r="T3" s="184">
        <f t="shared" si="8"/>
        <v>19.5715676728335</v>
      </c>
      <c r="U3" s="184">
        <v>826</v>
      </c>
      <c r="V3" s="191">
        <f t="shared" si="9"/>
        <v>80.4284323271665</v>
      </c>
      <c r="W3" s="184">
        <f>37+67</f>
        <v>104</v>
      </c>
      <c r="X3" s="184">
        <f t="shared" si="10"/>
        <v>9.19540229885058</v>
      </c>
      <c r="Y3" s="184">
        <f t="shared" si="11"/>
        <v>24</v>
      </c>
      <c r="Z3" s="193">
        <f t="shared" si="12"/>
        <v>23.0769230769231</v>
      </c>
      <c r="AA3" s="193">
        <v>80</v>
      </c>
      <c r="AB3" s="194">
        <f t="shared" si="13"/>
        <v>76.9230769230769</v>
      </c>
      <c r="AC3" s="193">
        <f t="shared" si="14"/>
        <v>906</v>
      </c>
      <c r="AD3" s="193" t="str">
        <f t="shared" si="15"/>
        <v>EXCELLENT</v>
      </c>
      <c r="AE3" s="195" t="str">
        <f t="shared" si="16"/>
        <v>EXCELLENT</v>
      </c>
      <c r="AF3" s="193" t="str">
        <f t="shared" si="17"/>
        <v>VLOW</v>
      </c>
      <c r="AG3" s="193" t="str">
        <f t="shared" si="18"/>
        <v>FEMALE DOM</v>
      </c>
      <c r="AH3" s="193" t="str">
        <f t="shared" si="19"/>
        <v>O</v>
      </c>
      <c r="AI3" s="197">
        <f t="shared" si="20"/>
        <v>16.5217391304348</v>
      </c>
      <c r="AJ3" s="199" t="str">
        <f t="shared" si="21"/>
        <v>BJP GAIN</v>
      </c>
    </row>
    <row r="4" spans="1:36">
      <c r="A4" s="184">
        <v>6</v>
      </c>
      <c r="B4" s="185" t="s">
        <v>250</v>
      </c>
      <c r="C4" s="184">
        <v>538</v>
      </c>
      <c r="D4" s="184">
        <v>385</v>
      </c>
      <c r="E4" s="184">
        <f t="shared" si="0"/>
        <v>71.5613382899628</v>
      </c>
      <c r="F4" s="184">
        <v>136</v>
      </c>
      <c r="G4" s="184">
        <f t="shared" si="1"/>
        <v>25.2788104089219</v>
      </c>
      <c r="H4" s="184">
        <v>2</v>
      </c>
      <c r="I4" s="184">
        <f t="shared" si="2"/>
        <v>0.371747211895911</v>
      </c>
      <c r="J4" s="184">
        <v>10</v>
      </c>
      <c r="K4" s="184">
        <f t="shared" si="3"/>
        <v>1.85873605947955</v>
      </c>
      <c r="L4" s="438">
        <v>363</v>
      </c>
      <c r="M4" s="438">
        <v>429</v>
      </c>
      <c r="N4" s="438">
        <f t="shared" si="4"/>
        <v>792</v>
      </c>
      <c r="O4" s="192">
        <v>538</v>
      </c>
      <c r="P4" s="439">
        <f t="shared" si="5"/>
        <v>67.9292929292929</v>
      </c>
      <c r="Q4" s="192">
        <v>661</v>
      </c>
      <c r="R4" s="192">
        <f t="shared" si="6"/>
        <v>83.459595959596</v>
      </c>
      <c r="S4" s="192">
        <f t="shared" si="7"/>
        <v>198</v>
      </c>
      <c r="T4" s="192">
        <f t="shared" si="8"/>
        <v>29.9546142208775</v>
      </c>
      <c r="U4" s="192">
        <v>463</v>
      </c>
      <c r="V4" s="191">
        <f t="shared" si="9"/>
        <v>70.0453857791225</v>
      </c>
      <c r="W4" s="192">
        <v>131</v>
      </c>
      <c r="X4" s="192">
        <f t="shared" si="10"/>
        <v>16.540404040404</v>
      </c>
      <c r="Y4" s="192">
        <f t="shared" si="11"/>
        <v>56</v>
      </c>
      <c r="Z4" s="440">
        <f t="shared" si="12"/>
        <v>42.7480916030534</v>
      </c>
      <c r="AA4" s="440">
        <v>75</v>
      </c>
      <c r="AB4" s="194">
        <f t="shared" si="13"/>
        <v>57.2519083969466</v>
      </c>
      <c r="AC4" s="440">
        <f t="shared" si="14"/>
        <v>538</v>
      </c>
      <c r="AD4" s="193" t="str">
        <f t="shared" si="15"/>
        <v>AVG</v>
      </c>
      <c r="AE4" s="195" t="str">
        <f t="shared" si="16"/>
        <v>EXCELLENT</v>
      </c>
      <c r="AF4" s="193" t="str">
        <f t="shared" si="17"/>
        <v>VLOW</v>
      </c>
      <c r="AG4" s="193" t="str">
        <f t="shared" si="18"/>
        <v>FEMALE DOM</v>
      </c>
      <c r="AH4" s="193" t="str">
        <f t="shared" si="19"/>
        <v>O</v>
      </c>
      <c r="AI4" s="197">
        <f t="shared" si="20"/>
        <v>46.2825278810409</v>
      </c>
      <c r="AJ4" s="199" t="str">
        <f t="shared" si="21"/>
        <v>BJP GAIN</v>
      </c>
    </row>
    <row r="5" spans="1:36">
      <c r="A5" s="184">
        <v>7</v>
      </c>
      <c r="B5" s="185" t="s">
        <v>251</v>
      </c>
      <c r="C5" s="184">
        <v>515</v>
      </c>
      <c r="D5" s="184">
        <v>328</v>
      </c>
      <c r="E5" s="184">
        <f t="shared" si="0"/>
        <v>63.6893203883495</v>
      </c>
      <c r="F5" s="184">
        <v>166</v>
      </c>
      <c r="G5" s="184">
        <f t="shared" si="1"/>
        <v>32.2330097087379</v>
      </c>
      <c r="H5" s="184">
        <v>1</v>
      </c>
      <c r="I5" s="184">
        <f t="shared" si="2"/>
        <v>0.194174757281553</v>
      </c>
      <c r="J5" s="184">
        <v>7</v>
      </c>
      <c r="K5" s="184">
        <f t="shared" si="3"/>
        <v>1.35922330097087</v>
      </c>
      <c r="L5" s="189">
        <v>380</v>
      </c>
      <c r="M5" s="189">
        <v>418</v>
      </c>
      <c r="N5" s="189">
        <f t="shared" si="4"/>
        <v>798</v>
      </c>
      <c r="O5" s="184">
        <v>515</v>
      </c>
      <c r="P5" s="190">
        <f t="shared" si="5"/>
        <v>64.5363408521303</v>
      </c>
      <c r="Q5" s="184">
        <v>627</v>
      </c>
      <c r="R5" s="184">
        <f t="shared" si="6"/>
        <v>78.5714285714286</v>
      </c>
      <c r="S5" s="184">
        <f t="shared" si="7"/>
        <v>214</v>
      </c>
      <c r="T5" s="184">
        <f t="shared" si="8"/>
        <v>34.1307814992025</v>
      </c>
      <c r="U5" s="184">
        <v>413</v>
      </c>
      <c r="V5" s="191">
        <f t="shared" si="9"/>
        <v>65.8692185007974</v>
      </c>
      <c r="W5" s="184">
        <v>171</v>
      </c>
      <c r="X5" s="184">
        <f t="shared" si="10"/>
        <v>21.4285714285714</v>
      </c>
      <c r="Y5" s="196">
        <f t="shared" si="11"/>
        <v>79</v>
      </c>
      <c r="Z5" s="193">
        <f t="shared" si="12"/>
        <v>46.1988304093567</v>
      </c>
      <c r="AA5" s="193">
        <v>92</v>
      </c>
      <c r="AB5" s="194">
        <f t="shared" si="13"/>
        <v>53.8011695906433</v>
      </c>
      <c r="AC5" s="193">
        <f t="shared" si="14"/>
        <v>505</v>
      </c>
      <c r="AD5" s="193" t="str">
        <f t="shared" si="15"/>
        <v>AVG</v>
      </c>
      <c r="AE5" s="195" t="str">
        <f t="shared" si="16"/>
        <v>STRONG</v>
      </c>
      <c r="AF5" s="193" t="str">
        <f t="shared" si="17"/>
        <v>VLOW</v>
      </c>
      <c r="AG5" s="193" t="str">
        <f t="shared" si="18"/>
        <v>FEMALE DOM</v>
      </c>
      <c r="AH5" s="193" t="str">
        <f t="shared" si="19"/>
        <v>O</v>
      </c>
      <c r="AI5" s="197">
        <f t="shared" si="20"/>
        <v>31.4563106796116</v>
      </c>
      <c r="AJ5" s="199" t="str">
        <f t="shared" si="21"/>
        <v>BJP GAIN</v>
      </c>
    </row>
    <row r="6" spans="1:36">
      <c r="A6" s="184">
        <v>1</v>
      </c>
      <c r="B6" s="185" t="s">
        <v>252</v>
      </c>
      <c r="C6" s="184">
        <v>778</v>
      </c>
      <c r="D6" s="184">
        <v>459</v>
      </c>
      <c r="E6" s="184">
        <f t="shared" si="0"/>
        <v>58.9974293059126</v>
      </c>
      <c r="F6" s="184">
        <v>306</v>
      </c>
      <c r="G6" s="184">
        <f t="shared" si="1"/>
        <v>39.3316195372751</v>
      </c>
      <c r="H6" s="184">
        <v>0</v>
      </c>
      <c r="I6" s="184">
        <f t="shared" si="2"/>
        <v>0</v>
      </c>
      <c r="J6" s="184">
        <v>5</v>
      </c>
      <c r="K6" s="184">
        <f t="shared" si="3"/>
        <v>0.6426735218509</v>
      </c>
      <c r="L6" s="189">
        <v>554</v>
      </c>
      <c r="M6" s="189">
        <v>592</v>
      </c>
      <c r="N6" s="189">
        <f t="shared" si="4"/>
        <v>1146</v>
      </c>
      <c r="O6" s="184">
        <v>778</v>
      </c>
      <c r="P6" s="190">
        <f t="shared" si="5"/>
        <v>67.8883071553229</v>
      </c>
      <c r="Q6" s="184">
        <v>903</v>
      </c>
      <c r="R6" s="184">
        <f t="shared" si="6"/>
        <v>78.7958115183246</v>
      </c>
      <c r="S6" s="184">
        <f t="shared" si="7"/>
        <v>294</v>
      </c>
      <c r="T6" s="184">
        <f t="shared" si="8"/>
        <v>32.5581395348837</v>
      </c>
      <c r="U6" s="184">
        <v>609</v>
      </c>
      <c r="V6" s="191">
        <f t="shared" si="9"/>
        <v>67.4418604651163</v>
      </c>
      <c r="W6" s="184">
        <f>1146-903</f>
        <v>243</v>
      </c>
      <c r="X6" s="184">
        <f t="shared" si="10"/>
        <v>21.2041884816754</v>
      </c>
      <c r="Y6" s="184">
        <f t="shared" si="11"/>
        <v>74</v>
      </c>
      <c r="Z6" s="193">
        <f t="shared" si="12"/>
        <v>30.4526748971193</v>
      </c>
      <c r="AA6" s="193">
        <f>778-609</f>
        <v>169</v>
      </c>
      <c r="AB6" s="194">
        <f t="shared" si="13"/>
        <v>69.5473251028807</v>
      </c>
      <c r="AC6" s="193">
        <f t="shared" si="14"/>
        <v>778</v>
      </c>
      <c r="AD6" s="193" t="str">
        <f t="shared" si="15"/>
        <v>AVG</v>
      </c>
      <c r="AE6" s="195" t="str">
        <f t="shared" si="16"/>
        <v>STRONG</v>
      </c>
      <c r="AF6" s="193" t="str">
        <f t="shared" si="17"/>
        <v>VLOW</v>
      </c>
      <c r="AG6" s="193" t="str">
        <f t="shared" si="18"/>
        <v>FEMALE DOM</v>
      </c>
      <c r="AH6" s="193" t="str">
        <f t="shared" si="19"/>
        <v>H</v>
      </c>
      <c r="AI6" s="197">
        <f t="shared" si="20"/>
        <v>19.6658097686375</v>
      </c>
      <c r="AJ6" s="199" t="str">
        <f t="shared" si="21"/>
        <v>BJP GAIN</v>
      </c>
    </row>
    <row r="7" spans="1:36">
      <c r="A7" s="184">
        <v>2</v>
      </c>
      <c r="B7" s="185" t="s">
        <v>253</v>
      </c>
      <c r="C7" s="184">
        <v>1075</v>
      </c>
      <c r="D7" s="184">
        <v>591</v>
      </c>
      <c r="E7" s="184">
        <f t="shared" si="0"/>
        <v>54.9767441860465</v>
      </c>
      <c r="F7" s="184">
        <v>455</v>
      </c>
      <c r="G7" s="184">
        <f t="shared" si="1"/>
        <v>42.3255813953488</v>
      </c>
      <c r="H7" s="184">
        <v>1</v>
      </c>
      <c r="I7" s="184">
        <f t="shared" si="2"/>
        <v>0.0930232558139535</v>
      </c>
      <c r="J7" s="184">
        <v>8</v>
      </c>
      <c r="K7" s="184">
        <f t="shared" si="3"/>
        <v>0.744186046511628</v>
      </c>
      <c r="L7" s="189">
        <v>761</v>
      </c>
      <c r="M7" s="189">
        <v>841</v>
      </c>
      <c r="N7" s="189">
        <f t="shared" si="4"/>
        <v>1602</v>
      </c>
      <c r="O7" s="184">
        <v>1075</v>
      </c>
      <c r="P7" s="190">
        <f t="shared" ref="P7" si="22">O7/N7*100</f>
        <v>67.103620474407</v>
      </c>
      <c r="Q7" s="184">
        <v>614</v>
      </c>
      <c r="R7" s="184">
        <f t="shared" ref="R7" si="23">(Q7/N7)*100</f>
        <v>38.3270911360799</v>
      </c>
      <c r="S7" s="184">
        <f t="shared" si="7"/>
        <v>213</v>
      </c>
      <c r="T7" s="184">
        <f t="shared" ref="T7" si="24">(S7/Q7)*100</f>
        <v>34.6905537459283</v>
      </c>
      <c r="U7" s="184">
        <v>401</v>
      </c>
      <c r="V7" s="191">
        <f t="shared" ref="V7" si="25">IFERROR(U7/Q7*100,0)</f>
        <v>65.3094462540717</v>
      </c>
      <c r="W7" s="184">
        <v>206</v>
      </c>
      <c r="X7" s="184">
        <f t="shared" ref="X7" si="26">100-R7</f>
        <v>61.6729088639201</v>
      </c>
      <c r="Y7" s="196">
        <f t="shared" si="11"/>
        <v>92</v>
      </c>
      <c r="Z7" s="325">
        <f t="shared" ref="Z7" si="27">(Y7/W7)*100</f>
        <v>44.6601941747573</v>
      </c>
      <c r="AA7" s="325">
        <v>114</v>
      </c>
      <c r="AB7" s="194">
        <f t="shared" ref="AB7" si="28">IFERROR(AA7/W7*100,0)</f>
        <v>55.3398058252427</v>
      </c>
      <c r="AC7" s="325">
        <f t="shared" si="14"/>
        <v>515</v>
      </c>
      <c r="AD7" s="193" t="str">
        <f t="shared" ref="AD7" si="29">IF(P7&gt;80,"EXCELLENT",IF(P7&gt;70,"STRONG",IF(P7&gt;60,"AVG",IF(P7&gt;50,"WEAK",IF(P7&lt;50,"VLOW")))))</f>
        <v>AVG</v>
      </c>
      <c r="AE7" s="195" t="str">
        <f t="shared" ref="AE7" si="30">IF(R7&gt;80,"EXCELLENT",IF(R7&gt;70,"STRONG",IF(R7&gt;60,"AVG",IF(R7&gt;50,"WEAK",IF(R7&lt;50,"VLOW")))))</f>
        <v>VLOW</v>
      </c>
      <c r="AF7" s="193" t="str">
        <f t="shared" ref="AF7" si="31">IF(X7&gt;80,"EXCELLENT",IF(X7&gt;70,"STRONG",IF(X7&gt;60,"AVG",IF(X7&gt;50,"WEAK",IF(X7&lt;50,"VLOW")))))</f>
        <v>AVG</v>
      </c>
      <c r="AG7" s="193" t="str">
        <f t="shared" si="18"/>
        <v>FEMALE DOM</v>
      </c>
      <c r="AH7" s="193" t="str">
        <f t="shared" ref="AH7" si="32">IF(T7&gt;Z7,"H","O")</f>
        <v>O</v>
      </c>
      <c r="AI7" s="197">
        <f t="shared" si="20"/>
        <v>12.6511627906977</v>
      </c>
      <c r="AJ7" s="199" t="str">
        <f t="shared" si="21"/>
        <v>BJP GAIN</v>
      </c>
    </row>
    <row r="8" spans="3:36">
      <c r="C8">
        <f>SUM(C2:C7)</f>
        <v>4632</v>
      </c>
      <c r="D8">
        <f>SUM(D2:D7)</f>
        <v>2774</v>
      </c>
      <c r="E8" s="186">
        <f>AVERAGE(E2:E7)</f>
        <v>61.2645191747806</v>
      </c>
      <c r="F8">
        <f>SUM(F2:F7)</f>
        <v>1588</v>
      </c>
      <c r="G8" s="186">
        <f>AVERAGE(G2:G7)</f>
        <v>33.261726473821</v>
      </c>
      <c r="H8">
        <f>SUM(H2:H7)</f>
        <v>11</v>
      </c>
      <c r="I8" s="186">
        <f>AVERAGE(I2:I7)</f>
        <v>0.24176040727956</v>
      </c>
      <c r="J8">
        <f>SUM(J2:J7)</f>
        <v>178</v>
      </c>
      <c r="K8" s="186">
        <f>AVERAGE(K2:K7)</f>
        <v>3.49987533087293</v>
      </c>
      <c r="AI8" s="329">
        <f t="shared" si="20"/>
        <v>28.0027927009596</v>
      </c>
      <c r="AJ8" s="335" t="str">
        <f t="shared" si="21"/>
        <v>BJP GAIN</v>
      </c>
    </row>
  </sheetData>
  <conditionalFormatting sqref="AD2">
    <cfRule type="containsText" dxfId="8" priority="28" operator="between" text="AVG">
      <formula>NOT(ISERROR(SEARCH("AVG",AD2)))</formula>
    </cfRule>
    <cfRule type="cellIs" dxfId="9" priority="27" operator="equal">
      <formula>"STRONG"</formula>
    </cfRule>
    <cfRule type="containsText" dxfId="10" priority="22" operator="between" text="AVG">
      <formula>NOT(ISERROR(SEARCH("AVG",AD2)))</formula>
    </cfRule>
  </conditionalFormatting>
  <conditionalFormatting sqref="AE2">
    <cfRule type="containsText" dxfId="3" priority="25" operator="between" text="STRONG">
      <formula>NOT(ISERROR(SEARCH("STRONG",AE2)))</formula>
    </cfRule>
  </conditionalFormatting>
  <conditionalFormatting sqref="AF2">
    <cfRule type="containsText" dxfId="2" priority="24" operator="between" text="AVG">
      <formula>NOT(ISERROR(SEARCH("AVG",AF2)))</formula>
    </cfRule>
    <cfRule type="cellIs" dxfId="11" priority="20" operator="equal">
      <formula>"VWEAK"</formula>
    </cfRule>
  </conditionalFormatting>
  <conditionalFormatting sqref="AG2">
    <cfRule type="containsText" dxfId="12" priority="23" operator="between" text="FEMALE DOM">
      <formula>NOT(ISERROR(SEARCH("FEMALE DOM",AG2)))</formula>
    </cfRule>
  </conditionalFormatting>
  <conditionalFormatting sqref="AH2">
    <cfRule type="containsText" dxfId="0" priority="26" operator="between" text="O">
      <formula>NOT(ISERROR(SEARCH("O",AH2)))</formula>
    </cfRule>
    <cfRule type="containsText" dxfId="1" priority="21" operator="between" text="H">
      <formula>NOT(ISERROR(SEARCH("H",AH2)))</formula>
    </cfRule>
  </conditionalFormatting>
  <conditionalFormatting sqref="AF7">
    <cfRule type="containsText" dxfId="2" priority="5" operator="between" text="AVG">
      <formula>NOT(ISERROR(SEARCH("AVG",AF7)))</formula>
    </cfRule>
  </conditionalFormatting>
  <conditionalFormatting sqref="AD3:AD5">
    <cfRule type="containsText" dxfId="8" priority="19" operator="between" text="AVG">
      <formula>NOT(ISERROR(SEARCH("AVG",AD3)))</formula>
    </cfRule>
    <cfRule type="cellIs" dxfId="9" priority="18" operator="equal">
      <formula>"STRONG"</formula>
    </cfRule>
    <cfRule type="containsText" dxfId="3" priority="17" operator="between" text="VSTRONG">
      <formula>NOT(ISERROR(SEARCH("VSTRONG",AD3)))</formula>
    </cfRule>
    <cfRule type="containsText" dxfId="10" priority="11" operator="between" text="AVG">
      <formula>NOT(ISERROR(SEARCH("AVG",AD3)))</formula>
    </cfRule>
  </conditionalFormatting>
  <conditionalFormatting sqref="AD6:AD7">
    <cfRule type="containsText" dxfId="8" priority="8" operator="between" text="AVG">
      <formula>NOT(ISERROR(SEARCH("AVG",AD6)))</formula>
    </cfRule>
    <cfRule type="containsText" dxfId="10" priority="3" operator="between" text="AVG">
      <formula>NOT(ISERROR(SEARCH("AVG",AD6)))</formula>
    </cfRule>
  </conditionalFormatting>
  <conditionalFormatting sqref="AE3:AE5">
    <cfRule type="containsText" dxfId="3" priority="15" operator="between" text="STRONG">
      <formula>NOT(ISERROR(SEARCH("STRONG",AE3)))</formula>
    </cfRule>
  </conditionalFormatting>
  <conditionalFormatting sqref="AE4:AE5">
    <cfRule type="containsText" dxfId="1" priority="13" operator="between" text="VSTRONG">
      <formula>NOT(ISERROR(SEARCH("VSTRONG",AE4)))</formula>
    </cfRule>
  </conditionalFormatting>
  <conditionalFormatting sqref="AE6:AE7">
    <cfRule type="containsText" dxfId="3" priority="6" operator="between" text="STRONG">
      <formula>NOT(ISERROR(SEARCH("STRONG",AE6)))</formula>
    </cfRule>
  </conditionalFormatting>
  <conditionalFormatting sqref="AF3:AF5">
    <cfRule type="containsText" dxfId="2" priority="14" operator="between" text="AVG">
      <formula>NOT(ISERROR(SEARCH("AVG",AF3)))</formula>
    </cfRule>
    <cfRule type="cellIs" dxfId="11" priority="9" operator="equal">
      <formula>"VWEAK"</formula>
    </cfRule>
  </conditionalFormatting>
  <conditionalFormatting sqref="AF6:AF7">
    <cfRule type="cellIs" dxfId="11" priority="1" operator="equal">
      <formula>"VWEAK"</formula>
    </cfRule>
  </conditionalFormatting>
  <conditionalFormatting sqref="AG3:AG5">
    <cfRule type="containsText" dxfId="12" priority="12" operator="between" text="FEMALE DOM">
      <formula>NOT(ISERROR(SEARCH("FEMALE DOM",AG3)))</formula>
    </cfRule>
  </conditionalFormatting>
  <conditionalFormatting sqref="AG6:AG7">
    <cfRule type="containsText" dxfId="12" priority="4" operator="between" text="FEMALE DOM">
      <formula>NOT(ISERROR(SEARCH("FEMALE DOM",AG6)))</formula>
    </cfRule>
  </conditionalFormatting>
  <conditionalFormatting sqref="AH3:AH5">
    <cfRule type="containsText" dxfId="0" priority="16" operator="between" text="O">
      <formula>NOT(ISERROR(SEARCH("O",AH3)))</formula>
    </cfRule>
    <cfRule type="containsText" dxfId="1" priority="10" operator="between" text="H">
      <formula>NOT(ISERROR(SEARCH("H",AH3)))</formula>
    </cfRule>
  </conditionalFormatting>
  <conditionalFormatting sqref="AH6:AH7">
    <cfRule type="containsText" dxfId="0" priority="7" operator="between" text="O">
      <formula>NOT(ISERROR(SEARCH("O",AH6)))</formula>
    </cfRule>
    <cfRule type="containsText" dxfId="1" priority="2" operator="between" text="H">
      <formula>NOT(ISERROR(SEARCH("H",AH6)))</formula>
    </cfRule>
  </conditionalFormatting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6"/>
  <sheetViews>
    <sheetView zoomScale="73" zoomScaleNormal="73" topLeftCell="H8" workbookViewId="0">
      <selection activeCell="X26" sqref="X26:X27"/>
    </sheetView>
  </sheetViews>
  <sheetFormatPr defaultColWidth="9" defaultRowHeight="14.5"/>
  <cols>
    <col min="17" max="17" width="9.28181818181818" customWidth="1"/>
    <col min="26" max="26" width="12.8545454545455" customWidth="1"/>
    <col min="27" max="27" width="10.8545454545455" customWidth="1"/>
  </cols>
  <sheetData>
    <row r="1" spans="1:53">
      <c r="A1" s="211" t="s">
        <v>16</v>
      </c>
      <c r="B1" s="205" t="s">
        <v>177</v>
      </c>
      <c r="C1" s="211" t="s">
        <v>15</v>
      </c>
      <c r="D1" s="206" t="s">
        <v>1</v>
      </c>
      <c r="E1" s="207"/>
      <c r="F1" s="207"/>
      <c r="G1" s="207"/>
      <c r="H1" s="207"/>
      <c r="I1" s="207"/>
      <c r="J1" s="207"/>
      <c r="K1" s="211"/>
      <c r="L1" s="201" t="s">
        <v>2</v>
      </c>
      <c r="M1" s="208" t="s">
        <v>3</v>
      </c>
      <c r="N1" s="201" t="s">
        <v>4</v>
      </c>
      <c r="O1" s="208" t="s">
        <v>5</v>
      </c>
      <c r="P1" s="201" t="s">
        <v>17</v>
      </c>
      <c r="Q1" s="202" t="s">
        <v>18</v>
      </c>
      <c r="R1" s="201" t="s">
        <v>19</v>
      </c>
      <c r="S1" s="202" t="s">
        <v>20</v>
      </c>
      <c r="T1" s="395" t="s">
        <v>21</v>
      </c>
      <c r="U1" s="201" t="s">
        <v>22</v>
      </c>
      <c r="V1" s="202" t="s">
        <v>23</v>
      </c>
      <c r="W1" s="201" t="s">
        <v>156</v>
      </c>
      <c r="X1" s="208" t="s">
        <v>66</v>
      </c>
      <c r="Y1" s="210" t="s">
        <v>67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11"/>
      <c r="B2" s="205"/>
      <c r="C2" s="211"/>
      <c r="D2" s="206"/>
      <c r="E2" s="207"/>
      <c r="F2" s="207"/>
      <c r="G2" s="207"/>
      <c r="H2" s="207"/>
      <c r="I2" s="207"/>
      <c r="J2" s="207"/>
      <c r="K2" s="211"/>
      <c r="L2" s="201"/>
      <c r="M2" s="210"/>
      <c r="N2" s="201"/>
      <c r="O2" s="210"/>
      <c r="P2" s="201"/>
      <c r="Q2" s="205"/>
      <c r="R2" s="201"/>
      <c r="S2" s="205"/>
      <c r="T2" s="396"/>
      <c r="U2" s="201"/>
      <c r="V2" s="205"/>
      <c r="W2" s="201"/>
      <c r="X2" s="210"/>
      <c r="Y2" s="210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11"/>
      <c r="B3" s="205"/>
      <c r="C3" s="211"/>
      <c r="D3" s="206" t="s">
        <v>7</v>
      </c>
      <c r="E3" s="207" t="s">
        <v>8</v>
      </c>
      <c r="F3" s="207" t="s">
        <v>9</v>
      </c>
      <c r="G3" s="207" t="s">
        <v>10</v>
      </c>
      <c r="H3" s="207" t="s">
        <v>11</v>
      </c>
      <c r="I3" s="207" t="s">
        <v>12</v>
      </c>
      <c r="J3" s="207" t="s">
        <v>9</v>
      </c>
      <c r="K3" s="211" t="s">
        <v>13</v>
      </c>
      <c r="L3" s="201"/>
      <c r="M3" s="210"/>
      <c r="N3" s="201"/>
      <c r="O3" s="210"/>
      <c r="P3" s="201"/>
      <c r="Q3" s="205"/>
      <c r="R3" s="201"/>
      <c r="S3" s="205"/>
      <c r="T3" s="396"/>
      <c r="U3" s="201"/>
      <c r="V3" s="205"/>
      <c r="W3" s="201"/>
      <c r="X3" s="210"/>
      <c r="Y3" s="210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11"/>
      <c r="B4" s="205"/>
      <c r="C4" s="211"/>
      <c r="D4" s="206"/>
      <c r="E4" s="207"/>
      <c r="F4" s="207"/>
      <c r="G4" s="207"/>
      <c r="H4" s="207"/>
      <c r="I4" s="207"/>
      <c r="J4" s="207"/>
      <c r="K4" s="211"/>
      <c r="L4" s="201"/>
      <c r="M4" s="210"/>
      <c r="N4" s="201"/>
      <c r="O4" s="210"/>
      <c r="P4" s="201"/>
      <c r="Q4" s="205"/>
      <c r="R4" s="201"/>
      <c r="S4" s="205"/>
      <c r="T4" s="396"/>
      <c r="U4" s="201"/>
      <c r="V4" s="205"/>
      <c r="W4" s="201"/>
      <c r="X4" s="210"/>
      <c r="Y4" s="210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11"/>
      <c r="B5" s="205"/>
      <c r="C5" s="211"/>
      <c r="D5" s="206"/>
      <c r="E5" s="207"/>
      <c r="F5" s="207"/>
      <c r="G5" s="207"/>
      <c r="H5" s="207"/>
      <c r="I5" s="207"/>
      <c r="J5" s="207"/>
      <c r="K5" s="211"/>
      <c r="L5" s="201"/>
      <c r="M5" s="210"/>
      <c r="N5" s="201"/>
      <c r="O5" s="210"/>
      <c r="P5" s="201"/>
      <c r="Q5" s="205"/>
      <c r="R5" s="201"/>
      <c r="S5" s="205"/>
      <c r="T5" s="396"/>
      <c r="U5" s="201"/>
      <c r="V5" s="205"/>
      <c r="W5" s="201"/>
      <c r="X5" s="210"/>
      <c r="Y5" s="210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11"/>
      <c r="B6" s="212"/>
      <c r="C6" s="211"/>
      <c r="D6" s="206"/>
      <c r="E6" s="207"/>
      <c r="F6" s="207"/>
      <c r="G6" s="207"/>
      <c r="H6" s="207"/>
      <c r="I6" s="207"/>
      <c r="J6" s="207"/>
      <c r="K6" s="211"/>
      <c r="L6" s="201"/>
      <c r="M6" s="213"/>
      <c r="N6" s="201"/>
      <c r="O6" s="213"/>
      <c r="P6" s="201"/>
      <c r="Q6" s="212"/>
      <c r="R6" s="201"/>
      <c r="S6" s="212"/>
      <c r="T6" s="435"/>
      <c r="U6" s="201"/>
      <c r="V6" s="212"/>
      <c r="W6" s="201"/>
      <c r="X6" s="213"/>
      <c r="Y6" s="213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429" t="s">
        <v>43</v>
      </c>
      <c r="B7" s="361">
        <v>114</v>
      </c>
      <c r="C7" s="216">
        <v>826</v>
      </c>
      <c r="D7" s="216">
        <v>308</v>
      </c>
      <c r="E7" s="216">
        <v>214</v>
      </c>
      <c r="F7" s="231">
        <v>1</v>
      </c>
      <c r="G7" s="216">
        <v>0</v>
      </c>
      <c r="H7" s="231">
        <v>0</v>
      </c>
      <c r="I7" s="216">
        <v>0</v>
      </c>
      <c r="J7" s="231">
        <v>0</v>
      </c>
      <c r="K7" s="216">
        <v>0</v>
      </c>
      <c r="L7" s="216">
        <v>523</v>
      </c>
      <c r="M7" s="432">
        <v>0</v>
      </c>
      <c r="N7" s="216">
        <v>4</v>
      </c>
      <c r="O7" s="216">
        <f t="shared" ref="O7:O13" si="0">D7+E7+F7+G7+H7+I7+J7+K7+N7</f>
        <v>527</v>
      </c>
      <c r="P7" s="231">
        <f t="shared" ref="P7:P13" si="1">(O7/C7)*100</f>
        <v>63.8014527845036</v>
      </c>
      <c r="Q7" s="216">
        <f t="shared" ref="Q7:Q13" si="2">(E7/O7)*100</f>
        <v>40.607210626186</v>
      </c>
      <c r="R7" s="231">
        <f t="shared" ref="R7:R13" si="3">(D7/O7)*100</f>
        <v>58.4440227703985</v>
      </c>
      <c r="S7" s="216">
        <f t="shared" ref="S7:S13" si="4">(F7/O7)*100</f>
        <v>0.189753320683112</v>
      </c>
      <c r="T7" s="231">
        <f t="shared" ref="T7:T13" si="5">(G7/O7)*100</f>
        <v>0</v>
      </c>
      <c r="U7" s="216">
        <f t="shared" ref="U7:U13" si="6">((H7+I7+J7+K7)/O7)*100</f>
        <v>0</v>
      </c>
      <c r="V7" s="231">
        <f t="shared" ref="V7:V13" si="7">(N7/O7)*100</f>
        <v>0.759013282732448</v>
      </c>
      <c r="W7" s="216">
        <f>Q7-R7</f>
        <v>-17.8368121442125</v>
      </c>
      <c r="X7" s="231">
        <f>Q7-(R7+S7+T7+U7)</f>
        <v>-18.0265654648956</v>
      </c>
      <c r="Y7" s="436" t="str">
        <f>IF(AND(W7&lt;0,W7&lt;=1),"LOST",IF(AND(W7&gt;1,W7&lt;=10),"NARROW",IF(AND(W7&gt;10,W7&lt;=40),"MEDIUM",IF(AND(W7&gt;40,W7&lt;=90),"STRONG",""))))</f>
        <v>LOST</v>
      </c>
      <c r="Z7" s="283" t="str">
        <f>IF(AND(P7&lt;0,P7&lt;=10),"WEAK",IF(AND(P7&gt;10,P7&lt;20),"BELOW AVG",IF(AND(P7&gt;20,P7&lt;=60),"MEDIUM",IF(AND(P7&gt;60,P7&lt;=90),"STRONG",""))))</f>
        <v>STRONG</v>
      </c>
      <c r="AA7" s="284" t="str">
        <f>IF(Q7&gt;R7,"BJP","CONGRESS")</f>
        <v>CONGRESS</v>
      </c>
      <c r="AB7">
        <v>824</v>
      </c>
      <c r="AD7">
        <v>416</v>
      </c>
      <c r="AF7">
        <v>408</v>
      </c>
      <c r="AH7">
        <v>398</v>
      </c>
      <c r="AJ7">
        <v>389</v>
      </c>
      <c r="AL7">
        <v>37</v>
      </c>
      <c r="AN7" s="248">
        <f>(AD7/AB7)*100</f>
        <v>50.4854368932039</v>
      </c>
      <c r="AO7" s="316" t="e">
        <f>(AE7/AC7)*100</f>
        <v>#DIV/0!</v>
      </c>
      <c r="AP7" s="317">
        <f>(AF7/AB7)*100</f>
        <v>49.5145631067961</v>
      </c>
      <c r="AQ7" s="318" t="e">
        <f>(AG7/AC7)*100</f>
        <v>#DIV/0!</v>
      </c>
      <c r="AR7" s="318" t="str">
        <f>IF(AN7&gt;AP7,"MALE DOM","FEMALE DOM")</f>
        <v>MALE DOM</v>
      </c>
      <c r="AS7" s="319" t="e">
        <f>IF(AO7&gt;AP7,"MALE","FEMALE")</f>
        <v>#DIV/0!</v>
      </c>
      <c r="AT7" s="317">
        <f>(AH7/AB7)*100</f>
        <v>48.3009708737864</v>
      </c>
      <c r="AU7" s="317" t="e">
        <f>(AI7/AC7)*100</f>
        <v>#DIV/0!</v>
      </c>
      <c r="AV7" s="248">
        <f>(AJ7/AB7)*100</f>
        <v>47.2087378640777</v>
      </c>
      <c r="AW7" s="317" t="e">
        <f>(AK7/AC7)*100</f>
        <v>#DIV/0!</v>
      </c>
      <c r="AX7" s="248">
        <f>(AL7/AB7)*100</f>
        <v>4.49029126213592</v>
      </c>
      <c r="AY7" s="317" t="e">
        <f>(AM7/AC7)*100</f>
        <v>#DIV/0!</v>
      </c>
      <c r="AZ7" s="248" t="str">
        <f>IF(AT7&gt;(AV7+AX7),"HINDU","MINORITY")</f>
        <v>MINORITY</v>
      </c>
      <c r="BA7" s="318" t="e">
        <f>IF(AU7&gt;(AW7+AY7),"HIND","MINORITY")</f>
        <v>#DIV/0!</v>
      </c>
    </row>
    <row r="8" spans="1:53">
      <c r="A8" s="358"/>
      <c r="B8" s="390">
        <v>73</v>
      </c>
      <c r="C8" s="389">
        <v>872</v>
      </c>
      <c r="D8" s="389">
        <v>93</v>
      </c>
      <c r="E8" s="389">
        <v>442</v>
      </c>
      <c r="F8" s="393">
        <v>1</v>
      </c>
      <c r="G8" s="389">
        <v>4</v>
      </c>
      <c r="H8" s="393">
        <v>0</v>
      </c>
      <c r="I8" s="389">
        <v>0</v>
      </c>
      <c r="J8" s="393">
        <v>0</v>
      </c>
      <c r="K8" s="389">
        <v>0</v>
      </c>
      <c r="L8" s="389">
        <v>540</v>
      </c>
      <c r="M8" s="433">
        <v>0</v>
      </c>
      <c r="N8" s="389">
        <v>9</v>
      </c>
      <c r="O8" s="389">
        <f t="shared" si="0"/>
        <v>549</v>
      </c>
      <c r="P8" s="393">
        <f t="shared" si="1"/>
        <v>62.9587155963303</v>
      </c>
      <c r="Q8" s="389">
        <f t="shared" si="2"/>
        <v>80.5100182149363</v>
      </c>
      <c r="R8" s="393">
        <f t="shared" si="3"/>
        <v>16.9398907103825</v>
      </c>
      <c r="S8" s="389">
        <f t="shared" si="4"/>
        <v>0.182149362477231</v>
      </c>
      <c r="T8" s="393">
        <f t="shared" si="5"/>
        <v>0.728597449908925</v>
      </c>
      <c r="U8" s="389">
        <f t="shared" si="6"/>
        <v>0</v>
      </c>
      <c r="V8" s="393">
        <f t="shared" si="7"/>
        <v>1.63934426229508</v>
      </c>
      <c r="W8" s="389">
        <f t="shared" ref="W8:W13" si="8">Q8-R8</f>
        <v>63.5701275045537</v>
      </c>
      <c r="X8" s="393">
        <f t="shared" ref="X8:X13" si="9">Q8-(R8+S8+T8+U8)</f>
        <v>62.6593806921676</v>
      </c>
      <c r="Y8" s="390" t="str">
        <f t="shared" ref="Y8:Y14" si="10">IF(AND(W8&lt;0,W8&lt;=1),"LOST",IF(AND(W8&gt;1,W8&lt;=10),"NARROW",IF(AND(W8&gt;10,W8&lt;=40),"MEDIUM",IF(AND(W8&gt;40,W8&lt;=90),"STRONG",""))))</f>
        <v>STRONG</v>
      </c>
      <c r="Z8" s="285" t="str">
        <f t="shared" ref="Z8:Z14" si="11">IF(AND(P8&lt;0,P8&lt;=10),"WEAK",IF(AND(P8&gt;10,P8&lt;20),"BELOW AVG",IF(AND(P8&gt;20,P8&lt;=60),"MEDIUM",IF(AND(P8&gt;60,P8&lt;=90),"STRONG",""))))</f>
        <v>STRONG</v>
      </c>
      <c r="AA8" s="333" t="str">
        <f t="shared" ref="AA8:AA14" si="12">IF(Q8&gt;R8,"BJP","CONGRESS")</f>
        <v>BJP</v>
      </c>
      <c r="AB8">
        <v>636</v>
      </c>
      <c r="AC8">
        <v>354</v>
      </c>
      <c r="AD8">
        <v>289</v>
      </c>
      <c r="AE8">
        <v>171</v>
      </c>
      <c r="AF8">
        <v>347</v>
      </c>
      <c r="AG8">
        <v>183</v>
      </c>
      <c r="AH8">
        <v>542</v>
      </c>
      <c r="AI8">
        <v>309</v>
      </c>
      <c r="AJ8">
        <v>10</v>
      </c>
      <c r="AK8">
        <v>5</v>
      </c>
      <c r="AL8">
        <v>84</v>
      </c>
      <c r="AM8">
        <v>40</v>
      </c>
      <c r="AN8" s="248">
        <f t="shared" ref="AN8:AO11" si="13">(AD8/AB8)*100</f>
        <v>45.440251572327</v>
      </c>
      <c r="AO8" s="316">
        <f t="shared" si="13"/>
        <v>48.3050847457627</v>
      </c>
      <c r="AP8" s="317">
        <f t="shared" ref="AP8:AQ11" si="14">(AF8/AB8)*100</f>
        <v>54.559748427673</v>
      </c>
      <c r="AQ8" s="318">
        <f t="shared" si="14"/>
        <v>51.6949152542373</v>
      </c>
      <c r="AR8" s="318" t="str">
        <f t="shared" ref="AR8:AR13" si="15">IF(AN8&gt;AP8,"MALE DOM","FEMALE DOM")</f>
        <v>FEMALE DOM</v>
      </c>
      <c r="AS8" s="319" t="str">
        <f t="shared" ref="AS8:AS13" si="16">IF(AO8&gt;AP8,"MALE","FEMALE")</f>
        <v>FEMALE</v>
      </c>
      <c r="AT8" s="317">
        <f t="shared" ref="AT8:AU11" si="17">(AH8/AB8)*100</f>
        <v>85.2201257861635</v>
      </c>
      <c r="AU8" s="317">
        <f t="shared" si="17"/>
        <v>87.2881355932203</v>
      </c>
      <c r="AV8" s="248">
        <f t="shared" ref="AV8:AW11" si="18">(AJ8/AB8)*100</f>
        <v>1.57232704402516</v>
      </c>
      <c r="AW8" s="317">
        <f t="shared" si="18"/>
        <v>1.41242937853107</v>
      </c>
      <c r="AX8" s="248">
        <f t="shared" ref="AX8:AY11" si="19">(AL8/AB8)*100</f>
        <v>13.2075471698113</v>
      </c>
      <c r="AY8" s="317">
        <f t="shared" si="19"/>
        <v>11.2994350282486</v>
      </c>
      <c r="AZ8" s="248" t="str">
        <f t="shared" ref="AZ8:AZ13" si="20">IF(AT8&gt;(AV8+AX8),"HINDU","MINORITY")</f>
        <v>HINDU</v>
      </c>
      <c r="BA8" s="318" t="str">
        <f t="shared" ref="BA8:BA13" si="21">IF(AU8&gt;(AW8+AY8),"HIND","MINORITY")</f>
        <v>HIND</v>
      </c>
    </row>
    <row r="9" spans="1:53">
      <c r="A9" s="358"/>
      <c r="B9" s="390">
        <v>74</v>
      </c>
      <c r="C9" s="389">
        <v>1326</v>
      </c>
      <c r="D9" s="389">
        <v>100</v>
      </c>
      <c r="E9" s="389">
        <v>694</v>
      </c>
      <c r="F9" s="393">
        <v>5</v>
      </c>
      <c r="G9" s="389">
        <v>8</v>
      </c>
      <c r="H9" s="393">
        <v>1</v>
      </c>
      <c r="I9" s="389">
        <v>1</v>
      </c>
      <c r="J9" s="393">
        <v>0</v>
      </c>
      <c r="K9" s="389">
        <v>1</v>
      </c>
      <c r="L9" s="389">
        <v>810</v>
      </c>
      <c r="M9" s="433">
        <v>0</v>
      </c>
      <c r="N9" s="389">
        <v>8</v>
      </c>
      <c r="O9" s="389">
        <f t="shared" si="0"/>
        <v>818</v>
      </c>
      <c r="P9" s="393">
        <f t="shared" si="1"/>
        <v>61.6892911010558</v>
      </c>
      <c r="Q9" s="389">
        <f t="shared" si="2"/>
        <v>84.841075794621</v>
      </c>
      <c r="R9" s="393">
        <f t="shared" si="3"/>
        <v>12.2249388753056</v>
      </c>
      <c r="S9" s="389">
        <f t="shared" si="4"/>
        <v>0.611246943765281</v>
      </c>
      <c r="T9" s="393">
        <f t="shared" si="5"/>
        <v>0.97799511002445</v>
      </c>
      <c r="U9" s="389">
        <f t="shared" si="6"/>
        <v>0.366748166259169</v>
      </c>
      <c r="V9" s="393">
        <f t="shared" si="7"/>
        <v>0.97799511002445</v>
      </c>
      <c r="W9" s="389">
        <f t="shared" si="8"/>
        <v>72.6161369193154</v>
      </c>
      <c r="X9" s="393">
        <f t="shared" si="9"/>
        <v>70.6601466992665</v>
      </c>
      <c r="Y9" s="390" t="str">
        <f t="shared" si="10"/>
        <v>STRONG</v>
      </c>
      <c r="Z9" s="283" t="str">
        <f t="shared" si="11"/>
        <v>STRONG</v>
      </c>
      <c r="AA9" s="289" t="str">
        <f t="shared" si="12"/>
        <v>BJP</v>
      </c>
      <c r="AB9">
        <v>870</v>
      </c>
      <c r="AC9">
        <v>547</v>
      </c>
      <c r="AD9">
        <v>438</v>
      </c>
      <c r="AE9">
        <v>276</v>
      </c>
      <c r="AF9">
        <v>432</v>
      </c>
      <c r="AG9">
        <v>271</v>
      </c>
      <c r="AH9">
        <v>801</v>
      </c>
      <c r="AI9">
        <v>508</v>
      </c>
      <c r="AJ9">
        <v>61</v>
      </c>
      <c r="AK9">
        <v>36</v>
      </c>
      <c r="AL9">
        <v>8</v>
      </c>
      <c r="AM9">
        <v>3</v>
      </c>
      <c r="AN9" s="248">
        <f t="shared" si="13"/>
        <v>50.3448275862069</v>
      </c>
      <c r="AO9" s="316">
        <f t="shared" si="13"/>
        <v>50.4570383912249</v>
      </c>
      <c r="AP9" s="317">
        <f t="shared" si="14"/>
        <v>49.6551724137931</v>
      </c>
      <c r="AQ9" s="318">
        <f t="shared" si="14"/>
        <v>49.5429616087751</v>
      </c>
      <c r="AR9" s="318" t="str">
        <f t="shared" si="15"/>
        <v>MALE DOM</v>
      </c>
      <c r="AS9" s="319" t="str">
        <f t="shared" si="16"/>
        <v>MALE</v>
      </c>
      <c r="AT9" s="317">
        <f t="shared" si="17"/>
        <v>92.0689655172414</v>
      </c>
      <c r="AU9" s="317">
        <f t="shared" si="17"/>
        <v>92.8702010968921</v>
      </c>
      <c r="AV9" s="248">
        <f t="shared" si="18"/>
        <v>7.01149425287356</v>
      </c>
      <c r="AW9" s="317">
        <f t="shared" si="18"/>
        <v>6.58135283363803</v>
      </c>
      <c r="AX9" s="248">
        <f t="shared" si="19"/>
        <v>0.919540229885057</v>
      </c>
      <c r="AY9" s="317">
        <f t="shared" si="19"/>
        <v>0.548446069469835</v>
      </c>
      <c r="AZ9" s="248" t="str">
        <f t="shared" si="20"/>
        <v>HINDU</v>
      </c>
      <c r="BA9" s="318" t="str">
        <f t="shared" si="21"/>
        <v>HIND</v>
      </c>
    </row>
    <row r="10" spans="1:53">
      <c r="A10" s="358"/>
      <c r="B10" s="361">
        <v>111</v>
      </c>
      <c r="C10" s="223">
        <v>731</v>
      </c>
      <c r="D10" s="223">
        <v>315</v>
      </c>
      <c r="E10" s="223">
        <v>145</v>
      </c>
      <c r="F10" s="235">
        <v>1</v>
      </c>
      <c r="G10" s="223">
        <v>0</v>
      </c>
      <c r="H10" s="235">
        <v>0</v>
      </c>
      <c r="I10" s="223">
        <v>0</v>
      </c>
      <c r="J10" s="235">
        <v>1</v>
      </c>
      <c r="K10" s="223">
        <v>0</v>
      </c>
      <c r="L10" s="223">
        <v>4622</v>
      </c>
      <c r="M10" s="363">
        <v>0</v>
      </c>
      <c r="N10" s="223">
        <v>2</v>
      </c>
      <c r="O10" s="223">
        <f t="shared" si="0"/>
        <v>464</v>
      </c>
      <c r="P10" s="235">
        <f t="shared" si="1"/>
        <v>63.4746922024624</v>
      </c>
      <c r="Q10" s="223">
        <f t="shared" si="2"/>
        <v>31.25</v>
      </c>
      <c r="R10" s="235">
        <f t="shared" si="3"/>
        <v>67.8879310344828</v>
      </c>
      <c r="S10" s="223">
        <f t="shared" si="4"/>
        <v>0.21551724137931</v>
      </c>
      <c r="T10" s="235">
        <f t="shared" si="5"/>
        <v>0</v>
      </c>
      <c r="U10" s="223">
        <f t="shared" si="6"/>
        <v>0.21551724137931</v>
      </c>
      <c r="V10" s="235">
        <f t="shared" si="7"/>
        <v>0.431034482758621</v>
      </c>
      <c r="W10" s="223">
        <f t="shared" si="8"/>
        <v>-36.6379310344828</v>
      </c>
      <c r="X10" s="235">
        <f t="shared" si="9"/>
        <v>-37.0689655172414</v>
      </c>
      <c r="Y10" s="361" t="str">
        <f t="shared" si="10"/>
        <v>LOST</v>
      </c>
      <c r="Z10" s="285" t="str">
        <f t="shared" si="11"/>
        <v>STRONG</v>
      </c>
      <c r="AA10" s="284" t="str">
        <f t="shared" si="12"/>
        <v>CONGRESS</v>
      </c>
      <c r="AB10" s="334">
        <v>725</v>
      </c>
      <c r="AC10" s="334"/>
      <c r="AD10" s="334">
        <v>353</v>
      </c>
      <c r="AE10" s="334"/>
      <c r="AF10" s="334">
        <v>372</v>
      </c>
      <c r="AG10" s="334"/>
      <c r="AH10" s="334">
        <v>263</v>
      </c>
      <c r="AI10" s="334"/>
      <c r="AJ10" s="334">
        <v>421</v>
      </c>
      <c r="AK10" s="334"/>
      <c r="AL10" s="334">
        <v>41</v>
      </c>
      <c r="AM10" s="334"/>
      <c r="AN10" s="248">
        <f t="shared" si="13"/>
        <v>48.6896551724138</v>
      </c>
      <c r="AO10" s="316" t="e">
        <f t="shared" si="13"/>
        <v>#DIV/0!</v>
      </c>
      <c r="AP10" s="317">
        <f t="shared" si="14"/>
        <v>51.3103448275862</v>
      </c>
      <c r="AQ10" s="318" t="e">
        <f t="shared" si="14"/>
        <v>#DIV/0!</v>
      </c>
      <c r="AR10" s="318" t="str">
        <f t="shared" si="15"/>
        <v>FEMALE DOM</v>
      </c>
      <c r="AS10" s="319" t="e">
        <f t="shared" si="16"/>
        <v>#DIV/0!</v>
      </c>
      <c r="AT10" s="317">
        <f t="shared" si="17"/>
        <v>36.2758620689655</v>
      </c>
      <c r="AU10" s="317" t="e">
        <f t="shared" si="17"/>
        <v>#DIV/0!</v>
      </c>
      <c r="AV10" s="248">
        <f t="shared" si="18"/>
        <v>58.0689655172414</v>
      </c>
      <c r="AW10" s="317" t="e">
        <f t="shared" si="18"/>
        <v>#DIV/0!</v>
      </c>
      <c r="AX10" s="248">
        <f t="shared" si="19"/>
        <v>5.6551724137931</v>
      </c>
      <c r="AY10" s="317" t="e">
        <f t="shared" si="19"/>
        <v>#DIV/0!</v>
      </c>
      <c r="AZ10" s="248" t="str">
        <f t="shared" si="20"/>
        <v>MINORITY</v>
      </c>
      <c r="BA10" s="318" t="e">
        <f t="shared" si="21"/>
        <v>#DIV/0!</v>
      </c>
    </row>
    <row r="11" spans="1:53">
      <c r="A11" s="358"/>
      <c r="B11" s="390">
        <v>108</v>
      </c>
      <c r="C11" s="389">
        <v>1257</v>
      </c>
      <c r="D11" s="389">
        <v>94</v>
      </c>
      <c r="E11" s="389">
        <v>638</v>
      </c>
      <c r="F11" s="393">
        <v>0</v>
      </c>
      <c r="G11" s="389">
        <v>1</v>
      </c>
      <c r="H11" s="393">
        <v>0</v>
      </c>
      <c r="I11" s="389">
        <v>0</v>
      </c>
      <c r="J11" s="393">
        <v>3</v>
      </c>
      <c r="K11" s="389">
        <v>0</v>
      </c>
      <c r="L11" s="389">
        <v>736</v>
      </c>
      <c r="M11" s="433">
        <v>0</v>
      </c>
      <c r="N11" s="389">
        <v>12</v>
      </c>
      <c r="O11" s="389">
        <f t="shared" si="0"/>
        <v>748</v>
      </c>
      <c r="P11" s="393">
        <f t="shared" si="1"/>
        <v>59.5067621320605</v>
      </c>
      <c r="Q11" s="389">
        <f t="shared" si="2"/>
        <v>85.2941176470588</v>
      </c>
      <c r="R11" s="393">
        <f t="shared" si="3"/>
        <v>12.5668449197861</v>
      </c>
      <c r="S11" s="389">
        <f t="shared" si="4"/>
        <v>0</v>
      </c>
      <c r="T11" s="393">
        <f t="shared" si="5"/>
        <v>0.133689839572192</v>
      </c>
      <c r="U11" s="389">
        <f t="shared" si="6"/>
        <v>0.401069518716578</v>
      </c>
      <c r="V11" s="393">
        <f t="shared" si="7"/>
        <v>1.60427807486631</v>
      </c>
      <c r="W11" s="389">
        <f t="shared" si="8"/>
        <v>72.7272727272727</v>
      </c>
      <c r="X11" s="393">
        <f t="shared" si="9"/>
        <v>72.192513368984</v>
      </c>
      <c r="Y11" s="390" t="str">
        <f t="shared" si="10"/>
        <v>STRONG</v>
      </c>
      <c r="Z11" s="342" t="str">
        <f t="shared" si="11"/>
        <v>MEDIUM</v>
      </c>
      <c r="AA11" s="289" t="str">
        <f t="shared" si="12"/>
        <v>BJP</v>
      </c>
      <c r="AB11">
        <v>958</v>
      </c>
      <c r="AC11">
        <v>661</v>
      </c>
      <c r="AD11">
        <v>472</v>
      </c>
      <c r="AE11">
        <v>322</v>
      </c>
      <c r="AF11">
        <v>486</v>
      </c>
      <c r="AG11">
        <v>339</v>
      </c>
      <c r="AH11">
        <v>411</v>
      </c>
      <c r="AI11">
        <v>290</v>
      </c>
      <c r="AJ11">
        <v>530</v>
      </c>
      <c r="AK11">
        <v>357</v>
      </c>
      <c r="AL11">
        <v>17</v>
      </c>
      <c r="AM11">
        <v>14</v>
      </c>
      <c r="AN11" s="248">
        <f t="shared" si="13"/>
        <v>49.2693110647182</v>
      </c>
      <c r="AO11" s="316">
        <f t="shared" si="13"/>
        <v>48.714069591528</v>
      </c>
      <c r="AP11" s="317">
        <f t="shared" si="14"/>
        <v>50.7306889352818</v>
      </c>
      <c r="AQ11" s="318">
        <f t="shared" si="14"/>
        <v>51.285930408472</v>
      </c>
      <c r="AR11" s="318" t="str">
        <f t="shared" si="15"/>
        <v>FEMALE DOM</v>
      </c>
      <c r="AS11" s="319" t="str">
        <f t="shared" si="16"/>
        <v>FEMALE</v>
      </c>
      <c r="AT11" s="317">
        <f t="shared" si="17"/>
        <v>42.901878914405</v>
      </c>
      <c r="AU11" s="317">
        <f t="shared" si="17"/>
        <v>43.8729198184569</v>
      </c>
      <c r="AV11" s="248">
        <f t="shared" si="18"/>
        <v>55.3235908141962</v>
      </c>
      <c r="AW11" s="317">
        <f t="shared" si="18"/>
        <v>54.0090771558245</v>
      </c>
      <c r="AX11" s="248">
        <f t="shared" si="19"/>
        <v>1.77453027139875</v>
      </c>
      <c r="AY11" s="317">
        <f t="shared" si="19"/>
        <v>2.11800302571861</v>
      </c>
      <c r="AZ11" s="248" t="str">
        <f t="shared" si="20"/>
        <v>MINORITY</v>
      </c>
      <c r="BA11" s="318" t="str">
        <f t="shared" si="21"/>
        <v>MINORITY</v>
      </c>
    </row>
    <row r="12" ht="21" spans="1:53">
      <c r="A12" s="358"/>
      <c r="B12" s="390">
        <v>113</v>
      </c>
      <c r="C12" s="389">
        <v>1299</v>
      </c>
      <c r="D12" s="389">
        <v>78</v>
      </c>
      <c r="E12" s="389">
        <v>757</v>
      </c>
      <c r="F12" s="393">
        <v>2</v>
      </c>
      <c r="G12" s="389">
        <v>5</v>
      </c>
      <c r="H12" s="393">
        <v>0</v>
      </c>
      <c r="I12" s="389">
        <v>0</v>
      </c>
      <c r="J12" s="393">
        <v>0</v>
      </c>
      <c r="K12" s="389">
        <v>1</v>
      </c>
      <c r="L12" s="389">
        <v>843</v>
      </c>
      <c r="M12" s="433">
        <v>0</v>
      </c>
      <c r="N12" s="389">
        <v>9</v>
      </c>
      <c r="O12" s="389">
        <f t="shared" si="0"/>
        <v>852</v>
      </c>
      <c r="P12" s="393">
        <f t="shared" si="1"/>
        <v>65.5889145496536</v>
      </c>
      <c r="Q12" s="389">
        <f t="shared" si="2"/>
        <v>88.849765258216</v>
      </c>
      <c r="R12" s="393">
        <f t="shared" si="3"/>
        <v>9.15492957746479</v>
      </c>
      <c r="S12" s="389">
        <f t="shared" si="4"/>
        <v>0.234741784037559</v>
      </c>
      <c r="T12" s="393">
        <f t="shared" si="5"/>
        <v>0.586854460093897</v>
      </c>
      <c r="U12" s="389">
        <f t="shared" si="6"/>
        <v>0.117370892018779</v>
      </c>
      <c r="V12" s="393">
        <f t="shared" si="7"/>
        <v>1.05633802816901</v>
      </c>
      <c r="W12" s="389">
        <f t="shared" si="8"/>
        <v>79.6948356807512</v>
      </c>
      <c r="X12" s="393">
        <f t="shared" si="9"/>
        <v>78.7558685446009</v>
      </c>
      <c r="Y12" s="390" t="str">
        <f t="shared" si="10"/>
        <v>STRONG</v>
      </c>
      <c r="Z12" s="350" t="str">
        <f t="shared" si="11"/>
        <v>STRONG</v>
      </c>
      <c r="AA12" s="351" t="str">
        <f t="shared" si="12"/>
        <v>BJP</v>
      </c>
      <c r="AB12">
        <v>625</v>
      </c>
      <c r="AC12">
        <v>377</v>
      </c>
      <c r="AD12">
        <v>312</v>
      </c>
      <c r="AE12">
        <v>185</v>
      </c>
      <c r="AF12">
        <v>313</v>
      </c>
      <c r="AG12">
        <v>192</v>
      </c>
      <c r="AH12">
        <v>621</v>
      </c>
      <c r="AI12">
        <v>374</v>
      </c>
      <c r="AJ12">
        <v>0</v>
      </c>
      <c r="AK12">
        <v>0</v>
      </c>
      <c r="AL12">
        <v>4</v>
      </c>
      <c r="AM12">
        <v>3</v>
      </c>
      <c r="AN12" s="248">
        <f>(AD12/AB12)*100</f>
        <v>49.92</v>
      </c>
      <c r="AO12" s="316">
        <f>(AE12/AC12)*100</f>
        <v>49.0716180371353</v>
      </c>
      <c r="AP12" s="317">
        <f>(AF12/AB12)*100</f>
        <v>50.08</v>
      </c>
      <c r="AQ12" s="318">
        <f>(AG12/AC12)*100</f>
        <v>50.9283819628647</v>
      </c>
      <c r="AR12" s="318" t="str">
        <f t="shared" si="15"/>
        <v>FEMALE DOM</v>
      </c>
      <c r="AS12" s="319" t="str">
        <f t="shared" si="16"/>
        <v>FEMALE</v>
      </c>
      <c r="AT12" s="317">
        <f>(AH12/AB12)*100</f>
        <v>99.36</v>
      </c>
      <c r="AU12" s="317">
        <f>(AI12/AC12)*100</f>
        <v>99.2042440318302</v>
      </c>
      <c r="AV12" s="248">
        <f>(AJ12/AB12)*100</f>
        <v>0</v>
      </c>
      <c r="AW12" s="317">
        <f>(AK12/AC12)*100</f>
        <v>0</v>
      </c>
      <c r="AX12" s="248">
        <f>(AL12/AB12)*100</f>
        <v>0.64</v>
      </c>
      <c r="AY12" s="317">
        <f>(AM12/AC12)*100</f>
        <v>0.795755968169761</v>
      </c>
      <c r="AZ12" s="248" t="str">
        <f t="shared" si="20"/>
        <v>HINDU</v>
      </c>
      <c r="BA12" s="318" t="str">
        <f t="shared" si="21"/>
        <v>HIND</v>
      </c>
    </row>
    <row r="13" ht="21" spans="1:53">
      <c r="A13" s="358"/>
      <c r="B13" s="390">
        <v>71</v>
      </c>
      <c r="C13" s="389">
        <v>1302</v>
      </c>
      <c r="D13" s="389">
        <v>80</v>
      </c>
      <c r="E13" s="389">
        <v>665</v>
      </c>
      <c r="F13" s="393">
        <v>3</v>
      </c>
      <c r="G13" s="389">
        <v>3</v>
      </c>
      <c r="H13" s="393">
        <v>0</v>
      </c>
      <c r="I13" s="389">
        <v>0</v>
      </c>
      <c r="J13" s="393">
        <v>0</v>
      </c>
      <c r="K13" s="389">
        <v>2</v>
      </c>
      <c r="L13" s="389">
        <v>753</v>
      </c>
      <c r="M13" s="433">
        <v>0</v>
      </c>
      <c r="N13" s="389">
        <v>7</v>
      </c>
      <c r="O13" s="389">
        <f t="shared" si="0"/>
        <v>760</v>
      </c>
      <c r="P13" s="393">
        <f t="shared" si="1"/>
        <v>58.3717357910906</v>
      </c>
      <c r="Q13" s="389">
        <f t="shared" si="2"/>
        <v>87.5</v>
      </c>
      <c r="R13" s="393">
        <f t="shared" si="3"/>
        <v>10.5263157894737</v>
      </c>
      <c r="S13" s="389">
        <f t="shared" si="4"/>
        <v>0.394736842105263</v>
      </c>
      <c r="T13" s="393">
        <f t="shared" si="5"/>
        <v>0.394736842105263</v>
      </c>
      <c r="U13" s="389">
        <f t="shared" si="6"/>
        <v>0.263157894736842</v>
      </c>
      <c r="V13" s="393">
        <f t="shared" si="7"/>
        <v>0.921052631578947</v>
      </c>
      <c r="W13" s="389">
        <f t="shared" si="8"/>
        <v>76.9736842105263</v>
      </c>
      <c r="X13" s="393">
        <f t="shared" si="9"/>
        <v>75.9210526315789</v>
      </c>
      <c r="Y13" s="390" t="str">
        <f t="shared" si="10"/>
        <v>STRONG</v>
      </c>
      <c r="Z13" s="424" t="str">
        <f t="shared" si="11"/>
        <v>MEDIUM</v>
      </c>
      <c r="AA13" s="351" t="str">
        <f t="shared" si="12"/>
        <v>BJP</v>
      </c>
      <c r="AB13">
        <v>1295</v>
      </c>
      <c r="AD13">
        <v>643</v>
      </c>
      <c r="AF13">
        <v>651</v>
      </c>
      <c r="AH13">
        <v>1270</v>
      </c>
      <c r="AJ13">
        <v>9</v>
      </c>
      <c r="AL13">
        <v>16</v>
      </c>
      <c r="AN13" s="248">
        <f>(AD13/AB13)*100</f>
        <v>49.6525096525097</v>
      </c>
      <c r="AO13" s="316" t="e">
        <f>(AE13/AC13)*100</f>
        <v>#DIV/0!</v>
      </c>
      <c r="AP13" s="317">
        <f>(AF13/AB13)*100</f>
        <v>50.2702702702703</v>
      </c>
      <c r="AQ13" s="318" t="e">
        <f>(AG13/AC13)*100</f>
        <v>#DIV/0!</v>
      </c>
      <c r="AR13" s="318" t="str">
        <f t="shared" si="15"/>
        <v>FEMALE DOM</v>
      </c>
      <c r="AS13" s="319" t="e">
        <f t="shared" si="16"/>
        <v>#DIV/0!</v>
      </c>
      <c r="AT13" s="317">
        <f>(AH13/AB13)*100</f>
        <v>98.0694980694981</v>
      </c>
      <c r="AU13" s="317" t="e">
        <f>(AI13/AC13)*100</f>
        <v>#DIV/0!</v>
      </c>
      <c r="AV13" s="248">
        <f>(AJ13/AB13)*100</f>
        <v>0.694980694980695</v>
      </c>
      <c r="AW13" s="317" t="e">
        <f>(AK13/AC13)*100</f>
        <v>#DIV/0!</v>
      </c>
      <c r="AX13" s="248">
        <f>(AL13/AB13)*100</f>
        <v>1.23552123552124</v>
      </c>
      <c r="AY13" s="317" t="e">
        <f>(AM13/AC13)*100</f>
        <v>#DIV/0!</v>
      </c>
      <c r="AZ13" s="248" t="str">
        <f t="shared" si="20"/>
        <v>HINDU</v>
      </c>
      <c r="BA13" s="318" t="e">
        <f t="shared" si="21"/>
        <v>#DIV/0!</v>
      </c>
    </row>
    <row r="14" ht="21" spans="2:27">
      <c r="B14" s="334"/>
      <c r="C14" s="430">
        <f t="shared" ref="C14:O14" si="22">SUM(C7:C13)</f>
        <v>7613</v>
      </c>
      <c r="D14" s="430">
        <f t="shared" si="22"/>
        <v>1068</v>
      </c>
      <c r="E14" s="430">
        <f t="shared" si="22"/>
        <v>3555</v>
      </c>
      <c r="F14" s="431">
        <f t="shared" si="22"/>
        <v>13</v>
      </c>
      <c r="G14" s="430">
        <f t="shared" si="22"/>
        <v>21</v>
      </c>
      <c r="H14" s="431">
        <f t="shared" si="22"/>
        <v>1</v>
      </c>
      <c r="I14" s="430">
        <f t="shared" si="22"/>
        <v>1</v>
      </c>
      <c r="J14" s="431">
        <f t="shared" si="22"/>
        <v>4</v>
      </c>
      <c r="K14" s="430">
        <f t="shared" si="22"/>
        <v>4</v>
      </c>
      <c r="L14" s="430">
        <f t="shared" si="22"/>
        <v>8827</v>
      </c>
      <c r="M14" s="434">
        <f t="shared" si="22"/>
        <v>0</v>
      </c>
      <c r="N14" s="430">
        <f t="shared" si="22"/>
        <v>51</v>
      </c>
      <c r="O14" s="430">
        <f t="shared" si="22"/>
        <v>4718</v>
      </c>
      <c r="P14" s="431">
        <f t="shared" ref="P14:X14" si="23">AVERAGE(P7:P13)</f>
        <v>62.1987948795938</v>
      </c>
      <c r="Q14" s="430">
        <f t="shared" si="23"/>
        <v>71.2645982201454</v>
      </c>
      <c r="R14" s="431">
        <f t="shared" si="23"/>
        <v>26.8206962396134</v>
      </c>
      <c r="S14" s="430">
        <f t="shared" si="23"/>
        <v>0.261163642063965</v>
      </c>
      <c r="T14" s="431">
        <f t="shared" si="23"/>
        <v>0.403124814529247</v>
      </c>
      <c r="U14" s="430">
        <f t="shared" si="23"/>
        <v>0.194837673301525</v>
      </c>
      <c r="V14" s="431">
        <f t="shared" si="23"/>
        <v>1.05557941034641</v>
      </c>
      <c r="W14" s="430">
        <f t="shared" si="23"/>
        <v>44.443901980532</v>
      </c>
      <c r="X14" s="431">
        <f t="shared" si="23"/>
        <v>43.5847758506373</v>
      </c>
      <c r="Y14" s="437" t="str">
        <f t="shared" si="10"/>
        <v>STRONG</v>
      </c>
      <c r="Z14" s="350" t="str">
        <f t="shared" si="11"/>
        <v>STRONG</v>
      </c>
      <c r="AA14" s="351" t="str">
        <f t="shared" si="12"/>
        <v>BJP</v>
      </c>
    </row>
    <row r="18" spans="10:28">
      <c r="J18" s="225" t="s">
        <v>205</v>
      </c>
      <c r="K18" s="237"/>
      <c r="L18" s="237"/>
      <c r="M18" s="238"/>
      <c r="O18" s="225" t="s">
        <v>97</v>
      </c>
      <c r="P18" s="237"/>
      <c r="Q18" s="237"/>
      <c r="R18" s="238"/>
      <c r="U18" s="265" t="s">
        <v>98</v>
      </c>
      <c r="V18" s="265"/>
      <c r="W18" s="265"/>
      <c r="X18" s="265"/>
      <c r="Y18" s="265"/>
      <c r="Z18" s="265"/>
      <c r="AA18" s="265"/>
      <c r="AB18" s="265"/>
    </row>
    <row r="19" spans="10:28">
      <c r="J19" s="226"/>
      <c r="K19" s="239"/>
      <c r="L19" s="239"/>
      <c r="M19" s="240"/>
      <c r="O19" s="241"/>
      <c r="P19" s="242"/>
      <c r="Q19" s="242"/>
      <c r="R19" s="243"/>
      <c r="U19" s="265"/>
      <c r="V19" s="265"/>
      <c r="W19" s="265"/>
      <c r="X19" s="265"/>
      <c r="Y19" s="265"/>
      <c r="Z19" s="265"/>
      <c r="AA19" s="265"/>
      <c r="AB19" s="265"/>
    </row>
    <row r="20" spans="10:28">
      <c r="J20" s="227" t="s">
        <v>99</v>
      </c>
      <c r="K20" s="244"/>
      <c r="L20" s="245"/>
      <c r="M20" s="245">
        <f>COUNTIF(AA7:AA13,"BJP")</f>
        <v>5</v>
      </c>
      <c r="O20" s="246" t="s">
        <v>100</v>
      </c>
      <c r="P20" s="247"/>
      <c r="Q20" s="247"/>
      <c r="R20" s="248">
        <f>COUNTIF(Y7:Y13,"NARROW")</f>
        <v>0</v>
      </c>
      <c r="U20" s="265" t="s">
        <v>101</v>
      </c>
      <c r="V20" s="265"/>
      <c r="W20" s="265"/>
      <c r="X20" s="265">
        <f>'DONGARKERI-18'!E9</f>
        <v>67.1996768229448</v>
      </c>
      <c r="Y20" s="265" t="s">
        <v>102</v>
      </c>
      <c r="Z20" s="265"/>
      <c r="AA20" s="265"/>
      <c r="AB20" s="265">
        <f>Q14</f>
        <v>71.2645982201454</v>
      </c>
    </row>
    <row r="21" spans="10:28">
      <c r="J21" s="227"/>
      <c r="K21" s="244"/>
      <c r="L21" s="245"/>
      <c r="M21" s="245"/>
      <c r="O21" s="249"/>
      <c r="P21" s="250"/>
      <c r="Q21" s="250"/>
      <c r="R21" s="251"/>
      <c r="U21" s="265"/>
      <c r="V21" s="265"/>
      <c r="W21" s="265"/>
      <c r="X21" s="265"/>
      <c r="Y21" s="265"/>
      <c r="Z21" s="265"/>
      <c r="AA21" s="265"/>
      <c r="AB21" s="265"/>
    </row>
    <row r="22" spans="10:28">
      <c r="J22" s="227"/>
      <c r="K22" s="244"/>
      <c r="L22" s="245"/>
      <c r="M22" s="245"/>
      <c r="O22" s="252" t="s">
        <v>103</v>
      </c>
      <c r="P22" s="253"/>
      <c r="Q22" s="253"/>
      <c r="R22" s="248">
        <f>COUNTIF(Y7:Y13,"MEDIUM")</f>
        <v>0</v>
      </c>
      <c r="U22" s="265" t="s">
        <v>104</v>
      </c>
      <c r="V22" s="265"/>
      <c r="W22" s="265"/>
      <c r="X22" s="265">
        <f>'DONGARKERI-18'!G9</f>
        <v>29.0427214276843</v>
      </c>
      <c r="Y22" s="265" t="s">
        <v>105</v>
      </c>
      <c r="Z22" s="265"/>
      <c r="AA22" s="265"/>
      <c r="AB22" s="265">
        <f>R14</f>
        <v>26.8206962396134</v>
      </c>
    </row>
    <row r="23" spans="10:28">
      <c r="J23" s="228" t="s">
        <v>106</v>
      </c>
      <c r="K23" s="254"/>
      <c r="L23" s="255"/>
      <c r="M23" s="255">
        <f>COUNTIF(AA7:AA13,"CONGRESS")</f>
        <v>2</v>
      </c>
      <c r="O23" s="252"/>
      <c r="P23" s="253"/>
      <c r="Q23" s="253"/>
      <c r="R23" s="251"/>
      <c r="U23" s="265"/>
      <c r="V23" s="265"/>
      <c r="W23" s="265"/>
      <c r="X23" s="265"/>
      <c r="Y23" s="265"/>
      <c r="Z23" s="265"/>
      <c r="AA23" s="265"/>
      <c r="AB23" s="265"/>
    </row>
    <row r="24" spans="10:28">
      <c r="J24" s="229"/>
      <c r="K24" s="256"/>
      <c r="L24" s="257"/>
      <c r="M24" s="257"/>
      <c r="O24" s="258" t="s">
        <v>107</v>
      </c>
      <c r="P24" s="259"/>
      <c r="Q24" s="259"/>
      <c r="R24" s="248">
        <f>COUNTIF(Y7:Y13,"STRONG")</f>
        <v>5</v>
      </c>
      <c r="U24" s="265" t="s">
        <v>108</v>
      </c>
      <c r="V24" s="265"/>
      <c r="W24" s="265"/>
      <c r="X24" s="265">
        <f>'DONGARKERI-18'!C9</f>
        <v>5250</v>
      </c>
      <c r="Y24" s="265" t="s">
        <v>109</v>
      </c>
      <c r="Z24" s="265"/>
      <c r="AA24" s="265"/>
      <c r="AB24" s="265">
        <f>O14</f>
        <v>4718</v>
      </c>
    </row>
    <row r="25" spans="10:28">
      <c r="J25" s="230"/>
      <c r="K25" s="260"/>
      <c r="L25" s="261"/>
      <c r="M25" s="261"/>
      <c r="O25" s="262"/>
      <c r="P25" s="263"/>
      <c r="Q25" s="263"/>
      <c r="R25" s="251"/>
      <c r="U25" s="265"/>
      <c r="V25" s="265"/>
      <c r="W25" s="265"/>
      <c r="X25" s="265"/>
      <c r="Y25" s="265"/>
      <c r="Z25" s="265"/>
      <c r="AA25" s="265"/>
      <c r="AB25" s="265"/>
    </row>
    <row r="26" spans="15:28">
      <c r="O26" s="229" t="s">
        <v>110</v>
      </c>
      <c r="P26" s="256"/>
      <c r="Q26" s="256"/>
      <c r="R26" s="248">
        <f>COUNTIF(Y7:Y13,"LOST")</f>
        <v>2</v>
      </c>
      <c r="U26" s="265" t="s">
        <v>111</v>
      </c>
      <c r="V26" s="265"/>
      <c r="W26" s="265"/>
      <c r="X26" s="265">
        <f>X20-X22</f>
        <v>38.1569553952606</v>
      </c>
      <c r="Y26" s="265" t="s">
        <v>111</v>
      </c>
      <c r="Z26" s="265"/>
      <c r="AA26" s="265"/>
      <c r="AB26" s="265">
        <f>AB20-AB22</f>
        <v>44.443901980532</v>
      </c>
    </row>
    <row r="27" spans="15:28">
      <c r="O27" s="230"/>
      <c r="P27" s="260"/>
      <c r="Q27" s="260"/>
      <c r="R27" s="251"/>
      <c r="U27" s="265"/>
      <c r="V27" s="265"/>
      <c r="W27" s="265"/>
      <c r="X27" s="265"/>
      <c r="Y27" s="265"/>
      <c r="Z27" s="265"/>
      <c r="AA27" s="265"/>
      <c r="AB27" s="265"/>
    </row>
    <row r="28" spans="21:27">
      <c r="U28" s="265" t="s">
        <v>112</v>
      </c>
      <c r="V28" s="265"/>
      <c r="W28" s="265"/>
      <c r="X28" s="265">
        <f>AB20-X20</f>
        <v>4.06492139720059</v>
      </c>
      <c r="Y28" s="265"/>
      <c r="Z28" s="265"/>
      <c r="AA28" s="265"/>
    </row>
    <row r="29" spans="21:27">
      <c r="U29" s="265"/>
      <c r="V29" s="265"/>
      <c r="W29" s="265"/>
      <c r="X29" s="265"/>
      <c r="Y29" s="265"/>
      <c r="Z29" s="265"/>
      <c r="AA29" s="265"/>
    </row>
    <row r="30" spans="21:27">
      <c r="U30" s="265" t="s">
        <v>113</v>
      </c>
      <c r="V30" s="265"/>
      <c r="W30" s="265"/>
      <c r="X30" s="265">
        <f>AB22-X22</f>
        <v>-2.22202518807087</v>
      </c>
      <c r="Y30" s="265"/>
      <c r="Z30" s="265"/>
      <c r="AA30" s="265"/>
    </row>
    <row r="31" spans="21:27">
      <c r="U31" s="265"/>
      <c r="V31" s="265"/>
      <c r="W31" s="265"/>
      <c r="X31" s="265"/>
      <c r="Y31" s="265"/>
      <c r="Z31" s="265"/>
      <c r="AA31" s="265"/>
    </row>
    <row r="32" spans="21:27">
      <c r="U32" s="265" t="s">
        <v>114</v>
      </c>
      <c r="V32" s="265"/>
      <c r="W32" s="265"/>
      <c r="X32" s="265" t="str">
        <f>IF(X28&gt;X30,"INCREASE","DECREASE")</f>
        <v>INCREASE</v>
      </c>
      <c r="Y32" s="265"/>
      <c r="Z32" s="265"/>
      <c r="AA32" s="265"/>
    </row>
    <row r="33" spans="21:27">
      <c r="U33" s="265"/>
      <c r="V33" s="265"/>
      <c r="W33" s="265"/>
      <c r="X33" s="265"/>
      <c r="Y33" s="265"/>
      <c r="Z33" s="265"/>
      <c r="AA33" s="265"/>
    </row>
    <row r="34" spans="21:28">
      <c r="U34" s="265">
        <v>0</v>
      </c>
      <c r="V34" s="265"/>
      <c r="W34" s="265"/>
      <c r="X34" s="265"/>
      <c r="Y34" s="265"/>
      <c r="Z34" s="265"/>
      <c r="AA34" s="265"/>
      <c r="AB34" s="265"/>
    </row>
    <row r="35" spans="21:28">
      <c r="U35" s="265"/>
      <c r="V35" s="265"/>
      <c r="W35" s="265"/>
      <c r="X35" s="265"/>
      <c r="Y35" s="265"/>
      <c r="Z35" s="265"/>
      <c r="AA35" s="265"/>
      <c r="AB35" s="265"/>
    </row>
    <row r="36" spans="21:28">
      <c r="U36" s="265"/>
      <c r="V36" s="265"/>
      <c r="W36" s="265"/>
      <c r="X36" s="265"/>
      <c r="Y36" s="265"/>
      <c r="Z36" s="265"/>
      <c r="AA36" s="265"/>
      <c r="AB36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M20:M22"/>
    <mergeCell ref="M23:M25"/>
    <mergeCell ref="N1:N6"/>
    <mergeCell ref="O1:O6"/>
    <mergeCell ref="P1:P6"/>
    <mergeCell ref="Q1:Q6"/>
    <mergeCell ref="R1:R6"/>
    <mergeCell ref="R20:R21"/>
    <mergeCell ref="R22:R23"/>
    <mergeCell ref="R24:R25"/>
    <mergeCell ref="R26:R27"/>
    <mergeCell ref="S1:S6"/>
    <mergeCell ref="T1:T6"/>
    <mergeCell ref="U1:U6"/>
    <mergeCell ref="V1:V6"/>
    <mergeCell ref="W1:W6"/>
    <mergeCell ref="X1:X6"/>
    <mergeCell ref="X20:X21"/>
    <mergeCell ref="X22:X23"/>
    <mergeCell ref="X24:X25"/>
    <mergeCell ref="X26:X27"/>
    <mergeCell ref="Y1:Y6"/>
    <mergeCell ref="Z1:Z6"/>
    <mergeCell ref="AA1:AA6"/>
    <mergeCell ref="AB1:AB6"/>
    <mergeCell ref="AB20:AB21"/>
    <mergeCell ref="AB22:AB23"/>
    <mergeCell ref="AB24:AB25"/>
    <mergeCell ref="AB26:AB27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O26:Q27"/>
    <mergeCell ref="U26:W27"/>
    <mergeCell ref="J18:M19"/>
    <mergeCell ref="O18:R19"/>
    <mergeCell ref="J20:L22"/>
    <mergeCell ref="O20:Q21"/>
    <mergeCell ref="U20:W21"/>
    <mergeCell ref="O22:Q23"/>
    <mergeCell ref="U22:W23"/>
    <mergeCell ref="J23:L25"/>
    <mergeCell ref="O24:Q25"/>
    <mergeCell ref="U24:W25"/>
    <mergeCell ref="D1:K2"/>
    <mergeCell ref="U18:AB19"/>
    <mergeCell ref="Y20:AA21"/>
    <mergeCell ref="Y22:AA23"/>
    <mergeCell ref="Y24:AA25"/>
    <mergeCell ref="Y26:AA27"/>
    <mergeCell ref="U28:W29"/>
    <mergeCell ref="X28:AA29"/>
    <mergeCell ref="U34:AB36"/>
    <mergeCell ref="U30:W31"/>
    <mergeCell ref="X30:AA31"/>
    <mergeCell ref="U32:W33"/>
    <mergeCell ref="X32:Y33"/>
    <mergeCell ref="Z32:AA33"/>
  </mergeCells>
  <conditionalFormatting sqref="AR7:AR13">
    <cfRule type="containsText" dxfId="6" priority="1" operator="between" text="FEMALE DOM">
      <formula>NOT(ISERROR(SEARCH("FEMALE DOM",AR7)))</formula>
    </cfRule>
  </conditionalFormatting>
  <conditionalFormatting sqref="AZ7:AZ13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3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"/>
  <sheetViews>
    <sheetView workbookViewId="0">
      <selection activeCell="A1" sqref="A1:AJ1"/>
    </sheetView>
  </sheetViews>
  <sheetFormatPr defaultColWidth="9" defaultRowHeight="14.5"/>
  <cols>
    <col min="1" max="1" width="23.7090909090909" customWidth="1"/>
    <col min="2" max="2" width="19.1363636363636" customWidth="1"/>
  </cols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65</v>
      </c>
      <c r="B2" s="185" t="s">
        <v>254</v>
      </c>
      <c r="C2" s="184">
        <v>796</v>
      </c>
      <c r="D2" s="184">
        <v>672</v>
      </c>
      <c r="E2" s="184">
        <f t="shared" ref="E2:E8" si="0">(D2/C2)*100</f>
        <v>84.4221105527638</v>
      </c>
      <c r="F2" s="184">
        <v>86</v>
      </c>
      <c r="G2" s="184">
        <f t="shared" ref="G2:G8" si="1">(F2/C2)*100</f>
        <v>10.8040201005025</v>
      </c>
      <c r="H2" s="184">
        <v>4</v>
      </c>
      <c r="I2" s="184">
        <f t="shared" ref="I2:I8" si="2">(H2/C2)*100</f>
        <v>0.50251256281407</v>
      </c>
      <c r="J2" s="184">
        <v>1</v>
      </c>
      <c r="K2" s="184">
        <f t="shared" ref="K2:K8" si="3">(J2/C2)*100</f>
        <v>0.125628140703518</v>
      </c>
      <c r="L2" s="189">
        <v>676</v>
      </c>
      <c r="M2" s="189">
        <v>698</v>
      </c>
      <c r="N2" s="189">
        <f t="shared" ref="N2:N8" si="4">L2+M2</f>
        <v>1374</v>
      </c>
      <c r="O2" s="184">
        <v>796</v>
      </c>
      <c r="P2" s="190">
        <f t="shared" ref="P2:P8" si="5">O2/N2*100</f>
        <v>57.9330422125182</v>
      </c>
      <c r="Q2" s="184">
        <v>1353</v>
      </c>
      <c r="R2" s="184">
        <f t="shared" ref="R2:R8" si="6">(Q2/N2)*100</f>
        <v>98.471615720524</v>
      </c>
      <c r="S2" s="184">
        <f t="shared" ref="S2:S8" si="7">Q2-U2</f>
        <v>630</v>
      </c>
      <c r="T2" s="184">
        <f t="shared" ref="T2:T8" si="8">(S2/Q2)*100</f>
        <v>46.5631929046563</v>
      </c>
      <c r="U2" s="184">
        <v>723</v>
      </c>
      <c r="V2" s="191">
        <f t="shared" ref="V2:V8" si="9">IFERROR(U2/Q2*100,0)</f>
        <v>53.4368070953437</v>
      </c>
      <c r="W2" s="184">
        <v>21</v>
      </c>
      <c r="X2" s="184">
        <f t="shared" ref="X2:X8" si="10">100-R2</f>
        <v>1.52838427947599</v>
      </c>
      <c r="Y2" s="184">
        <f t="shared" ref="Y2:Y8" si="11">W2-AA2</f>
        <v>4</v>
      </c>
      <c r="Z2" s="193">
        <f t="shared" ref="Z2:Z8" si="12">(Y2/W2)*100</f>
        <v>19.047619047619</v>
      </c>
      <c r="AA2" s="193">
        <v>17</v>
      </c>
      <c r="AB2" s="194">
        <f t="shared" ref="AB2:AB8" si="13">IFERROR(AA2/W2*100,0)</f>
        <v>80.9523809523809</v>
      </c>
      <c r="AC2" s="193">
        <f t="shared" ref="AC2:AC8" si="14">U2+AA2</f>
        <v>740</v>
      </c>
      <c r="AD2" s="193" t="str">
        <f t="shared" ref="AD2:AD8" si="15">IF(P2&gt;80,"EXCELLENT",IF(P2&gt;70,"STRONG",IF(P2&gt;60,"AVG",IF(P2&gt;50,"WEAK",IF(P2&lt;50,"VLOW")))))</f>
        <v>WEAK</v>
      </c>
      <c r="AE2" s="195" t="str">
        <f t="shared" ref="AE2:AE8" si="16">IF(R2&gt;80,"EXCELLENT",IF(R2&gt;70,"STRONG",IF(R2&gt;60,"AVG",IF(R2&gt;50,"WEAK",IF(R2&lt;50,"VLOW")))))</f>
        <v>EXCELLENT</v>
      </c>
      <c r="AF2" s="193" t="str">
        <f t="shared" ref="AF2:AF8" si="17">IF(X2&gt;80,"EXCELLENT",IF(X2&gt;70,"STRONG",IF(X2&gt;60,"AVG",IF(X2&gt;50,"WEAK",IF(X2&lt;50,"VLOW")))))</f>
        <v>VLOW</v>
      </c>
      <c r="AG2" s="193" t="str">
        <f t="shared" ref="AG2:AG8" si="18">IF(M2&gt;L2,"FEMALE DOM","MEN")</f>
        <v>FEMALE DOM</v>
      </c>
      <c r="AH2" s="193" t="str">
        <f t="shared" ref="AH2:AH8" si="19">IF(T2&gt;Z2,"H","O")</f>
        <v>H</v>
      </c>
      <c r="AI2" s="197">
        <f t="shared" ref="AI2:AI5" si="20">E2-G2</f>
        <v>73.6180904522613</v>
      </c>
      <c r="AJ2" s="199" t="str">
        <f t="shared" ref="AJ2:AJ9" si="21">IF(E2&gt;G2,"BJP GAIN","CONGRESSGAIN")</f>
        <v>BJP GAIN</v>
      </c>
    </row>
    <row r="3" spans="1:36">
      <c r="A3" s="184">
        <v>66</v>
      </c>
      <c r="B3" s="185" t="s">
        <v>255</v>
      </c>
      <c r="C3" s="184">
        <v>981</v>
      </c>
      <c r="D3" s="184">
        <v>723</v>
      </c>
      <c r="E3" s="184">
        <f t="shared" si="0"/>
        <v>73.7003058103976</v>
      </c>
      <c r="F3" s="184">
        <v>230</v>
      </c>
      <c r="G3" s="184">
        <f t="shared" si="1"/>
        <v>23.4454638124363</v>
      </c>
      <c r="H3" s="184">
        <v>0</v>
      </c>
      <c r="I3" s="184">
        <f t="shared" si="2"/>
        <v>0</v>
      </c>
      <c r="J3" s="184">
        <v>4</v>
      </c>
      <c r="K3" s="184">
        <f t="shared" si="3"/>
        <v>0.407747196738022</v>
      </c>
      <c r="L3" s="189">
        <v>705</v>
      </c>
      <c r="M3" s="189">
        <v>769</v>
      </c>
      <c r="N3" s="189">
        <f t="shared" si="4"/>
        <v>1474</v>
      </c>
      <c r="O3" s="184">
        <v>981</v>
      </c>
      <c r="P3" s="190">
        <f t="shared" si="5"/>
        <v>66.5535956580733</v>
      </c>
      <c r="Q3" s="184">
        <v>1270</v>
      </c>
      <c r="R3" s="184">
        <f t="shared" si="6"/>
        <v>86.1601085481682</v>
      </c>
      <c r="S3" s="192">
        <f t="shared" si="7"/>
        <v>431</v>
      </c>
      <c r="T3" s="184">
        <f t="shared" si="8"/>
        <v>33.9370078740157</v>
      </c>
      <c r="U3" s="184">
        <v>839</v>
      </c>
      <c r="V3" s="191">
        <f t="shared" si="9"/>
        <v>66.0629921259843</v>
      </c>
      <c r="W3" s="184">
        <v>204</v>
      </c>
      <c r="X3" s="184">
        <f t="shared" si="10"/>
        <v>13.8398914518318</v>
      </c>
      <c r="Y3" s="184">
        <f t="shared" si="11"/>
        <v>74</v>
      </c>
      <c r="Z3" s="193">
        <f t="shared" si="12"/>
        <v>36.2745098039216</v>
      </c>
      <c r="AA3" s="193">
        <v>130</v>
      </c>
      <c r="AB3" s="194">
        <f t="shared" si="13"/>
        <v>63.7254901960784</v>
      </c>
      <c r="AC3" s="193">
        <f t="shared" si="14"/>
        <v>969</v>
      </c>
      <c r="AD3" s="193" t="str">
        <f t="shared" si="15"/>
        <v>AVG</v>
      </c>
      <c r="AE3" s="195" t="str">
        <f t="shared" si="16"/>
        <v>EXCELLENT</v>
      </c>
      <c r="AF3" s="193" t="str">
        <f t="shared" si="17"/>
        <v>VLOW</v>
      </c>
      <c r="AG3" s="193" t="str">
        <f t="shared" si="18"/>
        <v>FEMALE DOM</v>
      </c>
      <c r="AH3" s="193" t="str">
        <f t="shared" si="19"/>
        <v>O</v>
      </c>
      <c r="AI3" s="197">
        <f t="shared" si="20"/>
        <v>50.2548419979613</v>
      </c>
      <c r="AJ3" s="199" t="str">
        <f t="shared" si="21"/>
        <v>BJP GAIN</v>
      </c>
    </row>
    <row r="4" spans="1:36">
      <c r="A4" s="184">
        <v>67</v>
      </c>
      <c r="B4" s="185" t="s">
        <v>256</v>
      </c>
      <c r="C4" s="184">
        <v>812</v>
      </c>
      <c r="D4" s="184">
        <v>682</v>
      </c>
      <c r="E4" s="184">
        <f t="shared" si="0"/>
        <v>83.9901477832512</v>
      </c>
      <c r="F4" s="184">
        <v>98</v>
      </c>
      <c r="G4" s="184">
        <f t="shared" si="1"/>
        <v>12.0689655172414</v>
      </c>
      <c r="H4" s="184">
        <v>1</v>
      </c>
      <c r="I4" s="184">
        <f t="shared" si="2"/>
        <v>0.123152709359606</v>
      </c>
      <c r="J4" s="184">
        <v>3</v>
      </c>
      <c r="K4" s="184">
        <f t="shared" si="3"/>
        <v>0.369458128078818</v>
      </c>
      <c r="L4" s="189">
        <v>632</v>
      </c>
      <c r="M4" s="189">
        <v>597</v>
      </c>
      <c r="N4" s="189">
        <f t="shared" si="4"/>
        <v>1229</v>
      </c>
      <c r="O4" s="184">
        <v>812</v>
      </c>
      <c r="P4" s="190">
        <f t="shared" si="5"/>
        <v>66.0699755899105</v>
      </c>
      <c r="Q4" s="184">
        <v>1218</v>
      </c>
      <c r="R4" s="184">
        <f t="shared" si="6"/>
        <v>99.1049633848657</v>
      </c>
      <c r="S4" s="192">
        <f t="shared" si="7"/>
        <v>424</v>
      </c>
      <c r="T4" s="184">
        <f t="shared" si="8"/>
        <v>34.8111658456486</v>
      </c>
      <c r="U4" s="184">
        <v>794</v>
      </c>
      <c r="V4" s="191">
        <f t="shared" si="9"/>
        <v>65.1888341543514</v>
      </c>
      <c r="W4" s="184">
        <v>11</v>
      </c>
      <c r="X4" s="184">
        <f t="shared" si="10"/>
        <v>0.895036615134259</v>
      </c>
      <c r="Y4" s="196">
        <f t="shared" si="11"/>
        <v>1</v>
      </c>
      <c r="Z4" s="193">
        <f t="shared" si="12"/>
        <v>9.09090909090909</v>
      </c>
      <c r="AA4" s="193">
        <v>10</v>
      </c>
      <c r="AB4" s="194">
        <f t="shared" si="13"/>
        <v>90.9090909090909</v>
      </c>
      <c r="AC4" s="193">
        <f t="shared" si="14"/>
        <v>804</v>
      </c>
      <c r="AD4" s="193" t="str">
        <f t="shared" si="15"/>
        <v>AVG</v>
      </c>
      <c r="AE4" s="195" t="str">
        <f t="shared" si="16"/>
        <v>EXCELLENT</v>
      </c>
      <c r="AF4" s="193" t="str">
        <f t="shared" si="17"/>
        <v>VLOW</v>
      </c>
      <c r="AG4" s="193" t="str">
        <f t="shared" si="18"/>
        <v>MEN</v>
      </c>
      <c r="AH4" s="193" t="str">
        <f t="shared" si="19"/>
        <v>H</v>
      </c>
      <c r="AI4" s="197">
        <f t="shared" si="20"/>
        <v>71.9211822660099</v>
      </c>
      <c r="AJ4" s="199" t="str">
        <f t="shared" si="21"/>
        <v>BJP GAIN</v>
      </c>
    </row>
    <row r="5" spans="1:36">
      <c r="A5" s="197">
        <v>98</v>
      </c>
      <c r="B5" s="425" t="s">
        <v>257</v>
      </c>
      <c r="C5" s="197">
        <v>772</v>
      </c>
      <c r="D5" s="197">
        <v>618</v>
      </c>
      <c r="E5" s="197">
        <f t="shared" si="0"/>
        <v>80.0518134715026</v>
      </c>
      <c r="F5" s="197">
        <v>116</v>
      </c>
      <c r="G5" s="197">
        <f t="shared" si="1"/>
        <v>15.0259067357513</v>
      </c>
      <c r="H5" s="197">
        <v>1</v>
      </c>
      <c r="I5" s="197">
        <f t="shared" si="2"/>
        <v>0.129533678756477</v>
      </c>
      <c r="J5" s="197">
        <v>2</v>
      </c>
      <c r="K5" s="197">
        <f t="shared" si="3"/>
        <v>0.259067357512953</v>
      </c>
      <c r="L5" s="426">
        <v>602</v>
      </c>
      <c r="M5" s="426">
        <v>651</v>
      </c>
      <c r="N5" s="426">
        <f t="shared" si="4"/>
        <v>1253</v>
      </c>
      <c r="O5" s="197">
        <v>772</v>
      </c>
      <c r="P5" s="427">
        <f t="shared" si="5"/>
        <v>61.6121308858739</v>
      </c>
      <c r="Q5" s="197"/>
      <c r="R5" s="197">
        <f t="shared" si="6"/>
        <v>0</v>
      </c>
      <c r="S5" s="197">
        <f t="shared" si="7"/>
        <v>0</v>
      </c>
      <c r="T5" s="197" t="e">
        <f t="shared" si="8"/>
        <v>#DIV/0!</v>
      </c>
      <c r="U5" s="197"/>
      <c r="V5" s="428">
        <f t="shared" si="9"/>
        <v>0</v>
      </c>
      <c r="W5" s="197"/>
      <c r="X5" s="197">
        <f t="shared" si="10"/>
        <v>100</v>
      </c>
      <c r="Y5" s="197">
        <f t="shared" si="11"/>
        <v>0</v>
      </c>
      <c r="Z5" s="197" t="e">
        <f t="shared" si="12"/>
        <v>#DIV/0!</v>
      </c>
      <c r="AA5" s="197"/>
      <c r="AB5" s="428">
        <f t="shared" si="13"/>
        <v>0</v>
      </c>
      <c r="AC5" s="197">
        <f t="shared" si="14"/>
        <v>0</v>
      </c>
      <c r="AD5" s="193" t="str">
        <f t="shared" si="15"/>
        <v>AVG</v>
      </c>
      <c r="AE5" s="195" t="str">
        <f t="shared" si="16"/>
        <v>VLOW</v>
      </c>
      <c r="AF5" s="193" t="str">
        <f t="shared" si="17"/>
        <v>EXCELLENT</v>
      </c>
      <c r="AG5" s="193" t="str">
        <f t="shared" si="18"/>
        <v>FEMALE DOM</v>
      </c>
      <c r="AH5" s="193" t="e">
        <f t="shared" si="19"/>
        <v>#DIV/0!</v>
      </c>
      <c r="AI5" s="197">
        <f t="shared" si="20"/>
        <v>65.0259067357513</v>
      </c>
      <c r="AJ5" s="199" t="str">
        <f t="shared" si="21"/>
        <v>BJP GAIN</v>
      </c>
    </row>
    <row r="6" spans="1:36">
      <c r="A6" s="184">
        <v>100</v>
      </c>
      <c r="B6" s="185" t="s">
        <v>258</v>
      </c>
      <c r="C6" s="184">
        <v>506</v>
      </c>
      <c r="D6" s="184">
        <v>143</v>
      </c>
      <c r="E6" s="184">
        <f t="shared" si="0"/>
        <v>28.2608695652174</v>
      </c>
      <c r="F6" s="184">
        <v>350</v>
      </c>
      <c r="G6" s="184">
        <f t="shared" si="1"/>
        <v>69.1699604743083</v>
      </c>
      <c r="H6" s="184">
        <v>2</v>
      </c>
      <c r="I6" s="184">
        <f t="shared" si="2"/>
        <v>0.395256916996047</v>
      </c>
      <c r="J6" s="184">
        <v>2</v>
      </c>
      <c r="K6" s="184">
        <f t="shared" si="3"/>
        <v>0.395256916996047</v>
      </c>
      <c r="L6" s="189">
        <v>365</v>
      </c>
      <c r="M6" s="189">
        <v>365</v>
      </c>
      <c r="N6" s="189">
        <f t="shared" si="4"/>
        <v>730</v>
      </c>
      <c r="O6" s="184">
        <v>506</v>
      </c>
      <c r="P6" s="190">
        <f t="shared" si="5"/>
        <v>69.3150684931507</v>
      </c>
      <c r="Q6" s="184"/>
      <c r="R6" s="184">
        <f t="shared" si="6"/>
        <v>0</v>
      </c>
      <c r="S6" s="184">
        <f t="shared" si="7"/>
        <v>0</v>
      </c>
      <c r="T6" s="184" t="e">
        <f t="shared" si="8"/>
        <v>#DIV/0!</v>
      </c>
      <c r="U6" s="184"/>
      <c r="V6" s="191">
        <f t="shared" si="9"/>
        <v>0</v>
      </c>
      <c r="W6" s="184"/>
      <c r="X6" s="184">
        <f t="shared" si="10"/>
        <v>100</v>
      </c>
      <c r="Y6" s="196">
        <f t="shared" si="11"/>
        <v>0</v>
      </c>
      <c r="Z6" s="193" t="e">
        <f t="shared" si="12"/>
        <v>#DIV/0!</v>
      </c>
      <c r="AA6" s="193"/>
      <c r="AB6" s="194">
        <f t="shared" si="13"/>
        <v>0</v>
      </c>
      <c r="AC6" s="193">
        <f t="shared" si="14"/>
        <v>0</v>
      </c>
      <c r="AD6" s="193" t="str">
        <f t="shared" si="15"/>
        <v>AVG</v>
      </c>
      <c r="AE6" s="195" t="str">
        <f t="shared" si="16"/>
        <v>VLOW</v>
      </c>
      <c r="AF6" s="193" t="str">
        <f t="shared" si="17"/>
        <v>EXCELLENT</v>
      </c>
      <c r="AG6" s="193" t="str">
        <f t="shared" si="18"/>
        <v>MEN</v>
      </c>
      <c r="AH6" s="193" t="e">
        <f t="shared" si="19"/>
        <v>#DIV/0!</v>
      </c>
      <c r="AI6" s="197">
        <f>G6-E6</f>
        <v>40.9090909090909</v>
      </c>
      <c r="AJ6" s="198" t="str">
        <f t="shared" si="21"/>
        <v>CONGRESSGAIN</v>
      </c>
    </row>
    <row r="7" spans="1:36">
      <c r="A7" s="184">
        <v>102</v>
      </c>
      <c r="B7" s="185" t="s">
        <v>259</v>
      </c>
      <c r="C7" s="184">
        <v>820</v>
      </c>
      <c r="D7" s="184">
        <v>675</v>
      </c>
      <c r="E7" s="184">
        <f t="shared" si="0"/>
        <v>82.3170731707317</v>
      </c>
      <c r="F7" s="184">
        <v>106</v>
      </c>
      <c r="G7" s="184">
        <f t="shared" si="1"/>
        <v>12.9268292682927</v>
      </c>
      <c r="H7" s="184">
        <v>1</v>
      </c>
      <c r="I7" s="184">
        <f t="shared" si="2"/>
        <v>0.121951219512195</v>
      </c>
      <c r="J7" s="184">
        <v>1</v>
      </c>
      <c r="K7" s="184">
        <f t="shared" si="3"/>
        <v>0.121951219512195</v>
      </c>
      <c r="L7" s="189">
        <v>580</v>
      </c>
      <c r="M7" s="189">
        <v>608</v>
      </c>
      <c r="N7" s="189">
        <f t="shared" si="4"/>
        <v>1188</v>
      </c>
      <c r="O7" s="184">
        <v>820</v>
      </c>
      <c r="P7" s="190">
        <f t="shared" si="5"/>
        <v>69.023569023569</v>
      </c>
      <c r="Q7" s="184">
        <v>1133</v>
      </c>
      <c r="R7" s="184">
        <f t="shared" si="6"/>
        <v>95.3703703703704</v>
      </c>
      <c r="S7" s="184">
        <f t="shared" si="7"/>
        <v>318</v>
      </c>
      <c r="T7" s="184">
        <f t="shared" si="8"/>
        <v>28.0670785525154</v>
      </c>
      <c r="U7" s="184">
        <v>815</v>
      </c>
      <c r="V7" s="191">
        <f t="shared" si="9"/>
        <v>71.9329214474846</v>
      </c>
      <c r="W7" s="184">
        <v>5</v>
      </c>
      <c r="X7" s="184">
        <f t="shared" si="10"/>
        <v>4.62962962962963</v>
      </c>
      <c r="Y7" s="184">
        <f t="shared" si="11"/>
        <v>2</v>
      </c>
      <c r="Z7" s="193">
        <f t="shared" si="12"/>
        <v>40</v>
      </c>
      <c r="AA7" s="193">
        <v>3</v>
      </c>
      <c r="AB7" s="194">
        <f t="shared" si="13"/>
        <v>60</v>
      </c>
      <c r="AC7" s="193">
        <f t="shared" si="14"/>
        <v>818</v>
      </c>
      <c r="AD7" s="193" t="str">
        <f t="shared" si="15"/>
        <v>AVG</v>
      </c>
      <c r="AE7" s="195" t="str">
        <f t="shared" si="16"/>
        <v>EXCELLENT</v>
      </c>
      <c r="AF7" s="193" t="str">
        <f t="shared" si="17"/>
        <v>VLOW</v>
      </c>
      <c r="AG7" s="193" t="str">
        <f t="shared" si="18"/>
        <v>FEMALE DOM</v>
      </c>
      <c r="AH7" s="193" t="str">
        <f t="shared" si="19"/>
        <v>O</v>
      </c>
      <c r="AI7" s="197">
        <f>E7-G7</f>
        <v>69.390243902439</v>
      </c>
      <c r="AJ7" s="199" t="str">
        <f t="shared" si="21"/>
        <v>BJP GAIN</v>
      </c>
    </row>
    <row r="8" spans="1:36">
      <c r="A8" s="184">
        <v>103</v>
      </c>
      <c r="B8" s="185" t="s">
        <v>260</v>
      </c>
      <c r="C8" s="184">
        <v>563</v>
      </c>
      <c r="D8" s="184">
        <v>212</v>
      </c>
      <c r="E8" s="184">
        <f t="shared" si="0"/>
        <v>37.6554174067496</v>
      </c>
      <c r="F8" s="184">
        <v>337</v>
      </c>
      <c r="G8" s="184">
        <f t="shared" si="1"/>
        <v>59.8579040852576</v>
      </c>
      <c r="H8" s="184">
        <v>0</v>
      </c>
      <c r="I8" s="184">
        <f t="shared" si="2"/>
        <v>0</v>
      </c>
      <c r="J8" s="184">
        <v>3</v>
      </c>
      <c r="K8" s="184">
        <f t="shared" si="3"/>
        <v>0.532859680284192</v>
      </c>
      <c r="L8" s="189">
        <v>422</v>
      </c>
      <c r="M8" s="189">
        <v>398</v>
      </c>
      <c r="N8" s="189">
        <f t="shared" si="4"/>
        <v>820</v>
      </c>
      <c r="O8" s="184">
        <v>563</v>
      </c>
      <c r="P8" s="190">
        <f t="shared" si="5"/>
        <v>68.6585365853659</v>
      </c>
      <c r="Q8" s="184">
        <v>392</v>
      </c>
      <c r="R8" s="184">
        <f t="shared" si="6"/>
        <v>47.8048780487805</v>
      </c>
      <c r="S8" s="192">
        <f t="shared" si="7"/>
        <v>124</v>
      </c>
      <c r="T8" s="184">
        <f t="shared" si="8"/>
        <v>31.6326530612245</v>
      </c>
      <c r="U8" s="184">
        <v>268</v>
      </c>
      <c r="V8" s="191">
        <f t="shared" si="9"/>
        <v>68.3673469387755</v>
      </c>
      <c r="W8" s="184">
        <f>390+38</f>
        <v>428</v>
      </c>
      <c r="X8" s="184">
        <f t="shared" si="10"/>
        <v>52.1951219512195</v>
      </c>
      <c r="Y8" s="196">
        <f t="shared" si="11"/>
        <v>136</v>
      </c>
      <c r="Z8" s="193">
        <f t="shared" si="12"/>
        <v>31.7757009345794</v>
      </c>
      <c r="AA8" s="193">
        <f>269+23</f>
        <v>292</v>
      </c>
      <c r="AB8" s="194">
        <f t="shared" si="13"/>
        <v>68.2242990654206</v>
      </c>
      <c r="AC8" s="193">
        <f t="shared" si="14"/>
        <v>560</v>
      </c>
      <c r="AD8" s="193" t="str">
        <f t="shared" si="15"/>
        <v>AVG</v>
      </c>
      <c r="AE8" s="195" t="str">
        <f t="shared" si="16"/>
        <v>VLOW</v>
      </c>
      <c r="AF8" s="193" t="str">
        <f t="shared" si="17"/>
        <v>WEAK</v>
      </c>
      <c r="AG8" s="193" t="str">
        <f t="shared" si="18"/>
        <v>MEN</v>
      </c>
      <c r="AH8" s="193" t="str">
        <f t="shared" si="19"/>
        <v>O</v>
      </c>
      <c r="AI8" s="197">
        <f>G8-E8</f>
        <v>22.202486678508</v>
      </c>
      <c r="AJ8" s="198" t="str">
        <f t="shared" si="21"/>
        <v>CONGRESSGAIN</v>
      </c>
    </row>
    <row r="9" spans="3:36">
      <c r="C9">
        <f>SUM(C2:C8)</f>
        <v>5250</v>
      </c>
      <c r="D9">
        <f>SUM(D2:D8)</f>
        <v>3725</v>
      </c>
      <c r="E9" s="186">
        <f>AVERAGE(E2:E8)</f>
        <v>67.1996768229448</v>
      </c>
      <c r="F9">
        <f>SUM(F2:F8)</f>
        <v>1323</v>
      </c>
      <c r="G9" s="186">
        <f>AVERAGE(G2:G8)</f>
        <v>29.0427214276843</v>
      </c>
      <c r="H9">
        <f>SUM(H2:H8)</f>
        <v>9</v>
      </c>
      <c r="I9" s="186">
        <f>AVERAGE(I2:I8)</f>
        <v>0.181772441062628</v>
      </c>
      <c r="J9">
        <f>SUM(J2:J8)</f>
        <v>16</v>
      </c>
      <c r="K9" s="186">
        <f>AVERAGE(K2:K8)</f>
        <v>0.315995519975106</v>
      </c>
      <c r="AJ9" s="335" t="str">
        <f t="shared" si="21"/>
        <v>BJP GAIN</v>
      </c>
    </row>
  </sheetData>
  <conditionalFormatting sqref="AD5">
    <cfRule type="containsText" dxfId="8" priority="45" operator="between" text="AVG">
      <formula>NOT(ISERROR(SEARCH("AVG",AD5)))</formula>
    </cfRule>
    <cfRule type="cellIs" dxfId="9" priority="44" operator="equal">
      <formula>"STRONG"</formula>
    </cfRule>
    <cfRule type="containsText" dxfId="3" priority="43" operator="between" text="VSTRONG">
      <formula>NOT(ISERROR(SEARCH("VSTRONG",AD5)))</formula>
    </cfRule>
    <cfRule type="containsText" dxfId="10" priority="35" operator="between" text="AVG">
      <formula>NOT(ISERROR(SEARCH("AVG",AD5)))</formula>
    </cfRule>
  </conditionalFormatting>
  <conditionalFormatting sqref="AE5">
    <cfRule type="containsText" dxfId="3" priority="39" operator="between" text="STRONG">
      <formula>NOT(ISERROR(SEARCH("STRONG",AE5)))</formula>
    </cfRule>
    <cfRule type="containsText" dxfId="1" priority="37" operator="between" text="VSTRONG">
      <formula>NOT(ISERROR(SEARCH("VSTRONG",AE5)))</formula>
    </cfRule>
  </conditionalFormatting>
  <conditionalFormatting sqref="AE5:AF5">
    <cfRule type="containsText" dxfId="2" priority="38" operator="between" text="AVG">
      <formula>NOT(ISERROR(SEARCH("AVG",AE5)))</formula>
    </cfRule>
  </conditionalFormatting>
  <conditionalFormatting sqref="AF5">
    <cfRule type="cellIs" dxfId="11" priority="33" operator="equal">
      <formula>"VWEAK"</formula>
    </cfRule>
    <cfRule type="containsText" dxfId="0" priority="32" operator="between" text="VSTRONG">
      <formula>NOT(ISERROR(SEARCH("VSTRONG",AF5)))</formula>
    </cfRule>
  </conditionalFormatting>
  <conditionalFormatting sqref="AG5">
    <cfRule type="containsText" dxfId="12" priority="36" operator="between" text="FEMALE DOM">
      <formula>NOT(ISERROR(SEARCH("FEMALE DOM",AG5)))</formula>
    </cfRule>
    <cfRule type="containsText" dxfId="10" priority="31" operator="between" text="MEN">
      <formula>NOT(ISERROR(SEARCH("MEN",AG5)))</formula>
    </cfRule>
  </conditionalFormatting>
  <conditionalFormatting sqref="AH5">
    <cfRule type="containsText" dxfId="0" priority="42" operator="between" text="O">
      <formula>NOT(ISERROR(SEARCH("O",AH5)))</formula>
    </cfRule>
    <cfRule type="containsText" dxfId="3" priority="40" operator="between" text="H">
      <formula>NOT(ISERROR(SEARCH("H",AH5)))</formula>
    </cfRule>
    <cfRule type="containsText" dxfId="13" priority="41" operator="between" text="H">
      <formula>NOT(ISERROR(SEARCH("H",AH5)))</formula>
    </cfRule>
    <cfRule type="containsText" dxfId="1" priority="34" operator="between" text="H">
      <formula>NOT(ISERROR(SEARCH("H",AH5)))</formula>
    </cfRule>
  </conditionalFormatting>
  <conditionalFormatting sqref="AD6">
    <cfRule type="containsText" dxfId="8" priority="30" operator="between" text="AVG">
      <formula>NOT(ISERROR(SEARCH("AVG",AD6)))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NOT(ISERROR(SEARCH("VSTRONG",AD6)))</formula>
    </cfRule>
    <cfRule type="containsText" dxfId="10" priority="20" operator="between" text="AVG">
      <formula>NOT(ISERROR(SEARCH("AVG",AD6)))</formula>
    </cfRule>
  </conditionalFormatting>
  <conditionalFormatting sqref="AE6">
    <cfRule type="containsText" dxfId="3" priority="24" operator="between" text="STRONG">
      <formula>NOT(ISERROR(SEARCH("STRONG",AE6)))</formula>
    </cfRule>
    <cfRule type="containsText" dxfId="1" priority="22" operator="between" text="VSTRONG">
      <formula>NOT(ISERROR(SEARCH("VSTRONG",AE6)))</formula>
    </cfRule>
  </conditionalFormatting>
  <conditionalFormatting sqref="AE6:AF6">
    <cfRule type="containsText" dxfId="2" priority="23" operator="between" text="AVG">
      <formula>NOT(ISERROR(SEARCH("AVG",AE6)))</formula>
    </cfRule>
  </conditionalFormatting>
  <conditionalFormatting sqref="AF6">
    <cfRule type="cellIs" dxfId="11" priority="18" operator="equal">
      <formula>"VWEAK"</formula>
    </cfRule>
    <cfRule type="containsText" dxfId="0" priority="17" operator="between" text="VSTRONG">
      <formula>NOT(ISERROR(SEARCH("VSTRONG",AF6)))</formula>
    </cfRule>
  </conditionalFormatting>
  <conditionalFormatting sqref="AG6">
    <cfRule type="containsText" dxfId="12" priority="21" operator="between" text="FEMALE DOM">
      <formula>NOT(ISERROR(SEARCH("FEMALE DOM",AG6)))</formula>
    </cfRule>
    <cfRule type="containsText" dxfId="10" priority="16" operator="between" text="MEN">
      <formula>NOT(ISERROR(SEARCH("MEN",AG6)))</formula>
    </cfRule>
  </conditionalFormatting>
  <conditionalFormatting sqref="AH6">
    <cfRule type="containsText" dxfId="0" priority="27" operator="between" text="O">
      <formula>NOT(ISERROR(SEARCH("O",AH6)))</formula>
    </cfRule>
    <cfRule type="containsText" dxfId="3" priority="25" operator="between" text="H">
      <formula>NOT(ISERROR(SEARCH("H",AH6)))</formula>
    </cfRule>
    <cfRule type="containsText" dxfId="13" priority="26" operator="between" text="H">
      <formula>NOT(ISERROR(SEARCH("H",AH6)))</formula>
    </cfRule>
    <cfRule type="containsText" dxfId="1" priority="19" operator="between" text="H">
      <formula>NOT(ISERROR(SEARCH("H",AH6)))</formula>
    </cfRule>
  </conditionalFormatting>
  <conditionalFormatting sqref="AD2:AD4">
    <cfRule type="containsText" dxfId="8" priority="60" operator="between" text="AVG">
      <formula>NOT(ISERROR(SEARCH("AVG",AD2)))</formula>
    </cfRule>
    <cfRule type="cellIs" dxfId="9" priority="59" operator="equal">
      <formula>"STRONG"</formula>
    </cfRule>
    <cfRule type="containsText" dxfId="3" priority="58" operator="between" text="VSTRONG">
      <formula>NOT(ISERROR(SEARCH("VSTRONG",AD2)))</formula>
    </cfRule>
    <cfRule type="containsText" dxfId="10" priority="50" operator="between" text="AVG">
      <formula>NOT(ISERROR(SEARCH("AVG",AD2)))</formula>
    </cfRule>
  </conditionalFormatting>
  <conditionalFormatting sqref="AD7:AD8">
    <cfRule type="containsText" dxfId="8" priority="15" operator="between" text="AVG">
      <formula>NOT(ISERROR(SEARCH("AVG",AD7)))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NOT(ISERROR(SEARCH("VSTRONG",AD7)))</formula>
    </cfRule>
    <cfRule type="containsText" dxfId="10" priority="5" operator="between" text="AVG">
      <formula>NOT(ISERROR(SEARCH("AVG",AD7)))</formula>
    </cfRule>
  </conditionalFormatting>
  <conditionalFormatting sqref="AE2:AE4">
    <cfRule type="containsText" dxfId="3" priority="54" operator="between" text="STRONG">
      <formula>NOT(ISERROR(SEARCH("STRONG",AE2)))</formula>
    </cfRule>
    <cfRule type="containsText" dxfId="1" priority="52" operator="between" text="VSTRONG">
      <formula>NOT(ISERROR(SEARCH("VSTRONG",AE2)))</formula>
    </cfRule>
  </conditionalFormatting>
  <conditionalFormatting sqref="AE7:AE8">
    <cfRule type="containsText" dxfId="3" priority="9" operator="between" text="STRONG">
      <formula>NOT(ISERROR(SEARCH("STRONG",AE7)))</formula>
    </cfRule>
    <cfRule type="containsText" dxfId="1" priority="7" operator="between" text="VSTRONG">
      <formula>NOT(ISERROR(SEARCH("VSTRONG",AE7)))</formula>
    </cfRule>
  </conditionalFormatting>
  <conditionalFormatting sqref="AF2:AF4">
    <cfRule type="cellIs" dxfId="11" priority="48" operator="equal">
      <formula>"VWEAK"</formula>
    </cfRule>
    <cfRule type="containsText" dxfId="0" priority="47" operator="between" text="VSTRONG">
      <formula>NOT(ISERROR(SEARCH("VSTRONG",AF2)))</formula>
    </cfRule>
  </conditionalFormatting>
  <conditionalFormatting sqref="AF7:AF8">
    <cfRule type="cellIs" dxfId="11" priority="3" operator="equal">
      <formula>"VWEAK"</formula>
    </cfRule>
    <cfRule type="containsText" dxfId="0" priority="2" operator="between" text="VSTRONG">
      <formula>NOT(ISERROR(SEARCH("VSTRONG",AF7)))</formula>
    </cfRule>
  </conditionalFormatting>
  <conditionalFormatting sqref="AG2:AG4">
    <cfRule type="containsText" dxfId="12" priority="51" operator="between" text="FEMALE DOM">
      <formula>NOT(ISERROR(SEARCH("FEMALE DOM",AG2)))</formula>
    </cfRule>
    <cfRule type="containsText" dxfId="10" priority="46" operator="between" text="MEN">
      <formula>NOT(ISERROR(SEARCH("MEN",AG2)))</formula>
    </cfRule>
  </conditionalFormatting>
  <conditionalFormatting sqref="AG7:AG8">
    <cfRule type="containsText" dxfId="12" priority="6" operator="between" text="FEMALE DOM">
      <formula>NOT(ISERROR(SEARCH("FEMALE DOM",AG7)))</formula>
    </cfRule>
    <cfRule type="containsText" dxfId="10" priority="1" operator="between" text="MEN">
      <formula>NOT(ISERROR(SEARCH("MEN",AG7)))</formula>
    </cfRule>
  </conditionalFormatting>
  <conditionalFormatting sqref="AH2:AH4">
    <cfRule type="containsText" dxfId="0" priority="57" operator="between" text="O">
      <formula>NOT(ISERROR(SEARCH("O",AH2)))</formula>
    </cfRule>
    <cfRule type="containsText" dxfId="3" priority="55" operator="between" text="H">
      <formula>NOT(ISERROR(SEARCH("H",AH2)))</formula>
    </cfRule>
    <cfRule type="containsText" dxfId="13" priority="56" operator="between" text="H">
      <formula>NOT(ISERROR(SEARCH("H",AH2)))</formula>
    </cfRule>
    <cfRule type="containsText" dxfId="1" priority="49" operator="between" text="H">
      <formula>NOT(ISERROR(SEARCH("H",AH2)))</formula>
    </cfRule>
  </conditionalFormatting>
  <conditionalFormatting sqref="AH7:AH8">
    <cfRule type="containsText" dxfId="0" priority="12" operator="between" text="O">
      <formula>NOT(ISERROR(SEARCH("O",AH7)))</formula>
    </cfRule>
    <cfRule type="containsText" dxfId="3" priority="10" operator="between" text="H">
      <formula>NOT(ISERROR(SEARCH("H",AH7)))</formula>
    </cfRule>
    <cfRule type="containsText" dxfId="13" priority="11" operator="between" text="H">
      <formula>NOT(ISERROR(SEARCH("H",AH7)))</formula>
    </cfRule>
    <cfRule type="containsText" dxfId="1" priority="4" operator="between" text="H">
      <formula>NOT(ISERROR(SEARCH("H",AH7)))</formula>
    </cfRule>
  </conditionalFormatting>
  <conditionalFormatting sqref="AE2:AF4">
    <cfRule type="containsText" dxfId="2" priority="53" operator="between" text="AVG">
      <formula>NOT(ISERROR(SEARCH("AVG",AE2)))</formula>
    </cfRule>
  </conditionalFormatting>
  <conditionalFormatting sqref="AE7:AF8">
    <cfRule type="containsText" dxfId="2" priority="8" operator="between" text="AVG">
      <formula>NOT(ISERROR(SEARCH("AVG",AE7)))</formula>
    </cfRule>
  </conditionalFormatting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BA36"/>
  <sheetViews>
    <sheetView zoomScale="106" zoomScaleNormal="106" topLeftCell="AK1" workbookViewId="0">
      <selection activeCell="AN7" sqref="AN7:BA14"/>
    </sheetView>
  </sheetViews>
  <sheetFormatPr defaultColWidth="9" defaultRowHeight="14.5"/>
  <cols>
    <col min="26" max="26" width="12.5727272727273" customWidth="1"/>
    <col min="27" max="27" width="13.2818181818182" customWidth="1"/>
  </cols>
  <sheetData>
    <row r="1" spans="1:53">
      <c r="A1" s="211" t="s">
        <v>16</v>
      </c>
      <c r="B1" s="264" t="s">
        <v>177</v>
      </c>
      <c r="C1" s="203" t="s">
        <v>15</v>
      </c>
      <c r="D1" s="203" t="s">
        <v>1</v>
      </c>
      <c r="E1" s="204"/>
      <c r="F1" s="204"/>
      <c r="G1" s="204"/>
      <c r="H1" s="204"/>
      <c r="I1" s="204"/>
      <c r="J1" s="204"/>
      <c r="K1" s="209"/>
      <c r="L1" s="204" t="s">
        <v>2</v>
      </c>
      <c r="M1" s="208" t="s">
        <v>3</v>
      </c>
      <c r="N1" s="208" t="s">
        <v>4</v>
      </c>
      <c r="O1" s="204" t="s">
        <v>5</v>
      </c>
      <c r="P1" s="208" t="s">
        <v>17</v>
      </c>
      <c r="Q1" s="372" t="s">
        <v>18</v>
      </c>
      <c r="R1" s="208" t="s">
        <v>19</v>
      </c>
      <c r="S1" s="372" t="s">
        <v>20</v>
      </c>
      <c r="T1" s="202" t="s">
        <v>21</v>
      </c>
      <c r="U1" s="204" t="s">
        <v>22</v>
      </c>
      <c r="V1" s="202" t="s">
        <v>23</v>
      </c>
      <c r="W1" s="204" t="s">
        <v>156</v>
      </c>
      <c r="X1" s="208" t="s">
        <v>66</v>
      </c>
      <c r="Y1" s="204" t="s">
        <v>67</v>
      </c>
      <c r="Z1" s="374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11"/>
      <c r="B2" s="264"/>
      <c r="C2" s="206"/>
      <c r="D2" s="352"/>
      <c r="E2" s="353"/>
      <c r="F2" s="353"/>
      <c r="G2" s="353"/>
      <c r="H2" s="353"/>
      <c r="I2" s="353"/>
      <c r="J2" s="353"/>
      <c r="K2" s="214"/>
      <c r="L2" s="207"/>
      <c r="M2" s="210"/>
      <c r="N2" s="210"/>
      <c r="O2" s="207"/>
      <c r="P2" s="210"/>
      <c r="Q2" s="373"/>
      <c r="R2" s="210"/>
      <c r="S2" s="373"/>
      <c r="T2" s="205"/>
      <c r="U2" s="207"/>
      <c r="V2" s="205"/>
      <c r="W2" s="207"/>
      <c r="X2" s="210"/>
      <c r="Y2" s="207"/>
      <c r="Z2" s="375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11"/>
      <c r="B3" s="264"/>
      <c r="C3" s="206"/>
      <c r="D3" s="210" t="s">
        <v>7</v>
      </c>
      <c r="E3" s="210" t="s">
        <v>8</v>
      </c>
      <c r="F3" s="210" t="s">
        <v>9</v>
      </c>
      <c r="G3" s="207" t="s">
        <v>10</v>
      </c>
      <c r="H3" s="210" t="s">
        <v>11</v>
      </c>
      <c r="I3" s="210" t="s">
        <v>12</v>
      </c>
      <c r="J3" s="211" t="s">
        <v>9</v>
      </c>
      <c r="K3" s="211" t="s">
        <v>13</v>
      </c>
      <c r="L3" s="207"/>
      <c r="M3" s="210"/>
      <c r="N3" s="210"/>
      <c r="O3" s="207"/>
      <c r="P3" s="210"/>
      <c r="Q3" s="373"/>
      <c r="R3" s="210"/>
      <c r="S3" s="373"/>
      <c r="T3" s="205"/>
      <c r="U3" s="207"/>
      <c r="V3" s="205"/>
      <c r="W3" s="207"/>
      <c r="X3" s="210"/>
      <c r="Y3" s="207"/>
      <c r="Z3" s="375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11"/>
      <c r="B4" s="264"/>
      <c r="C4" s="206"/>
      <c r="D4" s="210"/>
      <c r="E4" s="210"/>
      <c r="F4" s="210"/>
      <c r="G4" s="207"/>
      <c r="H4" s="210"/>
      <c r="I4" s="210"/>
      <c r="J4" s="211"/>
      <c r="K4" s="211"/>
      <c r="L4" s="207"/>
      <c r="M4" s="210"/>
      <c r="N4" s="210"/>
      <c r="O4" s="207"/>
      <c r="P4" s="210"/>
      <c r="Q4" s="373"/>
      <c r="R4" s="210"/>
      <c r="S4" s="373"/>
      <c r="T4" s="205"/>
      <c r="U4" s="207"/>
      <c r="V4" s="205"/>
      <c r="W4" s="207"/>
      <c r="X4" s="210"/>
      <c r="Y4" s="207"/>
      <c r="Z4" s="375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11"/>
      <c r="B5" s="264"/>
      <c r="C5" s="206"/>
      <c r="D5" s="210"/>
      <c r="E5" s="210"/>
      <c r="F5" s="210"/>
      <c r="G5" s="207"/>
      <c r="H5" s="210"/>
      <c r="I5" s="210"/>
      <c r="J5" s="211"/>
      <c r="K5" s="211"/>
      <c r="L5" s="207"/>
      <c r="M5" s="210"/>
      <c r="N5" s="210"/>
      <c r="O5" s="207"/>
      <c r="P5" s="210"/>
      <c r="Q5" s="373"/>
      <c r="R5" s="210"/>
      <c r="S5" s="373"/>
      <c r="T5" s="205"/>
      <c r="U5" s="207"/>
      <c r="V5" s="205"/>
      <c r="W5" s="207"/>
      <c r="X5" s="210"/>
      <c r="Y5" s="207"/>
      <c r="Z5" s="375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14"/>
      <c r="B6" s="264"/>
      <c r="C6" s="206"/>
      <c r="D6" s="213"/>
      <c r="E6" s="213"/>
      <c r="F6" s="213"/>
      <c r="G6" s="353"/>
      <c r="H6" s="213"/>
      <c r="I6" s="213"/>
      <c r="J6" s="214"/>
      <c r="K6" s="214"/>
      <c r="L6" s="207"/>
      <c r="M6" s="213"/>
      <c r="N6" s="213"/>
      <c r="O6" s="207"/>
      <c r="P6" s="213"/>
      <c r="Q6" s="373"/>
      <c r="R6" s="213"/>
      <c r="S6" s="373"/>
      <c r="T6" s="212"/>
      <c r="U6" s="207"/>
      <c r="V6" s="212"/>
      <c r="W6" s="207"/>
      <c r="X6" s="213"/>
      <c r="Y6" s="207"/>
      <c r="Z6" s="376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218" t="s">
        <v>44</v>
      </c>
      <c r="B7" s="232">
        <v>159</v>
      </c>
      <c r="C7" s="217">
        <v>783</v>
      </c>
      <c r="D7" s="218">
        <v>478</v>
      </c>
      <c r="E7" s="218">
        <v>41</v>
      </c>
      <c r="F7" s="218">
        <v>0</v>
      </c>
      <c r="G7" s="232">
        <v>1</v>
      </c>
      <c r="H7" s="218">
        <v>1</v>
      </c>
      <c r="I7" s="218">
        <v>0</v>
      </c>
      <c r="J7" s="369">
        <v>0</v>
      </c>
      <c r="K7" s="218">
        <v>0</v>
      </c>
      <c r="L7" s="232">
        <v>521</v>
      </c>
      <c r="M7" s="218">
        <v>0</v>
      </c>
      <c r="N7" s="218">
        <v>3</v>
      </c>
      <c r="O7" s="232">
        <f t="shared" ref="O7:O14" si="0">D7+E7+F7+G7+H7+I7+J7+K7+N7</f>
        <v>524</v>
      </c>
      <c r="P7" s="218">
        <f t="shared" ref="P7:P14" si="1">(O7/C7)*100</f>
        <v>66.9220945083014</v>
      </c>
      <c r="Q7" s="232">
        <f t="shared" ref="Q7:Q14" si="2">(E7/O7)*100</f>
        <v>7.82442748091603</v>
      </c>
      <c r="R7" s="218">
        <f t="shared" ref="R7:R14" si="3">(D7/O7)*100</f>
        <v>91.2213740458015</v>
      </c>
      <c r="S7" s="232">
        <f t="shared" ref="S7:S14" si="4">(F7/O7)*100</f>
        <v>0</v>
      </c>
      <c r="T7" s="218">
        <f t="shared" ref="T7:T14" si="5">(G7/O7)*100</f>
        <v>0.190839694656489</v>
      </c>
      <c r="U7" s="232">
        <f t="shared" ref="U7:U14" si="6">((H7+I7+J7+K7)/O7)*100</f>
        <v>0.190839694656489</v>
      </c>
      <c r="V7" s="218">
        <f t="shared" ref="V7:V14" si="7">(N7/O7)*100</f>
        <v>0.572519083969466</v>
      </c>
      <c r="W7" s="232">
        <f>Q7-R7</f>
        <v>-83.3969465648855</v>
      </c>
      <c r="X7" s="218">
        <f>Q7-(R7+S7+T7+U7)</f>
        <v>-83.7786259541985</v>
      </c>
      <c r="Y7" s="232" t="str">
        <f>IF(AND(W7&lt;0,W7&lt;=1),"LOST",IF(AND(W7&gt;1,W7&lt;=10),"NARROW",IF(AND(W7&gt;10,W7&lt;=40),"MEDIUM",IF(AND(W7&gt;40,W7&lt;=90),"STRONG",""))))</f>
        <v>LOST</v>
      </c>
      <c r="Z7" s="377" t="str">
        <f>IF(AND(P7&lt;0,P7&lt;=10),"WEAK",IF(AND(P7&gt;10,P7&lt;20),"BELOW AVG",IF(AND(P7&gt;20,P7&lt;=60),"MEDIUM",IF(AND(P7&gt;60,P7&lt;=90),"STRONG",""))))</f>
        <v>STRONG</v>
      </c>
      <c r="AA7" s="284" t="str">
        <f>IF(Q7&gt;R7,"BJP","CONGRESS")</f>
        <v>CONGRESS</v>
      </c>
      <c r="AB7">
        <v>781</v>
      </c>
      <c r="AD7">
        <v>294</v>
      </c>
      <c r="AF7">
        <v>487</v>
      </c>
      <c r="AH7">
        <v>72</v>
      </c>
      <c r="AJ7">
        <v>13</v>
      </c>
      <c r="AL7">
        <v>696</v>
      </c>
      <c r="AN7" s="248">
        <f>(AD7/AB7)*100</f>
        <v>37.6440460947503</v>
      </c>
      <c r="AO7" s="316" t="e">
        <f>(AE7/AC7)*100</f>
        <v>#DIV/0!</v>
      </c>
      <c r="AP7" s="317">
        <f>(AF7/AB7)*100</f>
        <v>62.3559539052497</v>
      </c>
      <c r="AQ7" s="318" t="e">
        <f>(AG7/AC7)*100</f>
        <v>#DIV/0!</v>
      </c>
      <c r="AR7" s="318" t="str">
        <f>IF(AN7&gt;AP7,"MALE DOM","FEMALE DOM")</f>
        <v>FEMALE DOM</v>
      </c>
      <c r="AS7" s="319" t="e">
        <f>IF(AO7&gt;AP7,"MALE","FEMALE")</f>
        <v>#DIV/0!</v>
      </c>
      <c r="AT7" s="317">
        <f>(AH7/AB7)*100</f>
        <v>9.21895006402049</v>
      </c>
      <c r="AU7" s="317" t="e">
        <f>(AI7/AC7)*100</f>
        <v>#DIV/0!</v>
      </c>
      <c r="AV7" s="248">
        <f>(AJ7/AB7)*100</f>
        <v>1.66453265044814</v>
      </c>
      <c r="AW7" s="317" t="e">
        <f>(AK7/AC7)*100</f>
        <v>#DIV/0!</v>
      </c>
      <c r="AX7" s="248">
        <f>(AL7/AB7)*100</f>
        <v>89.1165172855314</v>
      </c>
      <c r="AY7" s="317" t="e">
        <f>(AM7/AC7)*100</f>
        <v>#DIV/0!</v>
      </c>
      <c r="AZ7" s="248" t="str">
        <f>IF(AT7&gt;(AV7+AX7),"HINDU","MINORITY")</f>
        <v>MINORITY</v>
      </c>
      <c r="BA7" s="318" t="e">
        <f>IF(AU7&gt;(AW7+AY7),"HIND","MINORITY")</f>
        <v>#DIV/0!</v>
      </c>
    </row>
    <row r="8" spans="1:53">
      <c r="A8" s="369"/>
      <c r="B8" s="232">
        <v>161</v>
      </c>
      <c r="C8" s="217">
        <v>938</v>
      </c>
      <c r="D8" s="218">
        <v>413</v>
      </c>
      <c r="E8" s="218">
        <v>47</v>
      </c>
      <c r="F8" s="218">
        <v>3</v>
      </c>
      <c r="G8" s="232">
        <v>3</v>
      </c>
      <c r="H8" s="218">
        <v>0</v>
      </c>
      <c r="I8" s="218">
        <v>3</v>
      </c>
      <c r="J8" s="369">
        <v>0</v>
      </c>
      <c r="K8" s="218">
        <v>0</v>
      </c>
      <c r="L8" s="232">
        <v>469</v>
      </c>
      <c r="M8" s="218">
        <v>0</v>
      </c>
      <c r="N8" s="218">
        <v>2</v>
      </c>
      <c r="O8" s="232">
        <f t="shared" si="0"/>
        <v>471</v>
      </c>
      <c r="P8" s="218">
        <f t="shared" si="1"/>
        <v>50.2132196162047</v>
      </c>
      <c r="Q8" s="232">
        <f t="shared" si="2"/>
        <v>9.97876857749469</v>
      </c>
      <c r="R8" s="218">
        <f t="shared" si="3"/>
        <v>87.6857749469214</v>
      </c>
      <c r="S8" s="232">
        <f t="shared" si="4"/>
        <v>0.636942675159236</v>
      </c>
      <c r="T8" s="218">
        <f t="shared" si="5"/>
        <v>0.636942675159236</v>
      </c>
      <c r="U8" s="232">
        <f t="shared" si="6"/>
        <v>0.636942675159236</v>
      </c>
      <c r="V8" s="218">
        <f t="shared" si="7"/>
        <v>0.424628450106157</v>
      </c>
      <c r="W8" s="232">
        <f t="shared" ref="W8:W14" si="8">Q8-R8</f>
        <v>-77.7070063694268</v>
      </c>
      <c r="X8" s="218">
        <f t="shared" ref="X8:X14" si="9">Q8-(R8+S8+T8+U8)</f>
        <v>-79.6178343949044</v>
      </c>
      <c r="Y8" s="232" t="str">
        <f t="shared" ref="Y8:Y15" si="10">IF(AND(W8&lt;0,W8&lt;=1),"LOST",IF(AND(W8&gt;1,W8&lt;=10),"NARROW",IF(AND(W8&gt;10,W8&lt;=40),"MEDIUM",IF(AND(W8&gt;40,W8&lt;=90),"STRONG",""))))</f>
        <v>LOST</v>
      </c>
      <c r="Z8" s="379" t="str">
        <f t="shared" ref="Z8:Z15" si="11">IF(AND(P8&lt;0,P8&lt;=10),"WEAK",IF(AND(P8&gt;10,P8&lt;20),"BELOW AVG",IF(AND(P8&gt;20,P8&lt;=60),"MEDIUM",IF(AND(P8&gt;60,P8&lt;=90),"STRONG",""))))</f>
        <v>MEDIUM</v>
      </c>
      <c r="AA8" s="286" t="str">
        <f t="shared" ref="AA8:AA15" si="12">IF(Q8&gt;R8,"BJP","CONGRESS")</f>
        <v>CONGRESS</v>
      </c>
      <c r="AB8">
        <v>934</v>
      </c>
      <c r="AC8">
        <v>468</v>
      </c>
      <c r="AD8">
        <v>352</v>
      </c>
      <c r="AE8">
        <v>170</v>
      </c>
      <c r="AF8">
        <v>582</v>
      </c>
      <c r="AG8">
        <v>298</v>
      </c>
      <c r="AH8">
        <v>71</v>
      </c>
      <c r="AI8">
        <v>39</v>
      </c>
      <c r="AJ8">
        <v>161</v>
      </c>
      <c r="AK8">
        <v>73</v>
      </c>
      <c r="AL8">
        <v>702</v>
      </c>
      <c r="AM8">
        <v>356</v>
      </c>
      <c r="AN8" s="248">
        <f t="shared" ref="AN8:AO11" si="13">(AD8/AB8)*100</f>
        <v>37.6873661670236</v>
      </c>
      <c r="AO8" s="316">
        <f t="shared" si="13"/>
        <v>36.3247863247863</v>
      </c>
      <c r="AP8" s="317">
        <f t="shared" ref="AP8:AQ11" si="14">(AF8/AB8)*100</f>
        <v>62.3126338329765</v>
      </c>
      <c r="AQ8" s="318">
        <f t="shared" si="14"/>
        <v>63.6752136752137</v>
      </c>
      <c r="AR8" s="318" t="str">
        <f t="shared" ref="AR8:AR14" si="15">IF(AN8&gt;AP8,"MALE DOM","FEMALE DOM")</f>
        <v>FEMALE DOM</v>
      </c>
      <c r="AS8" s="319" t="str">
        <f t="shared" ref="AS8:AS14" si="16">IF(AO8&gt;AP8,"MALE","FEMALE")</f>
        <v>FEMALE</v>
      </c>
      <c r="AT8" s="317">
        <f t="shared" ref="AT8:AU11" si="17">(AH8/AB8)*100</f>
        <v>7.6017130620985</v>
      </c>
      <c r="AU8" s="317">
        <f t="shared" si="17"/>
        <v>8.33333333333333</v>
      </c>
      <c r="AV8" s="248">
        <f t="shared" ref="AV8:AW11" si="18">(AJ8/AB8)*100</f>
        <v>17.237687366167</v>
      </c>
      <c r="AW8" s="317">
        <f t="shared" si="18"/>
        <v>15.5982905982906</v>
      </c>
      <c r="AX8" s="248">
        <f t="shared" ref="AX8:AY11" si="19">(AL8/AB8)*100</f>
        <v>75.1605995717345</v>
      </c>
      <c r="AY8" s="317">
        <f t="shared" si="19"/>
        <v>76.0683760683761</v>
      </c>
      <c r="AZ8" s="248" t="str">
        <f t="shared" ref="AZ8:AZ14" si="20">IF(AT8&gt;(AV8+AX8),"HINDU","MINORITY")</f>
        <v>MINORITY</v>
      </c>
      <c r="BA8" s="318" t="str">
        <f t="shared" ref="BA8:BA14" si="21">IF(AU8&gt;(AW8+AY8),"HIND","MINORITY")</f>
        <v>MINORITY</v>
      </c>
    </row>
    <row r="9" spans="1:53">
      <c r="A9" s="369"/>
      <c r="B9" s="232">
        <v>160</v>
      </c>
      <c r="C9" s="217">
        <v>1165</v>
      </c>
      <c r="D9" s="218">
        <v>436</v>
      </c>
      <c r="E9" s="223">
        <v>68</v>
      </c>
      <c r="F9" s="223">
        <v>0</v>
      </c>
      <c r="G9" s="235">
        <v>2</v>
      </c>
      <c r="H9" s="223">
        <v>0</v>
      </c>
      <c r="I9" s="223">
        <v>0</v>
      </c>
      <c r="J9" s="363">
        <v>0</v>
      </c>
      <c r="K9" s="223">
        <v>0</v>
      </c>
      <c r="L9" s="235">
        <v>506</v>
      </c>
      <c r="M9" s="223">
        <v>0</v>
      </c>
      <c r="N9" s="223">
        <v>0</v>
      </c>
      <c r="O9" s="235">
        <f t="shared" si="0"/>
        <v>506</v>
      </c>
      <c r="P9" s="223">
        <f t="shared" si="1"/>
        <v>43.4334763948498</v>
      </c>
      <c r="Q9" s="235">
        <f t="shared" si="2"/>
        <v>13.4387351778656</v>
      </c>
      <c r="R9" s="223">
        <f t="shared" si="3"/>
        <v>86.1660079051383</v>
      </c>
      <c r="S9" s="235">
        <f t="shared" si="4"/>
        <v>0</v>
      </c>
      <c r="T9" s="223">
        <f t="shared" si="5"/>
        <v>0.395256916996047</v>
      </c>
      <c r="U9" s="235">
        <f t="shared" si="6"/>
        <v>0</v>
      </c>
      <c r="V9" s="223">
        <f t="shared" si="7"/>
        <v>0</v>
      </c>
      <c r="W9" s="235">
        <f t="shared" si="8"/>
        <v>-72.7272727272727</v>
      </c>
      <c r="X9" s="223">
        <f t="shared" si="9"/>
        <v>-73.1225296442688</v>
      </c>
      <c r="Y9" s="235" t="str">
        <f t="shared" si="10"/>
        <v>LOST</v>
      </c>
      <c r="Z9" s="420" t="str">
        <f t="shared" si="11"/>
        <v>MEDIUM</v>
      </c>
      <c r="AA9" s="284" t="str">
        <f t="shared" si="12"/>
        <v>CONGRESS</v>
      </c>
      <c r="AB9">
        <v>1160</v>
      </c>
      <c r="AD9">
        <v>484</v>
      </c>
      <c r="AF9">
        <v>676</v>
      </c>
      <c r="AH9">
        <v>156</v>
      </c>
      <c r="AJ9">
        <v>268</v>
      </c>
      <c r="AL9">
        <v>736</v>
      </c>
      <c r="AN9" s="248">
        <f t="shared" si="13"/>
        <v>41.7241379310345</v>
      </c>
      <c r="AO9" s="316" t="e">
        <f t="shared" si="13"/>
        <v>#DIV/0!</v>
      </c>
      <c r="AP9" s="317">
        <f t="shared" si="14"/>
        <v>58.2758620689655</v>
      </c>
      <c r="AQ9" s="318" t="e">
        <f t="shared" si="14"/>
        <v>#DIV/0!</v>
      </c>
      <c r="AR9" s="318" t="str">
        <f t="shared" si="15"/>
        <v>FEMALE DOM</v>
      </c>
      <c r="AS9" s="319" t="e">
        <f t="shared" si="16"/>
        <v>#DIV/0!</v>
      </c>
      <c r="AT9" s="317">
        <f t="shared" si="17"/>
        <v>13.448275862069</v>
      </c>
      <c r="AU9" s="317" t="e">
        <f t="shared" si="17"/>
        <v>#DIV/0!</v>
      </c>
      <c r="AV9" s="248">
        <f t="shared" si="18"/>
        <v>23.1034482758621</v>
      </c>
      <c r="AW9" s="317" t="e">
        <f t="shared" si="18"/>
        <v>#DIV/0!</v>
      </c>
      <c r="AX9" s="248">
        <f t="shared" si="19"/>
        <v>63.448275862069</v>
      </c>
      <c r="AY9" s="317" t="e">
        <f t="shared" si="19"/>
        <v>#DIV/0!</v>
      </c>
      <c r="AZ9" s="248" t="str">
        <f t="shared" si="20"/>
        <v>MINORITY</v>
      </c>
      <c r="BA9" s="318" t="e">
        <f t="shared" si="21"/>
        <v>#DIV/0!</v>
      </c>
    </row>
    <row r="10" spans="1:53">
      <c r="A10" s="369"/>
      <c r="B10" s="232">
        <v>158</v>
      </c>
      <c r="C10" s="217">
        <v>515</v>
      </c>
      <c r="D10" s="218">
        <v>329</v>
      </c>
      <c r="E10" s="218">
        <v>48</v>
      </c>
      <c r="F10" s="218">
        <v>1</v>
      </c>
      <c r="G10" s="232">
        <v>1</v>
      </c>
      <c r="H10" s="218">
        <v>0</v>
      </c>
      <c r="I10" s="218">
        <v>0</v>
      </c>
      <c r="J10" s="369">
        <v>0</v>
      </c>
      <c r="K10" s="218">
        <v>0</v>
      </c>
      <c r="L10" s="232">
        <v>379</v>
      </c>
      <c r="M10" s="218">
        <v>0</v>
      </c>
      <c r="N10" s="218">
        <v>5</v>
      </c>
      <c r="O10" s="232">
        <f t="shared" si="0"/>
        <v>384</v>
      </c>
      <c r="P10" s="218">
        <f t="shared" si="1"/>
        <v>74.5631067961165</v>
      </c>
      <c r="Q10" s="232">
        <f t="shared" si="2"/>
        <v>12.5</v>
      </c>
      <c r="R10" s="218">
        <f t="shared" si="3"/>
        <v>85.6770833333333</v>
      </c>
      <c r="S10" s="232">
        <f t="shared" si="4"/>
        <v>0.260416666666667</v>
      </c>
      <c r="T10" s="218">
        <f t="shared" si="5"/>
        <v>0.260416666666667</v>
      </c>
      <c r="U10" s="232">
        <f t="shared" si="6"/>
        <v>0</v>
      </c>
      <c r="V10" s="218">
        <f t="shared" si="7"/>
        <v>1.30208333333333</v>
      </c>
      <c r="W10" s="232">
        <f t="shared" si="8"/>
        <v>-73.1770833333333</v>
      </c>
      <c r="X10" s="218">
        <f t="shared" si="9"/>
        <v>-73.6979166666667</v>
      </c>
      <c r="Y10" s="232" t="str">
        <f t="shared" si="10"/>
        <v>LOST</v>
      </c>
      <c r="Z10" s="378" t="str">
        <f t="shared" si="11"/>
        <v>STRONG</v>
      </c>
      <c r="AA10" s="284" t="str">
        <f t="shared" si="12"/>
        <v>CONGRESS</v>
      </c>
      <c r="AB10">
        <v>513</v>
      </c>
      <c r="AC10">
        <v>378</v>
      </c>
      <c r="AD10">
        <v>243</v>
      </c>
      <c r="AE10">
        <v>168</v>
      </c>
      <c r="AF10">
        <v>270</v>
      </c>
      <c r="AG10">
        <v>210</v>
      </c>
      <c r="AH10">
        <v>18</v>
      </c>
      <c r="AI10">
        <v>13</v>
      </c>
      <c r="AJ10">
        <v>2</v>
      </c>
      <c r="AK10">
        <v>0</v>
      </c>
      <c r="AL10">
        <v>493</v>
      </c>
      <c r="AM10">
        <v>365</v>
      </c>
      <c r="AN10" s="248">
        <f t="shared" si="13"/>
        <v>47.3684210526316</v>
      </c>
      <c r="AO10" s="316">
        <f t="shared" si="13"/>
        <v>44.4444444444444</v>
      </c>
      <c r="AP10" s="317">
        <f t="shared" si="14"/>
        <v>52.6315789473684</v>
      </c>
      <c r="AQ10" s="318">
        <f t="shared" si="14"/>
        <v>55.5555555555556</v>
      </c>
      <c r="AR10" s="318" t="str">
        <f t="shared" si="15"/>
        <v>FEMALE DOM</v>
      </c>
      <c r="AS10" s="319" t="str">
        <f t="shared" si="16"/>
        <v>FEMALE</v>
      </c>
      <c r="AT10" s="317">
        <f t="shared" si="17"/>
        <v>3.50877192982456</v>
      </c>
      <c r="AU10" s="317">
        <f t="shared" si="17"/>
        <v>3.43915343915344</v>
      </c>
      <c r="AV10" s="248">
        <f t="shared" si="18"/>
        <v>0.389863547758285</v>
      </c>
      <c r="AW10" s="317">
        <f t="shared" si="18"/>
        <v>0</v>
      </c>
      <c r="AX10" s="248">
        <f t="shared" si="19"/>
        <v>96.1013645224172</v>
      </c>
      <c r="AY10" s="317">
        <f t="shared" si="19"/>
        <v>96.5608465608466</v>
      </c>
      <c r="AZ10" s="248" t="str">
        <f t="shared" si="20"/>
        <v>MINORITY</v>
      </c>
      <c r="BA10" s="318" t="str">
        <f t="shared" si="21"/>
        <v>MINORITY</v>
      </c>
    </row>
    <row r="11" spans="1:53">
      <c r="A11" s="369"/>
      <c r="B11" s="369">
        <v>168</v>
      </c>
      <c r="C11" s="217">
        <v>874</v>
      </c>
      <c r="D11" s="218">
        <v>299</v>
      </c>
      <c r="E11" s="218">
        <v>179</v>
      </c>
      <c r="F11" s="223">
        <v>2</v>
      </c>
      <c r="G11" s="235">
        <v>1</v>
      </c>
      <c r="H11" s="223">
        <v>0</v>
      </c>
      <c r="I11" s="223">
        <v>4</v>
      </c>
      <c r="J11" s="363">
        <v>0</v>
      </c>
      <c r="K11" s="223">
        <v>0</v>
      </c>
      <c r="L11" s="235">
        <v>485</v>
      </c>
      <c r="M11" s="223">
        <v>0</v>
      </c>
      <c r="N11" s="223">
        <v>6</v>
      </c>
      <c r="O11" s="235">
        <f t="shared" si="0"/>
        <v>491</v>
      </c>
      <c r="P11" s="223">
        <f t="shared" si="1"/>
        <v>56.1784897025172</v>
      </c>
      <c r="Q11" s="235">
        <f t="shared" si="2"/>
        <v>36.4562118126273</v>
      </c>
      <c r="R11" s="223">
        <f t="shared" si="3"/>
        <v>60.8961303462322</v>
      </c>
      <c r="S11" s="235">
        <f t="shared" si="4"/>
        <v>0.407331975560081</v>
      </c>
      <c r="T11" s="223">
        <f t="shared" si="5"/>
        <v>0.203665987780041</v>
      </c>
      <c r="U11" s="235">
        <f t="shared" si="6"/>
        <v>0.814663951120163</v>
      </c>
      <c r="V11" s="223">
        <f t="shared" si="7"/>
        <v>1.22199592668024</v>
      </c>
      <c r="W11" s="235">
        <f t="shared" si="8"/>
        <v>-24.4399185336049</v>
      </c>
      <c r="X11" s="223">
        <f t="shared" si="9"/>
        <v>-25.8655804480652</v>
      </c>
      <c r="Y11" s="235" t="str">
        <f t="shared" si="10"/>
        <v>LOST</v>
      </c>
      <c r="Z11" s="380" t="str">
        <f t="shared" si="11"/>
        <v>MEDIUM</v>
      </c>
      <c r="AA11" s="421" t="str">
        <f t="shared" si="12"/>
        <v>CONGRESS</v>
      </c>
      <c r="AB11">
        <v>868</v>
      </c>
      <c r="AD11">
        <v>408</v>
      </c>
      <c r="AF11">
        <v>460</v>
      </c>
      <c r="AH11">
        <v>347</v>
      </c>
      <c r="AJ11">
        <v>45</v>
      </c>
      <c r="AL11">
        <v>476</v>
      </c>
      <c r="AN11" s="248">
        <f t="shared" si="13"/>
        <v>47.0046082949309</v>
      </c>
      <c r="AO11" s="316" t="e">
        <f t="shared" si="13"/>
        <v>#DIV/0!</v>
      </c>
      <c r="AP11" s="317">
        <f t="shared" si="14"/>
        <v>52.9953917050691</v>
      </c>
      <c r="AQ11" s="318" t="e">
        <f t="shared" si="14"/>
        <v>#DIV/0!</v>
      </c>
      <c r="AR11" s="318" t="str">
        <f t="shared" si="15"/>
        <v>FEMALE DOM</v>
      </c>
      <c r="AS11" s="319" t="e">
        <f t="shared" si="16"/>
        <v>#DIV/0!</v>
      </c>
      <c r="AT11" s="317">
        <f t="shared" si="17"/>
        <v>39.9769585253456</v>
      </c>
      <c r="AU11" s="317" t="e">
        <f t="shared" si="17"/>
        <v>#DIV/0!</v>
      </c>
      <c r="AV11" s="248">
        <f t="shared" si="18"/>
        <v>5.18433179723502</v>
      </c>
      <c r="AW11" s="317" t="e">
        <f t="shared" si="18"/>
        <v>#DIV/0!</v>
      </c>
      <c r="AX11" s="248">
        <f t="shared" si="19"/>
        <v>54.8387096774194</v>
      </c>
      <c r="AY11" s="317" t="e">
        <f t="shared" si="19"/>
        <v>#DIV/0!</v>
      </c>
      <c r="AZ11" s="248" t="str">
        <f t="shared" si="20"/>
        <v>MINORITY</v>
      </c>
      <c r="BA11" s="318" t="e">
        <f t="shared" si="21"/>
        <v>#DIV/0!</v>
      </c>
    </row>
    <row r="12" ht="21" spans="1:53">
      <c r="A12" s="412"/>
      <c r="B12" s="357">
        <v>169</v>
      </c>
      <c r="C12" s="413">
        <v>673</v>
      </c>
      <c r="D12" s="364">
        <v>206</v>
      </c>
      <c r="E12" s="364">
        <v>211</v>
      </c>
      <c r="F12" s="364">
        <v>1</v>
      </c>
      <c r="G12" s="357">
        <v>5</v>
      </c>
      <c r="H12" s="364">
        <v>1</v>
      </c>
      <c r="I12" s="364">
        <v>3</v>
      </c>
      <c r="J12" s="417">
        <v>0</v>
      </c>
      <c r="K12" s="364">
        <v>0</v>
      </c>
      <c r="L12" s="357">
        <v>427</v>
      </c>
      <c r="M12" s="364">
        <v>0</v>
      </c>
      <c r="N12" s="364">
        <v>1</v>
      </c>
      <c r="O12" s="357">
        <f t="shared" si="0"/>
        <v>428</v>
      </c>
      <c r="P12" s="364">
        <f t="shared" si="1"/>
        <v>63.5958395245171</v>
      </c>
      <c r="Q12" s="357">
        <f t="shared" si="2"/>
        <v>49.2990654205608</v>
      </c>
      <c r="R12" s="364">
        <f t="shared" si="3"/>
        <v>48.1308411214953</v>
      </c>
      <c r="S12" s="357">
        <f t="shared" si="4"/>
        <v>0.233644859813084</v>
      </c>
      <c r="T12" s="364">
        <f t="shared" si="5"/>
        <v>1.16822429906542</v>
      </c>
      <c r="U12" s="357">
        <f t="shared" si="6"/>
        <v>0.934579439252336</v>
      </c>
      <c r="V12" s="364">
        <f t="shared" si="7"/>
        <v>0.233644859813084</v>
      </c>
      <c r="W12" s="357">
        <f t="shared" si="8"/>
        <v>1.16822429906542</v>
      </c>
      <c r="X12" s="364">
        <f t="shared" si="9"/>
        <v>-1.16822429906542</v>
      </c>
      <c r="Y12" s="357" t="str">
        <f t="shared" si="10"/>
        <v>NARROW</v>
      </c>
      <c r="Z12" s="381" t="str">
        <f t="shared" si="11"/>
        <v>STRONG</v>
      </c>
      <c r="AA12" s="351" t="str">
        <f t="shared" si="12"/>
        <v>BJP</v>
      </c>
      <c r="AB12">
        <v>669</v>
      </c>
      <c r="AC12">
        <v>425</v>
      </c>
      <c r="AD12">
        <v>322</v>
      </c>
      <c r="AE12">
        <v>195</v>
      </c>
      <c r="AF12">
        <v>346</v>
      </c>
      <c r="AG12">
        <v>230</v>
      </c>
      <c r="AH12">
        <v>350</v>
      </c>
      <c r="AI12">
        <v>241</v>
      </c>
      <c r="AJ12">
        <v>49</v>
      </c>
      <c r="AK12">
        <v>28</v>
      </c>
      <c r="AL12">
        <v>270</v>
      </c>
      <c r="AM12">
        <v>156</v>
      </c>
      <c r="AN12" s="248">
        <f t="shared" ref="AN12:AO14" si="22">(AD12/AB12)*100</f>
        <v>48.1315396113602</v>
      </c>
      <c r="AO12" s="316">
        <f t="shared" si="22"/>
        <v>45.8823529411765</v>
      </c>
      <c r="AP12" s="317">
        <f t="shared" ref="AP12:AQ14" si="23">(AF12/AB12)*100</f>
        <v>51.7189835575486</v>
      </c>
      <c r="AQ12" s="318">
        <f t="shared" si="23"/>
        <v>54.1176470588235</v>
      </c>
      <c r="AR12" s="318" t="str">
        <f t="shared" si="15"/>
        <v>FEMALE DOM</v>
      </c>
      <c r="AS12" s="319" t="str">
        <f t="shared" si="16"/>
        <v>FEMALE</v>
      </c>
      <c r="AT12" s="317">
        <f t="shared" ref="AT12:AU14" si="24">(AH12/AB12)*100</f>
        <v>52.3168908819133</v>
      </c>
      <c r="AU12" s="317">
        <f t="shared" si="24"/>
        <v>56.7058823529412</v>
      </c>
      <c r="AV12" s="248">
        <f t="shared" ref="AV12:AW14" si="25">(AJ12/AB12)*100</f>
        <v>7.32436472346786</v>
      </c>
      <c r="AW12" s="317">
        <f t="shared" si="25"/>
        <v>6.58823529411765</v>
      </c>
      <c r="AX12" s="248">
        <f t="shared" ref="AX12:AY14" si="26">(AL12/AB12)*100</f>
        <v>40.3587443946188</v>
      </c>
      <c r="AY12" s="317">
        <f t="shared" si="26"/>
        <v>36.7058823529412</v>
      </c>
      <c r="AZ12" s="248" t="str">
        <f t="shared" si="20"/>
        <v>HINDU</v>
      </c>
      <c r="BA12" s="318" t="str">
        <f t="shared" si="21"/>
        <v>HIND</v>
      </c>
    </row>
    <row r="13" ht="21" spans="1:53">
      <c r="A13" s="358"/>
      <c r="B13" s="219">
        <v>171</v>
      </c>
      <c r="C13" s="388">
        <v>616</v>
      </c>
      <c r="D13" s="220">
        <v>108</v>
      </c>
      <c r="E13" s="220">
        <v>232</v>
      </c>
      <c r="F13" s="220">
        <v>1</v>
      </c>
      <c r="G13" s="233">
        <v>0</v>
      </c>
      <c r="H13" s="220">
        <v>0</v>
      </c>
      <c r="I13" s="220">
        <v>3</v>
      </c>
      <c r="J13" s="418">
        <v>0</v>
      </c>
      <c r="K13" s="220">
        <v>1</v>
      </c>
      <c r="L13" s="233">
        <v>345</v>
      </c>
      <c r="M13" s="220">
        <v>0</v>
      </c>
      <c r="N13" s="220">
        <v>3</v>
      </c>
      <c r="O13" s="233">
        <f t="shared" si="0"/>
        <v>348</v>
      </c>
      <c r="P13" s="220">
        <f t="shared" si="1"/>
        <v>56.4935064935065</v>
      </c>
      <c r="Q13" s="233">
        <f t="shared" si="2"/>
        <v>66.6666666666667</v>
      </c>
      <c r="R13" s="220">
        <f t="shared" si="3"/>
        <v>31.0344827586207</v>
      </c>
      <c r="S13" s="233">
        <f t="shared" si="4"/>
        <v>0.28735632183908</v>
      </c>
      <c r="T13" s="220">
        <f t="shared" si="5"/>
        <v>0</v>
      </c>
      <c r="U13" s="233">
        <f t="shared" si="6"/>
        <v>1.14942528735632</v>
      </c>
      <c r="V13" s="220">
        <f t="shared" si="7"/>
        <v>0.862068965517241</v>
      </c>
      <c r="W13" s="233">
        <f t="shared" si="8"/>
        <v>35.632183908046</v>
      </c>
      <c r="X13" s="220">
        <f t="shared" si="9"/>
        <v>34.1954022988506</v>
      </c>
      <c r="Y13" s="233" t="str">
        <f t="shared" si="10"/>
        <v>MEDIUM</v>
      </c>
      <c r="Z13" s="422" t="str">
        <f t="shared" si="11"/>
        <v>MEDIUM</v>
      </c>
      <c r="AA13" s="423" t="str">
        <f t="shared" si="12"/>
        <v>BJP</v>
      </c>
      <c r="AB13">
        <v>610</v>
      </c>
      <c r="AC13">
        <v>345</v>
      </c>
      <c r="AD13">
        <v>280</v>
      </c>
      <c r="AE13">
        <v>156</v>
      </c>
      <c r="AF13">
        <v>330</v>
      </c>
      <c r="AG13">
        <v>189</v>
      </c>
      <c r="AH13">
        <v>477</v>
      </c>
      <c r="AI13">
        <v>273</v>
      </c>
      <c r="AJ13">
        <v>21</v>
      </c>
      <c r="AK13">
        <v>15</v>
      </c>
      <c r="AL13">
        <v>112</v>
      </c>
      <c r="AM13">
        <v>57</v>
      </c>
      <c r="AN13" s="248">
        <f t="shared" si="22"/>
        <v>45.9016393442623</v>
      </c>
      <c r="AO13" s="316">
        <f t="shared" si="22"/>
        <v>45.2173913043478</v>
      </c>
      <c r="AP13" s="317">
        <f t="shared" si="23"/>
        <v>54.0983606557377</v>
      </c>
      <c r="AQ13" s="318">
        <f t="shared" si="23"/>
        <v>54.7826086956522</v>
      </c>
      <c r="AR13" s="318" t="str">
        <f t="shared" si="15"/>
        <v>FEMALE DOM</v>
      </c>
      <c r="AS13" s="319" t="str">
        <f t="shared" si="16"/>
        <v>FEMALE</v>
      </c>
      <c r="AT13" s="317">
        <f t="shared" si="24"/>
        <v>78.1967213114754</v>
      </c>
      <c r="AU13" s="317">
        <f t="shared" si="24"/>
        <v>79.1304347826087</v>
      </c>
      <c r="AV13" s="248">
        <f t="shared" si="25"/>
        <v>3.44262295081967</v>
      </c>
      <c r="AW13" s="317">
        <f t="shared" si="25"/>
        <v>4.34782608695652</v>
      </c>
      <c r="AX13" s="248">
        <f t="shared" si="26"/>
        <v>18.3606557377049</v>
      </c>
      <c r="AY13" s="317">
        <f t="shared" si="26"/>
        <v>16.5217391304348</v>
      </c>
      <c r="AZ13" s="248" t="str">
        <f t="shared" si="20"/>
        <v>HINDU</v>
      </c>
      <c r="BA13" s="318" t="str">
        <f t="shared" si="21"/>
        <v>HIND</v>
      </c>
    </row>
    <row r="14" ht="21" spans="1:53">
      <c r="A14" s="358"/>
      <c r="B14" s="234">
        <v>170</v>
      </c>
      <c r="C14" s="221">
        <v>809</v>
      </c>
      <c r="D14" s="222">
        <v>183</v>
      </c>
      <c r="E14" s="222">
        <v>290</v>
      </c>
      <c r="F14" s="222">
        <v>0</v>
      </c>
      <c r="G14" s="234">
        <v>1</v>
      </c>
      <c r="H14" s="222">
        <v>0</v>
      </c>
      <c r="I14" s="222">
        <v>1</v>
      </c>
      <c r="J14" s="360">
        <v>1</v>
      </c>
      <c r="K14" s="222">
        <v>0</v>
      </c>
      <c r="L14" s="234">
        <v>476</v>
      </c>
      <c r="M14" s="222">
        <v>0</v>
      </c>
      <c r="N14" s="222">
        <v>4</v>
      </c>
      <c r="O14" s="234">
        <f t="shared" si="0"/>
        <v>480</v>
      </c>
      <c r="P14" s="222">
        <f t="shared" si="1"/>
        <v>59.3325092707046</v>
      </c>
      <c r="Q14" s="234">
        <f t="shared" si="2"/>
        <v>60.4166666666667</v>
      </c>
      <c r="R14" s="222">
        <f t="shared" si="3"/>
        <v>38.125</v>
      </c>
      <c r="S14" s="234">
        <f t="shared" si="4"/>
        <v>0</v>
      </c>
      <c r="T14" s="222">
        <f t="shared" si="5"/>
        <v>0.208333333333333</v>
      </c>
      <c r="U14" s="234">
        <f t="shared" si="6"/>
        <v>0.416666666666667</v>
      </c>
      <c r="V14" s="222">
        <f t="shared" si="7"/>
        <v>0.833333333333333</v>
      </c>
      <c r="W14" s="234">
        <f t="shared" si="8"/>
        <v>22.2916666666667</v>
      </c>
      <c r="X14" s="222">
        <f t="shared" si="9"/>
        <v>21.6666666666667</v>
      </c>
      <c r="Y14" s="234" t="str">
        <f t="shared" si="10"/>
        <v>MEDIUM</v>
      </c>
      <c r="Z14" s="382" t="str">
        <f t="shared" si="11"/>
        <v>MEDIUM</v>
      </c>
      <c r="AA14" s="351" t="str">
        <f t="shared" si="12"/>
        <v>BJP</v>
      </c>
      <c r="AB14">
        <v>808</v>
      </c>
      <c r="AC14">
        <v>481</v>
      </c>
      <c r="AD14">
        <v>388</v>
      </c>
      <c r="AE14">
        <v>218</v>
      </c>
      <c r="AF14">
        <v>420</v>
      </c>
      <c r="AG14">
        <v>263</v>
      </c>
      <c r="AH14">
        <v>550</v>
      </c>
      <c r="AI14">
        <v>336</v>
      </c>
      <c r="AJ14">
        <v>20</v>
      </c>
      <c r="AK14">
        <v>11</v>
      </c>
      <c r="AL14">
        <v>238</v>
      </c>
      <c r="AM14">
        <v>134</v>
      </c>
      <c r="AN14" s="248">
        <f t="shared" si="22"/>
        <v>48.019801980198</v>
      </c>
      <c r="AO14" s="316">
        <f t="shared" si="22"/>
        <v>45.3222453222453</v>
      </c>
      <c r="AP14" s="317">
        <f t="shared" si="23"/>
        <v>51.980198019802</v>
      </c>
      <c r="AQ14" s="318">
        <f t="shared" si="23"/>
        <v>54.6777546777547</v>
      </c>
      <c r="AR14" s="318" t="str">
        <f t="shared" si="15"/>
        <v>FEMALE DOM</v>
      </c>
      <c r="AS14" s="319" t="str">
        <f t="shared" si="16"/>
        <v>FEMALE</v>
      </c>
      <c r="AT14" s="317">
        <f t="shared" si="24"/>
        <v>68.0693069306931</v>
      </c>
      <c r="AU14" s="317">
        <f t="shared" si="24"/>
        <v>69.8544698544699</v>
      </c>
      <c r="AV14" s="248">
        <f t="shared" si="25"/>
        <v>2.47524752475248</v>
      </c>
      <c r="AW14" s="317">
        <f t="shared" si="25"/>
        <v>2.28690228690229</v>
      </c>
      <c r="AX14" s="248">
        <f t="shared" si="26"/>
        <v>29.4554455445545</v>
      </c>
      <c r="AY14" s="317">
        <f t="shared" si="26"/>
        <v>27.8586278586279</v>
      </c>
      <c r="AZ14" s="248" t="str">
        <f t="shared" si="20"/>
        <v>HINDU</v>
      </c>
      <c r="BA14" s="318" t="str">
        <f t="shared" si="21"/>
        <v>HIND</v>
      </c>
    </row>
    <row r="15" ht="21" spans="2:27">
      <c r="B15" s="334"/>
      <c r="C15" s="414">
        <f t="shared" ref="C15:O15" si="27">SUM(C7:C14)</f>
        <v>6373</v>
      </c>
      <c r="D15" s="415">
        <f t="shared" si="27"/>
        <v>2452</v>
      </c>
      <c r="E15" s="416">
        <f t="shared" si="27"/>
        <v>1116</v>
      </c>
      <c r="F15" s="415">
        <f t="shared" si="27"/>
        <v>8</v>
      </c>
      <c r="G15" s="415">
        <f t="shared" si="27"/>
        <v>14</v>
      </c>
      <c r="H15" s="415">
        <f t="shared" si="27"/>
        <v>2</v>
      </c>
      <c r="I15" s="416">
        <f t="shared" si="27"/>
        <v>14</v>
      </c>
      <c r="J15" s="415">
        <f t="shared" si="27"/>
        <v>1</v>
      </c>
      <c r="K15" s="419">
        <f t="shared" si="27"/>
        <v>1</v>
      </c>
      <c r="L15" s="416">
        <f t="shared" si="27"/>
        <v>3608</v>
      </c>
      <c r="M15" s="415">
        <f t="shared" si="27"/>
        <v>0</v>
      </c>
      <c r="N15" s="415">
        <f t="shared" si="27"/>
        <v>24</v>
      </c>
      <c r="O15" s="416">
        <f t="shared" si="27"/>
        <v>3632</v>
      </c>
      <c r="P15" s="415">
        <f t="shared" ref="P15:X15" si="28">AVERAGE(P7:P14)</f>
        <v>58.8415302883397</v>
      </c>
      <c r="Q15" s="416">
        <f t="shared" si="28"/>
        <v>32.0725677253497</v>
      </c>
      <c r="R15" s="415">
        <f t="shared" si="28"/>
        <v>66.1170868071929</v>
      </c>
      <c r="S15" s="415">
        <f t="shared" si="28"/>
        <v>0.228211562379769</v>
      </c>
      <c r="T15" s="416">
        <f t="shared" si="28"/>
        <v>0.382959946707154</v>
      </c>
      <c r="U15" s="415">
        <f t="shared" si="28"/>
        <v>0.517889714276402</v>
      </c>
      <c r="V15" s="415">
        <f t="shared" si="28"/>
        <v>0.681284244094107</v>
      </c>
      <c r="W15" s="416">
        <f t="shared" si="28"/>
        <v>-34.0445190818431</v>
      </c>
      <c r="X15" s="415">
        <f t="shared" si="28"/>
        <v>-35.1735803052065</v>
      </c>
      <c r="Y15" s="415" t="str">
        <f t="shared" si="10"/>
        <v>LOST</v>
      </c>
      <c r="Z15" s="424" t="str">
        <f t="shared" si="11"/>
        <v>MEDIUM</v>
      </c>
      <c r="AA15" s="383" t="str">
        <f t="shared" si="12"/>
        <v>CONGRESS</v>
      </c>
    </row>
    <row r="18" spans="10:27">
      <c r="J18" s="225" t="s">
        <v>205</v>
      </c>
      <c r="K18" s="237"/>
      <c r="L18" s="237"/>
      <c r="M18" s="238"/>
      <c r="O18" s="225" t="s">
        <v>97</v>
      </c>
      <c r="P18" s="237"/>
      <c r="Q18" s="237"/>
      <c r="R18" s="238"/>
      <c r="T18" s="265" t="s">
        <v>98</v>
      </c>
      <c r="U18" s="265"/>
      <c r="V18" s="265"/>
      <c r="W18" s="265"/>
      <c r="X18" s="265"/>
      <c r="Y18" s="265"/>
      <c r="Z18" s="265"/>
      <c r="AA18" s="265"/>
    </row>
    <row r="19" spans="10:27">
      <c r="J19" s="226"/>
      <c r="K19" s="239"/>
      <c r="L19" s="239"/>
      <c r="M19" s="240"/>
      <c r="O19" s="241"/>
      <c r="P19" s="242"/>
      <c r="Q19" s="242"/>
      <c r="R19" s="243"/>
      <c r="T19" s="265"/>
      <c r="U19" s="265"/>
      <c r="V19" s="265"/>
      <c r="W19" s="265"/>
      <c r="X19" s="265"/>
      <c r="Y19" s="265"/>
      <c r="Z19" s="265"/>
      <c r="AA19" s="265"/>
    </row>
    <row r="20" spans="10:27">
      <c r="J20" s="227" t="s">
        <v>99</v>
      </c>
      <c r="K20" s="244"/>
      <c r="L20" s="245"/>
      <c r="M20" s="245">
        <f>COUNTIF(AA7:AA14,"BJP")</f>
        <v>3</v>
      </c>
      <c r="O20" s="246" t="s">
        <v>100</v>
      </c>
      <c r="P20" s="247"/>
      <c r="Q20" s="247"/>
      <c r="R20" s="248">
        <f>COUNTIF(Y7:Y14,"NARROW")</f>
        <v>1</v>
      </c>
      <c r="T20" s="265" t="s">
        <v>101</v>
      </c>
      <c r="U20" s="265"/>
      <c r="V20" s="265"/>
      <c r="W20" s="265">
        <f>'FALNIR-18'!E8</f>
        <v>20.325776643226</v>
      </c>
      <c r="X20" s="265" t="s">
        <v>102</v>
      </c>
      <c r="Y20" s="265"/>
      <c r="Z20" s="265"/>
      <c r="AA20" s="265">
        <f>Q15</f>
        <v>32.0725677253497</v>
      </c>
    </row>
    <row r="21" spans="10:27">
      <c r="J21" s="227"/>
      <c r="K21" s="244"/>
      <c r="L21" s="245"/>
      <c r="M21" s="245"/>
      <c r="O21" s="249"/>
      <c r="P21" s="250"/>
      <c r="Q21" s="250"/>
      <c r="R21" s="251"/>
      <c r="T21" s="265"/>
      <c r="U21" s="265"/>
      <c r="V21" s="265"/>
      <c r="W21" s="265"/>
      <c r="X21" s="265"/>
      <c r="Y21" s="265"/>
      <c r="Z21" s="265"/>
      <c r="AA21" s="265"/>
    </row>
    <row r="22" spans="10:27">
      <c r="J22" s="227"/>
      <c r="K22" s="244"/>
      <c r="L22" s="245"/>
      <c r="M22" s="245"/>
      <c r="O22" s="252" t="s">
        <v>103</v>
      </c>
      <c r="P22" s="253"/>
      <c r="Q22" s="253"/>
      <c r="R22" s="248">
        <f>COUNTIF(Y7:Y14,"MEDIUM")</f>
        <v>2</v>
      </c>
      <c r="T22" s="265" t="s">
        <v>104</v>
      </c>
      <c r="U22" s="265"/>
      <c r="V22" s="265"/>
      <c r="W22" s="265">
        <f>'FALNIR-18'!G8</f>
        <v>77.3982758163618</v>
      </c>
      <c r="X22" s="265" t="s">
        <v>105</v>
      </c>
      <c r="Y22" s="265"/>
      <c r="Z22" s="265"/>
      <c r="AA22" s="265">
        <f>R15</f>
        <v>66.1170868071929</v>
      </c>
    </row>
    <row r="23" spans="10:27">
      <c r="J23" s="228" t="s">
        <v>106</v>
      </c>
      <c r="K23" s="254"/>
      <c r="L23" s="255"/>
      <c r="M23" s="255">
        <f>COUNTIF(AA7:AA14,"CONGRESS")</f>
        <v>5</v>
      </c>
      <c r="O23" s="252"/>
      <c r="P23" s="253"/>
      <c r="Q23" s="253"/>
      <c r="R23" s="251"/>
      <c r="T23" s="265"/>
      <c r="U23" s="265"/>
      <c r="V23" s="265"/>
      <c r="W23" s="265"/>
      <c r="X23" s="265"/>
      <c r="Y23" s="265"/>
      <c r="Z23" s="265"/>
      <c r="AA23" s="265"/>
    </row>
    <row r="24" spans="10:27">
      <c r="J24" s="229"/>
      <c r="K24" s="256"/>
      <c r="L24" s="257"/>
      <c r="M24" s="257"/>
      <c r="O24" s="258" t="s">
        <v>107</v>
      </c>
      <c r="P24" s="259"/>
      <c r="Q24" s="259"/>
      <c r="R24" s="248">
        <f>COUNTIF(Y7:Y14,"STRONG")</f>
        <v>0</v>
      </c>
      <c r="T24" s="265" t="s">
        <v>108</v>
      </c>
      <c r="U24" s="265"/>
      <c r="V24" s="265"/>
      <c r="W24" s="265">
        <f>'FALNIR-18'!C8</f>
        <v>4010</v>
      </c>
      <c r="X24" s="265" t="s">
        <v>109</v>
      </c>
      <c r="Y24" s="265"/>
      <c r="Z24" s="265"/>
      <c r="AA24" s="265">
        <f>O15</f>
        <v>3632</v>
      </c>
    </row>
    <row r="25" spans="10:27">
      <c r="J25" s="230"/>
      <c r="K25" s="260"/>
      <c r="L25" s="261"/>
      <c r="M25" s="261"/>
      <c r="O25" s="262"/>
      <c r="P25" s="263"/>
      <c r="Q25" s="263"/>
      <c r="R25" s="251"/>
      <c r="T25" s="265"/>
      <c r="U25" s="265"/>
      <c r="V25" s="265"/>
      <c r="W25" s="265"/>
      <c r="X25" s="265"/>
      <c r="Y25" s="265"/>
      <c r="Z25" s="265"/>
      <c r="AA25" s="265"/>
    </row>
    <row r="26" spans="15:27">
      <c r="O26" s="229" t="s">
        <v>110</v>
      </c>
      <c r="P26" s="256"/>
      <c r="Q26" s="256"/>
      <c r="R26" s="248">
        <f>COUNTIF(Y7:Y14,"LOST")</f>
        <v>5</v>
      </c>
      <c r="T26" s="265" t="s">
        <v>111</v>
      </c>
      <c r="U26" s="265"/>
      <c r="V26" s="265"/>
      <c r="W26" s="265">
        <f>W20-W22</f>
        <v>-57.0724991731358</v>
      </c>
      <c r="X26" s="265" t="s">
        <v>111</v>
      </c>
      <c r="Y26" s="265"/>
      <c r="Z26" s="265"/>
      <c r="AA26" s="265">
        <f>AA20-AA22</f>
        <v>-34.0445190818431</v>
      </c>
    </row>
    <row r="27" spans="15:27">
      <c r="O27" s="230"/>
      <c r="P27" s="260"/>
      <c r="Q27" s="260"/>
      <c r="R27" s="251"/>
      <c r="T27" s="265"/>
      <c r="U27" s="265"/>
      <c r="V27" s="265"/>
      <c r="W27" s="265"/>
      <c r="X27" s="265"/>
      <c r="Y27" s="265"/>
      <c r="Z27" s="265"/>
      <c r="AA27" s="265"/>
    </row>
    <row r="28" spans="20:26">
      <c r="T28" s="265" t="s">
        <v>112</v>
      </c>
      <c r="U28" s="265"/>
      <c r="V28" s="265"/>
      <c r="W28" s="265">
        <f>AA20-W20</f>
        <v>11.7467910821237</v>
      </c>
      <c r="X28" s="265"/>
      <c r="Y28" s="265"/>
      <c r="Z28" s="265"/>
    </row>
    <row r="29" spans="20:26">
      <c r="T29" s="265"/>
      <c r="U29" s="265"/>
      <c r="V29" s="265"/>
      <c r="W29" s="265"/>
      <c r="X29" s="265"/>
      <c r="Y29" s="265"/>
      <c r="Z29" s="265"/>
    </row>
    <row r="30" spans="20:26">
      <c r="T30" s="265" t="s">
        <v>113</v>
      </c>
      <c r="U30" s="265"/>
      <c r="V30" s="265"/>
      <c r="W30" s="265">
        <f>AA22-W22</f>
        <v>-11.281189009169</v>
      </c>
      <c r="X30" s="265"/>
      <c r="Y30" s="265"/>
      <c r="Z30" s="265"/>
    </row>
    <row r="31" spans="20:26">
      <c r="T31" s="265"/>
      <c r="U31" s="265"/>
      <c r="V31" s="265"/>
      <c r="W31" s="265"/>
      <c r="X31" s="265"/>
      <c r="Y31" s="265"/>
      <c r="Z31" s="265"/>
    </row>
    <row r="32" spans="20:26">
      <c r="T32" s="265" t="s">
        <v>114</v>
      </c>
      <c r="U32" s="265"/>
      <c r="V32" s="265"/>
      <c r="W32" s="265" t="str">
        <f>IF(W28&gt;W30,"INCREASE","DECREASE")</f>
        <v>INCREASE</v>
      </c>
      <c r="X32" s="265"/>
      <c r="Y32" s="265"/>
      <c r="Z32" s="265"/>
    </row>
    <row r="33" spans="20:26">
      <c r="T33" s="265"/>
      <c r="U33" s="265"/>
      <c r="V33" s="265"/>
      <c r="W33" s="265"/>
      <c r="X33" s="265"/>
      <c r="Y33" s="265"/>
      <c r="Z33" s="265"/>
    </row>
    <row r="34" spans="20:27">
      <c r="T34" s="265">
        <v>0</v>
      </c>
      <c r="U34" s="265"/>
      <c r="V34" s="265"/>
      <c r="W34" s="265"/>
      <c r="X34" s="265"/>
      <c r="Y34" s="265"/>
      <c r="Z34" s="265"/>
      <c r="AA34" s="265"/>
    </row>
    <row r="35" spans="20:27">
      <c r="T35" s="265"/>
      <c r="U35" s="265"/>
      <c r="V35" s="265"/>
      <c r="W35" s="265"/>
      <c r="X35" s="265"/>
      <c r="Y35" s="265"/>
      <c r="Z35" s="265"/>
      <c r="AA35" s="265"/>
    </row>
    <row r="36" spans="20:27">
      <c r="T36" s="265"/>
      <c r="U36" s="265"/>
      <c r="V36" s="265"/>
      <c r="W36" s="265"/>
      <c r="X36" s="265"/>
      <c r="Y36" s="265"/>
      <c r="Z36" s="265"/>
      <c r="AA36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M20:M22"/>
    <mergeCell ref="M23:M25"/>
    <mergeCell ref="N1:N6"/>
    <mergeCell ref="O1:O6"/>
    <mergeCell ref="P1:P6"/>
    <mergeCell ref="Q1:Q6"/>
    <mergeCell ref="R1:R6"/>
    <mergeCell ref="R20:R21"/>
    <mergeCell ref="R22:R23"/>
    <mergeCell ref="R24:R25"/>
    <mergeCell ref="R26:R27"/>
    <mergeCell ref="S1:S6"/>
    <mergeCell ref="T1:T6"/>
    <mergeCell ref="U1:U6"/>
    <mergeCell ref="V1:V6"/>
    <mergeCell ref="W1:W6"/>
    <mergeCell ref="W20:W21"/>
    <mergeCell ref="W22:W23"/>
    <mergeCell ref="W24:W25"/>
    <mergeCell ref="W26:W27"/>
    <mergeCell ref="X1:X6"/>
    <mergeCell ref="Y1:Y6"/>
    <mergeCell ref="Z1:Z6"/>
    <mergeCell ref="AA1:AA6"/>
    <mergeCell ref="AA20:AA21"/>
    <mergeCell ref="AA22:AA23"/>
    <mergeCell ref="AA24:AA25"/>
    <mergeCell ref="AA26:AA27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O26:Q27"/>
    <mergeCell ref="X26:Z27"/>
    <mergeCell ref="J18:M19"/>
    <mergeCell ref="O18:R19"/>
    <mergeCell ref="J20:L22"/>
    <mergeCell ref="O20:Q21"/>
    <mergeCell ref="X20:Z21"/>
    <mergeCell ref="O22:Q23"/>
    <mergeCell ref="X22:Z23"/>
    <mergeCell ref="J23:L25"/>
    <mergeCell ref="O24:Q25"/>
    <mergeCell ref="X24:Z25"/>
    <mergeCell ref="D1:K2"/>
    <mergeCell ref="T18:AA19"/>
    <mergeCell ref="T20:V21"/>
    <mergeCell ref="T22:V23"/>
    <mergeCell ref="T24:V25"/>
    <mergeCell ref="T26:V27"/>
    <mergeCell ref="T28:V29"/>
    <mergeCell ref="W28:Z29"/>
    <mergeCell ref="T34:AA36"/>
    <mergeCell ref="T30:V31"/>
    <mergeCell ref="W30:Z31"/>
    <mergeCell ref="T32:V33"/>
    <mergeCell ref="W32:X33"/>
    <mergeCell ref="Y32:Z33"/>
  </mergeCells>
  <conditionalFormatting sqref="AR7:AR14">
    <cfRule type="containsText" dxfId="6" priority="1" operator="between" text="FEMALE DOM">
      <formula>NOT(ISERROR(SEARCH("FEMALE DOM",AR7)))</formula>
    </cfRule>
  </conditionalFormatting>
  <conditionalFormatting sqref="AZ7:AZ14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4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workbookViewId="0">
      <selection activeCell="A1" sqref="A1:AJ1"/>
    </sheetView>
  </sheetViews>
  <sheetFormatPr defaultColWidth="9" defaultRowHeight="14.5" outlineLevelRow="7"/>
  <cols>
    <col min="36" max="36" width="14" customWidth="1"/>
  </cols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144</v>
      </c>
      <c r="B2" s="185" t="s">
        <v>261</v>
      </c>
      <c r="C2" s="184">
        <v>426</v>
      </c>
      <c r="D2" s="184">
        <v>22</v>
      </c>
      <c r="E2" s="184">
        <f t="shared" ref="E2:E7" si="0">(D2/C2)*100</f>
        <v>5.16431924882629</v>
      </c>
      <c r="F2" s="184">
        <v>395</v>
      </c>
      <c r="G2" s="184">
        <f t="shared" ref="G2:G7" si="1">(F2/C2)*100</f>
        <v>92.7230046948357</v>
      </c>
      <c r="H2" s="184">
        <v>3</v>
      </c>
      <c r="I2" s="184">
        <f t="shared" ref="I2:I7" si="2">(H2/C2)*100</f>
        <v>0.704225352112676</v>
      </c>
      <c r="J2" s="184">
        <v>1</v>
      </c>
      <c r="K2" s="184">
        <f t="shared" ref="K2:K7" si="3">(J2/C2)*100</f>
        <v>0.234741784037559</v>
      </c>
      <c r="L2" s="189">
        <v>281</v>
      </c>
      <c r="M2" s="189">
        <v>278</v>
      </c>
      <c r="N2" s="189">
        <f t="shared" ref="N2:N7" si="4">L2+M2</f>
        <v>559</v>
      </c>
      <c r="O2" s="184">
        <v>426</v>
      </c>
      <c r="P2" s="190">
        <f t="shared" ref="P2:P7" si="5">O2/N2*100</f>
        <v>76.2075134168157</v>
      </c>
      <c r="Q2" s="184">
        <v>34</v>
      </c>
      <c r="R2" s="184">
        <f t="shared" ref="R2:R7" si="6">(Q2/N2)*100</f>
        <v>6.08228980322004</v>
      </c>
      <c r="S2" s="192">
        <f t="shared" ref="S2:S7" si="7">Q2-U2</f>
        <v>24</v>
      </c>
      <c r="T2" s="184">
        <f t="shared" ref="T2:T7" si="8">(S2/Q2)*100</f>
        <v>70.5882352941177</v>
      </c>
      <c r="U2" s="184">
        <v>10</v>
      </c>
      <c r="V2" s="191">
        <f t="shared" ref="V2:V7" si="9">IFERROR(U2/Q2*100,0)</f>
        <v>29.4117647058824</v>
      </c>
      <c r="W2" s="184">
        <v>525</v>
      </c>
      <c r="X2" s="184">
        <f t="shared" ref="X2:X7" si="10">100-R2</f>
        <v>93.91771019678</v>
      </c>
      <c r="Y2" s="184">
        <f t="shared" ref="Y2:Y7" si="11">W2-AA2</f>
        <v>115</v>
      </c>
      <c r="Z2" s="193">
        <f t="shared" ref="Z2:Z7" si="12">(Y2/W2)*100</f>
        <v>21.9047619047619</v>
      </c>
      <c r="AA2" s="193">
        <v>410</v>
      </c>
      <c r="AB2" s="194">
        <f t="shared" ref="AB2:AB7" si="13">IFERROR(AA2/W2*100,0)</f>
        <v>78.0952380952381</v>
      </c>
      <c r="AC2" s="193">
        <f t="shared" ref="AC2:AC7" si="14">U2+AA2</f>
        <v>420</v>
      </c>
      <c r="AD2" s="193" t="str">
        <f t="shared" ref="AD2:AD7" si="15">IF(P2&gt;80,"EXCELLENT",IF(P2&gt;70,"STRONG",IF(P2&gt;60,"AVG",IF(P2&gt;50,"WEAK",IF(P2&lt;50,"VLOW")))))</f>
        <v>STRONG</v>
      </c>
      <c r="AE2" s="195" t="str">
        <f t="shared" ref="AE2:AE7" si="16">IF(R2&gt;80,"EXCELLENT",IF(R2&gt;70,"STRONG",IF(R2&gt;60,"AVG",IF(R2&gt;50,"WEAK",IF(R2&lt;50,"VLOW")))))</f>
        <v>VLOW</v>
      </c>
      <c r="AF2" s="193" t="str">
        <f t="shared" ref="AF2:AF7" si="17">IF(X2&gt;80,"EXCELLENT",IF(X2&gt;70,"STRONG",IF(X2&gt;60,"AVG",IF(X2&gt;50,"WEAK",IF(X2&lt;50,"VLOW")))))</f>
        <v>EXCELLENT</v>
      </c>
      <c r="AG2" s="193" t="str">
        <f t="shared" ref="AG2:AG7" si="18">IF(M2&gt;L2,"FEMALE DOM","MEN")</f>
        <v>MEN</v>
      </c>
      <c r="AH2" s="193" t="str">
        <f t="shared" ref="AH2:AH7" si="19">IF(T2&gt;Z2,"H","O")</f>
        <v>H</v>
      </c>
      <c r="AI2" s="197">
        <f t="shared" ref="AI2:AI5" si="20">G2-E2</f>
        <v>87.5586854460094</v>
      </c>
      <c r="AJ2" s="198" t="str">
        <f t="shared" ref="AJ2:AJ8" si="21">IF(E2&gt;G2,"BJP GAIN","CONGRESSGAIN")</f>
        <v>CONGRESSGAIN</v>
      </c>
    </row>
    <row r="3" spans="1:36">
      <c r="A3" s="184">
        <v>145</v>
      </c>
      <c r="B3" s="185" t="s">
        <v>262</v>
      </c>
      <c r="C3" s="184">
        <v>661</v>
      </c>
      <c r="D3" s="184">
        <v>35</v>
      </c>
      <c r="E3" s="184">
        <f t="shared" si="0"/>
        <v>5.29500756429652</v>
      </c>
      <c r="F3" s="184">
        <v>606</v>
      </c>
      <c r="G3" s="184">
        <f t="shared" si="1"/>
        <v>91.679273827534</v>
      </c>
      <c r="H3" s="184">
        <v>2</v>
      </c>
      <c r="I3" s="184">
        <f t="shared" si="2"/>
        <v>0.302571860816944</v>
      </c>
      <c r="J3" s="184">
        <v>2</v>
      </c>
      <c r="K3" s="184">
        <f t="shared" si="3"/>
        <v>0.302571860816944</v>
      </c>
      <c r="L3" s="189">
        <v>312</v>
      </c>
      <c r="M3" s="189">
        <v>559</v>
      </c>
      <c r="N3" s="189">
        <f t="shared" si="4"/>
        <v>871</v>
      </c>
      <c r="O3" s="184">
        <v>661</v>
      </c>
      <c r="P3" s="190">
        <f t="shared" si="5"/>
        <v>75.8897818599311</v>
      </c>
      <c r="Q3" s="184">
        <v>116</v>
      </c>
      <c r="R3" s="184">
        <f t="shared" si="6"/>
        <v>13.3180252583238</v>
      </c>
      <c r="S3" s="184">
        <f t="shared" si="7"/>
        <v>70</v>
      </c>
      <c r="T3" s="184">
        <f t="shared" si="8"/>
        <v>60.3448275862069</v>
      </c>
      <c r="U3" s="184">
        <v>46</v>
      </c>
      <c r="V3" s="191">
        <f t="shared" si="9"/>
        <v>39.6551724137931</v>
      </c>
      <c r="W3" s="184">
        <v>725</v>
      </c>
      <c r="X3" s="184">
        <f t="shared" si="10"/>
        <v>86.6819747416762</v>
      </c>
      <c r="Y3" s="196">
        <f t="shared" si="11"/>
        <v>725</v>
      </c>
      <c r="Z3" s="193">
        <f t="shared" si="12"/>
        <v>100</v>
      </c>
      <c r="AA3" s="193"/>
      <c r="AB3" s="194">
        <f t="shared" si="13"/>
        <v>0</v>
      </c>
      <c r="AC3" s="193">
        <f t="shared" si="14"/>
        <v>46</v>
      </c>
      <c r="AD3" s="193" t="str">
        <f t="shared" si="15"/>
        <v>STRONG</v>
      </c>
      <c r="AE3" s="195" t="str">
        <f t="shared" si="16"/>
        <v>VLOW</v>
      </c>
      <c r="AF3" s="193" t="str">
        <f t="shared" si="17"/>
        <v>EXCELLENT</v>
      </c>
      <c r="AG3" s="193" t="str">
        <f t="shared" si="18"/>
        <v>FEMALE DOM</v>
      </c>
      <c r="AH3" s="193" t="str">
        <f t="shared" si="19"/>
        <v>O</v>
      </c>
      <c r="AI3" s="197">
        <f t="shared" si="20"/>
        <v>86.3842662632375</v>
      </c>
      <c r="AJ3" s="198" t="str">
        <f t="shared" si="21"/>
        <v>CONGRESSGAIN</v>
      </c>
    </row>
    <row r="4" spans="1:36">
      <c r="A4" s="184">
        <v>146</v>
      </c>
      <c r="B4" s="185" t="s">
        <v>263</v>
      </c>
      <c r="C4" s="184">
        <v>532</v>
      </c>
      <c r="D4" s="184">
        <v>44</v>
      </c>
      <c r="E4" s="184">
        <f t="shared" si="0"/>
        <v>8.27067669172932</v>
      </c>
      <c r="F4" s="184">
        <v>485</v>
      </c>
      <c r="G4" s="184">
        <f t="shared" si="1"/>
        <v>91.1654135338346</v>
      </c>
      <c r="H4" s="184">
        <v>1</v>
      </c>
      <c r="I4" s="184">
        <f t="shared" si="2"/>
        <v>0.18796992481203</v>
      </c>
      <c r="J4" s="184">
        <v>0</v>
      </c>
      <c r="K4" s="184">
        <f t="shared" si="3"/>
        <v>0</v>
      </c>
      <c r="L4" s="189">
        <v>438</v>
      </c>
      <c r="M4" s="189">
        <v>625</v>
      </c>
      <c r="N4" s="189">
        <f t="shared" si="4"/>
        <v>1063</v>
      </c>
      <c r="O4" s="184">
        <v>532</v>
      </c>
      <c r="P4" s="190">
        <f t="shared" si="5"/>
        <v>50.0470366886171</v>
      </c>
      <c r="Q4" s="184">
        <v>157</v>
      </c>
      <c r="R4" s="184">
        <f t="shared" si="6"/>
        <v>14.7695202257761</v>
      </c>
      <c r="S4" s="184">
        <f t="shared" si="7"/>
        <v>67</v>
      </c>
      <c r="T4" s="184">
        <f t="shared" si="8"/>
        <v>42.6751592356688</v>
      </c>
      <c r="U4" s="184">
        <v>90</v>
      </c>
      <c r="V4" s="191">
        <f t="shared" si="9"/>
        <v>57.3248407643312</v>
      </c>
      <c r="W4" s="184">
        <v>897</v>
      </c>
      <c r="X4" s="184">
        <f t="shared" si="10"/>
        <v>85.2304797742239</v>
      </c>
      <c r="Y4" s="184">
        <f t="shared" si="11"/>
        <v>457</v>
      </c>
      <c r="Z4" s="193">
        <f t="shared" si="12"/>
        <v>50.9476031215162</v>
      </c>
      <c r="AA4" s="193">
        <v>440</v>
      </c>
      <c r="AB4" s="194">
        <f t="shared" si="13"/>
        <v>49.0523968784838</v>
      </c>
      <c r="AC4" s="193">
        <f t="shared" si="14"/>
        <v>530</v>
      </c>
      <c r="AD4" s="193" t="str">
        <f t="shared" si="15"/>
        <v>WEAK</v>
      </c>
      <c r="AE4" s="195" t="str">
        <f t="shared" si="16"/>
        <v>VLOW</v>
      </c>
      <c r="AF4" s="193" t="str">
        <f t="shared" si="17"/>
        <v>EXCELLENT</v>
      </c>
      <c r="AG4" s="193" t="str">
        <f t="shared" si="18"/>
        <v>FEMALE DOM</v>
      </c>
      <c r="AH4" s="193" t="str">
        <f t="shared" si="19"/>
        <v>O</v>
      </c>
      <c r="AI4" s="197">
        <f t="shared" si="20"/>
        <v>82.8947368421053</v>
      </c>
      <c r="AJ4" s="198" t="str">
        <f t="shared" si="21"/>
        <v>CONGRESSGAIN</v>
      </c>
    </row>
    <row r="5" spans="1:36">
      <c r="A5" s="184">
        <v>154</v>
      </c>
      <c r="B5" s="185" t="s">
        <v>264</v>
      </c>
      <c r="C5" s="184">
        <v>967</v>
      </c>
      <c r="D5" s="184">
        <v>363</v>
      </c>
      <c r="E5" s="184">
        <f t="shared" si="0"/>
        <v>37.5387797311272</v>
      </c>
      <c r="F5" s="184">
        <v>589</v>
      </c>
      <c r="G5" s="184">
        <f t="shared" si="1"/>
        <v>60.9100310237849</v>
      </c>
      <c r="H5" s="184">
        <v>5</v>
      </c>
      <c r="I5" s="184">
        <f t="shared" si="2"/>
        <v>0.517063081695967</v>
      </c>
      <c r="J5" s="184">
        <v>4</v>
      </c>
      <c r="K5" s="184">
        <f t="shared" si="3"/>
        <v>0.413650465356774</v>
      </c>
      <c r="L5" s="189">
        <v>714</v>
      </c>
      <c r="M5" s="189">
        <v>809</v>
      </c>
      <c r="N5" s="189">
        <f t="shared" si="4"/>
        <v>1523</v>
      </c>
      <c r="O5" s="184">
        <v>967</v>
      </c>
      <c r="P5" s="190">
        <f t="shared" si="5"/>
        <v>63.4931057124097</v>
      </c>
      <c r="Q5" s="184">
        <v>680</v>
      </c>
      <c r="R5" s="184">
        <f t="shared" si="6"/>
        <v>44.6487196323047</v>
      </c>
      <c r="S5" s="184">
        <f t="shared" si="7"/>
        <v>470</v>
      </c>
      <c r="T5" s="184">
        <f t="shared" si="8"/>
        <v>69.1176470588235</v>
      </c>
      <c r="U5" s="184">
        <v>210</v>
      </c>
      <c r="V5" s="191">
        <f t="shared" si="9"/>
        <v>30.8823529411765</v>
      </c>
      <c r="W5" s="184">
        <v>836</v>
      </c>
      <c r="X5" s="184">
        <f t="shared" si="10"/>
        <v>55.3512803676953</v>
      </c>
      <c r="Y5" s="196">
        <f t="shared" si="11"/>
        <v>84</v>
      </c>
      <c r="Z5" s="193">
        <f t="shared" si="12"/>
        <v>10.0478468899522</v>
      </c>
      <c r="AA5" s="193">
        <v>752</v>
      </c>
      <c r="AB5" s="194">
        <f t="shared" si="13"/>
        <v>89.9521531100478</v>
      </c>
      <c r="AC5" s="193">
        <f t="shared" si="14"/>
        <v>962</v>
      </c>
      <c r="AD5" s="193" t="str">
        <f t="shared" si="15"/>
        <v>AVG</v>
      </c>
      <c r="AE5" s="195" t="str">
        <f t="shared" si="16"/>
        <v>VLOW</v>
      </c>
      <c r="AF5" s="193" t="str">
        <f t="shared" si="17"/>
        <v>WEAK</v>
      </c>
      <c r="AG5" s="193" t="str">
        <f t="shared" si="18"/>
        <v>FEMALE DOM</v>
      </c>
      <c r="AH5" s="193" t="str">
        <f t="shared" si="19"/>
        <v>H</v>
      </c>
      <c r="AI5" s="197">
        <f t="shared" si="20"/>
        <v>23.3712512926577</v>
      </c>
      <c r="AJ5" s="198" t="str">
        <f t="shared" si="21"/>
        <v>CONGRESSGAIN</v>
      </c>
    </row>
    <row r="6" spans="1:36">
      <c r="A6" s="184">
        <v>155</v>
      </c>
      <c r="B6" s="185" t="s">
        <v>265</v>
      </c>
      <c r="C6" s="184">
        <v>896</v>
      </c>
      <c r="D6" s="184">
        <v>502</v>
      </c>
      <c r="E6" s="184">
        <f t="shared" si="0"/>
        <v>56.0267857142857</v>
      </c>
      <c r="F6" s="184">
        <v>357</v>
      </c>
      <c r="G6" s="184">
        <f t="shared" si="1"/>
        <v>39.84375</v>
      </c>
      <c r="H6" s="184">
        <v>3</v>
      </c>
      <c r="I6" s="184">
        <f t="shared" si="2"/>
        <v>0.334821428571429</v>
      </c>
      <c r="J6" s="184">
        <v>16</v>
      </c>
      <c r="K6" s="184">
        <f t="shared" si="3"/>
        <v>1.78571428571429</v>
      </c>
      <c r="L6" s="189">
        <v>723</v>
      </c>
      <c r="M6" s="189">
        <v>779</v>
      </c>
      <c r="N6" s="189">
        <f t="shared" si="4"/>
        <v>1502</v>
      </c>
      <c r="O6" s="184">
        <v>896</v>
      </c>
      <c r="P6" s="190">
        <f t="shared" si="5"/>
        <v>59.6537949400799</v>
      </c>
      <c r="Q6" s="184">
        <v>543</v>
      </c>
      <c r="R6" s="184">
        <f t="shared" si="6"/>
        <v>36.1517976031957</v>
      </c>
      <c r="S6" s="184">
        <f t="shared" si="7"/>
        <v>93</v>
      </c>
      <c r="T6" s="184">
        <f t="shared" si="8"/>
        <v>17.1270718232044</v>
      </c>
      <c r="U6" s="184">
        <v>450</v>
      </c>
      <c r="V6" s="191">
        <f t="shared" si="9"/>
        <v>82.8729281767956</v>
      </c>
      <c r="W6" s="184">
        <v>194</v>
      </c>
      <c r="X6" s="184">
        <f t="shared" si="10"/>
        <v>63.8482023968043</v>
      </c>
      <c r="Y6" s="184">
        <f t="shared" si="11"/>
        <v>44</v>
      </c>
      <c r="Z6" s="193">
        <f t="shared" si="12"/>
        <v>22.680412371134</v>
      </c>
      <c r="AA6" s="193">
        <v>150</v>
      </c>
      <c r="AB6" s="194">
        <f t="shared" si="13"/>
        <v>77.319587628866</v>
      </c>
      <c r="AC6" s="193">
        <f t="shared" si="14"/>
        <v>600</v>
      </c>
      <c r="AD6" s="193" t="str">
        <f t="shared" si="15"/>
        <v>WEAK</v>
      </c>
      <c r="AE6" s="195" t="str">
        <f t="shared" si="16"/>
        <v>VLOW</v>
      </c>
      <c r="AF6" s="193" t="str">
        <f t="shared" si="17"/>
        <v>AVG</v>
      </c>
      <c r="AG6" s="193" t="str">
        <f t="shared" si="18"/>
        <v>FEMALE DOM</v>
      </c>
      <c r="AH6" s="193" t="str">
        <f t="shared" si="19"/>
        <v>O</v>
      </c>
      <c r="AI6" s="197">
        <f>E6-G6</f>
        <v>16.1830357142857</v>
      </c>
      <c r="AJ6" s="199" t="str">
        <f t="shared" si="21"/>
        <v>BJP GAIN</v>
      </c>
    </row>
    <row r="7" spans="1:36">
      <c r="A7" s="184">
        <v>147</v>
      </c>
      <c r="B7" s="185" t="s">
        <v>266</v>
      </c>
      <c r="C7" s="184">
        <v>528</v>
      </c>
      <c r="D7" s="184">
        <v>51</v>
      </c>
      <c r="E7" s="184">
        <f t="shared" si="0"/>
        <v>9.65909090909091</v>
      </c>
      <c r="F7" s="184">
        <v>465</v>
      </c>
      <c r="G7" s="184">
        <f t="shared" si="1"/>
        <v>88.0681818181818</v>
      </c>
      <c r="H7" s="184">
        <v>4</v>
      </c>
      <c r="I7" s="184">
        <f t="shared" si="2"/>
        <v>0.757575757575758</v>
      </c>
      <c r="J7" s="184">
        <v>1</v>
      </c>
      <c r="K7" s="184">
        <f t="shared" si="3"/>
        <v>0.189393939393939</v>
      </c>
      <c r="L7" s="189">
        <v>335</v>
      </c>
      <c r="M7" s="189">
        <v>577</v>
      </c>
      <c r="N7" s="189">
        <f t="shared" si="4"/>
        <v>912</v>
      </c>
      <c r="O7" s="184">
        <v>528</v>
      </c>
      <c r="P7" s="190">
        <f t="shared" si="5"/>
        <v>57.8947368421053</v>
      </c>
      <c r="Q7" s="184">
        <v>130</v>
      </c>
      <c r="R7" s="184">
        <f t="shared" si="6"/>
        <v>14.2543859649123</v>
      </c>
      <c r="S7" s="184">
        <f t="shared" si="7"/>
        <v>92</v>
      </c>
      <c r="T7" s="184">
        <f t="shared" si="8"/>
        <v>70.7692307692308</v>
      </c>
      <c r="U7" s="184">
        <v>38</v>
      </c>
      <c r="V7" s="191">
        <f t="shared" si="9"/>
        <v>29.2307692307692</v>
      </c>
      <c r="W7" s="184">
        <v>792</v>
      </c>
      <c r="X7" s="184">
        <f t="shared" si="10"/>
        <v>85.7456140350877</v>
      </c>
      <c r="Y7" s="184">
        <f t="shared" si="11"/>
        <v>312</v>
      </c>
      <c r="Z7" s="193">
        <f t="shared" si="12"/>
        <v>39.3939393939394</v>
      </c>
      <c r="AA7" s="193">
        <v>480</v>
      </c>
      <c r="AB7" s="194">
        <f t="shared" si="13"/>
        <v>60.6060606060606</v>
      </c>
      <c r="AC7" s="193">
        <f t="shared" si="14"/>
        <v>518</v>
      </c>
      <c r="AD7" s="193" t="str">
        <f t="shared" si="15"/>
        <v>WEAK</v>
      </c>
      <c r="AE7" s="195" t="str">
        <f t="shared" si="16"/>
        <v>VLOW</v>
      </c>
      <c r="AF7" s="193" t="str">
        <f t="shared" si="17"/>
        <v>EXCELLENT</v>
      </c>
      <c r="AG7" s="193" t="str">
        <f t="shared" si="18"/>
        <v>FEMALE DOM</v>
      </c>
      <c r="AH7" s="193" t="str">
        <f t="shared" si="19"/>
        <v>H</v>
      </c>
      <c r="AI7" s="197">
        <f t="shared" ref="AI7:AI8" si="22">G7-E7</f>
        <v>78.4090909090909</v>
      </c>
      <c r="AJ7" s="198" t="str">
        <f t="shared" si="21"/>
        <v>CONGRESSGAIN</v>
      </c>
    </row>
    <row r="8" spans="3:36">
      <c r="C8">
        <f>SUM(C2:C7)</f>
        <v>4010</v>
      </c>
      <c r="D8">
        <f>SUM(D2:D7)</f>
        <v>1017</v>
      </c>
      <c r="E8" s="186">
        <f>AVERAGE(E2:E7)</f>
        <v>20.325776643226</v>
      </c>
      <c r="F8">
        <f>SUM(F2:F7)</f>
        <v>2897</v>
      </c>
      <c r="G8" s="186">
        <f>AVERAGE(G2:G7)</f>
        <v>77.3982758163618</v>
      </c>
      <c r="H8">
        <f>SUM(H2:H7)</f>
        <v>18</v>
      </c>
      <c r="I8" s="186">
        <f>AVERAGE(I2:I7)</f>
        <v>0.467371234264134</v>
      </c>
      <c r="J8">
        <f>SUM(J2:J7)</f>
        <v>24</v>
      </c>
      <c r="K8" s="186">
        <f>AVERAGE(K2:K7)</f>
        <v>0.48767872255325</v>
      </c>
      <c r="AI8" s="329">
        <f t="shared" si="22"/>
        <v>57.0724991731358</v>
      </c>
      <c r="AJ8" s="200" t="str">
        <f t="shared" si="21"/>
        <v>CONGRESSGAIN</v>
      </c>
    </row>
  </sheetData>
  <conditionalFormatting sqref="AD7">
    <cfRule type="containsText" dxfId="8" priority="15" operator="between" text="AVG">
      <formula>NOT(ISERROR(SEARCH("AVG",AD7)))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NOT(ISERROR(SEARCH("VSTRONG",AD7)))</formula>
    </cfRule>
    <cfRule type="containsText" dxfId="10" priority="5" operator="between" text="AVG">
      <formula>NOT(ISERROR(SEARCH("AVG",AD7)))</formula>
    </cfRule>
  </conditionalFormatting>
  <conditionalFormatting sqref="AE7">
    <cfRule type="containsText" dxfId="3" priority="9" operator="between" text="STRONG">
      <formula>NOT(ISERROR(SEARCH("STRONG",AE7)))</formula>
    </cfRule>
    <cfRule type="containsText" dxfId="1" priority="7" operator="between" text="VSTRONG">
      <formula>NOT(ISERROR(SEARCH("VSTRONG",AE7)))</formula>
    </cfRule>
  </conditionalFormatting>
  <conditionalFormatting sqref="AE7:AF7">
    <cfRule type="containsText" dxfId="2" priority="8" operator="between" text="AVG">
      <formula>NOT(ISERROR(SEARCH("AVG",AE7)))</formula>
    </cfRule>
  </conditionalFormatting>
  <conditionalFormatting sqref="AF7">
    <cfRule type="cellIs" dxfId="11" priority="3" operator="equal">
      <formula>"VWEAK"</formula>
    </cfRule>
    <cfRule type="containsText" dxfId="0" priority="2" operator="between" text="VSTRONG">
      <formula>NOT(ISERROR(SEARCH("VSTRONG",AF7)))</formula>
    </cfRule>
  </conditionalFormatting>
  <conditionalFormatting sqref="AG7">
    <cfRule type="containsText" dxfId="12" priority="6" operator="between" text="FEMALE DOM">
      <formula>NOT(ISERROR(SEARCH("FEMALE DOM",AG7)))</formula>
    </cfRule>
    <cfRule type="containsText" dxfId="10" priority="1" operator="between" text="MEN">
      <formula>NOT(ISERROR(SEARCH("MEN",AG7)))</formula>
    </cfRule>
  </conditionalFormatting>
  <conditionalFormatting sqref="AH7">
    <cfRule type="containsText" dxfId="0" priority="12" operator="between" text="O">
      <formula>NOT(ISERROR(SEARCH("O",AH7)))</formula>
    </cfRule>
    <cfRule type="containsText" dxfId="3" priority="10" operator="between" text="H">
      <formula>NOT(ISERROR(SEARCH("H",AH7)))</formula>
    </cfRule>
    <cfRule type="containsText" dxfId="13" priority="11" operator="between" text="H">
      <formula>NOT(ISERROR(SEARCH("H",AH7)))</formula>
    </cfRule>
    <cfRule type="containsText" dxfId="1" priority="4" operator="between" text="H">
      <formula>NOT(ISERROR(SEARCH("H",AH7)))</formula>
    </cfRule>
  </conditionalFormatting>
  <conditionalFormatting sqref="AD2:AD4">
    <cfRule type="containsText" dxfId="8" priority="45" operator="between" text="AVG">
      <formula>NOT(ISERROR(SEARCH("AVG",AD2)))</formula>
    </cfRule>
    <cfRule type="cellIs" dxfId="9" priority="44" operator="equal">
      <formula>"STRONG"</formula>
    </cfRule>
    <cfRule type="containsText" dxfId="3" priority="43" operator="between" text="VSTRONG">
      <formula>NOT(ISERROR(SEARCH("VSTRONG",AD2)))</formula>
    </cfRule>
    <cfRule type="containsText" dxfId="10" priority="35" operator="between" text="AVG">
      <formula>NOT(ISERROR(SEARCH("AVG",AD2)))</formula>
    </cfRule>
  </conditionalFormatting>
  <conditionalFormatting sqref="AD5:AD6">
    <cfRule type="containsText" dxfId="8" priority="30" operator="between" text="AVG">
      <formula>NOT(ISERROR(SEARCH("AVG",AD5)))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NOT(ISERROR(SEARCH("VSTRONG",AD5)))</formula>
    </cfRule>
    <cfRule type="containsText" dxfId="10" priority="20" operator="between" text="AVG">
      <formula>NOT(ISERROR(SEARCH("AVG",AD5)))</formula>
    </cfRule>
  </conditionalFormatting>
  <conditionalFormatting sqref="AE2:AE4">
    <cfRule type="containsText" dxfId="3" priority="39" operator="between" text="STRONG">
      <formula>NOT(ISERROR(SEARCH("STRONG",AE2)))</formula>
    </cfRule>
    <cfRule type="containsText" dxfId="1" priority="37" operator="between" text="VSTRONG">
      <formula>NOT(ISERROR(SEARCH("VSTRONG",AE2)))</formula>
    </cfRule>
  </conditionalFormatting>
  <conditionalFormatting sqref="AE5:AE6">
    <cfRule type="containsText" dxfId="3" priority="24" operator="between" text="STRONG">
      <formula>NOT(ISERROR(SEARCH("STRONG",AE5)))</formula>
    </cfRule>
    <cfRule type="containsText" dxfId="1" priority="22" operator="between" text="VSTRONG">
      <formula>NOT(ISERROR(SEARCH("VSTRONG",AE5)))</formula>
    </cfRule>
  </conditionalFormatting>
  <conditionalFormatting sqref="AF2:AF4">
    <cfRule type="cellIs" dxfId="11" priority="33" operator="equal">
      <formula>"VWEAK"</formula>
    </cfRule>
    <cfRule type="containsText" dxfId="0" priority="32" operator="between" text="VSTRONG">
      <formula>NOT(ISERROR(SEARCH("VSTRONG",AF2)))</formula>
    </cfRule>
  </conditionalFormatting>
  <conditionalFormatting sqref="AF5:AF6">
    <cfRule type="cellIs" dxfId="11" priority="18" operator="equal">
      <formula>"VWEAK"</formula>
    </cfRule>
    <cfRule type="containsText" dxfId="0" priority="17" operator="between" text="VSTRONG">
      <formula>NOT(ISERROR(SEARCH("VSTRONG",AF5)))</formula>
    </cfRule>
  </conditionalFormatting>
  <conditionalFormatting sqref="AG2:AG4">
    <cfRule type="containsText" dxfId="12" priority="36" operator="between" text="FEMALE DOM">
      <formula>NOT(ISERROR(SEARCH("FEMALE DOM",AG2)))</formula>
    </cfRule>
    <cfRule type="containsText" dxfId="10" priority="31" operator="between" text="MEN">
      <formula>NOT(ISERROR(SEARCH("MEN",AG2)))</formula>
    </cfRule>
  </conditionalFormatting>
  <conditionalFormatting sqref="AG5:AG6">
    <cfRule type="containsText" dxfId="12" priority="21" operator="between" text="FEMALE DOM">
      <formula>NOT(ISERROR(SEARCH("FEMALE DOM",AG5)))</formula>
    </cfRule>
    <cfRule type="containsText" dxfId="10" priority="16" operator="between" text="MEN">
      <formula>NOT(ISERROR(SEARCH("MEN",AG5)))</formula>
    </cfRule>
  </conditionalFormatting>
  <conditionalFormatting sqref="AH2:AH4">
    <cfRule type="containsText" dxfId="0" priority="42" operator="between" text="O">
      <formula>NOT(ISERROR(SEARCH("O",AH2)))</formula>
    </cfRule>
    <cfRule type="containsText" dxfId="3" priority="40" operator="between" text="H">
      <formula>NOT(ISERROR(SEARCH("H",AH2)))</formula>
    </cfRule>
    <cfRule type="containsText" dxfId="13" priority="41" operator="between" text="H">
      <formula>NOT(ISERROR(SEARCH("H",AH2)))</formula>
    </cfRule>
    <cfRule type="containsText" dxfId="1" priority="34" operator="between" text="H">
      <formula>NOT(ISERROR(SEARCH("H",AH2)))</formula>
    </cfRule>
  </conditionalFormatting>
  <conditionalFormatting sqref="AH5:AH6">
    <cfRule type="containsText" dxfId="0" priority="27" operator="between" text="O">
      <formula>NOT(ISERROR(SEARCH("O",AH5)))</formula>
    </cfRule>
    <cfRule type="containsText" dxfId="3" priority="25" operator="between" text="H">
      <formula>NOT(ISERROR(SEARCH("H",AH5)))</formula>
    </cfRule>
    <cfRule type="containsText" dxfId="13" priority="26" operator="between" text="H">
      <formula>NOT(ISERROR(SEARCH("H",AH5)))</formula>
    </cfRule>
    <cfRule type="containsText" dxfId="1" priority="19" operator="between" text="H">
      <formula>NOT(ISERROR(SEARCH("H",AH5)))</formula>
    </cfRule>
  </conditionalFormatting>
  <conditionalFormatting sqref="AE2:AF4">
    <cfRule type="containsText" dxfId="2" priority="38" operator="between" text="AVG">
      <formula>NOT(ISERROR(SEARCH("AVG",AE2)))</formula>
    </cfRule>
  </conditionalFormatting>
  <conditionalFormatting sqref="AE5:AF6">
    <cfRule type="containsText" dxfId="2" priority="23" operator="between" text="AVG">
      <formula>NOT(ISERROR(SEARCH("AVG",AE5)))</formula>
    </cfRule>
  </conditionalFormatting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3"/>
  <sheetViews>
    <sheetView zoomScale="68" zoomScaleNormal="68" topLeftCell="R8" workbookViewId="0">
      <selection activeCell="V15" sqref="V15:AC33"/>
    </sheetView>
  </sheetViews>
  <sheetFormatPr defaultColWidth="9" defaultRowHeight="14.5"/>
  <cols>
    <col min="3" max="3" width="9.70909090909091" customWidth="1"/>
    <col min="25" max="25" width="14" customWidth="1"/>
    <col min="26" max="26" width="12" customWidth="1"/>
    <col min="27" max="27" width="12.7090909090909" customWidth="1"/>
  </cols>
  <sheetData>
    <row r="1" spans="1:53">
      <c r="A1" s="208" t="s">
        <v>16</v>
      </c>
      <c r="B1" s="202" t="s">
        <v>177</v>
      </c>
      <c r="C1" s="208" t="s">
        <v>15</v>
      </c>
      <c r="D1" s="203" t="s">
        <v>1</v>
      </c>
      <c r="E1" s="204"/>
      <c r="F1" s="204"/>
      <c r="G1" s="204"/>
      <c r="H1" s="204"/>
      <c r="I1" s="204"/>
      <c r="J1" s="204"/>
      <c r="K1" s="209"/>
      <c r="L1" s="211" t="s">
        <v>2</v>
      </c>
      <c r="M1" s="210" t="s">
        <v>3</v>
      </c>
      <c r="N1" s="210" t="s">
        <v>4</v>
      </c>
      <c r="O1" s="210" t="s">
        <v>5</v>
      </c>
      <c r="P1" s="201" t="s">
        <v>17</v>
      </c>
      <c r="Q1" s="202" t="s">
        <v>18</v>
      </c>
      <c r="R1" s="201" t="s">
        <v>19</v>
      </c>
      <c r="S1" s="202" t="s">
        <v>20</v>
      </c>
      <c r="T1" s="264" t="s">
        <v>21</v>
      </c>
      <c r="U1" s="208" t="s">
        <v>22</v>
      </c>
      <c r="V1" s="205" t="s">
        <v>23</v>
      </c>
      <c r="W1" s="408"/>
      <c r="X1" s="408"/>
      <c r="Y1" s="408"/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10"/>
      <c r="B2" s="205"/>
      <c r="C2" s="210"/>
      <c r="D2" s="206"/>
      <c r="E2" s="207"/>
      <c r="F2" s="207"/>
      <c r="G2" s="207"/>
      <c r="H2" s="207"/>
      <c r="I2" s="207"/>
      <c r="J2" s="207"/>
      <c r="K2" s="211"/>
      <c r="L2" s="211"/>
      <c r="M2" s="210"/>
      <c r="N2" s="210"/>
      <c r="O2" s="210"/>
      <c r="P2" s="201"/>
      <c r="Q2" s="205"/>
      <c r="R2" s="201"/>
      <c r="S2" s="205"/>
      <c r="T2" s="264"/>
      <c r="U2" s="210"/>
      <c r="V2" s="205"/>
      <c r="W2" s="210" t="s">
        <v>156</v>
      </c>
      <c r="X2" s="210" t="s">
        <v>66</v>
      </c>
      <c r="Y2" s="210" t="s">
        <v>67</v>
      </c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10"/>
      <c r="B3" s="205"/>
      <c r="C3" s="210"/>
      <c r="D3" s="208" t="s">
        <v>7</v>
      </c>
      <c r="E3" s="208" t="s">
        <v>8</v>
      </c>
      <c r="F3" s="208" t="s">
        <v>9</v>
      </c>
      <c r="G3" s="208" t="s">
        <v>10</v>
      </c>
      <c r="H3" s="208" t="s">
        <v>11</v>
      </c>
      <c r="I3" s="208" t="s">
        <v>12</v>
      </c>
      <c r="J3" s="208" t="s">
        <v>9</v>
      </c>
      <c r="K3" s="209" t="s">
        <v>13</v>
      </c>
      <c r="L3" s="211"/>
      <c r="M3" s="210"/>
      <c r="N3" s="210"/>
      <c r="O3" s="210"/>
      <c r="P3" s="201"/>
      <c r="Q3" s="205"/>
      <c r="R3" s="201"/>
      <c r="S3" s="205"/>
      <c r="T3" s="264"/>
      <c r="U3" s="210"/>
      <c r="V3" s="205"/>
      <c r="W3" s="210"/>
      <c r="X3" s="210"/>
      <c r="Y3" s="210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10"/>
      <c r="B4" s="205"/>
      <c r="C4" s="210"/>
      <c r="D4" s="210"/>
      <c r="E4" s="210"/>
      <c r="F4" s="210"/>
      <c r="G4" s="210"/>
      <c r="H4" s="210"/>
      <c r="I4" s="210"/>
      <c r="J4" s="210"/>
      <c r="K4" s="211"/>
      <c r="L4" s="211"/>
      <c r="M4" s="210"/>
      <c r="N4" s="210"/>
      <c r="O4" s="210"/>
      <c r="P4" s="201"/>
      <c r="Q4" s="205"/>
      <c r="R4" s="201"/>
      <c r="S4" s="205"/>
      <c r="T4" s="264"/>
      <c r="U4" s="210"/>
      <c r="V4" s="205"/>
      <c r="W4" s="210"/>
      <c r="X4" s="210"/>
      <c r="Y4" s="210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10"/>
      <c r="B5" s="205"/>
      <c r="C5" s="210"/>
      <c r="D5" s="210"/>
      <c r="E5" s="210"/>
      <c r="F5" s="210"/>
      <c r="G5" s="210"/>
      <c r="H5" s="210"/>
      <c r="I5" s="210"/>
      <c r="J5" s="210"/>
      <c r="K5" s="211"/>
      <c r="L5" s="211"/>
      <c r="M5" s="210"/>
      <c r="N5" s="210"/>
      <c r="O5" s="210"/>
      <c r="P5" s="201"/>
      <c r="Q5" s="205"/>
      <c r="R5" s="201"/>
      <c r="S5" s="205"/>
      <c r="T5" s="264"/>
      <c r="U5" s="210"/>
      <c r="V5" s="205"/>
      <c r="W5" s="210"/>
      <c r="X5" s="210"/>
      <c r="Y5" s="210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10"/>
      <c r="B6" s="212"/>
      <c r="C6" s="213"/>
      <c r="D6" s="213"/>
      <c r="E6" s="213"/>
      <c r="F6" s="213"/>
      <c r="G6" s="213"/>
      <c r="H6" s="213"/>
      <c r="I6" s="213"/>
      <c r="J6" s="213"/>
      <c r="K6" s="214"/>
      <c r="L6" s="214"/>
      <c r="M6" s="213"/>
      <c r="N6" s="213"/>
      <c r="O6" s="213"/>
      <c r="P6" s="201"/>
      <c r="Q6" s="212"/>
      <c r="R6" s="201"/>
      <c r="S6" s="212"/>
      <c r="T6" s="264"/>
      <c r="U6" s="213"/>
      <c r="V6" s="212"/>
      <c r="W6" s="210"/>
      <c r="X6" s="210"/>
      <c r="Y6" s="210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401" t="s">
        <v>45</v>
      </c>
      <c r="B7" s="222">
        <v>239</v>
      </c>
      <c r="C7" s="402">
        <v>1231</v>
      </c>
      <c r="D7" s="403">
        <v>290</v>
      </c>
      <c r="E7" s="402">
        <v>447</v>
      </c>
      <c r="F7" s="403">
        <v>2</v>
      </c>
      <c r="G7" s="402">
        <v>2</v>
      </c>
      <c r="H7" s="403">
        <v>0</v>
      </c>
      <c r="I7" s="402">
        <v>0</v>
      </c>
      <c r="J7" s="403">
        <v>0</v>
      </c>
      <c r="K7" s="402">
        <v>0</v>
      </c>
      <c r="L7" s="403">
        <v>741</v>
      </c>
      <c r="M7" s="403">
        <v>0</v>
      </c>
      <c r="N7" s="403">
        <v>4</v>
      </c>
      <c r="O7" s="403">
        <f t="shared" ref="O7:O11" si="0">D7+E7+F7+G7+H7+I7+J7+K7+N7</f>
        <v>745</v>
      </c>
      <c r="P7" s="402">
        <f t="shared" ref="P7:P11" si="1">(O7/C7)*100</f>
        <v>60.5199025182778</v>
      </c>
      <c r="Q7" s="403">
        <f t="shared" ref="Q7:Q11" si="2">(E7/O7)*100</f>
        <v>60</v>
      </c>
      <c r="R7" s="402">
        <f t="shared" ref="R7:R11" si="3">(D7/O7)*100</f>
        <v>38.9261744966443</v>
      </c>
      <c r="S7" s="403">
        <f t="shared" ref="S7:S11" si="4">(F7/O7)*100</f>
        <v>0.268456375838926</v>
      </c>
      <c r="T7" s="402">
        <f t="shared" ref="T7:T11" si="5">(G7/O7)*100</f>
        <v>0.268456375838926</v>
      </c>
      <c r="U7" s="403">
        <f t="shared" ref="U7:U11" si="6">((H7+I7+J7+K7)/O7)*100</f>
        <v>0</v>
      </c>
      <c r="V7" s="403">
        <f t="shared" ref="V7:V11" si="7">(N7/O7)*100</f>
        <v>0.536912751677852</v>
      </c>
      <c r="W7" s="403">
        <f>Q7-R7</f>
        <v>21.0738255033557</v>
      </c>
      <c r="X7" s="403">
        <f>Q7-(R7+S7+T7+U7)</f>
        <v>20.5369127516779</v>
      </c>
      <c r="Y7" s="409" t="str">
        <f>IF(AND(W7&lt;0,W7&lt;=1),"LOST",IF(AND(W7&gt;1,W7&lt;=10),"NARROW",IF(AND(W7&gt;10,W7&lt;=40),"MEDIUM",IF(AND(W7&gt;40,W7&lt;=90),"STRONG",""))))</f>
        <v>MEDIUM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1222</v>
      </c>
      <c r="AC7">
        <v>687</v>
      </c>
      <c r="AD7">
        <v>603</v>
      </c>
      <c r="AE7">
        <v>328</v>
      </c>
      <c r="AF7">
        <v>619</v>
      </c>
      <c r="AG7">
        <v>359</v>
      </c>
      <c r="AH7">
        <v>867</v>
      </c>
      <c r="AI7">
        <v>481</v>
      </c>
      <c r="AJ7">
        <v>309</v>
      </c>
      <c r="AK7">
        <v>179</v>
      </c>
      <c r="AL7">
        <v>46</v>
      </c>
      <c r="AM7">
        <v>27</v>
      </c>
      <c r="AN7" s="248">
        <f>(AD7/AB7)*100</f>
        <v>49.3453355155483</v>
      </c>
      <c r="AO7" s="316">
        <f>(AE7/AC7)*100</f>
        <v>47.7438136826783</v>
      </c>
      <c r="AP7" s="317">
        <f>(AF7/AB7)*100</f>
        <v>50.6546644844517</v>
      </c>
      <c r="AQ7" s="318">
        <f>(AG7/AC7)*100</f>
        <v>52.2561863173217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70.949263502455</v>
      </c>
      <c r="AU7" s="317">
        <f>(AI7/AC7)*100</f>
        <v>70.0145560407569</v>
      </c>
      <c r="AV7" s="248">
        <f>(AJ7/AB7)*100</f>
        <v>25.2864157119476</v>
      </c>
      <c r="AW7" s="317">
        <f>(AK7/AC7)*100</f>
        <v>26.0553129548763</v>
      </c>
      <c r="AX7" s="248">
        <f>(AL7/AB7)*100</f>
        <v>3.76432078559738</v>
      </c>
      <c r="AY7" s="317">
        <f>(AM7/AC7)*100</f>
        <v>3.93013100436681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2:53">
      <c r="B8" s="385">
        <v>235</v>
      </c>
      <c r="C8" s="387">
        <v>932</v>
      </c>
      <c r="D8" s="385">
        <v>151</v>
      </c>
      <c r="E8" s="386">
        <v>497</v>
      </c>
      <c r="F8" s="385">
        <v>2</v>
      </c>
      <c r="G8" s="386">
        <v>1</v>
      </c>
      <c r="H8" s="385">
        <v>0</v>
      </c>
      <c r="I8" s="386">
        <v>0</v>
      </c>
      <c r="J8" s="385">
        <v>2</v>
      </c>
      <c r="K8" s="386">
        <v>1</v>
      </c>
      <c r="L8" s="385">
        <v>654</v>
      </c>
      <c r="M8" s="385">
        <v>0</v>
      </c>
      <c r="N8" s="385">
        <v>2</v>
      </c>
      <c r="O8" s="385">
        <f t="shared" si="0"/>
        <v>656</v>
      </c>
      <c r="P8" s="386">
        <f t="shared" si="1"/>
        <v>70.3862660944206</v>
      </c>
      <c r="Q8" s="385">
        <f t="shared" si="2"/>
        <v>75.7621951219512</v>
      </c>
      <c r="R8" s="386">
        <f t="shared" si="3"/>
        <v>23.0182926829268</v>
      </c>
      <c r="S8" s="385">
        <f t="shared" si="4"/>
        <v>0.304878048780488</v>
      </c>
      <c r="T8" s="386">
        <f t="shared" si="5"/>
        <v>0.152439024390244</v>
      </c>
      <c r="U8" s="385">
        <f t="shared" si="6"/>
        <v>0.457317073170732</v>
      </c>
      <c r="V8" s="385">
        <f t="shared" si="7"/>
        <v>0.304878048780488</v>
      </c>
      <c r="W8" s="385">
        <f t="shared" ref="W8:W11" si="8">Q8-R8</f>
        <v>52.7439024390244</v>
      </c>
      <c r="X8" s="385">
        <f t="shared" ref="X8:X11" si="9">Q8-(R8+S8+T8+U8)</f>
        <v>51.8292682926829</v>
      </c>
      <c r="Y8" s="410" t="str">
        <f t="shared" ref="Y8:Y12" si="10">IF(AND(W8&lt;0,W8&lt;=1),"LOST",IF(AND(W8&gt;1,W8&lt;=10),"NARROW",IF(AND(W8&gt;10,W8&lt;=40),"MEDIUM",IF(AND(W8&gt;40,W8&lt;=90),"STRONG",""))))</f>
        <v>STRONG</v>
      </c>
      <c r="Z8" s="285" t="str">
        <f t="shared" ref="Z8:Z12" si="11">IF(AND(P8&lt;0,P8&lt;=10),"WEAK",IF(AND(P8&gt;10,P8&lt;20),"BELOW AVG",IF(AND(P8&gt;20,P8&lt;=60),"MEDIUM",IF(AND(P8&gt;60,P8&lt;=90),"STRONG",""))))</f>
        <v>STRONG</v>
      </c>
      <c r="AA8" s="333" t="str">
        <f t="shared" ref="AA8:AA12" si="12">IF(Q8&gt;R8,"BJP","CONGRESS")</f>
        <v>BJP</v>
      </c>
      <c r="AB8">
        <v>928</v>
      </c>
      <c r="AD8">
        <v>442</v>
      </c>
      <c r="AF8">
        <v>486</v>
      </c>
      <c r="AH8">
        <v>835</v>
      </c>
      <c r="AJ8">
        <v>38</v>
      </c>
      <c r="AL8">
        <v>55</v>
      </c>
      <c r="AN8" s="248">
        <f t="shared" ref="AN8:AO11" si="13">(AD8/AB8)*100</f>
        <v>47.6293103448276</v>
      </c>
      <c r="AO8" s="316" t="e">
        <f t="shared" si="13"/>
        <v>#DIV/0!</v>
      </c>
      <c r="AP8" s="317">
        <f t="shared" ref="AP8:AQ11" si="14">(AF8/AB8)*100</f>
        <v>52.3706896551724</v>
      </c>
      <c r="AQ8" s="318" t="e">
        <f t="shared" si="14"/>
        <v>#DIV/0!</v>
      </c>
      <c r="AR8" s="318" t="str">
        <f t="shared" ref="AR8:AR11" si="15">IF(AN8&gt;AP8,"MALE DOM","FEMALE DOM")</f>
        <v>FEMALE DOM</v>
      </c>
      <c r="AS8" s="319" t="e">
        <f t="shared" ref="AS8:AS11" si="16">IF(AO8&gt;AP8,"MALE","FEMALE")</f>
        <v>#DIV/0!</v>
      </c>
      <c r="AT8" s="317">
        <f t="shared" ref="AT8:AU11" si="17">(AH8/AB8)*100</f>
        <v>89.9784482758621</v>
      </c>
      <c r="AU8" s="317" t="e">
        <f t="shared" si="17"/>
        <v>#DIV/0!</v>
      </c>
      <c r="AV8" s="248">
        <f t="shared" ref="AV8:AW11" si="18">(AJ8/AB8)*100</f>
        <v>4.0948275862069</v>
      </c>
      <c r="AW8" s="317" t="e">
        <f t="shared" si="18"/>
        <v>#DIV/0!</v>
      </c>
      <c r="AX8" s="248">
        <f t="shared" ref="AX8:AY11" si="19">(AL8/AB8)*100</f>
        <v>5.92672413793103</v>
      </c>
      <c r="AY8" s="317" t="e">
        <f t="shared" si="19"/>
        <v>#DIV/0!</v>
      </c>
      <c r="AZ8" s="248" t="str">
        <f t="shared" ref="AZ8:AZ11" si="20">IF(AT8&gt;(AV8+AX8),"HINDU","MINORITY")</f>
        <v>HINDU</v>
      </c>
      <c r="BA8" s="318" t="e">
        <f t="shared" ref="BA8:BA11" si="21">IF(AU8&gt;(AW8+AY8),"HIND","MINORITY")</f>
        <v>#DIV/0!</v>
      </c>
    </row>
    <row r="9" spans="2:53">
      <c r="B9" s="220">
        <v>232</v>
      </c>
      <c r="C9" s="221">
        <v>1105</v>
      </c>
      <c r="D9" s="222">
        <v>310</v>
      </c>
      <c r="E9" s="234">
        <v>471</v>
      </c>
      <c r="F9" s="222">
        <v>2</v>
      </c>
      <c r="G9" s="234">
        <v>0</v>
      </c>
      <c r="H9" s="222">
        <v>0</v>
      </c>
      <c r="I9" s="234">
        <v>0</v>
      </c>
      <c r="J9" s="222">
        <v>1</v>
      </c>
      <c r="K9" s="234">
        <v>0</v>
      </c>
      <c r="L9" s="222">
        <v>784</v>
      </c>
      <c r="M9" s="222">
        <v>0</v>
      </c>
      <c r="N9" s="222">
        <v>5</v>
      </c>
      <c r="O9" s="222">
        <f t="shared" si="0"/>
        <v>789</v>
      </c>
      <c r="P9" s="234">
        <f t="shared" si="1"/>
        <v>71.4027149321267</v>
      </c>
      <c r="Q9" s="222">
        <f t="shared" si="2"/>
        <v>59.6958174904943</v>
      </c>
      <c r="R9" s="234">
        <f t="shared" si="3"/>
        <v>39.2902408111534</v>
      </c>
      <c r="S9" s="222">
        <f t="shared" si="4"/>
        <v>0.253485424588086</v>
      </c>
      <c r="T9" s="234">
        <f t="shared" si="5"/>
        <v>0</v>
      </c>
      <c r="U9" s="222">
        <f t="shared" si="6"/>
        <v>0.126742712294043</v>
      </c>
      <c r="V9" s="222">
        <f t="shared" si="7"/>
        <v>0.633713561470215</v>
      </c>
      <c r="W9" s="222">
        <f t="shared" si="8"/>
        <v>20.4055766793409</v>
      </c>
      <c r="X9" s="222">
        <f t="shared" si="9"/>
        <v>20.0253485424588</v>
      </c>
      <c r="Y9" s="360" t="str">
        <f t="shared" si="10"/>
        <v>MEDIUM</v>
      </c>
      <c r="Z9" s="283" t="str">
        <f t="shared" si="11"/>
        <v>STRONG</v>
      </c>
      <c r="AA9" s="289" t="str">
        <f t="shared" si="12"/>
        <v>BJP</v>
      </c>
      <c r="AB9">
        <v>1100</v>
      </c>
      <c r="AC9">
        <v>743</v>
      </c>
      <c r="AD9">
        <v>516</v>
      </c>
      <c r="AE9">
        <v>339</v>
      </c>
      <c r="AF9">
        <v>584</v>
      </c>
      <c r="AG9">
        <v>404</v>
      </c>
      <c r="AH9">
        <v>735</v>
      </c>
      <c r="AI9">
        <v>514</v>
      </c>
      <c r="AJ9">
        <v>299</v>
      </c>
      <c r="AK9">
        <v>195</v>
      </c>
      <c r="AL9">
        <v>66</v>
      </c>
      <c r="AM9">
        <v>34</v>
      </c>
      <c r="AN9" s="248">
        <f t="shared" si="13"/>
        <v>46.9090909090909</v>
      </c>
      <c r="AO9" s="316">
        <f t="shared" si="13"/>
        <v>45.6258411843876</v>
      </c>
      <c r="AP9" s="317">
        <f t="shared" si="14"/>
        <v>53.0909090909091</v>
      </c>
      <c r="AQ9" s="318">
        <f t="shared" si="14"/>
        <v>54.3741588156124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66.8181818181818</v>
      </c>
      <c r="AU9" s="317">
        <f t="shared" si="17"/>
        <v>69.1790040376851</v>
      </c>
      <c r="AV9" s="248">
        <f t="shared" si="18"/>
        <v>27.1818181818182</v>
      </c>
      <c r="AW9" s="317">
        <f t="shared" si="18"/>
        <v>26.2449528936743</v>
      </c>
      <c r="AX9" s="248">
        <f t="shared" si="19"/>
        <v>6</v>
      </c>
      <c r="AY9" s="317">
        <f t="shared" si="19"/>
        <v>4.57604306864065</v>
      </c>
      <c r="AZ9" s="248" t="str">
        <f t="shared" si="20"/>
        <v>HINDU</v>
      </c>
      <c r="BA9" s="318" t="str">
        <f t="shared" si="21"/>
        <v>HIND</v>
      </c>
    </row>
    <row r="10" spans="2:53">
      <c r="B10" s="223">
        <v>229</v>
      </c>
      <c r="C10" s="361">
        <v>1368</v>
      </c>
      <c r="D10" s="223">
        <v>470</v>
      </c>
      <c r="E10" s="235">
        <v>313</v>
      </c>
      <c r="F10" s="223">
        <v>1</v>
      </c>
      <c r="G10" s="235">
        <v>1</v>
      </c>
      <c r="H10" s="223">
        <v>0</v>
      </c>
      <c r="I10" s="235">
        <v>0</v>
      </c>
      <c r="J10" s="223">
        <v>2</v>
      </c>
      <c r="K10" s="235">
        <v>0</v>
      </c>
      <c r="L10" s="223">
        <v>787</v>
      </c>
      <c r="M10" s="223">
        <v>0</v>
      </c>
      <c r="N10" s="223">
        <v>3</v>
      </c>
      <c r="O10" s="223">
        <f t="shared" si="0"/>
        <v>790</v>
      </c>
      <c r="P10" s="235">
        <f t="shared" si="1"/>
        <v>57.7485380116959</v>
      </c>
      <c r="Q10" s="223">
        <f t="shared" si="2"/>
        <v>39.620253164557</v>
      </c>
      <c r="R10" s="235">
        <f t="shared" si="3"/>
        <v>59.4936708860759</v>
      </c>
      <c r="S10" s="223">
        <f t="shared" si="4"/>
        <v>0.126582278481013</v>
      </c>
      <c r="T10" s="235">
        <f t="shared" si="5"/>
        <v>0.126582278481013</v>
      </c>
      <c r="U10" s="223">
        <f t="shared" si="6"/>
        <v>0.253164556962025</v>
      </c>
      <c r="V10" s="223">
        <f t="shared" si="7"/>
        <v>0.379746835443038</v>
      </c>
      <c r="W10" s="223">
        <f t="shared" si="8"/>
        <v>-19.873417721519</v>
      </c>
      <c r="X10" s="223">
        <f t="shared" si="9"/>
        <v>-20.379746835443</v>
      </c>
      <c r="Y10" s="363" t="str">
        <f t="shared" si="10"/>
        <v>LOST</v>
      </c>
      <c r="Z10" s="291" t="str">
        <f t="shared" si="11"/>
        <v>MEDIUM</v>
      </c>
      <c r="AA10" s="284" t="str">
        <f t="shared" si="12"/>
        <v>CONGRESS</v>
      </c>
      <c r="AB10">
        <v>935</v>
      </c>
      <c r="AC10">
        <v>675</v>
      </c>
      <c r="AD10">
        <v>439</v>
      </c>
      <c r="AE10">
        <v>308</v>
      </c>
      <c r="AF10">
        <v>496</v>
      </c>
      <c r="AG10">
        <v>367</v>
      </c>
      <c r="AH10">
        <v>703</v>
      </c>
      <c r="AI10">
        <v>529</v>
      </c>
      <c r="AJ10">
        <v>168</v>
      </c>
      <c r="AK10">
        <v>99</v>
      </c>
      <c r="AL10">
        <v>64</v>
      </c>
      <c r="AM10">
        <v>47</v>
      </c>
      <c r="AN10" s="248">
        <f t="shared" si="13"/>
        <v>46.951871657754</v>
      </c>
      <c r="AO10" s="316">
        <f t="shared" si="13"/>
        <v>45.6296296296296</v>
      </c>
      <c r="AP10" s="317">
        <f t="shared" si="14"/>
        <v>53.048128342246</v>
      </c>
      <c r="AQ10" s="318">
        <f t="shared" si="14"/>
        <v>54.3703703703704</v>
      </c>
      <c r="AR10" s="318" t="str">
        <f t="shared" si="15"/>
        <v>FEMALE DOM</v>
      </c>
      <c r="AS10" s="319" t="str">
        <f t="shared" si="16"/>
        <v>FEMALE</v>
      </c>
      <c r="AT10" s="317">
        <f t="shared" si="17"/>
        <v>75.1871657754011</v>
      </c>
      <c r="AU10" s="317">
        <f t="shared" si="17"/>
        <v>78.3703703703704</v>
      </c>
      <c r="AV10" s="248">
        <f t="shared" si="18"/>
        <v>17.9679144385027</v>
      </c>
      <c r="AW10" s="317">
        <f t="shared" si="18"/>
        <v>14.6666666666667</v>
      </c>
      <c r="AX10" s="248">
        <f t="shared" si="19"/>
        <v>6.84491978609626</v>
      </c>
      <c r="AY10" s="317">
        <f t="shared" si="19"/>
        <v>6.96296296296296</v>
      </c>
      <c r="AZ10" s="248" t="str">
        <f t="shared" si="20"/>
        <v>HINDU</v>
      </c>
      <c r="BA10" s="318" t="str">
        <f t="shared" si="21"/>
        <v>HIND</v>
      </c>
    </row>
    <row r="11" spans="2:53">
      <c r="B11" s="404">
        <v>233</v>
      </c>
      <c r="C11" s="221">
        <v>1301</v>
      </c>
      <c r="D11" s="222">
        <v>362</v>
      </c>
      <c r="E11" s="234">
        <v>472</v>
      </c>
      <c r="F11" s="222">
        <v>3</v>
      </c>
      <c r="G11" s="234">
        <v>4</v>
      </c>
      <c r="H11" s="222">
        <v>0</v>
      </c>
      <c r="I11" s="234">
        <v>1</v>
      </c>
      <c r="J11" s="222">
        <v>0</v>
      </c>
      <c r="K11" s="234">
        <v>0</v>
      </c>
      <c r="L11" s="222">
        <v>842</v>
      </c>
      <c r="M11" s="222">
        <v>0</v>
      </c>
      <c r="N11" s="222">
        <v>5</v>
      </c>
      <c r="O11" s="222">
        <f t="shared" si="0"/>
        <v>847</v>
      </c>
      <c r="P11" s="234">
        <f t="shared" si="1"/>
        <v>65.1037663335895</v>
      </c>
      <c r="Q11" s="222">
        <f t="shared" si="2"/>
        <v>55.7260920897285</v>
      </c>
      <c r="R11" s="234">
        <f t="shared" si="3"/>
        <v>42.7390791027155</v>
      </c>
      <c r="S11" s="222">
        <f t="shared" si="4"/>
        <v>0.354191263282172</v>
      </c>
      <c r="T11" s="234">
        <f t="shared" si="5"/>
        <v>0.472255017709563</v>
      </c>
      <c r="U11" s="222">
        <f t="shared" si="6"/>
        <v>0.118063754427391</v>
      </c>
      <c r="V11" s="222">
        <f t="shared" si="7"/>
        <v>0.590318772136954</v>
      </c>
      <c r="W11" s="222">
        <f t="shared" si="8"/>
        <v>12.987012987013</v>
      </c>
      <c r="X11" s="222">
        <f t="shared" si="9"/>
        <v>12.0425029515939</v>
      </c>
      <c r="Y11" s="360" t="str">
        <f t="shared" si="10"/>
        <v>MEDIUM</v>
      </c>
      <c r="Z11" s="341" t="str">
        <f t="shared" si="11"/>
        <v>STRONG</v>
      </c>
      <c r="AA11" s="289" t="str">
        <f t="shared" si="12"/>
        <v>BJP</v>
      </c>
      <c r="AB11">
        <v>1292</v>
      </c>
      <c r="AD11">
        <v>633</v>
      </c>
      <c r="AF11">
        <v>659</v>
      </c>
      <c r="AH11">
        <v>784</v>
      </c>
      <c r="AJ11">
        <v>445</v>
      </c>
      <c r="AL11">
        <v>63</v>
      </c>
      <c r="AN11" s="248">
        <f t="shared" si="13"/>
        <v>48.9938080495356</v>
      </c>
      <c r="AO11" s="316" t="e">
        <f t="shared" si="13"/>
        <v>#DIV/0!</v>
      </c>
      <c r="AP11" s="317">
        <f t="shared" si="14"/>
        <v>51.0061919504644</v>
      </c>
      <c r="AQ11" s="318" t="e">
        <f t="shared" si="14"/>
        <v>#DIV/0!</v>
      </c>
      <c r="AR11" s="318" t="str">
        <f t="shared" si="15"/>
        <v>FEMALE DOM</v>
      </c>
      <c r="AS11" s="319" t="e">
        <f t="shared" si="16"/>
        <v>#DIV/0!</v>
      </c>
      <c r="AT11" s="317">
        <f t="shared" si="17"/>
        <v>60.6811145510836</v>
      </c>
      <c r="AU11" s="317" t="e">
        <f t="shared" si="17"/>
        <v>#DIV/0!</v>
      </c>
      <c r="AV11" s="248">
        <f t="shared" si="18"/>
        <v>34.4427244582043</v>
      </c>
      <c r="AW11" s="317" t="e">
        <f t="shared" si="18"/>
        <v>#DIV/0!</v>
      </c>
      <c r="AX11" s="248">
        <f t="shared" si="19"/>
        <v>4.87616099071207</v>
      </c>
      <c r="AY11" s="317" t="e">
        <f t="shared" si="19"/>
        <v>#DIV/0!</v>
      </c>
      <c r="AZ11" s="248" t="str">
        <f t="shared" si="20"/>
        <v>HINDU</v>
      </c>
      <c r="BA11" s="318" t="e">
        <f t="shared" si="21"/>
        <v>#DIV/0!</v>
      </c>
    </row>
    <row r="12" ht="21" spans="2:53">
      <c r="B12" s="334"/>
      <c r="C12" s="405">
        <f t="shared" ref="C12:O12" si="22">SUM(C7:C11)</f>
        <v>5937</v>
      </c>
      <c r="D12" s="406">
        <f t="shared" si="22"/>
        <v>1583</v>
      </c>
      <c r="E12" s="407">
        <f t="shared" si="22"/>
        <v>2200</v>
      </c>
      <c r="F12" s="406">
        <f t="shared" si="22"/>
        <v>10</v>
      </c>
      <c r="G12" s="407">
        <f t="shared" si="22"/>
        <v>8</v>
      </c>
      <c r="H12" s="406">
        <f t="shared" si="22"/>
        <v>0</v>
      </c>
      <c r="I12" s="407">
        <f t="shared" si="22"/>
        <v>1</v>
      </c>
      <c r="J12" s="406">
        <f t="shared" si="22"/>
        <v>5</v>
      </c>
      <c r="K12" s="407">
        <f t="shared" si="22"/>
        <v>1</v>
      </c>
      <c r="L12" s="406">
        <f t="shared" si="22"/>
        <v>3808</v>
      </c>
      <c r="M12" s="406">
        <f t="shared" si="22"/>
        <v>0</v>
      </c>
      <c r="N12" s="406">
        <f t="shared" si="22"/>
        <v>19</v>
      </c>
      <c r="O12" s="406">
        <f t="shared" si="22"/>
        <v>3827</v>
      </c>
      <c r="P12" s="407">
        <f t="shared" ref="P12:X12" si="23">AVERAGE(P7:P11)</f>
        <v>65.0322375780221</v>
      </c>
      <c r="Q12" s="406">
        <f t="shared" si="23"/>
        <v>58.1608715733462</v>
      </c>
      <c r="R12" s="407">
        <f t="shared" si="23"/>
        <v>40.6934915959032</v>
      </c>
      <c r="S12" s="406">
        <f t="shared" si="23"/>
        <v>0.261518678194137</v>
      </c>
      <c r="T12" s="407">
        <f t="shared" si="23"/>
        <v>0.203946539283949</v>
      </c>
      <c r="U12" s="406">
        <f t="shared" si="23"/>
        <v>0.191057619370838</v>
      </c>
      <c r="V12" s="406">
        <f t="shared" si="23"/>
        <v>0.48911399390171</v>
      </c>
      <c r="W12" s="406">
        <f t="shared" si="23"/>
        <v>17.467379977443</v>
      </c>
      <c r="X12" s="406">
        <f t="shared" si="23"/>
        <v>16.8108571405941</v>
      </c>
      <c r="Y12" s="411" t="str">
        <f t="shared" si="10"/>
        <v>MEDIUM</v>
      </c>
      <c r="Z12" s="350" t="str">
        <f t="shared" si="11"/>
        <v>STRONG</v>
      </c>
      <c r="AA12" s="351" t="str">
        <f t="shared" si="12"/>
        <v>BJP</v>
      </c>
      <c r="AN12" s="248"/>
      <c r="AO12" s="316"/>
      <c r="AP12" s="317"/>
      <c r="AQ12" s="318"/>
      <c r="AR12" s="318"/>
      <c r="AS12" s="319"/>
      <c r="AT12" s="317"/>
      <c r="AU12" s="317"/>
      <c r="AV12" s="248"/>
      <c r="AW12" s="317"/>
      <c r="AX12" s="248"/>
      <c r="AY12" s="317"/>
      <c r="AZ12" s="248"/>
      <c r="BA12" s="318"/>
    </row>
    <row r="13" spans="40:53">
      <c r="AN13" s="248"/>
      <c r="AO13" s="316"/>
      <c r="AP13" s="317"/>
      <c r="AQ13" s="318"/>
      <c r="AR13" s="318"/>
      <c r="AS13" s="319"/>
      <c r="AT13" s="317"/>
      <c r="AU13" s="317"/>
      <c r="AV13" s="248"/>
      <c r="AW13" s="317"/>
      <c r="AX13" s="248"/>
      <c r="AY13" s="317"/>
      <c r="AZ13" s="248"/>
      <c r="BA13" s="318"/>
    </row>
    <row r="15" spans="12:29">
      <c r="L15" s="225" t="s">
        <v>205</v>
      </c>
      <c r="M15" s="237"/>
      <c r="N15" s="237"/>
      <c r="O15" s="238"/>
      <c r="Q15" s="225" t="s">
        <v>97</v>
      </c>
      <c r="R15" s="237"/>
      <c r="S15" s="237"/>
      <c r="T15" s="238"/>
      <c r="V15" s="265" t="s">
        <v>98</v>
      </c>
      <c r="W15" s="265"/>
      <c r="X15" s="265"/>
      <c r="Y15" s="265"/>
      <c r="Z15" s="265"/>
      <c r="AA15" s="265"/>
      <c r="AB15" s="265"/>
      <c r="AC15" s="265"/>
    </row>
    <row r="16" spans="12:29">
      <c r="L16" s="226"/>
      <c r="M16" s="239"/>
      <c r="N16" s="239"/>
      <c r="O16" s="240"/>
      <c r="Q16" s="241"/>
      <c r="R16" s="242"/>
      <c r="S16" s="242"/>
      <c r="T16" s="243"/>
      <c r="V16" s="265"/>
      <c r="W16" s="265"/>
      <c r="X16" s="265"/>
      <c r="Y16" s="265"/>
      <c r="Z16" s="265"/>
      <c r="AA16" s="265"/>
      <c r="AB16" s="265"/>
      <c r="AC16" s="265"/>
    </row>
    <row r="17" spans="12:29">
      <c r="L17" s="227" t="s">
        <v>99</v>
      </c>
      <c r="M17" s="244"/>
      <c r="N17" s="245"/>
      <c r="O17" s="245">
        <f>COUNTIF(AA7:AA11,"BJP")</f>
        <v>4</v>
      </c>
      <c r="Q17" s="246" t="s">
        <v>100</v>
      </c>
      <c r="R17" s="247"/>
      <c r="S17" s="247"/>
      <c r="T17" s="248">
        <f>COUNTIF(Y7:Y11,"NARROW")</f>
        <v>0</v>
      </c>
      <c r="V17" s="265" t="s">
        <v>101</v>
      </c>
      <c r="W17" s="265"/>
      <c r="X17" s="265"/>
      <c r="Y17" s="265">
        <f>'HOIGE BAZAR-18'!E7</f>
        <v>54.9285029498427</v>
      </c>
      <c r="Z17" s="265" t="s">
        <v>102</v>
      </c>
      <c r="AA17" s="265"/>
      <c r="AB17" s="265"/>
      <c r="AC17" s="265">
        <f>'HOIGE BAZAR'!Q12</f>
        <v>58.1608715733462</v>
      </c>
    </row>
    <row r="18" spans="12:29">
      <c r="L18" s="227"/>
      <c r="M18" s="244"/>
      <c r="N18" s="245"/>
      <c r="O18" s="245"/>
      <c r="Q18" s="249"/>
      <c r="R18" s="250"/>
      <c r="S18" s="250"/>
      <c r="T18" s="251"/>
      <c r="V18" s="265"/>
      <c r="W18" s="265"/>
      <c r="X18" s="265"/>
      <c r="Y18" s="265"/>
      <c r="Z18" s="265"/>
      <c r="AA18" s="265"/>
      <c r="AB18" s="265"/>
      <c r="AC18" s="265"/>
    </row>
    <row r="19" spans="12:29">
      <c r="L19" s="227"/>
      <c r="M19" s="244"/>
      <c r="N19" s="245"/>
      <c r="O19" s="245"/>
      <c r="Q19" s="252" t="s">
        <v>103</v>
      </c>
      <c r="R19" s="253"/>
      <c r="S19" s="253"/>
      <c r="T19" s="248">
        <f>COUNTIF(Y7:Y11,"MEDIUM")</f>
        <v>3</v>
      </c>
      <c r="V19" s="265" t="s">
        <v>104</v>
      </c>
      <c r="W19" s="265"/>
      <c r="X19" s="265"/>
      <c r="Y19" s="265">
        <f>'HOIGE BAZAR-18'!G7</f>
        <v>42.0166493369812</v>
      </c>
      <c r="Z19" s="265" t="s">
        <v>105</v>
      </c>
      <c r="AA19" s="265"/>
      <c r="AB19" s="265"/>
      <c r="AC19" s="265">
        <f>R12</f>
        <v>40.6934915959032</v>
      </c>
    </row>
    <row r="20" spans="12:29">
      <c r="L20" s="228" t="s">
        <v>106</v>
      </c>
      <c r="M20" s="254"/>
      <c r="N20" s="255"/>
      <c r="O20" s="255">
        <f>COUNTIF(AA7:AA11,"CONGRESS")</f>
        <v>1</v>
      </c>
      <c r="Q20" s="252"/>
      <c r="R20" s="253"/>
      <c r="S20" s="253"/>
      <c r="T20" s="251"/>
      <c r="V20" s="265"/>
      <c r="W20" s="265"/>
      <c r="X20" s="265"/>
      <c r="Y20" s="265"/>
      <c r="Z20" s="265"/>
      <c r="AA20" s="265"/>
      <c r="AB20" s="265"/>
      <c r="AC20" s="265"/>
    </row>
    <row r="21" ht="35.25" customHeight="1" spans="12:29">
      <c r="L21" s="229"/>
      <c r="M21" s="256"/>
      <c r="N21" s="257"/>
      <c r="O21" s="257"/>
      <c r="Q21" s="258" t="s">
        <v>107</v>
      </c>
      <c r="R21" s="259"/>
      <c r="S21" s="259"/>
      <c r="T21" s="248">
        <f>COUNTIF(Y7:Y11,"STRONG")</f>
        <v>1</v>
      </c>
      <c r="V21" s="265" t="s">
        <v>108</v>
      </c>
      <c r="W21" s="265"/>
      <c r="X21" s="265"/>
      <c r="Y21" s="265">
        <f>'HOIGE BAZAR-18'!C7</f>
        <v>4207</v>
      </c>
      <c r="Z21" s="265" t="s">
        <v>109</v>
      </c>
      <c r="AA21" s="265"/>
      <c r="AB21" s="265"/>
      <c r="AC21" s="265">
        <f>O12</f>
        <v>3827</v>
      </c>
    </row>
    <row r="22" spans="12:29">
      <c r="L22" s="230"/>
      <c r="M22" s="260"/>
      <c r="N22" s="261"/>
      <c r="O22" s="261"/>
      <c r="Q22" s="262"/>
      <c r="R22" s="263"/>
      <c r="S22" s="263"/>
      <c r="T22" s="251"/>
      <c r="V22" s="265"/>
      <c r="W22" s="265"/>
      <c r="X22" s="265"/>
      <c r="Y22" s="265"/>
      <c r="Z22" s="265"/>
      <c r="AA22" s="265"/>
      <c r="AB22" s="265"/>
      <c r="AC22" s="265"/>
    </row>
    <row r="23" spans="17:29">
      <c r="Q23" s="229" t="s">
        <v>110</v>
      </c>
      <c r="R23" s="256"/>
      <c r="S23" s="256"/>
      <c r="T23" s="248">
        <f>COUNTIF(Y7:Y11,"LOST")</f>
        <v>1</v>
      </c>
      <c r="V23" s="265" t="s">
        <v>111</v>
      </c>
      <c r="W23" s="265"/>
      <c r="X23" s="265"/>
      <c r="Y23" s="265">
        <f>Y17-Y19</f>
        <v>12.9118536128615</v>
      </c>
      <c r="Z23" s="265" t="s">
        <v>111</v>
      </c>
      <c r="AA23" s="265"/>
      <c r="AB23" s="265"/>
      <c r="AC23" s="265">
        <f>AC17-AC19</f>
        <v>17.467379977443</v>
      </c>
    </row>
    <row r="24" spans="17:29">
      <c r="Q24" s="230"/>
      <c r="R24" s="260"/>
      <c r="S24" s="260"/>
      <c r="T24" s="251"/>
      <c r="V24" s="265"/>
      <c r="W24" s="265"/>
      <c r="X24" s="265"/>
      <c r="Y24" s="265"/>
      <c r="Z24" s="265"/>
      <c r="AA24" s="265"/>
      <c r="AB24" s="265"/>
      <c r="AC24" s="265"/>
    </row>
    <row r="25" spans="22:28">
      <c r="V25" s="265" t="s">
        <v>112</v>
      </c>
      <c r="W25" s="265"/>
      <c r="X25" s="265"/>
      <c r="Y25" s="265">
        <f>AC17-Y17</f>
        <v>3.23236862350346</v>
      </c>
      <c r="Z25" s="265"/>
      <c r="AA25" s="265"/>
      <c r="AB25" s="265"/>
    </row>
    <row r="26" spans="22:28">
      <c r="V26" s="265"/>
      <c r="W26" s="265"/>
      <c r="X26" s="265"/>
      <c r="Y26" s="265"/>
      <c r="Z26" s="265"/>
      <c r="AA26" s="265"/>
      <c r="AB26" s="265"/>
    </row>
    <row r="27" spans="22:28">
      <c r="V27" s="265" t="s">
        <v>113</v>
      </c>
      <c r="W27" s="265"/>
      <c r="X27" s="265"/>
      <c r="Y27" s="265">
        <f>AC19-Y19</f>
        <v>-1.32315774107803</v>
      </c>
      <c r="Z27" s="265"/>
      <c r="AA27" s="265"/>
      <c r="AB27" s="265"/>
    </row>
    <row r="28" spans="22:28">
      <c r="V28" s="265"/>
      <c r="W28" s="265"/>
      <c r="X28" s="265"/>
      <c r="Y28" s="265"/>
      <c r="Z28" s="265"/>
      <c r="AA28" s="265"/>
      <c r="AB28" s="265"/>
    </row>
    <row r="29" spans="22:28">
      <c r="V29" s="265" t="s">
        <v>114</v>
      </c>
      <c r="W29" s="265"/>
      <c r="X29" s="265"/>
      <c r="Y29" s="265" t="str">
        <f>IF(Y25&gt;Y27,"INCREASE","DECREASE")</f>
        <v>INCREASE</v>
      </c>
      <c r="Z29" s="265"/>
      <c r="AA29" s="265"/>
      <c r="AB29" s="265"/>
    </row>
    <row r="30" spans="22:28">
      <c r="V30" s="265"/>
      <c r="W30" s="265"/>
      <c r="X30" s="265"/>
      <c r="Y30" s="265"/>
      <c r="Z30" s="265"/>
      <c r="AA30" s="265"/>
      <c r="AB30" s="265"/>
    </row>
    <row r="31" spans="22:29">
      <c r="V31" s="265">
        <v>0</v>
      </c>
      <c r="W31" s="265"/>
      <c r="X31" s="265"/>
      <c r="Y31" s="265"/>
      <c r="Z31" s="265"/>
      <c r="AA31" s="265"/>
      <c r="AB31" s="265"/>
      <c r="AC31" s="265"/>
    </row>
    <row r="32" spans="22:29">
      <c r="V32" s="265"/>
      <c r="W32" s="265"/>
      <c r="X32" s="265"/>
      <c r="Y32" s="265"/>
      <c r="Z32" s="265"/>
      <c r="AA32" s="265"/>
      <c r="AB32" s="265"/>
      <c r="AC32" s="265"/>
    </row>
    <row r="33" spans="22:29">
      <c r="V33" s="265"/>
      <c r="W33" s="265"/>
      <c r="X33" s="265"/>
      <c r="Y33" s="265"/>
      <c r="Z33" s="265"/>
      <c r="AA33" s="265"/>
      <c r="AB33" s="265"/>
      <c r="AC33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O1:O6"/>
    <mergeCell ref="O17:O19"/>
    <mergeCell ref="O20:O22"/>
    <mergeCell ref="P1:P6"/>
    <mergeCell ref="Q1:Q6"/>
    <mergeCell ref="R1:R6"/>
    <mergeCell ref="S1:S6"/>
    <mergeCell ref="T1:T6"/>
    <mergeCell ref="T17:T18"/>
    <mergeCell ref="T19:T20"/>
    <mergeCell ref="T21:T22"/>
    <mergeCell ref="T23:T24"/>
    <mergeCell ref="U1:U6"/>
    <mergeCell ref="V1:V6"/>
    <mergeCell ref="W2:W6"/>
    <mergeCell ref="X2:X6"/>
    <mergeCell ref="Y2:Y6"/>
    <mergeCell ref="Y17:Y18"/>
    <mergeCell ref="Y19:Y20"/>
    <mergeCell ref="Y21:Y22"/>
    <mergeCell ref="Y23:Y24"/>
    <mergeCell ref="Z1:Z6"/>
    <mergeCell ref="AA1:AA6"/>
    <mergeCell ref="AB1:AB6"/>
    <mergeCell ref="AC1:AC6"/>
    <mergeCell ref="AC17:AC18"/>
    <mergeCell ref="AC19:AC20"/>
    <mergeCell ref="AC21:AC22"/>
    <mergeCell ref="AC23:AC24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Q23:S24"/>
    <mergeCell ref="Z23:AB24"/>
    <mergeCell ref="L15:O16"/>
    <mergeCell ref="Q15:T16"/>
    <mergeCell ref="L17:N19"/>
    <mergeCell ref="Q17:S18"/>
    <mergeCell ref="Z17:AB18"/>
    <mergeCell ref="Q19:S20"/>
    <mergeCell ref="Z19:AB20"/>
    <mergeCell ref="L20:N22"/>
    <mergeCell ref="Q21:S22"/>
    <mergeCell ref="Z21:AB22"/>
    <mergeCell ref="D1:K2"/>
    <mergeCell ref="V15:AC16"/>
    <mergeCell ref="V17:X18"/>
    <mergeCell ref="V19:X20"/>
    <mergeCell ref="V21:X22"/>
    <mergeCell ref="V23:X24"/>
    <mergeCell ref="V25:X26"/>
    <mergeCell ref="Y25:AB26"/>
    <mergeCell ref="V31:AC33"/>
    <mergeCell ref="V27:X28"/>
    <mergeCell ref="Y27:AB28"/>
    <mergeCell ref="V29:X30"/>
    <mergeCell ref="Y29:Z30"/>
    <mergeCell ref="AA29:AB30"/>
  </mergeCells>
  <conditionalFormatting sqref="AR7:AR13">
    <cfRule type="containsText" dxfId="6" priority="1" operator="between" text="FEMALE DOM">
      <formula>NOT(ISERROR(SEARCH("FEMALE DOM",AR7)))</formula>
    </cfRule>
  </conditionalFormatting>
  <conditionalFormatting sqref="AZ7:AZ13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3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"/>
  <sheetViews>
    <sheetView workbookViewId="0">
      <selection activeCell="A1" sqref="A1:AJ1"/>
    </sheetView>
  </sheetViews>
  <sheetFormatPr defaultColWidth="9" defaultRowHeight="14.5" outlineLevelRow="6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206</v>
      </c>
      <c r="B2" s="185" t="s">
        <v>267</v>
      </c>
      <c r="C2" s="184">
        <v>807</v>
      </c>
      <c r="D2" s="184">
        <v>322</v>
      </c>
      <c r="E2" s="184">
        <f t="shared" ref="E2:E6" si="0">(D2/C2)*100</f>
        <v>39.9008674101611</v>
      </c>
      <c r="F2" s="184">
        <v>470</v>
      </c>
      <c r="G2" s="184">
        <f t="shared" ref="G2:G6" si="1">(F2/C2)*100</f>
        <v>58.2403965303593</v>
      </c>
      <c r="H2" s="184">
        <v>3</v>
      </c>
      <c r="I2" s="184">
        <f t="shared" ref="I2:I6" si="2">(H2/C2)*100</f>
        <v>0.371747211895911</v>
      </c>
      <c r="J2" s="184">
        <v>2</v>
      </c>
      <c r="K2" s="184">
        <f t="shared" ref="K2:K6" si="3">(J2/C2)*100</f>
        <v>0.247831474597274</v>
      </c>
      <c r="L2" s="189">
        <v>602</v>
      </c>
      <c r="M2" s="189">
        <v>666</v>
      </c>
      <c r="N2" s="189">
        <f t="shared" ref="N2:N6" si="4">L2+M2</f>
        <v>1268</v>
      </c>
      <c r="O2" s="184">
        <v>807</v>
      </c>
      <c r="P2" s="190">
        <f t="shared" ref="P2:P6" si="5">O2/N2*100</f>
        <v>63.6435331230284</v>
      </c>
      <c r="Q2" s="184">
        <v>633</v>
      </c>
      <c r="R2" s="184">
        <f t="shared" ref="R2:R6" si="6">(Q2/N2)*100</f>
        <v>49.9211356466877</v>
      </c>
      <c r="S2" s="184">
        <f t="shared" ref="S2:S6" si="7">Q2-U2</f>
        <v>202</v>
      </c>
      <c r="T2" s="184">
        <f t="shared" ref="T2:T6" si="8">(S2/Q2)*100</f>
        <v>31.911532385466</v>
      </c>
      <c r="U2" s="184">
        <v>431</v>
      </c>
      <c r="V2" s="191">
        <f t="shared" ref="V2:V6" si="9">IFERROR(U2/Q2*100,0)</f>
        <v>68.088467614534</v>
      </c>
      <c r="W2" s="184">
        <f>576+59</f>
        <v>635</v>
      </c>
      <c r="X2" s="184">
        <f t="shared" ref="X2:X6" si="10">100-R2</f>
        <v>50.0788643533123</v>
      </c>
      <c r="Y2" s="184">
        <f t="shared" ref="Y2:Y6" si="11">W2-AA2</f>
        <v>259</v>
      </c>
      <c r="Z2" s="193">
        <f t="shared" ref="Z2:Z6" si="12">(Y2/W2)*100</f>
        <v>40.7874015748031</v>
      </c>
      <c r="AA2" s="193">
        <v>376</v>
      </c>
      <c r="AB2" s="194">
        <f t="shared" ref="AB2:AB6" si="13">IFERROR(AA2/W2*100,0)</f>
        <v>59.2125984251969</v>
      </c>
      <c r="AC2" s="193">
        <f t="shared" ref="AC2:AC6" si="14">U2+AA2</f>
        <v>807</v>
      </c>
      <c r="AD2" s="193" t="str">
        <f t="shared" ref="AD2:AD6" si="15">IF(P2&gt;80,"EXCELLENT",IF(P2&gt;70,"STRONG",IF(P2&gt;60,"AVG",IF(P2&gt;50,"WEAK",IF(P2&lt;50,"VLOW")))))</f>
        <v>AVG</v>
      </c>
      <c r="AE2" s="195" t="str">
        <f t="shared" ref="AE2:AE6" si="16">IF(R2&gt;80,"EXCELLENT",IF(R2&gt;70,"STRONG",IF(R2&gt;60,"AVG",IF(R2&gt;50,"WEAK",IF(R2&lt;50,"VLOW")))))</f>
        <v>VLOW</v>
      </c>
      <c r="AF2" s="193" t="str">
        <f t="shared" ref="AF2:AF6" si="17">IF(X2&gt;80,"EXCELLENT",IF(X2&gt;70,"STRONG",IF(X2&gt;60,"AVG",IF(X2&gt;50,"WEAK",IF(X2&lt;50,"VLOW")))))</f>
        <v>WEAK</v>
      </c>
      <c r="AG2" s="193" t="str">
        <f t="shared" ref="AG2:AG6" si="18">IF(M2&gt;L2,"FEMALE DOM","MEN")</f>
        <v>FEMALE DOM</v>
      </c>
      <c r="AH2" s="193" t="str">
        <f t="shared" ref="AH2:AH6" si="19">IF(T2&gt;Z2,"H","O")</f>
        <v>O</v>
      </c>
      <c r="AI2" s="197">
        <f>G2-E2</f>
        <v>18.3395291201983</v>
      </c>
      <c r="AJ2" s="198" t="str">
        <f t="shared" ref="AJ2:AJ7" si="20">IF(E2&gt;G2,"BJP GAIN","CONGRESSGAIN")</f>
        <v>CONGRESSGAIN</v>
      </c>
    </row>
    <row r="3" spans="1:36">
      <c r="A3" s="184">
        <v>207</v>
      </c>
      <c r="B3" s="185" t="s">
        <v>268</v>
      </c>
      <c r="C3" s="184">
        <v>999</v>
      </c>
      <c r="D3" s="184">
        <v>601</v>
      </c>
      <c r="E3" s="184">
        <f t="shared" si="0"/>
        <v>60.1601601601602</v>
      </c>
      <c r="F3" s="184">
        <v>366</v>
      </c>
      <c r="G3" s="184">
        <f t="shared" si="1"/>
        <v>36.6366366366366</v>
      </c>
      <c r="H3" s="184">
        <v>6</v>
      </c>
      <c r="I3" s="184">
        <f t="shared" si="2"/>
        <v>0.600600600600601</v>
      </c>
      <c r="J3" s="184">
        <v>20</v>
      </c>
      <c r="K3" s="184">
        <f t="shared" si="3"/>
        <v>2.002002002002</v>
      </c>
      <c r="L3" s="189">
        <v>685</v>
      </c>
      <c r="M3" s="189">
        <v>772</v>
      </c>
      <c r="N3" s="189">
        <f t="shared" si="4"/>
        <v>1457</v>
      </c>
      <c r="O3" s="184">
        <v>999</v>
      </c>
      <c r="P3" s="190">
        <f t="shared" si="5"/>
        <v>68.5655456417296</v>
      </c>
      <c r="Q3" s="184"/>
      <c r="R3" s="184">
        <f t="shared" si="6"/>
        <v>0</v>
      </c>
      <c r="S3" s="184">
        <f t="shared" si="7"/>
        <v>0</v>
      </c>
      <c r="T3" s="184" t="e">
        <f t="shared" si="8"/>
        <v>#DIV/0!</v>
      </c>
      <c r="U3" s="184"/>
      <c r="V3" s="191">
        <f t="shared" si="9"/>
        <v>0</v>
      </c>
      <c r="W3" s="184"/>
      <c r="X3" s="184">
        <f t="shared" si="10"/>
        <v>100</v>
      </c>
      <c r="Y3" s="184">
        <f t="shared" si="11"/>
        <v>0</v>
      </c>
      <c r="Z3" s="193" t="e">
        <f t="shared" si="12"/>
        <v>#DIV/0!</v>
      </c>
      <c r="AA3" s="193"/>
      <c r="AB3" s="194">
        <f t="shared" si="13"/>
        <v>0</v>
      </c>
      <c r="AC3" s="193">
        <f t="shared" si="14"/>
        <v>0</v>
      </c>
      <c r="AD3" s="193" t="str">
        <f t="shared" si="15"/>
        <v>AVG</v>
      </c>
      <c r="AE3" s="195" t="str">
        <f t="shared" si="16"/>
        <v>VLOW</v>
      </c>
      <c r="AF3" s="193" t="str">
        <f t="shared" si="17"/>
        <v>EXCELLENT</v>
      </c>
      <c r="AG3" s="193" t="str">
        <f t="shared" si="18"/>
        <v>FEMALE DOM</v>
      </c>
      <c r="AH3" s="193" t="e">
        <f t="shared" si="19"/>
        <v>#DIV/0!</v>
      </c>
      <c r="AI3" s="197">
        <f t="shared" ref="AI3:AI7" si="21">E3-G3</f>
        <v>23.5235235235235</v>
      </c>
      <c r="AJ3" s="199" t="str">
        <f t="shared" si="20"/>
        <v>BJP GAIN</v>
      </c>
    </row>
    <row r="4" spans="1:36">
      <c r="A4" s="184">
        <v>210</v>
      </c>
      <c r="B4" s="185" t="s">
        <v>269</v>
      </c>
      <c r="C4" s="184">
        <v>642</v>
      </c>
      <c r="D4" s="184">
        <v>323</v>
      </c>
      <c r="E4" s="184">
        <f t="shared" si="0"/>
        <v>50.3115264797508</v>
      </c>
      <c r="F4" s="184">
        <v>306</v>
      </c>
      <c r="G4" s="184">
        <f t="shared" si="1"/>
        <v>47.6635514018692</v>
      </c>
      <c r="H4" s="184">
        <v>1</v>
      </c>
      <c r="I4" s="184">
        <f t="shared" si="2"/>
        <v>0.155763239875389</v>
      </c>
      <c r="J4" s="184">
        <v>7</v>
      </c>
      <c r="K4" s="184">
        <f t="shared" si="3"/>
        <v>1.09034267912773</v>
      </c>
      <c r="L4" s="189">
        <v>467</v>
      </c>
      <c r="M4" s="189">
        <v>496</v>
      </c>
      <c r="N4" s="189">
        <f t="shared" si="4"/>
        <v>963</v>
      </c>
      <c r="O4" s="184">
        <v>642</v>
      </c>
      <c r="P4" s="190">
        <f t="shared" si="5"/>
        <v>66.6666666666667</v>
      </c>
      <c r="Q4" s="184"/>
      <c r="R4" s="184">
        <f t="shared" si="6"/>
        <v>0</v>
      </c>
      <c r="S4" s="184">
        <f t="shared" si="7"/>
        <v>0</v>
      </c>
      <c r="T4" s="184" t="e">
        <f t="shared" si="8"/>
        <v>#DIV/0!</v>
      </c>
      <c r="U4" s="184"/>
      <c r="V4" s="191">
        <f t="shared" si="9"/>
        <v>0</v>
      </c>
      <c r="W4" s="184"/>
      <c r="X4" s="184">
        <f t="shared" si="10"/>
        <v>100</v>
      </c>
      <c r="Y4" s="184">
        <f t="shared" si="11"/>
        <v>0</v>
      </c>
      <c r="Z4" s="193" t="e">
        <f t="shared" si="12"/>
        <v>#DIV/0!</v>
      </c>
      <c r="AA4" s="193"/>
      <c r="AB4" s="194">
        <f t="shared" si="13"/>
        <v>0</v>
      </c>
      <c r="AC4" s="193">
        <f t="shared" si="14"/>
        <v>0</v>
      </c>
      <c r="AD4" s="193" t="str">
        <f t="shared" si="15"/>
        <v>AVG</v>
      </c>
      <c r="AE4" s="195" t="str">
        <f t="shared" si="16"/>
        <v>VLOW</v>
      </c>
      <c r="AF4" s="193" t="str">
        <f t="shared" si="17"/>
        <v>EXCELLENT</v>
      </c>
      <c r="AG4" s="193" t="str">
        <f t="shared" si="18"/>
        <v>FEMALE DOM</v>
      </c>
      <c r="AH4" s="193" t="e">
        <f t="shared" si="19"/>
        <v>#DIV/0!</v>
      </c>
      <c r="AI4" s="197">
        <f t="shared" si="21"/>
        <v>2.64797507788163</v>
      </c>
      <c r="AJ4" s="199" t="str">
        <f t="shared" si="20"/>
        <v>BJP GAIN</v>
      </c>
    </row>
    <row r="5" spans="1:36">
      <c r="A5" s="184">
        <v>213</v>
      </c>
      <c r="B5" s="185" t="s">
        <v>270</v>
      </c>
      <c r="C5" s="184">
        <v>880</v>
      </c>
      <c r="D5" s="184">
        <v>587</v>
      </c>
      <c r="E5" s="184">
        <f t="shared" si="0"/>
        <v>66.7045454545455</v>
      </c>
      <c r="F5" s="184">
        <v>264</v>
      </c>
      <c r="G5" s="184">
        <f t="shared" si="1"/>
        <v>30</v>
      </c>
      <c r="H5" s="184">
        <v>5</v>
      </c>
      <c r="I5" s="184">
        <f t="shared" si="2"/>
        <v>0.568181818181818</v>
      </c>
      <c r="J5" s="184">
        <v>10</v>
      </c>
      <c r="K5" s="184">
        <f t="shared" si="3"/>
        <v>1.13636363636364</v>
      </c>
      <c r="L5" s="189">
        <v>622</v>
      </c>
      <c r="M5" s="189">
        <v>685</v>
      </c>
      <c r="N5" s="189">
        <f t="shared" si="4"/>
        <v>1307</v>
      </c>
      <c r="O5" s="184">
        <v>880</v>
      </c>
      <c r="P5" s="190">
        <f t="shared" si="5"/>
        <v>67.3297628156083</v>
      </c>
      <c r="Q5" s="184">
        <v>1112</v>
      </c>
      <c r="R5" s="184">
        <f t="shared" si="6"/>
        <v>85.0803366488141</v>
      </c>
      <c r="S5" s="192">
        <f t="shared" si="7"/>
        <v>368</v>
      </c>
      <c r="T5" s="184">
        <f t="shared" si="8"/>
        <v>33.0935251798561</v>
      </c>
      <c r="U5" s="184">
        <v>744</v>
      </c>
      <c r="V5" s="191">
        <f t="shared" si="9"/>
        <v>66.9064748201439</v>
      </c>
      <c r="W5" s="184">
        <f>83+112</f>
        <v>195</v>
      </c>
      <c r="X5" s="184">
        <f t="shared" si="10"/>
        <v>14.9196633511859</v>
      </c>
      <c r="Y5" s="184">
        <f t="shared" si="11"/>
        <v>59</v>
      </c>
      <c r="Z5" s="193">
        <f t="shared" si="12"/>
        <v>30.2564102564103</v>
      </c>
      <c r="AA5" s="193">
        <f>43+74+19</f>
        <v>136</v>
      </c>
      <c r="AB5" s="194">
        <f t="shared" si="13"/>
        <v>69.7435897435897</v>
      </c>
      <c r="AC5" s="193">
        <f t="shared" si="14"/>
        <v>880</v>
      </c>
      <c r="AD5" s="193" t="str">
        <f t="shared" si="15"/>
        <v>AVG</v>
      </c>
      <c r="AE5" s="195" t="str">
        <f t="shared" si="16"/>
        <v>EXCELLENT</v>
      </c>
      <c r="AF5" s="193" t="str">
        <f t="shared" si="17"/>
        <v>VLOW</v>
      </c>
      <c r="AG5" s="193" t="str">
        <f t="shared" si="18"/>
        <v>FEMALE DOM</v>
      </c>
      <c r="AH5" s="193" t="str">
        <f t="shared" si="19"/>
        <v>H</v>
      </c>
      <c r="AI5" s="197">
        <f t="shared" si="21"/>
        <v>36.7045454545455</v>
      </c>
      <c r="AJ5" s="199" t="str">
        <f t="shared" si="20"/>
        <v>BJP GAIN</v>
      </c>
    </row>
    <row r="6" spans="1:36">
      <c r="A6" s="184">
        <v>214</v>
      </c>
      <c r="B6" s="185" t="s">
        <v>271</v>
      </c>
      <c r="C6" s="184">
        <v>879</v>
      </c>
      <c r="D6" s="184">
        <v>506</v>
      </c>
      <c r="E6" s="184">
        <f t="shared" si="0"/>
        <v>57.5654152445961</v>
      </c>
      <c r="F6" s="184">
        <v>330</v>
      </c>
      <c r="G6" s="184">
        <f t="shared" si="1"/>
        <v>37.542662116041</v>
      </c>
      <c r="H6" s="184">
        <v>2</v>
      </c>
      <c r="I6" s="184">
        <f t="shared" si="2"/>
        <v>0.227531285551763</v>
      </c>
      <c r="J6" s="184">
        <v>28</v>
      </c>
      <c r="K6" s="184">
        <f t="shared" si="3"/>
        <v>3.18543799772469</v>
      </c>
      <c r="L6" s="189">
        <v>638</v>
      </c>
      <c r="M6" s="189">
        <v>669</v>
      </c>
      <c r="N6" s="189">
        <f t="shared" si="4"/>
        <v>1307</v>
      </c>
      <c r="O6" s="184">
        <v>879</v>
      </c>
      <c r="P6" s="190">
        <f t="shared" si="5"/>
        <v>67.2532517214996</v>
      </c>
      <c r="Q6" s="184"/>
      <c r="R6" s="184">
        <f t="shared" si="6"/>
        <v>0</v>
      </c>
      <c r="S6" s="184">
        <f t="shared" si="7"/>
        <v>0</v>
      </c>
      <c r="T6" s="184" t="e">
        <f t="shared" si="8"/>
        <v>#DIV/0!</v>
      </c>
      <c r="U6" s="184"/>
      <c r="V6" s="191">
        <f t="shared" si="9"/>
        <v>0</v>
      </c>
      <c r="W6" s="184"/>
      <c r="X6" s="184">
        <f t="shared" si="10"/>
        <v>100</v>
      </c>
      <c r="Y6" s="196">
        <f t="shared" si="11"/>
        <v>0</v>
      </c>
      <c r="Z6" s="193" t="e">
        <f t="shared" si="12"/>
        <v>#DIV/0!</v>
      </c>
      <c r="AA6" s="193"/>
      <c r="AB6" s="194">
        <f t="shared" si="13"/>
        <v>0</v>
      </c>
      <c r="AC6" s="193">
        <f t="shared" si="14"/>
        <v>0</v>
      </c>
      <c r="AD6" s="193" t="str">
        <f t="shared" si="15"/>
        <v>AVG</v>
      </c>
      <c r="AE6" s="195" t="str">
        <f t="shared" si="16"/>
        <v>VLOW</v>
      </c>
      <c r="AF6" s="193" t="str">
        <f t="shared" si="17"/>
        <v>EXCELLENT</v>
      </c>
      <c r="AG6" s="193" t="str">
        <f t="shared" si="18"/>
        <v>FEMALE DOM</v>
      </c>
      <c r="AH6" s="193" t="e">
        <f t="shared" si="19"/>
        <v>#DIV/0!</v>
      </c>
      <c r="AI6" s="197">
        <f t="shared" si="21"/>
        <v>20.0227531285552</v>
      </c>
      <c r="AJ6" s="199" t="str">
        <f t="shared" si="20"/>
        <v>BJP GAIN</v>
      </c>
    </row>
    <row r="7" spans="3:36">
      <c r="C7">
        <f>SUM(C2:C6)</f>
        <v>4207</v>
      </c>
      <c r="D7">
        <f>SUM(D2:D6)</f>
        <v>2339</v>
      </c>
      <c r="E7" s="186">
        <f>AVERAGE(E2:E6)</f>
        <v>54.9285029498427</v>
      </c>
      <c r="F7">
        <f>SUM(F2:F6)</f>
        <v>1736</v>
      </c>
      <c r="G7" s="186">
        <f>AVERAGE(G2:G6)</f>
        <v>42.0166493369812</v>
      </c>
      <c r="H7">
        <f>SUM(H2:H6)</f>
        <v>17</v>
      </c>
      <c r="I7" s="186">
        <f>AVERAGE(I2:I6)</f>
        <v>0.384764831221096</v>
      </c>
      <c r="J7">
        <f>SUM(J2:J6)</f>
        <v>67</v>
      </c>
      <c r="K7" s="186">
        <f>AVERAGE(K2:K6)</f>
        <v>1.53239555796306</v>
      </c>
      <c r="AI7" s="329">
        <f t="shared" si="21"/>
        <v>12.9118536128615</v>
      </c>
      <c r="AJ7" s="335" t="str">
        <f t="shared" si="20"/>
        <v>BJP GAIN</v>
      </c>
    </row>
  </sheetData>
  <conditionalFormatting sqref="AD4">
    <cfRule type="containsText" dxfId="8" priority="30" operator="between" text="AVG">
      <formula>NOT(ISERROR(SEARCH("AVG",AD4)))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NOT(ISERROR(SEARCH("VSTRONG",AD4)))</formula>
    </cfRule>
    <cfRule type="containsText" dxfId="10" priority="20" operator="between" text="AVG">
      <formula>NOT(ISERROR(SEARCH("AVG",AD4)))</formula>
    </cfRule>
  </conditionalFormatting>
  <conditionalFormatting sqref="AE4">
    <cfRule type="containsText" dxfId="3" priority="24" operator="between" text="STRONG">
      <formula>NOT(ISERROR(SEARCH("STRONG",AE4)))</formula>
    </cfRule>
    <cfRule type="containsText" dxfId="1" priority="22" operator="between" text="VSTRONG">
      <formula>NOT(ISERROR(SEARCH("VSTRONG",AE4)))</formula>
    </cfRule>
  </conditionalFormatting>
  <conditionalFormatting sqref="AE4:AF4">
    <cfRule type="containsText" dxfId="2" priority="23" operator="between" text="AVG">
      <formula>NOT(ISERROR(SEARCH("AVG",AE4)))</formula>
    </cfRule>
  </conditionalFormatting>
  <conditionalFormatting sqref="AF4">
    <cfRule type="cellIs" dxfId="11" priority="18" operator="equal">
      <formula>"VWEAK"</formula>
    </cfRule>
    <cfRule type="containsText" dxfId="0" priority="17" operator="between" text="VSTRONG">
      <formula>NOT(ISERROR(SEARCH("VSTRONG",AF4)))</formula>
    </cfRule>
  </conditionalFormatting>
  <conditionalFormatting sqref="AG4">
    <cfRule type="containsText" dxfId="12" priority="21" operator="between" text="FEMALE DOM">
      <formula>NOT(ISERROR(SEARCH("FEMALE DOM",AG4)))</formula>
    </cfRule>
    <cfRule type="containsText" dxfId="10" priority="16" operator="between" text="MEN">
      <formula>NOT(ISERROR(SEARCH("MEN",AG4)))</formula>
    </cfRule>
  </conditionalFormatting>
  <conditionalFormatting sqref="AH4">
    <cfRule type="containsText" dxfId="0" priority="27" operator="between" text="O">
      <formula>NOT(ISERROR(SEARCH("O",AH4)))</formula>
    </cfRule>
    <cfRule type="containsText" dxfId="3" priority="25" operator="between" text="H">
      <formula>NOT(ISERROR(SEARCH("H",AH4)))</formula>
    </cfRule>
    <cfRule type="containsText" dxfId="13" priority="26" operator="between" text="H">
      <formula>NOT(ISERROR(SEARCH("H",AH4)))</formula>
    </cfRule>
    <cfRule type="containsText" dxfId="1" priority="19" operator="between" text="H">
      <formula>NOT(ISERROR(SEARCH("H",AH4)))</formula>
    </cfRule>
  </conditionalFormatting>
  <conditionalFormatting sqref="AD2:AD3">
    <cfRule type="containsText" dxfId="8" priority="45" operator="between" text="AVG">
      <formula>NOT(ISERROR(SEARCH("AVG",AD2)))</formula>
    </cfRule>
    <cfRule type="cellIs" dxfId="9" priority="44" operator="equal">
      <formula>"STRONG"</formula>
    </cfRule>
    <cfRule type="containsText" dxfId="3" priority="43" operator="between" text="VSTRONG">
      <formula>NOT(ISERROR(SEARCH("VSTRONG",AD2)))</formula>
    </cfRule>
    <cfRule type="containsText" dxfId="10" priority="35" operator="between" text="AVG">
      <formula>NOT(ISERROR(SEARCH("AVG",AD2)))</formula>
    </cfRule>
  </conditionalFormatting>
  <conditionalFormatting sqref="AD5:AD6">
    <cfRule type="containsText" dxfId="8" priority="15" operator="between" text="AVG">
      <formula>NOT(ISERROR(SEARCH("AVG",AD5)))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NOT(ISERROR(SEARCH("VSTRONG",AD5)))</formula>
    </cfRule>
    <cfRule type="containsText" dxfId="10" priority="5" operator="between" text="AVG">
      <formula>NOT(ISERROR(SEARCH("AVG",AD5)))</formula>
    </cfRule>
  </conditionalFormatting>
  <conditionalFormatting sqref="AE2:AE3">
    <cfRule type="containsText" dxfId="3" priority="39" operator="between" text="STRONG">
      <formula>NOT(ISERROR(SEARCH("STRONG",AE2)))</formula>
    </cfRule>
    <cfRule type="containsText" dxfId="1" priority="37" operator="between" text="VSTRONG">
      <formula>NOT(ISERROR(SEARCH("VSTRONG",AE2)))</formula>
    </cfRule>
  </conditionalFormatting>
  <conditionalFormatting sqref="AE5:AE6">
    <cfRule type="containsText" dxfId="3" priority="9" operator="between" text="STRONG">
      <formula>NOT(ISERROR(SEARCH("STRONG",AE5)))</formula>
    </cfRule>
    <cfRule type="containsText" dxfId="1" priority="7" operator="between" text="VSTRONG">
      <formula>NOT(ISERROR(SEARCH("VSTRONG",AE5)))</formula>
    </cfRule>
  </conditionalFormatting>
  <conditionalFormatting sqref="AF2:AF3">
    <cfRule type="cellIs" dxfId="11" priority="33" operator="equal">
      <formula>"VWEAK"</formula>
    </cfRule>
    <cfRule type="containsText" dxfId="0" priority="32" operator="between" text="VSTRONG">
      <formula>NOT(ISERROR(SEARCH("VSTRONG",AF2)))</formula>
    </cfRule>
  </conditionalFormatting>
  <conditionalFormatting sqref="AF5:AF6">
    <cfRule type="cellIs" dxfId="11" priority="3" operator="equal">
      <formula>"VWEAK"</formula>
    </cfRule>
    <cfRule type="containsText" dxfId="0" priority="2" operator="between" text="VSTRONG">
      <formula>NOT(ISERROR(SEARCH("VSTRONG",AF5)))</formula>
    </cfRule>
  </conditionalFormatting>
  <conditionalFormatting sqref="AG2:AG3">
    <cfRule type="containsText" dxfId="12" priority="36" operator="between" text="FEMALE DOM">
      <formula>NOT(ISERROR(SEARCH("FEMALE DOM",AG2)))</formula>
    </cfRule>
    <cfRule type="containsText" dxfId="10" priority="31" operator="between" text="MEN">
      <formula>NOT(ISERROR(SEARCH("MEN",AG2)))</formula>
    </cfRule>
  </conditionalFormatting>
  <conditionalFormatting sqref="AG5:AG6">
    <cfRule type="containsText" dxfId="12" priority="6" operator="between" text="FEMALE DOM">
      <formula>NOT(ISERROR(SEARCH("FEMALE DOM",AG5)))</formula>
    </cfRule>
    <cfRule type="containsText" dxfId="10" priority="1" operator="between" text="MEN">
      <formula>NOT(ISERROR(SEARCH("MEN",AG5)))</formula>
    </cfRule>
  </conditionalFormatting>
  <conditionalFormatting sqref="AH2:AH3">
    <cfRule type="containsText" dxfId="0" priority="42" operator="between" text="O">
      <formula>NOT(ISERROR(SEARCH("O",AH2)))</formula>
    </cfRule>
    <cfRule type="containsText" dxfId="3" priority="40" operator="between" text="H">
      <formula>NOT(ISERROR(SEARCH("H",AH2)))</formula>
    </cfRule>
    <cfRule type="containsText" dxfId="13" priority="41" operator="between" text="H">
      <formula>NOT(ISERROR(SEARCH("H",AH2)))</formula>
    </cfRule>
    <cfRule type="containsText" dxfId="1" priority="34" operator="between" text="H">
      <formula>NOT(ISERROR(SEARCH("H",AH2)))</formula>
    </cfRule>
  </conditionalFormatting>
  <conditionalFormatting sqref="AH5:AH6">
    <cfRule type="containsText" dxfId="0" priority="12" operator="between" text="O">
      <formula>NOT(ISERROR(SEARCH("O",AH5)))</formula>
    </cfRule>
    <cfRule type="containsText" dxfId="3" priority="10" operator="between" text="H">
      <formula>NOT(ISERROR(SEARCH("H",AH5)))</formula>
    </cfRule>
    <cfRule type="containsText" dxfId="13" priority="11" operator="between" text="H">
      <formula>NOT(ISERROR(SEARCH("H",AH5)))</formula>
    </cfRule>
    <cfRule type="containsText" dxfId="1" priority="4" operator="between" text="H">
      <formula>NOT(ISERROR(SEARCH("H",AH5)))</formula>
    </cfRule>
  </conditionalFormatting>
  <conditionalFormatting sqref="AE2:AF3">
    <cfRule type="containsText" dxfId="2" priority="38" operator="between" text="AVG">
      <formula>NOT(ISERROR(SEARCH("AVG",AE2)))</formula>
    </cfRule>
  </conditionalFormatting>
  <conditionalFormatting sqref="AE5:AF6">
    <cfRule type="containsText" dxfId="2" priority="8" operator="between" text="AVG">
      <formula>NOT(ISERROR(SEARCH("AVG",AE5)))</formula>
    </cfRule>
  </conditionalFormatting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C37"/>
  <sheetViews>
    <sheetView zoomScale="75" zoomScaleNormal="75" topLeftCell="U7" workbookViewId="0">
      <selection activeCell="Y27" sqref="Y27:Y28"/>
    </sheetView>
  </sheetViews>
  <sheetFormatPr defaultColWidth="9" defaultRowHeight="14.5"/>
  <cols>
    <col min="26" max="26" width="12.7090909090909" customWidth="1"/>
    <col min="27" max="27" width="12.8545454545455" customWidth="1"/>
  </cols>
  <sheetData>
    <row r="1" spans="1:55">
      <c r="A1" s="201" t="s">
        <v>16</v>
      </c>
      <c r="B1" s="202" t="s">
        <v>177</v>
      </c>
      <c r="C1" s="209" t="s">
        <v>15</v>
      </c>
      <c r="D1" s="204" t="s">
        <v>1</v>
      </c>
      <c r="E1" s="204"/>
      <c r="F1" s="204"/>
      <c r="G1" s="204"/>
      <c r="H1" s="204"/>
      <c r="I1" s="204"/>
      <c r="J1" s="204"/>
      <c r="K1" s="209"/>
      <c r="L1" s="201" t="s">
        <v>2</v>
      </c>
      <c r="M1" s="208" t="s">
        <v>3</v>
      </c>
      <c r="N1" s="201" t="s">
        <v>4</v>
      </c>
      <c r="O1" s="208" t="s">
        <v>5</v>
      </c>
      <c r="P1" s="201" t="s">
        <v>17</v>
      </c>
      <c r="Q1" s="202" t="s">
        <v>18</v>
      </c>
      <c r="R1" s="201" t="s">
        <v>19</v>
      </c>
      <c r="S1" s="202" t="s">
        <v>20</v>
      </c>
      <c r="T1" s="264" t="s">
        <v>21</v>
      </c>
      <c r="U1" s="208" t="s">
        <v>22</v>
      </c>
      <c r="V1" s="264" t="s">
        <v>23</v>
      </c>
      <c r="W1" s="202" t="s">
        <v>272</v>
      </c>
      <c r="X1" s="202" t="s">
        <v>273</v>
      </c>
      <c r="Y1" s="395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  <c r="BB1" s="398"/>
      <c r="BC1" s="399"/>
    </row>
    <row r="2" spans="1:55">
      <c r="A2" s="201"/>
      <c r="B2" s="205"/>
      <c r="C2" s="211"/>
      <c r="D2" s="353"/>
      <c r="E2" s="353"/>
      <c r="F2" s="353"/>
      <c r="G2" s="353"/>
      <c r="H2" s="353"/>
      <c r="I2" s="353"/>
      <c r="J2" s="353"/>
      <c r="K2" s="214"/>
      <c r="L2" s="201"/>
      <c r="M2" s="210"/>
      <c r="N2" s="201"/>
      <c r="O2" s="210"/>
      <c r="P2" s="201"/>
      <c r="Q2" s="205"/>
      <c r="R2" s="201"/>
      <c r="S2" s="205"/>
      <c r="T2" s="264"/>
      <c r="U2" s="210"/>
      <c r="V2" s="264"/>
      <c r="W2" s="205"/>
      <c r="X2" s="205"/>
      <c r="Y2" s="396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  <c r="BB2" s="398"/>
      <c r="BC2" s="398"/>
    </row>
    <row r="3" spans="1:55">
      <c r="A3" s="201"/>
      <c r="B3" s="205"/>
      <c r="C3" s="211"/>
      <c r="D3" s="201" t="s">
        <v>7</v>
      </c>
      <c r="E3" s="210" t="s">
        <v>8</v>
      </c>
      <c r="F3" s="208" t="s">
        <v>9</v>
      </c>
      <c r="G3" s="208" t="s">
        <v>10</v>
      </c>
      <c r="H3" s="208" t="s">
        <v>11</v>
      </c>
      <c r="I3" s="208" t="s">
        <v>12</v>
      </c>
      <c r="J3" s="208" t="s">
        <v>9</v>
      </c>
      <c r="K3" s="208" t="s">
        <v>13</v>
      </c>
      <c r="L3" s="201"/>
      <c r="M3" s="210"/>
      <c r="N3" s="201"/>
      <c r="O3" s="210"/>
      <c r="P3" s="201"/>
      <c r="Q3" s="205"/>
      <c r="R3" s="201"/>
      <c r="S3" s="205"/>
      <c r="T3" s="264"/>
      <c r="U3" s="210"/>
      <c r="V3" s="264"/>
      <c r="W3" s="205"/>
      <c r="X3" s="205"/>
      <c r="Y3" s="396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  <c r="BB3" s="398"/>
      <c r="BC3" s="398"/>
    </row>
    <row r="4" spans="1:55">
      <c r="A4" s="201"/>
      <c r="B4" s="205"/>
      <c r="C4" s="211"/>
      <c r="D4" s="201"/>
      <c r="E4" s="210"/>
      <c r="F4" s="210"/>
      <c r="G4" s="210"/>
      <c r="H4" s="210"/>
      <c r="I4" s="210"/>
      <c r="J4" s="210"/>
      <c r="K4" s="210"/>
      <c r="L4" s="201"/>
      <c r="M4" s="210"/>
      <c r="N4" s="201"/>
      <c r="O4" s="210"/>
      <c r="P4" s="201"/>
      <c r="Q4" s="205"/>
      <c r="R4" s="201"/>
      <c r="S4" s="205"/>
      <c r="T4" s="264"/>
      <c r="U4" s="210"/>
      <c r="V4" s="264"/>
      <c r="W4" s="205"/>
      <c r="X4" s="205"/>
      <c r="Y4" s="396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  <c r="BB4" s="398"/>
      <c r="BC4" s="398"/>
    </row>
    <row r="5" spans="1:55">
      <c r="A5" s="201"/>
      <c r="B5" s="205"/>
      <c r="C5" s="211"/>
      <c r="D5" s="201"/>
      <c r="E5" s="210"/>
      <c r="F5" s="210"/>
      <c r="G5" s="210"/>
      <c r="H5" s="210"/>
      <c r="I5" s="210"/>
      <c r="J5" s="210"/>
      <c r="K5" s="210"/>
      <c r="L5" s="201"/>
      <c r="M5" s="210"/>
      <c r="N5" s="201"/>
      <c r="O5" s="210"/>
      <c r="P5" s="201"/>
      <c r="Q5" s="205"/>
      <c r="R5" s="201"/>
      <c r="S5" s="205"/>
      <c r="T5" s="264"/>
      <c r="U5" s="210"/>
      <c r="V5" s="264"/>
      <c r="W5" s="205"/>
      <c r="X5" s="205"/>
      <c r="Y5" s="396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  <c r="BB5" s="398"/>
      <c r="BC5" s="398"/>
    </row>
    <row r="6" spans="1:55">
      <c r="A6" s="201"/>
      <c r="B6" s="212"/>
      <c r="C6" s="211"/>
      <c r="D6" s="201"/>
      <c r="E6" s="213"/>
      <c r="F6" s="213"/>
      <c r="G6" s="213"/>
      <c r="H6" s="213"/>
      <c r="I6" s="213"/>
      <c r="J6" s="213"/>
      <c r="K6" s="213"/>
      <c r="L6" s="201"/>
      <c r="M6" s="213"/>
      <c r="N6" s="201"/>
      <c r="O6" s="213"/>
      <c r="P6" s="201"/>
      <c r="Q6" s="212"/>
      <c r="R6" s="201"/>
      <c r="S6" s="212"/>
      <c r="T6" s="264"/>
      <c r="U6" s="213"/>
      <c r="V6" s="264"/>
      <c r="W6" s="212"/>
      <c r="X6" s="212"/>
      <c r="Y6" s="396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  <c r="BB6" s="400"/>
      <c r="BC6" s="400"/>
    </row>
    <row r="7" ht="29" spans="1:53">
      <c r="A7" s="384" t="s">
        <v>46</v>
      </c>
      <c r="B7" s="385">
        <v>213</v>
      </c>
      <c r="C7" s="385">
        <v>989</v>
      </c>
      <c r="D7" s="386">
        <v>141</v>
      </c>
      <c r="E7" s="385">
        <v>470</v>
      </c>
      <c r="F7" s="385">
        <v>0</v>
      </c>
      <c r="G7" s="385">
        <v>1</v>
      </c>
      <c r="H7" s="385">
        <v>0</v>
      </c>
      <c r="I7" s="385">
        <v>1</v>
      </c>
      <c r="J7" s="385">
        <v>1</v>
      </c>
      <c r="K7" s="385">
        <v>1</v>
      </c>
      <c r="L7" s="386">
        <v>615</v>
      </c>
      <c r="M7" s="385">
        <v>0</v>
      </c>
      <c r="N7" s="386">
        <v>8</v>
      </c>
      <c r="O7" s="385">
        <f t="shared" ref="O7:O15" si="0">D7+E7+F7+G7+H7+I7+J7+K7+N7</f>
        <v>623</v>
      </c>
      <c r="P7" s="386">
        <f t="shared" ref="P7:P15" si="1">(O7/C7)*100</f>
        <v>62.9929221435794</v>
      </c>
      <c r="Q7" s="385">
        <f t="shared" ref="Q7:Q15" si="2">(E7/O7)*100</f>
        <v>75.4414125200642</v>
      </c>
      <c r="R7" s="386">
        <f t="shared" ref="R7:R15" si="3">(D7/O7)*100</f>
        <v>22.6324237560193</v>
      </c>
      <c r="S7" s="385">
        <f t="shared" ref="S7:S15" si="4">(F7/O7)*100</f>
        <v>0</v>
      </c>
      <c r="T7" s="386">
        <f t="shared" ref="T7:T15" si="5">(G7/O7)*100</f>
        <v>0.160513643659711</v>
      </c>
      <c r="U7" s="385">
        <f t="shared" ref="U7:U15" si="6">((H7+I7+J7+K7)/O7)*100</f>
        <v>0.481540930979133</v>
      </c>
      <c r="V7" s="386">
        <f t="shared" ref="V7:V15" si="7">(N7/O7)*100</f>
        <v>1.28410914927769</v>
      </c>
      <c r="W7" s="385">
        <f>Q7-R7</f>
        <v>52.8089887640449</v>
      </c>
      <c r="X7" s="385">
        <f>Q7-(R7+S7+T7+U7)</f>
        <v>52.1669341894061</v>
      </c>
      <c r="Y7" s="385" t="str">
        <f>IF(AND(W7&lt;0,W7&lt;=1),"LOST",IF(AND(W7&gt;1,W7&lt;=10),"NARROW",IF(AND(W7&gt;10,W7&lt;=40),"MEDIUM",IF(AND(W7&gt;40,W7&lt;=90),"STRONG",""))))</f>
        <v>STRONG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987</v>
      </c>
      <c r="AD7">
        <v>460</v>
      </c>
      <c r="AF7">
        <v>527</v>
      </c>
      <c r="AH7">
        <v>841</v>
      </c>
      <c r="AJ7">
        <v>3</v>
      </c>
      <c r="AL7">
        <v>143</v>
      </c>
      <c r="AN7" s="248">
        <f>(AD7/AB7)*100</f>
        <v>46.6058763931104</v>
      </c>
      <c r="AO7" s="316" t="e">
        <f>(AE7/AC7)*100</f>
        <v>#DIV/0!</v>
      </c>
      <c r="AP7" s="317">
        <f>(AF7/AB7)*100</f>
        <v>53.3941236068896</v>
      </c>
      <c r="AQ7" s="318" t="e">
        <f>(AG7/AC7)*100</f>
        <v>#DIV/0!</v>
      </c>
      <c r="AR7" s="318" t="str">
        <f>IF(AN7&gt;AP7,"MALE DOM","FEMALE DOM")</f>
        <v>FEMALE DOM</v>
      </c>
      <c r="AS7" s="319" t="e">
        <f>IF(AO7&gt;AP7,"MALE","FEMALE")</f>
        <v>#DIV/0!</v>
      </c>
      <c r="AT7" s="317">
        <f>(AH7/AB7)*100</f>
        <v>85.2077001013171</v>
      </c>
      <c r="AU7" s="317" t="e">
        <f>(AI7/AC7)*100</f>
        <v>#DIV/0!</v>
      </c>
      <c r="AV7" s="248">
        <f>(AJ7/AB7)*100</f>
        <v>0.303951367781155</v>
      </c>
      <c r="AW7" s="317" t="e">
        <f>(AK7/AC7)*100</f>
        <v>#DIV/0!</v>
      </c>
      <c r="AX7" s="248">
        <f>(AL7/AB7)*100</f>
        <v>14.4883485309017</v>
      </c>
      <c r="AY7" s="317" t="e">
        <f>(AM7/AC7)*100</f>
        <v>#DIV/0!</v>
      </c>
      <c r="AZ7" s="248" t="str">
        <f>IF(AT7&gt;(AV7+AX7),"HINDU","MINORITY")</f>
        <v>HINDU</v>
      </c>
      <c r="BA7" s="318" t="e">
        <f>IF(AU7&gt;(AW7+AY7),"HIND","MINORITY")</f>
        <v>#DIV/0!</v>
      </c>
    </row>
    <row r="8" spans="2:53">
      <c r="B8" s="385">
        <v>217</v>
      </c>
      <c r="C8" s="385">
        <v>883</v>
      </c>
      <c r="D8" s="387">
        <v>175</v>
      </c>
      <c r="E8" s="385">
        <v>420</v>
      </c>
      <c r="F8" s="385">
        <v>3</v>
      </c>
      <c r="G8" s="385">
        <v>0</v>
      </c>
      <c r="H8" s="385">
        <v>0</v>
      </c>
      <c r="I8" s="385">
        <v>1</v>
      </c>
      <c r="J8" s="385">
        <v>0</v>
      </c>
      <c r="K8" s="385">
        <v>0</v>
      </c>
      <c r="L8" s="386">
        <v>599</v>
      </c>
      <c r="M8" s="385">
        <v>0</v>
      </c>
      <c r="N8" s="386">
        <v>8</v>
      </c>
      <c r="O8" s="385">
        <f t="shared" si="0"/>
        <v>607</v>
      </c>
      <c r="P8" s="386">
        <f t="shared" si="1"/>
        <v>68.7429218573046</v>
      </c>
      <c r="Q8" s="385">
        <f t="shared" si="2"/>
        <v>69.1927512355849</v>
      </c>
      <c r="R8" s="386">
        <f t="shared" si="3"/>
        <v>28.830313014827</v>
      </c>
      <c r="S8" s="385">
        <f t="shared" si="4"/>
        <v>0.494233937397035</v>
      </c>
      <c r="T8" s="386">
        <f t="shared" si="5"/>
        <v>0</v>
      </c>
      <c r="U8" s="385">
        <f t="shared" si="6"/>
        <v>0.164744645799012</v>
      </c>
      <c r="V8" s="386">
        <f t="shared" si="7"/>
        <v>1.31795716639209</v>
      </c>
      <c r="W8" s="385">
        <f t="shared" ref="W8:W15" si="8">Q8-R8</f>
        <v>40.3624382207578</v>
      </c>
      <c r="X8" s="385">
        <f t="shared" ref="X8:X15" si="9">Q8-(R8+S8+T8+U8)</f>
        <v>39.7034596375618</v>
      </c>
      <c r="Y8" s="385" t="str">
        <f>IF(AND(W8&lt;0,W8&lt;=1),"LOST",IF(AND(W8&gt;1,W8&lt;=10),"NARROW",IF(AND(W8&gt;10,W8&lt;=40),"MEDIUM",IF(AND(W8&gt;40,W8&lt;=90),"STRONG",""))))</f>
        <v>STRONG</v>
      </c>
      <c r="Z8" s="285" t="str">
        <f t="shared" ref="Z8:Z16" si="10">IF(AND(P8&lt;0,P8&lt;=10),"WEAK",IF(AND(P8&gt;10,P8&lt;20),"BELOW AVG",IF(AND(P8&gt;20,P8&lt;=60),"MEDIUM",IF(AND(P8&gt;60,P8&lt;=90),"STRONG",""))))</f>
        <v>STRONG</v>
      </c>
      <c r="AA8" s="333" t="str">
        <f t="shared" ref="AA8:AA16" si="11">IF(Q8&gt;R8,"BJP","CONGRESS")</f>
        <v>BJP</v>
      </c>
      <c r="AB8">
        <v>880</v>
      </c>
      <c r="AD8">
        <v>419</v>
      </c>
      <c r="AF8">
        <v>461</v>
      </c>
      <c r="AH8">
        <v>738</v>
      </c>
      <c r="AJ8">
        <v>54</v>
      </c>
      <c r="AL8">
        <v>88</v>
      </c>
      <c r="AN8" s="248">
        <f t="shared" ref="AN8:AO11" si="12">(AD8/AB8)*100</f>
        <v>47.6136363636364</v>
      </c>
      <c r="AO8" s="316" t="e">
        <f t="shared" si="12"/>
        <v>#DIV/0!</v>
      </c>
      <c r="AP8" s="317">
        <f t="shared" ref="AP8:AQ11" si="13">(AF8/AB8)*100</f>
        <v>52.3863636363636</v>
      </c>
      <c r="AQ8" s="318" t="e">
        <f t="shared" si="13"/>
        <v>#DIV/0!</v>
      </c>
      <c r="AR8" s="318" t="str">
        <f t="shared" ref="AR8:AR15" si="14">IF(AN8&gt;AP8,"MALE DOM","FEMALE DOM")</f>
        <v>FEMALE DOM</v>
      </c>
      <c r="AS8" s="319" t="e">
        <f t="shared" ref="AS8:AS15" si="15">IF(AO8&gt;AP8,"MALE","FEMALE")</f>
        <v>#DIV/0!</v>
      </c>
      <c r="AT8" s="317">
        <f t="shared" ref="AT8:AU11" si="16">(AH8/AB8)*100</f>
        <v>83.8636363636364</v>
      </c>
      <c r="AU8" s="317" t="e">
        <f t="shared" si="16"/>
        <v>#DIV/0!</v>
      </c>
      <c r="AV8" s="248">
        <f t="shared" ref="AV8:AW11" si="17">(AJ8/AB8)*100</f>
        <v>6.13636363636364</v>
      </c>
      <c r="AW8" s="317" t="e">
        <f t="shared" si="17"/>
        <v>#DIV/0!</v>
      </c>
      <c r="AX8" s="248">
        <f t="shared" ref="AX8:AY11" si="18">(AL8/AB8)*100</f>
        <v>10</v>
      </c>
      <c r="AY8" s="317" t="e">
        <f t="shared" si="18"/>
        <v>#DIV/0!</v>
      </c>
      <c r="AZ8" s="248" t="str">
        <f t="shared" ref="AZ8:AZ15" si="19">IF(AT8&gt;(AV8+AX8),"HINDU","MINORITY")</f>
        <v>HINDU</v>
      </c>
      <c r="BA8" s="318" t="e">
        <f t="shared" ref="BA8:BA15" si="20">IF(AU8&gt;(AW8+AY8),"HIND","MINORITY")</f>
        <v>#DIV/0!</v>
      </c>
    </row>
    <row r="9" spans="2:53">
      <c r="B9" s="222">
        <v>214</v>
      </c>
      <c r="C9" s="222">
        <v>564</v>
      </c>
      <c r="D9" s="221">
        <v>154</v>
      </c>
      <c r="E9" s="222">
        <v>243</v>
      </c>
      <c r="F9" s="222">
        <v>0</v>
      </c>
      <c r="G9" s="222">
        <v>0</v>
      </c>
      <c r="H9" s="222">
        <v>0</v>
      </c>
      <c r="I9" s="222">
        <v>0</v>
      </c>
      <c r="J9" s="222">
        <v>0</v>
      </c>
      <c r="K9" s="222">
        <v>0</v>
      </c>
      <c r="L9" s="234">
        <v>397</v>
      </c>
      <c r="M9" s="222">
        <v>0</v>
      </c>
      <c r="N9" s="234">
        <v>0</v>
      </c>
      <c r="O9" s="222">
        <f t="shared" si="0"/>
        <v>397</v>
      </c>
      <c r="P9" s="234">
        <f t="shared" si="1"/>
        <v>70.3900709219858</v>
      </c>
      <c r="Q9" s="222">
        <f t="shared" si="2"/>
        <v>61.2090680100756</v>
      </c>
      <c r="R9" s="234">
        <f t="shared" si="3"/>
        <v>38.7909319899244</v>
      </c>
      <c r="S9" s="222">
        <f t="shared" si="4"/>
        <v>0</v>
      </c>
      <c r="T9" s="234">
        <f t="shared" si="5"/>
        <v>0</v>
      </c>
      <c r="U9" s="222">
        <f t="shared" si="6"/>
        <v>0</v>
      </c>
      <c r="V9" s="234">
        <f t="shared" si="7"/>
        <v>0</v>
      </c>
      <c r="W9" s="222">
        <f t="shared" si="8"/>
        <v>22.4181360201511</v>
      </c>
      <c r="X9" s="222">
        <f t="shared" si="9"/>
        <v>22.4181360201511</v>
      </c>
      <c r="Y9" s="222" t="str">
        <f t="shared" ref="Y9:Y16" si="21">IF(AND(W9&lt;0,W9&lt;=1),"LOST",IF(AND(W9&gt;1,W9&lt;=10),"NARROW",IF(AND(W9&gt;10,W9&lt;=40),"MEDIUM",IF(AND(W9&gt;40,W9&lt;=90),"STRONG",""))))</f>
        <v>MEDIUM</v>
      </c>
      <c r="Z9" s="283" t="str">
        <f t="shared" si="10"/>
        <v>STRONG</v>
      </c>
      <c r="AA9" s="289" t="str">
        <f t="shared" si="11"/>
        <v>BJP</v>
      </c>
      <c r="AB9">
        <v>561</v>
      </c>
      <c r="AD9">
        <v>273</v>
      </c>
      <c r="AF9">
        <v>288</v>
      </c>
      <c r="AH9">
        <v>390</v>
      </c>
      <c r="AJ9">
        <v>116</v>
      </c>
      <c r="AL9">
        <v>55</v>
      </c>
      <c r="AN9" s="248">
        <f t="shared" si="12"/>
        <v>48.6631016042781</v>
      </c>
      <c r="AO9" s="316" t="e">
        <f t="shared" si="12"/>
        <v>#DIV/0!</v>
      </c>
      <c r="AP9" s="317">
        <f t="shared" si="13"/>
        <v>51.3368983957219</v>
      </c>
      <c r="AQ9" s="318" t="e">
        <f t="shared" si="13"/>
        <v>#DIV/0!</v>
      </c>
      <c r="AR9" s="318" t="str">
        <f t="shared" si="14"/>
        <v>FEMALE DOM</v>
      </c>
      <c r="AS9" s="319" t="e">
        <f t="shared" si="15"/>
        <v>#DIV/0!</v>
      </c>
      <c r="AT9" s="317">
        <f t="shared" si="16"/>
        <v>69.5187165775401</v>
      </c>
      <c r="AU9" s="317" t="e">
        <f t="shared" si="16"/>
        <v>#DIV/0!</v>
      </c>
      <c r="AV9" s="248">
        <f t="shared" si="17"/>
        <v>20.6773618538324</v>
      </c>
      <c r="AW9" s="317" t="e">
        <f t="shared" si="17"/>
        <v>#DIV/0!</v>
      </c>
      <c r="AX9" s="248">
        <f t="shared" si="18"/>
        <v>9.80392156862745</v>
      </c>
      <c r="AY9" s="317" t="e">
        <f t="shared" si="18"/>
        <v>#DIV/0!</v>
      </c>
      <c r="AZ9" s="248" t="str">
        <f t="shared" si="19"/>
        <v>HINDU</v>
      </c>
      <c r="BA9" s="318" t="e">
        <f t="shared" si="20"/>
        <v>#DIV/0!</v>
      </c>
    </row>
    <row r="10" spans="2:53">
      <c r="B10" s="222">
        <v>218</v>
      </c>
      <c r="C10" s="222">
        <v>832</v>
      </c>
      <c r="D10" s="221">
        <v>233</v>
      </c>
      <c r="E10" s="222">
        <v>332</v>
      </c>
      <c r="F10" s="222">
        <v>4</v>
      </c>
      <c r="G10" s="222">
        <v>4</v>
      </c>
      <c r="H10" s="222">
        <v>1</v>
      </c>
      <c r="I10" s="222">
        <v>1</v>
      </c>
      <c r="J10" s="222">
        <v>1</v>
      </c>
      <c r="K10" s="222">
        <v>2</v>
      </c>
      <c r="L10" s="234">
        <v>578</v>
      </c>
      <c r="M10" s="222">
        <v>0</v>
      </c>
      <c r="N10" s="234">
        <v>5</v>
      </c>
      <c r="O10" s="222">
        <f t="shared" si="0"/>
        <v>583</v>
      </c>
      <c r="P10" s="234">
        <f t="shared" si="1"/>
        <v>70.0721153846154</v>
      </c>
      <c r="Q10" s="222">
        <f t="shared" si="2"/>
        <v>56.9468267581475</v>
      </c>
      <c r="R10" s="234">
        <f t="shared" si="3"/>
        <v>39.9656946826758</v>
      </c>
      <c r="S10" s="222">
        <f t="shared" si="4"/>
        <v>0.686106346483705</v>
      </c>
      <c r="T10" s="234">
        <f t="shared" si="5"/>
        <v>0.686106346483705</v>
      </c>
      <c r="U10" s="222">
        <f t="shared" si="6"/>
        <v>0.857632933104631</v>
      </c>
      <c r="V10" s="234">
        <f t="shared" si="7"/>
        <v>0.857632933104631</v>
      </c>
      <c r="W10" s="222">
        <f t="shared" si="8"/>
        <v>16.9811320754717</v>
      </c>
      <c r="X10" s="222">
        <f t="shared" si="9"/>
        <v>14.7512864493997</v>
      </c>
      <c r="Y10" s="222" t="str">
        <f t="shared" si="21"/>
        <v>MEDIUM</v>
      </c>
      <c r="Z10" s="285" t="str">
        <f t="shared" si="10"/>
        <v>STRONG</v>
      </c>
      <c r="AA10" s="289" t="str">
        <f t="shared" si="11"/>
        <v>BJP</v>
      </c>
      <c r="AB10">
        <v>831</v>
      </c>
      <c r="AD10">
        <v>405</v>
      </c>
      <c r="AF10">
        <v>426</v>
      </c>
      <c r="AH10">
        <v>630</v>
      </c>
      <c r="AJ10">
        <v>47</v>
      </c>
      <c r="AL10">
        <v>154</v>
      </c>
      <c r="AN10" s="248">
        <f t="shared" si="12"/>
        <v>48.7364620938628</v>
      </c>
      <c r="AO10" s="316" t="e">
        <f t="shared" si="12"/>
        <v>#DIV/0!</v>
      </c>
      <c r="AP10" s="317">
        <f t="shared" si="13"/>
        <v>51.2635379061372</v>
      </c>
      <c r="AQ10" s="318" t="e">
        <f t="shared" si="13"/>
        <v>#DIV/0!</v>
      </c>
      <c r="AR10" s="318" t="str">
        <f t="shared" si="14"/>
        <v>FEMALE DOM</v>
      </c>
      <c r="AS10" s="319" t="e">
        <f t="shared" si="15"/>
        <v>#DIV/0!</v>
      </c>
      <c r="AT10" s="317">
        <f t="shared" si="16"/>
        <v>75.812274368231</v>
      </c>
      <c r="AU10" s="317" t="e">
        <f t="shared" si="16"/>
        <v>#DIV/0!</v>
      </c>
      <c r="AV10" s="248">
        <f t="shared" si="17"/>
        <v>5.65583634175692</v>
      </c>
      <c r="AW10" s="317" t="e">
        <f t="shared" si="17"/>
        <v>#DIV/0!</v>
      </c>
      <c r="AX10" s="248">
        <f t="shared" si="18"/>
        <v>18.531889290012</v>
      </c>
      <c r="AY10" s="317" t="e">
        <f t="shared" si="18"/>
        <v>#DIV/0!</v>
      </c>
      <c r="AZ10" s="248" t="str">
        <f t="shared" si="19"/>
        <v>HINDU</v>
      </c>
      <c r="BA10" s="318" t="e">
        <f t="shared" si="20"/>
        <v>#DIV/0!</v>
      </c>
    </row>
    <row r="11" spans="2:53">
      <c r="B11" s="220">
        <v>212</v>
      </c>
      <c r="C11" s="220">
        <v>652</v>
      </c>
      <c r="D11" s="388">
        <v>163</v>
      </c>
      <c r="E11" s="220">
        <v>276</v>
      </c>
      <c r="F11" s="220">
        <v>0</v>
      </c>
      <c r="G11" s="220">
        <v>0</v>
      </c>
      <c r="H11" s="220">
        <v>0</v>
      </c>
      <c r="I11" s="220">
        <v>1</v>
      </c>
      <c r="J11" s="220">
        <v>1</v>
      </c>
      <c r="K11" s="220">
        <v>1</v>
      </c>
      <c r="L11" s="233">
        <v>442</v>
      </c>
      <c r="M11" s="220">
        <v>0</v>
      </c>
      <c r="N11" s="233">
        <v>2</v>
      </c>
      <c r="O11" s="220">
        <f t="shared" si="0"/>
        <v>444</v>
      </c>
      <c r="P11" s="233">
        <f t="shared" si="1"/>
        <v>68.0981595092024</v>
      </c>
      <c r="Q11" s="220">
        <f t="shared" si="2"/>
        <v>62.1621621621622</v>
      </c>
      <c r="R11" s="233">
        <f t="shared" si="3"/>
        <v>36.7117117117117</v>
      </c>
      <c r="S11" s="220">
        <f t="shared" si="4"/>
        <v>0</v>
      </c>
      <c r="T11" s="233">
        <f t="shared" si="5"/>
        <v>0</v>
      </c>
      <c r="U11" s="220">
        <f t="shared" si="6"/>
        <v>0.675675675675676</v>
      </c>
      <c r="V11" s="233">
        <f t="shared" si="7"/>
        <v>0.45045045045045</v>
      </c>
      <c r="W11" s="220">
        <f t="shared" si="8"/>
        <v>25.4504504504504</v>
      </c>
      <c r="X11" s="220">
        <f t="shared" si="9"/>
        <v>24.7747747747748</v>
      </c>
      <c r="Y11" s="220" t="str">
        <f t="shared" si="21"/>
        <v>MEDIUM</v>
      </c>
      <c r="Z11" s="341" t="str">
        <f t="shared" si="10"/>
        <v>STRONG</v>
      </c>
      <c r="AA11" s="289" t="str">
        <f t="shared" si="11"/>
        <v>BJP</v>
      </c>
      <c r="AB11">
        <v>648</v>
      </c>
      <c r="AC11">
        <v>447</v>
      </c>
      <c r="AD11">
        <v>324</v>
      </c>
      <c r="AE11">
        <v>222</v>
      </c>
      <c r="AF11">
        <v>324</v>
      </c>
      <c r="AG11">
        <v>225</v>
      </c>
      <c r="AH11">
        <v>496</v>
      </c>
      <c r="AI11">
        <v>345</v>
      </c>
      <c r="AJ11">
        <v>95</v>
      </c>
      <c r="AK11">
        <v>65</v>
      </c>
      <c r="AL11">
        <v>57</v>
      </c>
      <c r="AM11">
        <v>37</v>
      </c>
      <c r="AN11" s="248">
        <f t="shared" si="12"/>
        <v>50</v>
      </c>
      <c r="AO11" s="316">
        <f t="shared" si="12"/>
        <v>49.6644295302013</v>
      </c>
      <c r="AP11" s="317">
        <f t="shared" si="13"/>
        <v>50</v>
      </c>
      <c r="AQ11" s="318">
        <f t="shared" si="13"/>
        <v>50.3355704697987</v>
      </c>
      <c r="AR11" s="318" t="str">
        <f t="shared" si="14"/>
        <v>FEMALE DOM</v>
      </c>
      <c r="AS11" s="319" t="str">
        <f t="shared" si="15"/>
        <v>FEMALE</v>
      </c>
      <c r="AT11" s="317">
        <f t="shared" si="16"/>
        <v>76.5432098765432</v>
      </c>
      <c r="AU11" s="317">
        <f t="shared" si="16"/>
        <v>77.1812080536913</v>
      </c>
      <c r="AV11" s="248">
        <f t="shared" si="17"/>
        <v>14.6604938271605</v>
      </c>
      <c r="AW11" s="317">
        <f t="shared" si="17"/>
        <v>14.5413870246085</v>
      </c>
      <c r="AX11" s="248">
        <f t="shared" si="18"/>
        <v>8.7962962962963</v>
      </c>
      <c r="AY11" s="317">
        <f t="shared" si="18"/>
        <v>8.27740492170022</v>
      </c>
      <c r="AZ11" s="248" t="str">
        <f t="shared" si="19"/>
        <v>HINDU</v>
      </c>
      <c r="BA11" s="318" t="str">
        <f t="shared" si="20"/>
        <v>HIND</v>
      </c>
    </row>
    <row r="12" ht="21" spans="2:53">
      <c r="B12" s="222">
        <v>211</v>
      </c>
      <c r="C12" s="222">
        <v>999</v>
      </c>
      <c r="D12" s="221">
        <v>257</v>
      </c>
      <c r="E12" s="222">
        <v>381</v>
      </c>
      <c r="F12" s="222">
        <v>2</v>
      </c>
      <c r="G12" s="222">
        <v>0</v>
      </c>
      <c r="H12" s="222">
        <v>0</v>
      </c>
      <c r="I12" s="222">
        <v>0</v>
      </c>
      <c r="J12" s="222">
        <v>0</v>
      </c>
      <c r="K12" s="222">
        <v>0</v>
      </c>
      <c r="L12" s="234">
        <v>640</v>
      </c>
      <c r="M12" s="222">
        <v>0</v>
      </c>
      <c r="N12" s="234">
        <v>3</v>
      </c>
      <c r="O12" s="222">
        <f t="shared" si="0"/>
        <v>643</v>
      </c>
      <c r="P12" s="234">
        <f t="shared" si="1"/>
        <v>64.3643643643644</v>
      </c>
      <c r="Q12" s="222">
        <f t="shared" si="2"/>
        <v>59.253499222395</v>
      </c>
      <c r="R12" s="234">
        <f t="shared" si="3"/>
        <v>39.9688958009331</v>
      </c>
      <c r="S12" s="222">
        <f t="shared" si="4"/>
        <v>0.31104199066874</v>
      </c>
      <c r="T12" s="234">
        <f t="shared" si="5"/>
        <v>0</v>
      </c>
      <c r="U12" s="222">
        <f t="shared" si="6"/>
        <v>0</v>
      </c>
      <c r="V12" s="234">
        <f t="shared" si="7"/>
        <v>0.46656298600311</v>
      </c>
      <c r="W12" s="222">
        <f t="shared" si="8"/>
        <v>19.2846034214619</v>
      </c>
      <c r="X12" s="222">
        <f t="shared" si="9"/>
        <v>18.9735614307932</v>
      </c>
      <c r="Y12" s="222" t="str">
        <f t="shared" si="21"/>
        <v>MEDIUM</v>
      </c>
      <c r="Z12" s="350" t="str">
        <f t="shared" si="10"/>
        <v>STRONG</v>
      </c>
      <c r="AA12" s="351" t="str">
        <f t="shared" si="11"/>
        <v>BJP</v>
      </c>
      <c r="AB12">
        <v>999</v>
      </c>
      <c r="AD12">
        <v>489</v>
      </c>
      <c r="AF12">
        <v>510</v>
      </c>
      <c r="AH12">
        <v>650</v>
      </c>
      <c r="AJ12">
        <v>206</v>
      </c>
      <c r="AL12">
        <v>143</v>
      </c>
      <c r="AN12" s="248">
        <f t="shared" ref="AN12:AO15" si="22">(AD12/AB12)*100</f>
        <v>48.948948948949</v>
      </c>
      <c r="AO12" s="316" t="e">
        <f t="shared" si="22"/>
        <v>#DIV/0!</v>
      </c>
      <c r="AP12" s="317">
        <f t="shared" ref="AP12:AQ15" si="23">(AF12/AB12)*100</f>
        <v>51.0510510510511</v>
      </c>
      <c r="AQ12" s="318" t="e">
        <f t="shared" si="23"/>
        <v>#DIV/0!</v>
      </c>
      <c r="AR12" s="318" t="str">
        <f t="shared" si="14"/>
        <v>FEMALE DOM</v>
      </c>
      <c r="AS12" s="319" t="e">
        <f t="shared" si="15"/>
        <v>#DIV/0!</v>
      </c>
      <c r="AT12" s="317">
        <f t="shared" ref="AT12:AU15" si="24">(AH12/AB12)*100</f>
        <v>65.0650650650651</v>
      </c>
      <c r="AU12" s="317" t="e">
        <f t="shared" si="24"/>
        <v>#DIV/0!</v>
      </c>
      <c r="AV12" s="248">
        <f t="shared" ref="AV12:AW15" si="25">(AJ12/AB12)*100</f>
        <v>20.6206206206206</v>
      </c>
      <c r="AW12" s="317" t="e">
        <f t="shared" si="25"/>
        <v>#DIV/0!</v>
      </c>
      <c r="AX12" s="248">
        <f t="shared" ref="AX12:AY15" si="26">(AL12/AB12)*100</f>
        <v>14.3143143143143</v>
      </c>
      <c r="AY12" s="317" t="e">
        <f t="shared" si="26"/>
        <v>#DIV/0!</v>
      </c>
      <c r="AZ12" s="248" t="str">
        <f t="shared" si="19"/>
        <v>HINDU</v>
      </c>
      <c r="BA12" s="318" t="e">
        <f t="shared" si="20"/>
        <v>#DIV/0!</v>
      </c>
    </row>
    <row r="13" ht="21" spans="2:53">
      <c r="B13" s="389">
        <v>215</v>
      </c>
      <c r="C13" s="389">
        <v>517</v>
      </c>
      <c r="D13" s="390">
        <v>91</v>
      </c>
      <c r="E13" s="389">
        <v>309</v>
      </c>
      <c r="F13" s="389">
        <v>2</v>
      </c>
      <c r="G13" s="389">
        <v>0</v>
      </c>
      <c r="H13" s="389">
        <v>1</v>
      </c>
      <c r="I13" s="389">
        <v>0</v>
      </c>
      <c r="J13" s="389">
        <v>0</v>
      </c>
      <c r="K13" s="389">
        <v>1</v>
      </c>
      <c r="L13" s="393">
        <v>404</v>
      </c>
      <c r="M13" s="389">
        <v>0</v>
      </c>
      <c r="N13" s="393">
        <v>6</v>
      </c>
      <c r="O13" s="389">
        <f t="shared" si="0"/>
        <v>410</v>
      </c>
      <c r="P13" s="393">
        <f t="shared" si="1"/>
        <v>79.3036750483559</v>
      </c>
      <c r="Q13" s="389">
        <f t="shared" si="2"/>
        <v>75.3658536585366</v>
      </c>
      <c r="R13" s="393">
        <f t="shared" si="3"/>
        <v>22.1951219512195</v>
      </c>
      <c r="S13" s="389">
        <f t="shared" si="4"/>
        <v>0.48780487804878</v>
      </c>
      <c r="T13" s="389">
        <f t="shared" si="5"/>
        <v>0</v>
      </c>
      <c r="U13" s="389">
        <f t="shared" si="6"/>
        <v>0.48780487804878</v>
      </c>
      <c r="V13" s="393">
        <f t="shared" si="7"/>
        <v>1.46341463414634</v>
      </c>
      <c r="W13" s="389">
        <f t="shared" si="8"/>
        <v>53.1707317073171</v>
      </c>
      <c r="X13" s="389">
        <f t="shared" si="9"/>
        <v>52.1951219512195</v>
      </c>
      <c r="Y13" s="389" t="str">
        <f t="shared" si="21"/>
        <v>STRONG</v>
      </c>
      <c r="Z13" s="397" t="str">
        <f t="shared" si="10"/>
        <v>STRONG</v>
      </c>
      <c r="AA13" s="351" t="str">
        <f t="shared" si="11"/>
        <v>BJP</v>
      </c>
      <c r="AB13">
        <v>513</v>
      </c>
      <c r="AC13">
        <v>421</v>
      </c>
      <c r="AD13">
        <v>236</v>
      </c>
      <c r="AE13">
        <v>190</v>
      </c>
      <c r="AF13">
        <v>277</v>
      </c>
      <c r="AG13">
        <v>231</v>
      </c>
      <c r="AH13">
        <v>456</v>
      </c>
      <c r="AI13">
        <v>380</v>
      </c>
      <c r="AJ13">
        <v>10</v>
      </c>
      <c r="AK13">
        <v>8</v>
      </c>
      <c r="AL13">
        <v>47</v>
      </c>
      <c r="AM13">
        <v>33</v>
      </c>
      <c r="AN13" s="248">
        <f t="shared" si="22"/>
        <v>46.0038986354776</v>
      </c>
      <c r="AO13" s="316">
        <f t="shared" si="22"/>
        <v>45.1306413301663</v>
      </c>
      <c r="AP13" s="317">
        <f t="shared" si="23"/>
        <v>53.9961013645224</v>
      </c>
      <c r="AQ13" s="318">
        <f t="shared" si="23"/>
        <v>54.8693586698337</v>
      </c>
      <c r="AR13" s="318" t="str">
        <f t="shared" si="14"/>
        <v>FEMALE DOM</v>
      </c>
      <c r="AS13" s="319" t="str">
        <f t="shared" si="15"/>
        <v>FEMALE</v>
      </c>
      <c r="AT13" s="317">
        <f t="shared" si="24"/>
        <v>88.8888888888889</v>
      </c>
      <c r="AU13" s="317">
        <f t="shared" si="24"/>
        <v>90.2612826603325</v>
      </c>
      <c r="AV13" s="248">
        <f t="shared" si="25"/>
        <v>1.94931773879142</v>
      </c>
      <c r="AW13" s="317">
        <f t="shared" si="25"/>
        <v>1.90023752969121</v>
      </c>
      <c r="AX13" s="248">
        <f t="shared" si="26"/>
        <v>9.16179337231969</v>
      </c>
      <c r="AY13" s="317">
        <f t="shared" si="26"/>
        <v>7.83847980997625</v>
      </c>
      <c r="AZ13" s="248" t="str">
        <f t="shared" si="19"/>
        <v>HINDU</v>
      </c>
      <c r="BA13" s="318" t="str">
        <f t="shared" si="20"/>
        <v>HIND</v>
      </c>
    </row>
    <row r="14" ht="21" spans="2:53">
      <c r="B14" s="391">
        <v>216</v>
      </c>
      <c r="C14" s="391">
        <v>1039</v>
      </c>
      <c r="D14" s="392">
        <v>218</v>
      </c>
      <c r="E14" s="391">
        <v>534</v>
      </c>
      <c r="F14" s="391">
        <v>2</v>
      </c>
      <c r="G14" s="391">
        <v>0</v>
      </c>
      <c r="H14" s="391">
        <v>0</v>
      </c>
      <c r="I14" s="391">
        <v>0</v>
      </c>
      <c r="J14" s="391">
        <v>2</v>
      </c>
      <c r="K14" s="391">
        <v>1</v>
      </c>
      <c r="L14" s="394">
        <v>757</v>
      </c>
      <c r="M14" s="391">
        <v>0</v>
      </c>
      <c r="N14" s="394">
        <v>6</v>
      </c>
      <c r="O14" s="391">
        <f t="shared" si="0"/>
        <v>763</v>
      </c>
      <c r="P14" s="394">
        <f t="shared" si="1"/>
        <v>73.4359961501444</v>
      </c>
      <c r="Q14" s="391">
        <f t="shared" si="2"/>
        <v>69.9868938401048</v>
      </c>
      <c r="R14" s="394">
        <f t="shared" si="3"/>
        <v>28.5714285714286</v>
      </c>
      <c r="S14" s="391">
        <f t="shared" si="4"/>
        <v>0.262123197903014</v>
      </c>
      <c r="T14" s="391">
        <f t="shared" si="5"/>
        <v>0</v>
      </c>
      <c r="U14" s="391">
        <f t="shared" si="6"/>
        <v>0.393184796854522</v>
      </c>
      <c r="V14" s="394">
        <f t="shared" si="7"/>
        <v>0.786369593709043</v>
      </c>
      <c r="W14" s="391">
        <f t="shared" si="8"/>
        <v>41.4154652686763</v>
      </c>
      <c r="X14" s="391">
        <f t="shared" si="9"/>
        <v>40.7601572739187</v>
      </c>
      <c r="Y14" s="391" t="str">
        <f t="shared" si="21"/>
        <v>STRONG</v>
      </c>
      <c r="Z14" s="350" t="str">
        <f t="shared" si="10"/>
        <v>STRONG</v>
      </c>
      <c r="AA14" s="351" t="str">
        <f t="shared" si="11"/>
        <v>BJP</v>
      </c>
      <c r="AB14">
        <v>1036</v>
      </c>
      <c r="AC14">
        <v>774</v>
      </c>
      <c r="AD14">
        <v>497</v>
      </c>
      <c r="AE14">
        <v>378</v>
      </c>
      <c r="AF14">
        <v>539</v>
      </c>
      <c r="AG14">
        <v>396</v>
      </c>
      <c r="AH14">
        <v>929</v>
      </c>
      <c r="AI14">
        <v>695</v>
      </c>
      <c r="AJ14">
        <v>3</v>
      </c>
      <c r="AK14">
        <v>3</v>
      </c>
      <c r="AL14">
        <v>104</v>
      </c>
      <c r="AM14">
        <v>76</v>
      </c>
      <c r="AN14" s="248">
        <f t="shared" si="22"/>
        <v>47.972972972973</v>
      </c>
      <c r="AO14" s="316">
        <f t="shared" si="22"/>
        <v>48.8372093023256</v>
      </c>
      <c r="AP14" s="317">
        <f t="shared" si="23"/>
        <v>52.027027027027</v>
      </c>
      <c r="AQ14" s="318">
        <f t="shared" si="23"/>
        <v>51.1627906976744</v>
      </c>
      <c r="AR14" s="318" t="str">
        <f t="shared" si="14"/>
        <v>FEMALE DOM</v>
      </c>
      <c r="AS14" s="319" t="str">
        <f t="shared" si="15"/>
        <v>FEMALE</v>
      </c>
      <c r="AT14" s="317">
        <f t="shared" si="24"/>
        <v>89.6718146718147</v>
      </c>
      <c r="AU14" s="317">
        <f t="shared" si="24"/>
        <v>89.7932816537468</v>
      </c>
      <c r="AV14" s="248">
        <f t="shared" si="25"/>
        <v>0.28957528957529</v>
      </c>
      <c r="AW14" s="317">
        <f t="shared" si="25"/>
        <v>0.387596899224806</v>
      </c>
      <c r="AX14" s="248">
        <f t="shared" si="26"/>
        <v>10.03861003861</v>
      </c>
      <c r="AY14" s="317">
        <f t="shared" si="26"/>
        <v>9.81912144702842</v>
      </c>
      <c r="AZ14" s="248" t="str">
        <f t="shared" si="19"/>
        <v>HINDU</v>
      </c>
      <c r="BA14" s="318" t="str">
        <f t="shared" si="20"/>
        <v>HIND</v>
      </c>
    </row>
    <row r="15" ht="21" spans="2:53">
      <c r="B15" s="224">
        <v>244</v>
      </c>
      <c r="C15" s="223">
        <v>752</v>
      </c>
      <c r="D15" s="361">
        <v>424</v>
      </c>
      <c r="E15" s="223">
        <v>73</v>
      </c>
      <c r="F15" s="223">
        <v>0</v>
      </c>
      <c r="G15" s="223">
        <v>0</v>
      </c>
      <c r="H15" s="223">
        <v>0</v>
      </c>
      <c r="I15" s="223">
        <v>0</v>
      </c>
      <c r="J15" s="223">
        <v>1</v>
      </c>
      <c r="K15" s="223">
        <v>0</v>
      </c>
      <c r="L15" s="235">
        <v>498</v>
      </c>
      <c r="M15" s="223">
        <v>0</v>
      </c>
      <c r="N15" s="235">
        <v>0</v>
      </c>
      <c r="O15" s="223">
        <f t="shared" si="0"/>
        <v>498</v>
      </c>
      <c r="P15" s="235">
        <f t="shared" si="1"/>
        <v>66.2234042553192</v>
      </c>
      <c r="Q15" s="223">
        <f t="shared" si="2"/>
        <v>14.6586345381526</v>
      </c>
      <c r="R15" s="235">
        <f t="shared" si="3"/>
        <v>85.140562248996</v>
      </c>
      <c r="S15" s="223">
        <f t="shared" si="4"/>
        <v>0</v>
      </c>
      <c r="T15" s="223">
        <f t="shared" si="5"/>
        <v>0</v>
      </c>
      <c r="U15" s="223">
        <f t="shared" si="6"/>
        <v>0.200803212851406</v>
      </c>
      <c r="V15" s="235">
        <f t="shared" si="7"/>
        <v>0</v>
      </c>
      <c r="W15" s="223">
        <f t="shared" si="8"/>
        <v>-70.4819277108434</v>
      </c>
      <c r="X15" s="223">
        <f t="shared" si="9"/>
        <v>-70.6827309236948</v>
      </c>
      <c r="Y15" s="223" t="str">
        <f t="shared" si="21"/>
        <v>LOST</v>
      </c>
      <c r="Z15" s="350" t="str">
        <f t="shared" si="10"/>
        <v>STRONG</v>
      </c>
      <c r="AA15" s="383" t="str">
        <f t="shared" si="11"/>
        <v>CONGRESS</v>
      </c>
      <c r="AB15">
        <v>751</v>
      </c>
      <c r="AC15">
        <v>497</v>
      </c>
      <c r="AD15">
        <v>365</v>
      </c>
      <c r="AE15">
        <v>231</v>
      </c>
      <c r="AF15">
        <v>386</v>
      </c>
      <c r="AG15">
        <v>266</v>
      </c>
      <c r="AH15">
        <v>29</v>
      </c>
      <c r="AI15">
        <v>16</v>
      </c>
      <c r="AJ15">
        <v>1</v>
      </c>
      <c r="AK15">
        <v>1</v>
      </c>
      <c r="AL15">
        <v>721</v>
      </c>
      <c r="AM15">
        <v>480</v>
      </c>
      <c r="AN15" s="248">
        <f t="shared" si="22"/>
        <v>48.6018641810919</v>
      </c>
      <c r="AO15" s="316">
        <f t="shared" si="22"/>
        <v>46.4788732394366</v>
      </c>
      <c r="AP15" s="317">
        <f t="shared" si="23"/>
        <v>51.3981358189081</v>
      </c>
      <c r="AQ15" s="318">
        <f t="shared" si="23"/>
        <v>53.5211267605634</v>
      </c>
      <c r="AR15" s="318" t="str">
        <f t="shared" si="14"/>
        <v>FEMALE DOM</v>
      </c>
      <c r="AS15" s="319" t="str">
        <f t="shared" si="15"/>
        <v>FEMALE</v>
      </c>
      <c r="AT15" s="317">
        <f t="shared" si="24"/>
        <v>3.86151797603196</v>
      </c>
      <c r="AU15" s="317">
        <f t="shared" si="24"/>
        <v>3.21931589537223</v>
      </c>
      <c r="AV15" s="248">
        <f t="shared" si="25"/>
        <v>0.133155792276964</v>
      </c>
      <c r="AW15" s="317">
        <f t="shared" si="25"/>
        <v>0.201207243460765</v>
      </c>
      <c r="AX15" s="248">
        <f t="shared" si="26"/>
        <v>96.0053262316911</v>
      </c>
      <c r="AY15" s="317">
        <f t="shared" si="26"/>
        <v>96.579476861167</v>
      </c>
      <c r="AZ15" s="248" t="str">
        <f t="shared" si="19"/>
        <v>MINORITY</v>
      </c>
      <c r="BA15" s="318" t="str">
        <f t="shared" si="20"/>
        <v>MINORITY</v>
      </c>
    </row>
    <row r="16" ht="21" spans="2:27">
      <c r="B16" s="334"/>
      <c r="C16" s="222">
        <f t="shared" ref="C16:O16" si="27">SUM(C7:C15)</f>
        <v>7227</v>
      </c>
      <c r="D16" s="221">
        <f t="shared" si="27"/>
        <v>1856</v>
      </c>
      <c r="E16" s="222">
        <f t="shared" si="27"/>
        <v>3038</v>
      </c>
      <c r="F16" s="222">
        <f t="shared" si="27"/>
        <v>13</v>
      </c>
      <c r="G16" s="222">
        <f t="shared" si="27"/>
        <v>5</v>
      </c>
      <c r="H16" s="222">
        <f t="shared" si="27"/>
        <v>2</v>
      </c>
      <c r="I16" s="222">
        <f t="shared" si="27"/>
        <v>4</v>
      </c>
      <c r="J16" s="222">
        <f t="shared" si="27"/>
        <v>6</v>
      </c>
      <c r="K16" s="222">
        <f t="shared" si="27"/>
        <v>6</v>
      </c>
      <c r="L16" s="234">
        <f t="shared" si="27"/>
        <v>4930</v>
      </c>
      <c r="M16" s="222">
        <f t="shared" si="27"/>
        <v>0</v>
      </c>
      <c r="N16" s="234">
        <f t="shared" si="27"/>
        <v>38</v>
      </c>
      <c r="O16" s="222">
        <f t="shared" si="27"/>
        <v>4968</v>
      </c>
      <c r="P16" s="234">
        <f t="shared" ref="P16:X16" si="28">AVERAGE(P7:P15)</f>
        <v>69.2915144038746</v>
      </c>
      <c r="Q16" s="222">
        <f t="shared" si="28"/>
        <v>60.4685668828026</v>
      </c>
      <c r="R16" s="234">
        <f t="shared" si="28"/>
        <v>38.0896759697484</v>
      </c>
      <c r="S16" s="222">
        <f t="shared" si="28"/>
        <v>0.249034483389031</v>
      </c>
      <c r="T16" s="222">
        <f t="shared" si="28"/>
        <v>0.0940688877937129</v>
      </c>
      <c r="U16" s="222">
        <f t="shared" si="28"/>
        <v>0.36237634147924</v>
      </c>
      <c r="V16" s="234">
        <f t="shared" si="28"/>
        <v>0.73627743478704</v>
      </c>
      <c r="W16" s="222">
        <f t="shared" si="28"/>
        <v>22.3788909130542</v>
      </c>
      <c r="X16" s="222">
        <f t="shared" si="28"/>
        <v>21.6734112003922</v>
      </c>
      <c r="Y16" s="222" t="str">
        <f t="shared" si="21"/>
        <v>MEDIUM</v>
      </c>
      <c r="Z16" s="350" t="str">
        <f t="shared" si="10"/>
        <v>STRONG</v>
      </c>
      <c r="AA16" s="351" t="str">
        <f t="shared" si="11"/>
        <v>BJP</v>
      </c>
    </row>
    <row r="19" spans="12:29">
      <c r="L19" s="225" t="s">
        <v>205</v>
      </c>
      <c r="M19" s="237"/>
      <c r="N19" s="237"/>
      <c r="O19" s="238"/>
      <c r="Q19" s="225" t="s">
        <v>97</v>
      </c>
      <c r="R19" s="237"/>
      <c r="S19" s="237"/>
      <c r="T19" s="238"/>
      <c r="V19" s="265" t="s">
        <v>98</v>
      </c>
      <c r="W19" s="265"/>
      <c r="X19" s="265"/>
      <c r="Y19" s="265"/>
      <c r="Z19" s="265"/>
      <c r="AA19" s="265"/>
      <c r="AB19" s="265"/>
      <c r="AC19" s="265"/>
    </row>
    <row r="20" spans="12:29">
      <c r="L20" s="226"/>
      <c r="M20" s="239"/>
      <c r="N20" s="239"/>
      <c r="O20" s="240"/>
      <c r="Q20" s="241"/>
      <c r="R20" s="242"/>
      <c r="S20" s="242"/>
      <c r="T20" s="243"/>
      <c r="V20" s="265"/>
      <c r="W20" s="265"/>
      <c r="X20" s="265"/>
      <c r="Y20" s="265"/>
      <c r="Z20" s="265"/>
      <c r="AA20" s="265"/>
      <c r="AB20" s="265"/>
      <c r="AC20" s="265"/>
    </row>
    <row r="21" spans="12:29">
      <c r="L21" s="227" t="s">
        <v>99</v>
      </c>
      <c r="M21" s="244"/>
      <c r="N21" s="245"/>
      <c r="O21" s="245">
        <f>COUNTIF(AA7:AA15,"BJP")</f>
        <v>8</v>
      </c>
      <c r="Q21" s="246" t="s">
        <v>100</v>
      </c>
      <c r="R21" s="247"/>
      <c r="S21" s="247"/>
      <c r="T21" s="248">
        <f>COUNTIF(Y7:Y15,"NARROW")</f>
        <v>0</v>
      </c>
      <c r="V21" s="265" t="s">
        <v>101</v>
      </c>
      <c r="W21" s="265"/>
      <c r="X21" s="265"/>
      <c r="Y21" s="265">
        <f>'JEPPINAMOGAR-18'!E7</f>
        <v>59.9387000035795</v>
      </c>
      <c r="Z21" s="265" t="s">
        <v>102</v>
      </c>
      <c r="AA21" s="265"/>
      <c r="AB21" s="265"/>
      <c r="AC21" s="265">
        <f>Q16</f>
        <v>60.4685668828026</v>
      </c>
    </row>
    <row r="22" spans="12:29">
      <c r="L22" s="227"/>
      <c r="M22" s="244"/>
      <c r="N22" s="245"/>
      <c r="O22" s="245"/>
      <c r="Q22" s="249"/>
      <c r="R22" s="250"/>
      <c r="S22" s="250"/>
      <c r="T22" s="251"/>
      <c r="V22" s="265"/>
      <c r="W22" s="265"/>
      <c r="X22" s="265"/>
      <c r="Y22" s="265"/>
      <c r="Z22" s="265"/>
      <c r="AA22" s="265"/>
      <c r="AB22" s="265"/>
      <c r="AC22" s="265"/>
    </row>
    <row r="23" spans="12:29">
      <c r="L23" s="227"/>
      <c r="M23" s="244"/>
      <c r="N23" s="245"/>
      <c r="O23" s="245"/>
      <c r="Q23" s="252" t="s">
        <v>103</v>
      </c>
      <c r="R23" s="253"/>
      <c r="S23" s="253"/>
      <c r="T23" s="248">
        <f>COUNTIF(Y7:Y15,"MEDIUM")</f>
        <v>4</v>
      </c>
      <c r="V23" s="265" t="s">
        <v>104</v>
      </c>
      <c r="W23" s="265"/>
      <c r="X23" s="265"/>
      <c r="Y23" s="265">
        <f>'JEPPINAMOGAR-18'!G7</f>
        <v>31.512108879365</v>
      </c>
      <c r="Z23" s="265" t="s">
        <v>105</v>
      </c>
      <c r="AA23" s="265"/>
      <c r="AB23" s="265"/>
      <c r="AC23" s="265">
        <f>R16</f>
        <v>38.0896759697484</v>
      </c>
    </row>
    <row r="24" spans="12:29">
      <c r="L24" s="228" t="s">
        <v>106</v>
      </c>
      <c r="M24" s="254"/>
      <c r="N24" s="255"/>
      <c r="O24" s="255">
        <f>COUNTIF(AA7:AA15,"CONGRESS")</f>
        <v>1</v>
      </c>
      <c r="Q24" s="252"/>
      <c r="R24" s="253"/>
      <c r="S24" s="253"/>
      <c r="T24" s="251"/>
      <c r="V24" s="265"/>
      <c r="W24" s="265"/>
      <c r="X24" s="265"/>
      <c r="Y24" s="265"/>
      <c r="Z24" s="265"/>
      <c r="AA24" s="265"/>
      <c r="AB24" s="265"/>
      <c r="AC24" s="265"/>
    </row>
    <row r="25" spans="12:29">
      <c r="L25" s="229"/>
      <c r="M25" s="256"/>
      <c r="N25" s="257"/>
      <c r="O25" s="257"/>
      <c r="Q25" s="258" t="s">
        <v>107</v>
      </c>
      <c r="R25" s="259"/>
      <c r="S25" s="259"/>
      <c r="T25" s="248">
        <f>COUNTIF(Y7:Y15,"STRONG")</f>
        <v>4</v>
      </c>
      <c r="V25" s="265" t="s">
        <v>108</v>
      </c>
      <c r="W25" s="265"/>
      <c r="X25" s="265"/>
      <c r="Y25" s="265">
        <f>'JEPPINAMOGAR-18'!C7</f>
        <v>4533</v>
      </c>
      <c r="Z25" s="265" t="s">
        <v>109</v>
      </c>
      <c r="AA25" s="265"/>
      <c r="AB25" s="265"/>
      <c r="AC25" s="265">
        <f>O16</f>
        <v>4968</v>
      </c>
    </row>
    <row r="26" spans="12:29">
      <c r="L26" s="230"/>
      <c r="M26" s="260"/>
      <c r="N26" s="261"/>
      <c r="O26" s="261"/>
      <c r="Q26" s="262"/>
      <c r="R26" s="263"/>
      <c r="S26" s="263"/>
      <c r="T26" s="251"/>
      <c r="V26" s="265"/>
      <c r="W26" s="265"/>
      <c r="X26" s="265"/>
      <c r="Y26" s="265"/>
      <c r="Z26" s="265"/>
      <c r="AA26" s="265"/>
      <c r="AB26" s="265"/>
      <c r="AC26" s="265"/>
    </row>
    <row r="27" spans="17:29">
      <c r="Q27" s="229" t="s">
        <v>110</v>
      </c>
      <c r="R27" s="256"/>
      <c r="S27" s="256"/>
      <c r="T27" s="248">
        <f>COUNTIF(Y7:Y15,"LOST")</f>
        <v>1</v>
      </c>
      <c r="V27" s="265" t="s">
        <v>111</v>
      </c>
      <c r="W27" s="265"/>
      <c r="X27" s="265"/>
      <c r="Y27" s="265">
        <f>Y21-Y23</f>
        <v>28.4265911242146</v>
      </c>
      <c r="Z27" s="265" t="s">
        <v>111</v>
      </c>
      <c r="AA27" s="265"/>
      <c r="AB27" s="265"/>
      <c r="AC27" s="265">
        <f>AC21-AC23</f>
        <v>22.3788909130542</v>
      </c>
    </row>
    <row r="28" spans="17:29">
      <c r="Q28" s="230"/>
      <c r="R28" s="260"/>
      <c r="S28" s="260"/>
      <c r="T28" s="251"/>
      <c r="V28" s="265"/>
      <c r="W28" s="265"/>
      <c r="X28" s="265"/>
      <c r="Y28" s="265"/>
      <c r="Z28" s="265"/>
      <c r="AA28" s="265"/>
      <c r="AB28" s="265"/>
      <c r="AC28" s="265"/>
    </row>
    <row r="29" spans="22:28">
      <c r="V29" s="265" t="s">
        <v>112</v>
      </c>
      <c r="W29" s="265"/>
      <c r="X29" s="265"/>
      <c r="Y29" s="265">
        <f>AC21-Y21</f>
        <v>0.529866879223079</v>
      </c>
      <c r="Z29" s="265"/>
      <c r="AA29" s="265"/>
      <c r="AB29" s="265"/>
    </row>
    <row r="30" spans="22:28">
      <c r="V30" s="265"/>
      <c r="W30" s="265"/>
      <c r="X30" s="265"/>
      <c r="Y30" s="265"/>
      <c r="Z30" s="265"/>
      <c r="AA30" s="265"/>
      <c r="AB30" s="265"/>
    </row>
    <row r="31" spans="22:28">
      <c r="V31" s="265" t="s">
        <v>113</v>
      </c>
      <c r="W31" s="265"/>
      <c r="X31" s="265"/>
      <c r="Y31" s="265">
        <f>AC23-Y23</f>
        <v>6.57756709038343</v>
      </c>
      <c r="Z31" s="265"/>
      <c r="AA31" s="265"/>
      <c r="AB31" s="265"/>
    </row>
    <row r="32" spans="22:28">
      <c r="V32" s="265"/>
      <c r="W32" s="265"/>
      <c r="X32" s="265"/>
      <c r="Y32" s="265"/>
      <c r="Z32" s="265"/>
      <c r="AA32" s="265"/>
      <c r="AB32" s="265"/>
    </row>
    <row r="33" spans="22:28">
      <c r="V33" s="265" t="s">
        <v>114</v>
      </c>
      <c r="W33" s="265"/>
      <c r="X33" s="265"/>
      <c r="Y33" s="265" t="str">
        <f>IF(Y29&gt;Y31,"INCREASE","DECREASE")</f>
        <v>DECREASE</v>
      </c>
      <c r="Z33" s="265"/>
      <c r="AA33" s="265"/>
      <c r="AB33" s="265"/>
    </row>
    <row r="34" spans="22:28">
      <c r="V34" s="265"/>
      <c r="W34" s="265"/>
      <c r="X34" s="265"/>
      <c r="Y34" s="265"/>
      <c r="Z34" s="265"/>
      <c r="AA34" s="265"/>
      <c r="AB34" s="265"/>
    </row>
    <row r="35" spans="22:29">
      <c r="V35" s="265">
        <v>0</v>
      </c>
      <c r="W35" s="265"/>
      <c r="X35" s="265"/>
      <c r="Y35" s="265"/>
      <c r="Z35" s="265"/>
      <c r="AA35" s="265"/>
      <c r="AB35" s="265"/>
      <c r="AC35" s="265"/>
    </row>
    <row r="36" spans="22:29">
      <c r="V36" s="265"/>
      <c r="W36" s="265"/>
      <c r="X36" s="265"/>
      <c r="Y36" s="265"/>
      <c r="Z36" s="265"/>
      <c r="AA36" s="265"/>
      <c r="AB36" s="265"/>
      <c r="AC36" s="265"/>
    </row>
    <row r="37" spans="22:29">
      <c r="V37" s="265"/>
      <c r="W37" s="265"/>
      <c r="X37" s="265"/>
      <c r="Y37" s="265"/>
      <c r="Z37" s="265"/>
      <c r="AA37" s="265"/>
      <c r="AB37" s="265"/>
      <c r="AC37" s="265"/>
    </row>
  </sheetData>
  <mergeCells count="95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O1:O6"/>
    <mergeCell ref="O21:O23"/>
    <mergeCell ref="O24:O26"/>
    <mergeCell ref="P1:P6"/>
    <mergeCell ref="Q1:Q6"/>
    <mergeCell ref="R1:R6"/>
    <mergeCell ref="S1:S6"/>
    <mergeCell ref="T1:T6"/>
    <mergeCell ref="T21:T22"/>
    <mergeCell ref="T23:T24"/>
    <mergeCell ref="T25:T26"/>
    <mergeCell ref="T27:T28"/>
    <mergeCell ref="U1:U6"/>
    <mergeCell ref="V1:V6"/>
    <mergeCell ref="W1:W6"/>
    <mergeCell ref="X1:X6"/>
    <mergeCell ref="Y1:Y6"/>
    <mergeCell ref="Y21:Y22"/>
    <mergeCell ref="Y23:Y24"/>
    <mergeCell ref="Y25:Y26"/>
    <mergeCell ref="Y27:Y28"/>
    <mergeCell ref="Z1:Z6"/>
    <mergeCell ref="AA1:AA6"/>
    <mergeCell ref="AB1:AB6"/>
    <mergeCell ref="AC1:AC6"/>
    <mergeCell ref="AC21:AC22"/>
    <mergeCell ref="AC23:AC24"/>
    <mergeCell ref="AC25:AC26"/>
    <mergeCell ref="AC27:AC28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BB1:BB6"/>
    <mergeCell ref="BC1:BC6"/>
    <mergeCell ref="Q27:S28"/>
    <mergeCell ref="Z27:AB28"/>
    <mergeCell ref="L19:O20"/>
    <mergeCell ref="Q19:T20"/>
    <mergeCell ref="L21:N23"/>
    <mergeCell ref="Q21:S22"/>
    <mergeCell ref="Z21:AB22"/>
    <mergeCell ref="Q23:S24"/>
    <mergeCell ref="Z23:AB24"/>
    <mergeCell ref="L24:N26"/>
    <mergeCell ref="Q25:S26"/>
    <mergeCell ref="Z25:AB26"/>
    <mergeCell ref="D1:K2"/>
    <mergeCell ref="V19:AC20"/>
    <mergeCell ref="V21:X22"/>
    <mergeCell ref="V23:X24"/>
    <mergeCell ref="V25:X26"/>
    <mergeCell ref="V27:X28"/>
    <mergeCell ref="V29:X30"/>
    <mergeCell ref="Y29:AB30"/>
    <mergeCell ref="V35:AC37"/>
    <mergeCell ref="V31:X32"/>
    <mergeCell ref="Y31:AB32"/>
    <mergeCell ref="V33:X34"/>
    <mergeCell ref="Y33:Z34"/>
    <mergeCell ref="AA33:AB34"/>
  </mergeCells>
  <conditionalFormatting sqref="AR7:AR15">
    <cfRule type="containsText" dxfId="6" priority="1" operator="between" text="FEMALE DOM">
      <formula>NOT(ISERROR(SEARCH("FEMALE DOM",AR7)))</formula>
    </cfRule>
  </conditionalFormatting>
  <conditionalFormatting sqref="AZ7:AZ15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5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"/>
  <sheetViews>
    <sheetView topLeftCell="F1" workbookViewId="0">
      <selection activeCell="J7" sqref="J7"/>
    </sheetView>
  </sheetViews>
  <sheetFormatPr defaultColWidth="9" defaultRowHeight="14.5" outlineLevelRow="6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192</v>
      </c>
      <c r="B2" s="185" t="s">
        <v>275</v>
      </c>
      <c r="C2" s="184">
        <v>484</v>
      </c>
      <c r="D2" s="184">
        <v>281</v>
      </c>
      <c r="E2" s="184">
        <f t="shared" ref="E2:E6" si="0">(D2/C2)*100</f>
        <v>58.0578512396694</v>
      </c>
      <c r="F2" s="184">
        <v>154</v>
      </c>
      <c r="G2" s="184">
        <f t="shared" ref="G2:G6" si="1">(F2/C2)*100</f>
        <v>31.8181818181818</v>
      </c>
      <c r="H2" s="184">
        <v>1</v>
      </c>
      <c r="I2" s="184">
        <f t="shared" ref="I2:I6" si="2">(H2/C2)*100</f>
        <v>0.206611570247934</v>
      </c>
      <c r="J2" s="184">
        <v>46</v>
      </c>
      <c r="K2" s="184">
        <f t="shared" ref="K2:K6" si="3">(J2/C2)*100</f>
        <v>9.50413223140496</v>
      </c>
      <c r="L2" s="189">
        <v>312</v>
      </c>
      <c r="M2" s="189">
        <v>352</v>
      </c>
      <c r="N2" s="189">
        <f t="shared" ref="N2:N6" si="4">L2+M2</f>
        <v>664</v>
      </c>
      <c r="O2" s="184">
        <v>484</v>
      </c>
      <c r="P2" s="190">
        <f t="shared" ref="P2:P6" si="5">O2/N2*100</f>
        <v>72.8915662650602</v>
      </c>
      <c r="Q2" s="184">
        <v>459</v>
      </c>
      <c r="R2" s="184">
        <f t="shared" ref="R2:R6" si="6">(Q2/N2)*100</f>
        <v>69.1265060240964</v>
      </c>
      <c r="S2" s="184">
        <f t="shared" ref="S2:S6" si="7">Q2-U2</f>
        <v>94</v>
      </c>
      <c r="T2" s="184">
        <f t="shared" ref="T2:T6" si="8">(S2/Q2)*100</f>
        <v>20.479302832244</v>
      </c>
      <c r="U2" s="184">
        <v>365</v>
      </c>
      <c r="V2" s="191">
        <f t="shared" ref="V2:V6" si="9">IFERROR(U2/Q2*100,0)</f>
        <v>79.520697167756</v>
      </c>
      <c r="W2" s="184">
        <f>54+151</f>
        <v>205</v>
      </c>
      <c r="X2" s="184">
        <f t="shared" ref="X2:X6" si="10">100-R2</f>
        <v>30.8734939759036</v>
      </c>
      <c r="Y2" s="184">
        <f t="shared" ref="Y2:Y6" si="11">W2-AA2</f>
        <v>92</v>
      </c>
      <c r="Z2" s="193">
        <f t="shared" ref="Z2:Z6" si="12">(Y2/W2)*100</f>
        <v>44.8780487804878</v>
      </c>
      <c r="AA2" s="193">
        <f>28+85</f>
        <v>113</v>
      </c>
      <c r="AB2" s="194">
        <f t="shared" ref="AB2:AB6" si="13">IFERROR(AA2/W2*100,0)</f>
        <v>55.1219512195122</v>
      </c>
      <c r="AC2" s="193">
        <f t="shared" ref="AC2:AC6" si="14">U2+AA2</f>
        <v>478</v>
      </c>
      <c r="AD2" s="193" t="str">
        <f t="shared" ref="AD2:AD6" si="15">IF(P2&gt;80,"EXCELLENT",IF(P2&gt;70,"STRONG",IF(P2&gt;60,"AVG",IF(P2&gt;50,"WEAK",IF(P2&lt;50,"VLOW")))))</f>
        <v>STRONG</v>
      </c>
      <c r="AE2" s="195" t="str">
        <f t="shared" ref="AE2:AE6" si="16">IF(R2&gt;80,"EXCELLENT",IF(R2&gt;70,"STRONG",IF(R2&gt;60,"AVG",IF(R2&gt;50,"WEAK",IF(R2&lt;50,"VLOW")))))</f>
        <v>AVG</v>
      </c>
      <c r="AF2" s="193" t="str">
        <f t="shared" ref="AF2:AF6" si="17">IF(X2&gt;80,"EXCELLENT",IF(X2&gt;70,"STRONG",IF(X2&gt;60,"AVG",IF(X2&gt;50,"WEAK",IF(X2&lt;50,"VLOW")))))</f>
        <v>VLOW</v>
      </c>
      <c r="AG2" s="193" t="str">
        <f t="shared" ref="AG2:AG6" si="18">IF(M2&gt;L2,"FEMALE DOM","MEN")</f>
        <v>FEMALE DOM</v>
      </c>
      <c r="AH2" s="193" t="str">
        <f t="shared" ref="AH2:AH6" si="19">IF(T2&gt;Z2,"H","O")</f>
        <v>O</v>
      </c>
      <c r="AI2" s="197">
        <f t="shared" ref="AI2:AI7" si="20">E2-G2</f>
        <v>26.2396694214876</v>
      </c>
      <c r="AJ2" s="199" t="str">
        <f t="shared" ref="AJ2:AJ7" si="21">IF(E2&gt;G2,"BJP GAIN","CONGRESSGAIN")</f>
        <v>BJP GAIN</v>
      </c>
    </row>
    <row r="3" spans="1:36">
      <c r="A3" s="184">
        <v>193</v>
      </c>
      <c r="B3" s="185" t="s">
        <v>276</v>
      </c>
      <c r="C3" s="184">
        <v>1116</v>
      </c>
      <c r="D3" s="184">
        <v>602</v>
      </c>
      <c r="E3" s="184">
        <f t="shared" si="0"/>
        <v>53.9426523297491</v>
      </c>
      <c r="F3" s="184">
        <v>409</v>
      </c>
      <c r="G3" s="184">
        <f t="shared" si="1"/>
        <v>36.6487455197133</v>
      </c>
      <c r="H3" s="184">
        <v>2</v>
      </c>
      <c r="I3" s="184">
        <f t="shared" si="2"/>
        <v>0.17921146953405</v>
      </c>
      <c r="J3" s="184">
        <v>83</v>
      </c>
      <c r="K3" s="184">
        <f t="shared" si="3"/>
        <v>7.43727598566308</v>
      </c>
      <c r="L3" s="189">
        <v>759</v>
      </c>
      <c r="M3" s="189">
        <v>783</v>
      </c>
      <c r="N3" s="189">
        <f t="shared" si="4"/>
        <v>1542</v>
      </c>
      <c r="O3" s="184">
        <v>1116</v>
      </c>
      <c r="P3" s="190">
        <f t="shared" si="5"/>
        <v>72.3735408560311</v>
      </c>
      <c r="Q3" s="184"/>
      <c r="R3" s="184">
        <f t="shared" si="6"/>
        <v>0</v>
      </c>
      <c r="S3" s="192">
        <f t="shared" si="7"/>
        <v>0</v>
      </c>
      <c r="T3" s="184" t="e">
        <f t="shared" si="8"/>
        <v>#DIV/0!</v>
      </c>
      <c r="U3" s="184"/>
      <c r="V3" s="191">
        <f t="shared" si="9"/>
        <v>0</v>
      </c>
      <c r="W3" s="184"/>
      <c r="X3" s="184">
        <f t="shared" si="10"/>
        <v>100</v>
      </c>
      <c r="Y3" s="196">
        <f t="shared" si="11"/>
        <v>0</v>
      </c>
      <c r="Z3" s="193" t="e">
        <f t="shared" si="12"/>
        <v>#DIV/0!</v>
      </c>
      <c r="AA3" s="193"/>
      <c r="AB3" s="194">
        <f t="shared" si="13"/>
        <v>0</v>
      </c>
      <c r="AC3" s="193">
        <f t="shared" si="14"/>
        <v>0</v>
      </c>
      <c r="AD3" s="193" t="str">
        <f t="shared" si="15"/>
        <v>STRONG</v>
      </c>
      <c r="AE3" s="195" t="str">
        <f t="shared" si="16"/>
        <v>VLOW</v>
      </c>
      <c r="AF3" s="193" t="str">
        <f t="shared" si="17"/>
        <v>EXCELLENT</v>
      </c>
      <c r="AG3" s="193" t="str">
        <f t="shared" si="18"/>
        <v>FEMALE DOM</v>
      </c>
      <c r="AH3" s="193" t="e">
        <f t="shared" si="19"/>
        <v>#DIV/0!</v>
      </c>
      <c r="AI3" s="197">
        <f t="shared" si="20"/>
        <v>17.2939068100358</v>
      </c>
      <c r="AJ3" s="199" t="str">
        <f t="shared" si="21"/>
        <v>BJP GAIN</v>
      </c>
    </row>
    <row r="4" spans="1:36">
      <c r="A4" s="184">
        <v>194</v>
      </c>
      <c r="B4" s="185" t="s">
        <v>277</v>
      </c>
      <c r="C4" s="184">
        <v>1045</v>
      </c>
      <c r="D4" s="184">
        <v>666</v>
      </c>
      <c r="E4" s="184">
        <f t="shared" si="0"/>
        <v>63.7320574162679</v>
      </c>
      <c r="F4" s="184">
        <v>295</v>
      </c>
      <c r="G4" s="184">
        <f t="shared" si="1"/>
        <v>28.2296650717703</v>
      </c>
      <c r="H4" s="184">
        <v>1</v>
      </c>
      <c r="I4" s="184">
        <f t="shared" si="2"/>
        <v>0.0956937799043062</v>
      </c>
      <c r="J4" s="184">
        <v>56</v>
      </c>
      <c r="K4" s="184">
        <f t="shared" si="3"/>
        <v>5.35885167464115</v>
      </c>
      <c r="L4" s="189">
        <v>723</v>
      </c>
      <c r="M4" s="189">
        <v>766</v>
      </c>
      <c r="N4" s="189">
        <f t="shared" si="4"/>
        <v>1489</v>
      </c>
      <c r="O4" s="184">
        <v>1045</v>
      </c>
      <c r="P4" s="190">
        <f t="shared" si="5"/>
        <v>70.1813297515111</v>
      </c>
      <c r="Q4" s="184">
        <v>1173</v>
      </c>
      <c r="R4" s="184">
        <f t="shared" si="6"/>
        <v>78.7777031564809</v>
      </c>
      <c r="S4" s="184">
        <f t="shared" si="7"/>
        <v>374</v>
      </c>
      <c r="T4" s="184">
        <f t="shared" si="8"/>
        <v>31.8840579710145</v>
      </c>
      <c r="U4" s="184">
        <v>799</v>
      </c>
      <c r="V4" s="191">
        <f t="shared" si="9"/>
        <v>68.1159420289855</v>
      </c>
      <c r="W4" s="184">
        <v>316</v>
      </c>
      <c r="X4" s="184">
        <f t="shared" si="10"/>
        <v>21.2222968435191</v>
      </c>
      <c r="Y4" s="184">
        <f t="shared" si="11"/>
        <v>155</v>
      </c>
      <c r="Z4" s="193">
        <f t="shared" si="12"/>
        <v>49.0506329113924</v>
      </c>
      <c r="AA4" s="193">
        <v>161</v>
      </c>
      <c r="AB4" s="194">
        <f t="shared" si="13"/>
        <v>50.9493670886076</v>
      </c>
      <c r="AC4" s="193">
        <f t="shared" si="14"/>
        <v>960</v>
      </c>
      <c r="AD4" s="193" t="str">
        <f t="shared" si="15"/>
        <v>STRONG</v>
      </c>
      <c r="AE4" s="195" t="str">
        <f t="shared" si="16"/>
        <v>STRONG</v>
      </c>
      <c r="AF4" s="193" t="str">
        <f t="shared" si="17"/>
        <v>VLOW</v>
      </c>
      <c r="AG4" s="193" t="str">
        <f t="shared" si="18"/>
        <v>FEMALE DOM</v>
      </c>
      <c r="AH4" s="193" t="str">
        <f t="shared" si="19"/>
        <v>O</v>
      </c>
      <c r="AI4" s="197">
        <f t="shared" si="20"/>
        <v>35.5023923444976</v>
      </c>
      <c r="AJ4" s="199" t="str">
        <f t="shared" si="21"/>
        <v>BJP GAIN</v>
      </c>
    </row>
    <row r="5" spans="1:36">
      <c r="A5" s="184">
        <v>195</v>
      </c>
      <c r="B5" s="185" t="s">
        <v>278</v>
      </c>
      <c r="C5" s="184">
        <v>1189</v>
      </c>
      <c r="D5" s="184">
        <v>802</v>
      </c>
      <c r="E5" s="184">
        <f t="shared" si="0"/>
        <v>67.4516400336417</v>
      </c>
      <c r="F5" s="184">
        <v>261</v>
      </c>
      <c r="G5" s="184">
        <f t="shared" si="1"/>
        <v>21.9512195121951</v>
      </c>
      <c r="H5" s="184">
        <v>4</v>
      </c>
      <c r="I5" s="184">
        <f t="shared" si="2"/>
        <v>0.336417157275021</v>
      </c>
      <c r="J5" s="184">
        <v>92</v>
      </c>
      <c r="K5" s="184">
        <f t="shared" si="3"/>
        <v>7.73759461732548</v>
      </c>
      <c r="L5" s="189">
        <v>722</v>
      </c>
      <c r="M5" s="189">
        <v>789</v>
      </c>
      <c r="N5" s="189">
        <f t="shared" si="4"/>
        <v>1511</v>
      </c>
      <c r="O5" s="184">
        <v>1189</v>
      </c>
      <c r="P5" s="190">
        <f t="shared" si="5"/>
        <v>78.6896095301125</v>
      </c>
      <c r="Q5" s="184">
        <v>1340</v>
      </c>
      <c r="R5" s="184">
        <f t="shared" si="6"/>
        <v>88.6829913964262</v>
      </c>
      <c r="S5" s="184">
        <f t="shared" si="7"/>
        <v>340</v>
      </c>
      <c r="T5" s="184">
        <f t="shared" si="8"/>
        <v>25.3731343283582</v>
      </c>
      <c r="U5" s="184">
        <v>1000</v>
      </c>
      <c r="V5" s="191">
        <f t="shared" si="9"/>
        <v>74.6268656716418</v>
      </c>
      <c r="W5" s="184">
        <v>171</v>
      </c>
      <c r="X5" s="184">
        <f t="shared" si="10"/>
        <v>11.3170086035738</v>
      </c>
      <c r="Y5" s="184">
        <f t="shared" si="11"/>
        <v>58</v>
      </c>
      <c r="Z5" s="193">
        <f t="shared" si="12"/>
        <v>33.9181286549708</v>
      </c>
      <c r="AA5" s="193">
        <v>113</v>
      </c>
      <c r="AB5" s="194">
        <f t="shared" si="13"/>
        <v>66.0818713450292</v>
      </c>
      <c r="AC5" s="193">
        <f t="shared" si="14"/>
        <v>1113</v>
      </c>
      <c r="AD5" s="193" t="str">
        <f t="shared" si="15"/>
        <v>STRONG</v>
      </c>
      <c r="AE5" s="195" t="str">
        <f t="shared" si="16"/>
        <v>EXCELLENT</v>
      </c>
      <c r="AF5" s="193" t="str">
        <f t="shared" si="17"/>
        <v>VLOW</v>
      </c>
      <c r="AG5" s="193" t="str">
        <f t="shared" si="18"/>
        <v>FEMALE DOM</v>
      </c>
      <c r="AH5" s="193" t="str">
        <f t="shared" si="19"/>
        <v>O</v>
      </c>
      <c r="AI5" s="197">
        <f t="shared" si="20"/>
        <v>45.5004205214466</v>
      </c>
      <c r="AJ5" s="199" t="str">
        <f t="shared" si="21"/>
        <v>BJP GAIN</v>
      </c>
    </row>
    <row r="6" spans="1:36">
      <c r="A6" s="184">
        <v>219</v>
      </c>
      <c r="B6" s="185" t="s">
        <v>279</v>
      </c>
      <c r="C6" s="184">
        <v>699</v>
      </c>
      <c r="D6" s="184">
        <v>395</v>
      </c>
      <c r="E6" s="184">
        <f t="shared" si="0"/>
        <v>56.5092989985694</v>
      </c>
      <c r="F6" s="184">
        <v>272</v>
      </c>
      <c r="G6" s="184">
        <f t="shared" si="1"/>
        <v>38.9127324749642</v>
      </c>
      <c r="H6" s="184">
        <v>13</v>
      </c>
      <c r="I6" s="184">
        <f t="shared" si="2"/>
        <v>1.85979971387697</v>
      </c>
      <c r="J6" s="184">
        <v>5</v>
      </c>
      <c r="K6" s="184">
        <f t="shared" si="3"/>
        <v>0.715307582260372</v>
      </c>
      <c r="L6" s="189">
        <v>470</v>
      </c>
      <c r="M6" s="189">
        <v>510</v>
      </c>
      <c r="N6" s="189">
        <f t="shared" si="4"/>
        <v>980</v>
      </c>
      <c r="O6" s="184">
        <v>699</v>
      </c>
      <c r="P6" s="190">
        <f t="shared" si="5"/>
        <v>71.3265306122449</v>
      </c>
      <c r="Q6" s="184"/>
      <c r="R6" s="184">
        <f t="shared" si="6"/>
        <v>0</v>
      </c>
      <c r="S6" s="184">
        <f t="shared" si="7"/>
        <v>0</v>
      </c>
      <c r="T6" s="184" t="e">
        <f t="shared" si="8"/>
        <v>#DIV/0!</v>
      </c>
      <c r="U6" s="184"/>
      <c r="V6" s="191">
        <f t="shared" si="9"/>
        <v>0</v>
      </c>
      <c r="W6" s="184"/>
      <c r="X6" s="184">
        <f t="shared" si="10"/>
        <v>100</v>
      </c>
      <c r="Y6" s="184">
        <f t="shared" si="11"/>
        <v>0</v>
      </c>
      <c r="Z6" s="193" t="e">
        <f t="shared" si="12"/>
        <v>#DIV/0!</v>
      </c>
      <c r="AA6" s="193"/>
      <c r="AB6" s="194">
        <f t="shared" si="13"/>
        <v>0</v>
      </c>
      <c r="AC6" s="193">
        <f t="shared" si="14"/>
        <v>0</v>
      </c>
      <c r="AD6" s="193" t="str">
        <f t="shared" si="15"/>
        <v>STRONG</v>
      </c>
      <c r="AE6" s="195" t="str">
        <f t="shared" si="16"/>
        <v>VLOW</v>
      </c>
      <c r="AF6" s="193" t="str">
        <f t="shared" si="17"/>
        <v>EXCELLENT</v>
      </c>
      <c r="AG6" s="193" t="str">
        <f t="shared" si="18"/>
        <v>FEMALE DOM</v>
      </c>
      <c r="AH6" s="193" t="e">
        <f t="shared" si="19"/>
        <v>#DIV/0!</v>
      </c>
      <c r="AI6" s="197">
        <f t="shared" si="20"/>
        <v>17.5965665236051</v>
      </c>
      <c r="AJ6" s="199" t="str">
        <f t="shared" si="21"/>
        <v>BJP GAIN</v>
      </c>
    </row>
    <row r="7" spans="3:36">
      <c r="C7">
        <f>SUM(C2:C6)</f>
        <v>4533</v>
      </c>
      <c r="D7">
        <f>SUM(D2:D6)</f>
        <v>2746</v>
      </c>
      <c r="E7" s="186">
        <f>AVERAGE(E2:E6)</f>
        <v>59.9387000035795</v>
      </c>
      <c r="F7">
        <f>SUM(F2:F6)</f>
        <v>1391</v>
      </c>
      <c r="G7" s="186">
        <f>AVERAGE(G2:G6)</f>
        <v>31.512108879365</v>
      </c>
      <c r="H7">
        <f>SUM(H2:H6)</f>
        <v>21</v>
      </c>
      <c r="I7" s="186">
        <f>AVERAGE(I2:I6)</f>
        <v>0.535546738167656</v>
      </c>
      <c r="AI7" s="329">
        <f t="shared" si="20"/>
        <v>28.4265911242146</v>
      </c>
      <c r="AJ7" s="335" t="str">
        <f t="shared" si="21"/>
        <v>BJP GAIN</v>
      </c>
    </row>
  </sheetData>
  <conditionalFormatting sqref="AD6">
    <cfRule type="containsText" dxfId="8" priority="15" operator="between" text="AVG">
      <formula>NOT(ISERROR(SEARCH("AVG",AD6)))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NOT(ISERROR(SEARCH("VSTRONG",AD6)))</formula>
    </cfRule>
    <cfRule type="containsText" dxfId="10" priority="5" operator="between" text="AVG">
      <formula>NOT(ISERROR(SEARCH("AVG",AD6)))</formula>
    </cfRule>
  </conditionalFormatting>
  <conditionalFormatting sqref="AE6">
    <cfRule type="containsText" dxfId="3" priority="9" operator="between" text="STRONG">
      <formula>NOT(ISERROR(SEARCH("STRONG",AE6)))</formula>
    </cfRule>
    <cfRule type="containsText" dxfId="1" priority="7" operator="between" text="VSTRONG">
      <formula>NOT(ISERROR(SEARCH("VSTRONG",AE6)))</formula>
    </cfRule>
  </conditionalFormatting>
  <conditionalFormatting sqref="AE6:AF6">
    <cfRule type="containsText" dxfId="2" priority="8" operator="between" text="AVG">
      <formula>NOT(ISERROR(SEARCH("AVG",AE6)))</formula>
    </cfRule>
  </conditionalFormatting>
  <conditionalFormatting sqref="AF6">
    <cfRule type="cellIs" dxfId="11" priority="3" operator="equal">
      <formula>"VWEAK"</formula>
    </cfRule>
    <cfRule type="containsText" dxfId="0" priority="2" operator="between" text="VSTRONG">
      <formula>NOT(ISERROR(SEARCH("VSTRONG",AF6)))</formula>
    </cfRule>
  </conditionalFormatting>
  <conditionalFormatting sqref="AG6">
    <cfRule type="containsText" dxfId="12" priority="6" operator="between" text="FEMALE DOM">
      <formula>NOT(ISERROR(SEARCH("FEMALE DOM",AG6)))</formula>
    </cfRule>
    <cfRule type="containsText" dxfId="10" priority="1" operator="between" text="MEN">
      <formula>NOT(ISERROR(SEARCH("MEN",AG6)))</formula>
    </cfRule>
  </conditionalFormatting>
  <conditionalFormatting sqref="AH6">
    <cfRule type="containsText" dxfId="0" priority="12" operator="between" text="O">
      <formula>NOT(ISERROR(SEARCH("O",AH6)))</formula>
    </cfRule>
    <cfRule type="containsText" dxfId="3" priority="10" operator="between" text="H">
      <formula>NOT(ISERROR(SEARCH("H",AH6)))</formula>
    </cfRule>
    <cfRule type="containsText" dxfId="13" priority="11" operator="between" text="H">
      <formula>NOT(ISERROR(SEARCH("H",AH6)))</formula>
    </cfRule>
    <cfRule type="containsText" dxfId="1" priority="4" operator="between" text="H">
      <formula>NOT(ISERROR(SEARCH("H",AH6)))</formula>
    </cfRule>
  </conditionalFormatting>
  <conditionalFormatting sqref="AD2:AD5">
    <cfRule type="containsText" dxfId="8" priority="30" operator="between" text="AVG">
      <formula>NOT(ISERROR(SEARCH("AVG",AD2)))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NOT(ISERROR(SEARCH("VSTRONG",AD2)))</formula>
    </cfRule>
    <cfRule type="containsText" dxfId="10" priority="20" operator="between" text="AVG">
      <formula>NOT(ISERROR(SEARCH("AVG",AD2)))</formula>
    </cfRule>
  </conditionalFormatting>
  <conditionalFormatting sqref="AE2:AE5">
    <cfRule type="containsText" dxfId="3" priority="24" operator="between" text="STRONG">
      <formula>NOT(ISERROR(SEARCH("STRONG",AE2)))</formula>
    </cfRule>
    <cfRule type="containsText" dxfId="1" priority="22" operator="between" text="VSTRONG">
      <formula>NOT(ISERROR(SEARCH("VSTRONG",AE2)))</formula>
    </cfRule>
  </conditionalFormatting>
  <conditionalFormatting sqref="AF2:AF5">
    <cfRule type="cellIs" dxfId="11" priority="18" operator="equal">
      <formula>"VWEAK"</formula>
    </cfRule>
    <cfRule type="containsText" dxfId="0" priority="17" operator="between" text="VSTRONG">
      <formula>NOT(ISERROR(SEARCH("VSTRONG",AF2)))</formula>
    </cfRule>
  </conditionalFormatting>
  <conditionalFormatting sqref="AG2:AG5">
    <cfRule type="containsText" dxfId="12" priority="21" operator="between" text="FEMALE DOM">
      <formula>NOT(ISERROR(SEARCH("FEMALE DOM",AG2)))</formula>
    </cfRule>
    <cfRule type="containsText" dxfId="10" priority="16" operator="between" text="MEN">
      <formula>NOT(ISERROR(SEARCH("MEN",AG2)))</formula>
    </cfRule>
  </conditionalFormatting>
  <conditionalFormatting sqref="AH2:AH5">
    <cfRule type="containsText" dxfId="0" priority="27" operator="between" text="O">
      <formula>NOT(ISERROR(SEARCH("O",AH2)))</formula>
    </cfRule>
    <cfRule type="containsText" dxfId="3" priority="25" operator="between" text="H">
      <formula>NOT(ISERROR(SEARCH("H",AH2)))</formula>
    </cfRule>
    <cfRule type="containsText" dxfId="13" priority="26" operator="between" text="H">
      <formula>NOT(ISERROR(SEARCH("H",AH2)))</formula>
    </cfRule>
    <cfRule type="containsText" dxfId="1" priority="19" operator="between" text="H">
      <formula>NOT(ISERROR(SEARCH("H",AH2)))</formula>
    </cfRule>
  </conditionalFormatting>
  <conditionalFormatting sqref="AE2:AF5">
    <cfRule type="containsText" dxfId="2" priority="23" operator="between" text="AVG">
      <formula>NOT(ISERROR(SEARCH("AVG",AE2)))</formula>
    </cfRule>
  </conditionalFormatting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7"/>
  <sheetViews>
    <sheetView zoomScale="66" zoomScaleNormal="66" topLeftCell="I7" workbookViewId="0">
      <selection activeCell="T19" sqref="T19:AA37"/>
    </sheetView>
  </sheetViews>
  <sheetFormatPr defaultColWidth="9" defaultRowHeight="14.5"/>
  <cols>
    <col min="26" max="26" width="13.5727272727273" customWidth="1"/>
    <col min="27" max="27" width="15.8545454545455" customWidth="1"/>
  </cols>
  <sheetData>
    <row r="1" spans="1:53">
      <c r="A1" s="208" t="s">
        <v>16</v>
      </c>
      <c r="B1" s="264" t="s">
        <v>177</v>
      </c>
      <c r="C1" s="208" t="s">
        <v>15</v>
      </c>
      <c r="D1" s="203" t="s">
        <v>1</v>
      </c>
      <c r="E1" s="204"/>
      <c r="F1" s="204"/>
      <c r="G1" s="204"/>
      <c r="H1" s="204"/>
      <c r="I1" s="204"/>
      <c r="J1" s="204"/>
      <c r="K1" s="204"/>
      <c r="L1" s="208" t="s">
        <v>2</v>
      </c>
      <c r="M1" s="204" t="s">
        <v>3</v>
      </c>
      <c r="N1" s="208" t="s">
        <v>4</v>
      </c>
      <c r="O1" s="204" t="s">
        <v>5</v>
      </c>
      <c r="P1" s="208" t="s">
        <v>17</v>
      </c>
      <c r="Q1" s="372" t="s">
        <v>18</v>
      </c>
      <c r="R1" s="208" t="s">
        <v>19</v>
      </c>
      <c r="S1" s="372" t="s">
        <v>20</v>
      </c>
      <c r="T1" s="202" t="s">
        <v>21</v>
      </c>
      <c r="U1" s="204" t="s">
        <v>22</v>
      </c>
      <c r="V1" s="202" t="s">
        <v>23</v>
      </c>
      <c r="W1" s="204" t="s">
        <v>156</v>
      </c>
      <c r="X1" s="202" t="s">
        <v>273</v>
      </c>
      <c r="Y1" s="372" t="s">
        <v>274</v>
      </c>
      <c r="Z1" s="374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10"/>
      <c r="B2" s="264"/>
      <c r="C2" s="210"/>
      <c r="D2" s="352"/>
      <c r="E2" s="353"/>
      <c r="F2" s="353"/>
      <c r="G2" s="353"/>
      <c r="H2" s="353"/>
      <c r="I2" s="353"/>
      <c r="J2" s="353"/>
      <c r="K2" s="353"/>
      <c r="L2" s="210"/>
      <c r="M2" s="207"/>
      <c r="N2" s="210"/>
      <c r="O2" s="207"/>
      <c r="P2" s="210"/>
      <c r="Q2" s="373"/>
      <c r="R2" s="210"/>
      <c r="S2" s="373"/>
      <c r="T2" s="205"/>
      <c r="U2" s="207"/>
      <c r="V2" s="205"/>
      <c r="W2" s="207"/>
      <c r="X2" s="205"/>
      <c r="Y2" s="373"/>
      <c r="Z2" s="375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10"/>
      <c r="B3" s="264"/>
      <c r="C3" s="210"/>
      <c r="D3" s="207" t="s">
        <v>7</v>
      </c>
      <c r="E3" s="208" t="s">
        <v>8</v>
      </c>
      <c r="F3" s="208" t="s">
        <v>9</v>
      </c>
      <c r="G3" s="203" t="s">
        <v>10</v>
      </c>
      <c r="H3" s="203" t="s">
        <v>11</v>
      </c>
      <c r="I3" s="208" t="s">
        <v>12</v>
      </c>
      <c r="J3" s="208" t="s">
        <v>9</v>
      </c>
      <c r="K3" s="203" t="s">
        <v>13</v>
      </c>
      <c r="L3" s="210"/>
      <c r="M3" s="207"/>
      <c r="N3" s="210"/>
      <c r="O3" s="207"/>
      <c r="P3" s="210"/>
      <c r="Q3" s="373"/>
      <c r="R3" s="210"/>
      <c r="S3" s="373"/>
      <c r="T3" s="205"/>
      <c r="U3" s="207"/>
      <c r="V3" s="205"/>
      <c r="W3" s="207"/>
      <c r="X3" s="205"/>
      <c r="Y3" s="373"/>
      <c r="Z3" s="375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10"/>
      <c r="B4" s="264"/>
      <c r="C4" s="210"/>
      <c r="D4" s="207"/>
      <c r="E4" s="210"/>
      <c r="F4" s="210"/>
      <c r="G4" s="206"/>
      <c r="H4" s="206"/>
      <c r="I4" s="210"/>
      <c r="J4" s="210"/>
      <c r="K4" s="206"/>
      <c r="L4" s="210"/>
      <c r="M4" s="207"/>
      <c r="N4" s="210"/>
      <c r="O4" s="207"/>
      <c r="P4" s="210"/>
      <c r="Q4" s="373"/>
      <c r="R4" s="210"/>
      <c r="S4" s="373"/>
      <c r="T4" s="205"/>
      <c r="U4" s="207"/>
      <c r="V4" s="205"/>
      <c r="W4" s="207"/>
      <c r="X4" s="205"/>
      <c r="Y4" s="373"/>
      <c r="Z4" s="375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10"/>
      <c r="B5" s="264"/>
      <c r="C5" s="210"/>
      <c r="D5" s="207"/>
      <c r="E5" s="210"/>
      <c r="F5" s="210"/>
      <c r="G5" s="206"/>
      <c r="H5" s="206"/>
      <c r="I5" s="210"/>
      <c r="J5" s="210"/>
      <c r="K5" s="206"/>
      <c r="L5" s="210"/>
      <c r="M5" s="207"/>
      <c r="N5" s="210"/>
      <c r="O5" s="207"/>
      <c r="P5" s="210"/>
      <c r="Q5" s="373"/>
      <c r="R5" s="210"/>
      <c r="S5" s="373"/>
      <c r="T5" s="205"/>
      <c r="U5" s="207"/>
      <c r="V5" s="205"/>
      <c r="W5" s="207"/>
      <c r="X5" s="205"/>
      <c r="Y5" s="373"/>
      <c r="Z5" s="375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13"/>
      <c r="B6" s="264"/>
      <c r="C6" s="213"/>
      <c r="D6" s="207"/>
      <c r="E6" s="213"/>
      <c r="F6" s="213"/>
      <c r="G6" s="352"/>
      <c r="H6" s="352"/>
      <c r="I6" s="213"/>
      <c r="J6" s="213"/>
      <c r="K6" s="352"/>
      <c r="L6" s="213"/>
      <c r="M6" s="207"/>
      <c r="N6" s="213"/>
      <c r="O6" s="207"/>
      <c r="P6" s="213"/>
      <c r="Q6" s="373"/>
      <c r="R6" s="213"/>
      <c r="S6" s="373"/>
      <c r="T6" s="212"/>
      <c r="U6" s="207"/>
      <c r="V6" s="212"/>
      <c r="W6" s="207"/>
      <c r="X6" s="212"/>
      <c r="Y6" s="373"/>
      <c r="Z6" s="376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218" t="s">
        <v>47</v>
      </c>
      <c r="B7" s="354">
        <v>240</v>
      </c>
      <c r="C7" s="354">
        <v>1243</v>
      </c>
      <c r="D7" s="355">
        <v>384</v>
      </c>
      <c r="E7" s="356">
        <v>421</v>
      </c>
      <c r="F7" s="356">
        <v>1</v>
      </c>
      <c r="G7" s="356">
        <v>0</v>
      </c>
      <c r="H7" s="357">
        <v>0</v>
      </c>
      <c r="I7" s="355">
        <v>1</v>
      </c>
      <c r="J7" s="355">
        <v>1</v>
      </c>
      <c r="K7" s="355">
        <v>0</v>
      </c>
      <c r="L7" s="355">
        <v>808</v>
      </c>
      <c r="M7" s="371">
        <v>0</v>
      </c>
      <c r="N7" s="355">
        <v>3</v>
      </c>
      <c r="O7" s="371">
        <f t="shared" ref="O7:O14" si="0">D7+E7+F7+G7+H7+I7+J7+K7+N7</f>
        <v>811</v>
      </c>
      <c r="P7" s="355">
        <f t="shared" ref="P7:P14" si="1">(O7/C7)*100</f>
        <v>65.2453740949316</v>
      </c>
      <c r="Q7" s="371">
        <f t="shared" ref="Q7:Q14" si="2">(E7/O7)*100</f>
        <v>51.9112207151665</v>
      </c>
      <c r="R7" s="355">
        <f t="shared" ref="R7:R14" si="3">(D7/O7)*100</f>
        <v>47.3489519112207</v>
      </c>
      <c r="S7" s="371">
        <f t="shared" ref="S7:S14" si="4">(F7/O7)*100</f>
        <v>0.123304562268804</v>
      </c>
      <c r="T7" s="355">
        <f t="shared" ref="T7:T14" si="5">(G7/O7)*100</f>
        <v>0</v>
      </c>
      <c r="U7" s="371">
        <f t="shared" ref="U7:U14" si="6">((H7+I7+J7+K7)/O7)*100</f>
        <v>0.246609124537608</v>
      </c>
      <c r="V7" s="355">
        <f t="shared" ref="V7:V14" si="7">(N7/O7)*100</f>
        <v>0.369913686806412</v>
      </c>
      <c r="W7" s="371">
        <f>Q7-R7</f>
        <v>4.56226880394575</v>
      </c>
      <c r="X7" s="355">
        <f>Q7-(R7+S7+T7+U7)</f>
        <v>4.19235511713934</v>
      </c>
      <c r="Y7" s="371" t="str">
        <f>IF(AND(W7&lt;0,W7&lt;=1),"LOST",IF(AND(W7&gt;1,W7&lt;=10),"NARROW",IF(AND(W7&gt;10,W7&lt;=40),"MEDIUM",IF(AND(W7&gt;40,W7&lt;=90),"STRONG",""))))</f>
        <v>NARROW</v>
      </c>
      <c r="Z7" s="377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 s="334">
        <v>1239</v>
      </c>
      <c r="AC7" s="334">
        <v>839</v>
      </c>
      <c r="AD7" s="334">
        <v>594</v>
      </c>
      <c r="AE7" s="334">
        <v>395</v>
      </c>
      <c r="AF7" s="334">
        <v>645</v>
      </c>
      <c r="AG7" s="334">
        <v>444</v>
      </c>
      <c r="AH7" s="334">
        <v>723</v>
      </c>
      <c r="AI7" s="334">
        <v>520</v>
      </c>
      <c r="AJ7" s="334">
        <v>350</v>
      </c>
      <c r="AK7" s="334">
        <v>207</v>
      </c>
      <c r="AL7" s="334">
        <v>166</v>
      </c>
      <c r="AM7" s="334">
        <v>112</v>
      </c>
      <c r="AN7" s="248">
        <f>(AD7/AB7)*100</f>
        <v>47.9418886198547</v>
      </c>
      <c r="AO7" s="316">
        <f>(AE7/AC7)*100</f>
        <v>47.0798569725864</v>
      </c>
      <c r="AP7" s="317">
        <f>(AF7/AB7)*100</f>
        <v>52.0581113801453</v>
      </c>
      <c r="AQ7" s="318">
        <f>(AG7/AC7)*100</f>
        <v>52.9201430274136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58.3535108958838</v>
      </c>
      <c r="AU7" s="317">
        <f>(AI7/AC7)*100</f>
        <v>61.9785458879619</v>
      </c>
      <c r="AV7" s="248">
        <f>(AJ7/AB7)*100</f>
        <v>28.2485875706215</v>
      </c>
      <c r="AW7" s="317">
        <f>(AK7/AC7)*100</f>
        <v>24.6722288438617</v>
      </c>
      <c r="AX7" s="248">
        <f>(AL7/AB7)*100</f>
        <v>13.3979015334948</v>
      </c>
      <c r="AY7" s="317">
        <f>(AM7/AC7)*100</f>
        <v>13.3492252681764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1:53">
      <c r="A8" s="358"/>
      <c r="B8" s="359">
        <v>219</v>
      </c>
      <c r="C8" s="221">
        <v>828</v>
      </c>
      <c r="D8" s="222">
        <v>197</v>
      </c>
      <c r="E8" s="360">
        <v>291</v>
      </c>
      <c r="F8" s="360">
        <v>5</v>
      </c>
      <c r="G8" s="360">
        <v>2</v>
      </c>
      <c r="H8" s="234">
        <v>1</v>
      </c>
      <c r="I8" s="222">
        <v>0</v>
      </c>
      <c r="J8" s="222">
        <v>0</v>
      </c>
      <c r="K8" s="222">
        <v>0</v>
      </c>
      <c r="L8" s="222">
        <v>496</v>
      </c>
      <c r="M8" s="234">
        <v>0</v>
      </c>
      <c r="N8" s="222">
        <v>3</v>
      </c>
      <c r="O8" s="234">
        <f t="shared" si="0"/>
        <v>499</v>
      </c>
      <c r="P8" s="222">
        <f t="shared" si="1"/>
        <v>60.2657004830918</v>
      </c>
      <c r="Q8" s="234">
        <f t="shared" si="2"/>
        <v>58.3166332665331</v>
      </c>
      <c r="R8" s="222">
        <f t="shared" si="3"/>
        <v>39.4789579158317</v>
      </c>
      <c r="S8" s="234">
        <f t="shared" si="4"/>
        <v>1.00200400801603</v>
      </c>
      <c r="T8" s="222">
        <f t="shared" si="5"/>
        <v>0.400801603206413</v>
      </c>
      <c r="U8" s="234">
        <f t="shared" si="6"/>
        <v>0.200400801603206</v>
      </c>
      <c r="V8" s="222">
        <f t="shared" si="7"/>
        <v>0.601202404809619</v>
      </c>
      <c r="W8" s="234">
        <f t="shared" ref="W8:W14" si="8">Q8-R8</f>
        <v>18.8376753507014</v>
      </c>
      <c r="X8" s="222">
        <f t="shared" ref="X8:X14" si="9">Q8-(R8+S8+T8+U8)</f>
        <v>17.2344689378758</v>
      </c>
      <c r="Y8" s="234" t="str">
        <f t="shared" ref="Y8:Y15" si="10">IF(AND(W8&lt;0,W8&lt;=1),"LOST",IF(AND(W8&gt;1,W8&lt;=10),"NARROW",IF(AND(W8&gt;10,W8&lt;=40),"MEDIUM",IF(AND(W8&gt;40,W8&lt;=90),"STRONG",""))))</f>
        <v>MEDIUM</v>
      </c>
      <c r="Z8" s="378" t="str">
        <f t="shared" ref="Z8:Z15" si="11">IF(AND(P8&lt;0,P8&lt;=10),"WEAK",IF(AND(P8&gt;10,P8&lt;20),"BELOW AVG",IF(AND(P8&gt;20,P8&lt;=60),"MEDIUM",IF(AND(P8&gt;60,P8&lt;=90),"STRONG",""))))</f>
        <v>STRONG</v>
      </c>
      <c r="AA8" s="333" t="str">
        <f t="shared" ref="AA8:AA15" si="12">IF(Q8&gt;R8,"BJP","CONGRESS")</f>
        <v>BJP</v>
      </c>
      <c r="AB8">
        <v>828</v>
      </c>
      <c r="AD8">
        <v>396</v>
      </c>
      <c r="AF8">
        <v>432</v>
      </c>
      <c r="AH8">
        <v>659</v>
      </c>
      <c r="AJ8">
        <v>27</v>
      </c>
      <c r="AL8">
        <v>142</v>
      </c>
      <c r="AN8" s="248">
        <f t="shared" ref="AN8:AO11" si="13">(AD8/AB8)*100</f>
        <v>47.8260869565217</v>
      </c>
      <c r="AO8" s="316" t="e">
        <f t="shared" si="13"/>
        <v>#DIV/0!</v>
      </c>
      <c r="AP8" s="317">
        <f t="shared" ref="AP8:AQ11" si="14">(AF8/AB8)*100</f>
        <v>52.1739130434783</v>
      </c>
      <c r="AQ8" s="318" t="e">
        <f t="shared" si="14"/>
        <v>#DIV/0!</v>
      </c>
      <c r="AR8" s="318" t="str">
        <f t="shared" ref="AR8:AR14" si="15">IF(AN8&gt;AP8,"MALE DOM","FEMALE DOM")</f>
        <v>FEMALE DOM</v>
      </c>
      <c r="AS8" s="319" t="e">
        <f t="shared" ref="AS8:AS14" si="16">IF(AO8&gt;AP8,"MALE","FEMALE")</f>
        <v>#DIV/0!</v>
      </c>
      <c r="AT8" s="317">
        <f t="shared" ref="AT8:AU11" si="17">(AH8/AB8)*100</f>
        <v>79.5893719806763</v>
      </c>
      <c r="AU8" s="317" t="e">
        <f t="shared" si="17"/>
        <v>#DIV/0!</v>
      </c>
      <c r="AV8" s="248">
        <f t="shared" ref="AV8:AW11" si="18">(AJ8/AB8)*100</f>
        <v>3.26086956521739</v>
      </c>
      <c r="AW8" s="317" t="e">
        <f t="shared" si="18"/>
        <v>#DIV/0!</v>
      </c>
      <c r="AX8" s="248">
        <f t="shared" ref="AX8:AY11" si="19">(AL8/AB8)*100</f>
        <v>17.1497584541063</v>
      </c>
      <c r="AY8" s="317" t="e">
        <f t="shared" si="19"/>
        <v>#DIV/0!</v>
      </c>
      <c r="AZ8" s="248" t="str">
        <f t="shared" ref="AZ8:AZ14" si="20">IF(AT8&gt;(AV8+AX8),"HINDU","MINORITY")</f>
        <v>HINDU</v>
      </c>
      <c r="BA8" s="318" t="e">
        <f t="shared" ref="BA8:BA14" si="21">IF(AU8&gt;(AW8+AY8),"HIND","MINORITY")</f>
        <v>#DIV/0!</v>
      </c>
    </row>
    <row r="9" spans="1:53">
      <c r="A9" s="358"/>
      <c r="B9" s="215">
        <v>220</v>
      </c>
      <c r="C9" s="361">
        <v>686</v>
      </c>
      <c r="D9" s="224">
        <v>275</v>
      </c>
      <c r="E9" s="362">
        <v>119</v>
      </c>
      <c r="F9" s="362">
        <v>0</v>
      </c>
      <c r="G9" s="362">
        <v>1</v>
      </c>
      <c r="H9" s="236">
        <v>1</v>
      </c>
      <c r="I9" s="224">
        <v>0</v>
      </c>
      <c r="J9" s="224">
        <v>1</v>
      </c>
      <c r="K9" s="224">
        <v>0</v>
      </c>
      <c r="L9" s="224">
        <v>397</v>
      </c>
      <c r="M9" s="236">
        <v>0</v>
      </c>
      <c r="N9" s="224">
        <v>3</v>
      </c>
      <c r="O9" s="236">
        <f t="shared" si="0"/>
        <v>400</v>
      </c>
      <c r="P9" s="224">
        <f t="shared" si="1"/>
        <v>58.3090379008746</v>
      </c>
      <c r="Q9" s="236">
        <f t="shared" si="2"/>
        <v>29.75</v>
      </c>
      <c r="R9" s="224">
        <f t="shared" si="3"/>
        <v>68.75</v>
      </c>
      <c r="S9" s="236">
        <f t="shared" si="4"/>
        <v>0</v>
      </c>
      <c r="T9" s="224">
        <f t="shared" si="5"/>
        <v>0.25</v>
      </c>
      <c r="U9" s="236">
        <f t="shared" si="6"/>
        <v>0.5</v>
      </c>
      <c r="V9" s="224">
        <f t="shared" si="7"/>
        <v>0.75</v>
      </c>
      <c r="W9" s="232">
        <f t="shared" si="8"/>
        <v>-39</v>
      </c>
      <c r="X9" s="218">
        <f t="shared" si="9"/>
        <v>-39.75</v>
      </c>
      <c r="Y9" s="232" t="str">
        <f t="shared" si="10"/>
        <v>LOST</v>
      </c>
      <c r="Z9" s="379" t="str">
        <f t="shared" si="11"/>
        <v>MEDIUM</v>
      </c>
      <c r="AA9" s="284" t="str">
        <f t="shared" si="12"/>
        <v>CONGRESS</v>
      </c>
      <c r="AB9">
        <v>686</v>
      </c>
      <c r="AD9">
        <v>335</v>
      </c>
      <c r="AF9">
        <v>351</v>
      </c>
      <c r="AH9">
        <v>236</v>
      </c>
      <c r="AJ9">
        <v>90</v>
      </c>
      <c r="AL9">
        <v>360</v>
      </c>
      <c r="AN9" s="248">
        <f t="shared" si="13"/>
        <v>48.8338192419825</v>
      </c>
      <c r="AO9" s="316" t="e">
        <f t="shared" si="13"/>
        <v>#DIV/0!</v>
      </c>
      <c r="AP9" s="317">
        <f t="shared" si="14"/>
        <v>51.1661807580175</v>
      </c>
      <c r="AQ9" s="318" t="e">
        <f t="shared" si="14"/>
        <v>#DIV/0!</v>
      </c>
      <c r="AR9" s="318" t="str">
        <f t="shared" si="15"/>
        <v>FEMALE DOM</v>
      </c>
      <c r="AS9" s="319" t="e">
        <f t="shared" si="16"/>
        <v>#DIV/0!</v>
      </c>
      <c r="AT9" s="317">
        <f t="shared" si="17"/>
        <v>34.402332361516</v>
      </c>
      <c r="AU9" s="317" t="e">
        <f t="shared" si="17"/>
        <v>#DIV/0!</v>
      </c>
      <c r="AV9" s="248">
        <f t="shared" si="18"/>
        <v>13.1195335276968</v>
      </c>
      <c r="AW9" s="317" t="e">
        <f t="shared" si="18"/>
        <v>#DIV/0!</v>
      </c>
      <c r="AX9" s="248">
        <f t="shared" si="19"/>
        <v>52.4781341107872</v>
      </c>
      <c r="AY9" s="317" t="e">
        <f t="shared" si="19"/>
        <v>#DIV/0!</v>
      </c>
      <c r="AZ9" s="248" t="str">
        <f t="shared" si="20"/>
        <v>MINORITY</v>
      </c>
      <c r="BA9" s="318" t="e">
        <f t="shared" si="21"/>
        <v>#DIV/0!</v>
      </c>
    </row>
    <row r="10" spans="1:53">
      <c r="A10" s="358"/>
      <c r="B10" s="217">
        <v>241</v>
      </c>
      <c r="C10" s="217">
        <v>1070</v>
      </c>
      <c r="D10" s="224">
        <v>443</v>
      </c>
      <c r="E10" s="362">
        <v>196</v>
      </c>
      <c r="F10" s="362">
        <v>3</v>
      </c>
      <c r="G10" s="362">
        <v>0</v>
      </c>
      <c r="H10" s="236">
        <v>3</v>
      </c>
      <c r="I10" s="224">
        <v>2</v>
      </c>
      <c r="J10" s="224">
        <v>1</v>
      </c>
      <c r="K10" s="224">
        <v>0</v>
      </c>
      <c r="L10" s="224">
        <v>648</v>
      </c>
      <c r="M10" s="236">
        <v>0</v>
      </c>
      <c r="N10" s="224">
        <v>1</v>
      </c>
      <c r="O10" s="236">
        <f t="shared" si="0"/>
        <v>649</v>
      </c>
      <c r="P10" s="224">
        <f t="shared" si="1"/>
        <v>60.6542056074766</v>
      </c>
      <c r="Q10" s="236">
        <f t="shared" si="2"/>
        <v>30.2003081664099</v>
      </c>
      <c r="R10" s="224">
        <f t="shared" si="3"/>
        <v>68.2588597842835</v>
      </c>
      <c r="S10" s="236">
        <f t="shared" si="4"/>
        <v>0.462249614791988</v>
      </c>
      <c r="T10" s="224">
        <f t="shared" si="5"/>
        <v>0</v>
      </c>
      <c r="U10" s="236">
        <f t="shared" si="6"/>
        <v>0.924499229583975</v>
      </c>
      <c r="V10" s="224">
        <f t="shared" si="7"/>
        <v>0.154083204930663</v>
      </c>
      <c r="W10" s="236">
        <f t="shared" si="8"/>
        <v>-38.0585516178737</v>
      </c>
      <c r="X10" s="224">
        <f t="shared" si="9"/>
        <v>-39.4453004622496</v>
      </c>
      <c r="Y10" s="236" t="str">
        <f t="shared" si="10"/>
        <v>LOST</v>
      </c>
      <c r="Z10" s="378" t="str">
        <f t="shared" si="11"/>
        <v>STRONG</v>
      </c>
      <c r="AA10" s="284" t="str">
        <f t="shared" si="12"/>
        <v>CONGRESS</v>
      </c>
      <c r="AB10">
        <v>1067</v>
      </c>
      <c r="AD10">
        <v>521</v>
      </c>
      <c r="AF10">
        <v>546</v>
      </c>
      <c r="AH10">
        <v>350</v>
      </c>
      <c r="AJ10">
        <v>592</v>
      </c>
      <c r="AL10">
        <v>125</v>
      </c>
      <c r="AN10" s="248">
        <f t="shared" si="13"/>
        <v>48.8284910965323</v>
      </c>
      <c r="AO10" s="316" t="e">
        <f t="shared" si="13"/>
        <v>#DIV/0!</v>
      </c>
      <c r="AP10" s="317">
        <f t="shared" si="14"/>
        <v>51.1715089034677</v>
      </c>
      <c r="AQ10" s="318" t="e">
        <f t="shared" si="14"/>
        <v>#DIV/0!</v>
      </c>
      <c r="AR10" s="318" t="str">
        <f t="shared" si="15"/>
        <v>FEMALE DOM</v>
      </c>
      <c r="AS10" s="319" t="e">
        <f t="shared" si="16"/>
        <v>#DIV/0!</v>
      </c>
      <c r="AT10" s="317">
        <f t="shared" si="17"/>
        <v>32.8022492970947</v>
      </c>
      <c r="AU10" s="317" t="e">
        <f t="shared" si="17"/>
        <v>#DIV/0!</v>
      </c>
      <c r="AV10" s="248">
        <f t="shared" si="18"/>
        <v>55.4826616682287</v>
      </c>
      <c r="AW10" s="317" t="e">
        <f t="shared" si="18"/>
        <v>#DIV/0!</v>
      </c>
      <c r="AX10" s="248">
        <f t="shared" si="19"/>
        <v>11.7150890346767</v>
      </c>
      <c r="AY10" s="317" t="e">
        <f t="shared" si="19"/>
        <v>#DIV/0!</v>
      </c>
      <c r="AZ10" s="248" t="str">
        <f t="shared" si="20"/>
        <v>MINORITY</v>
      </c>
      <c r="BA10" s="318" t="e">
        <f t="shared" si="21"/>
        <v>#DIV/0!</v>
      </c>
    </row>
    <row r="11" spans="1:53">
      <c r="A11" s="358"/>
      <c r="B11" s="215">
        <v>156</v>
      </c>
      <c r="C11" s="361">
        <v>948</v>
      </c>
      <c r="D11" s="223">
        <v>315</v>
      </c>
      <c r="E11" s="363">
        <v>214</v>
      </c>
      <c r="F11" s="363">
        <v>1</v>
      </c>
      <c r="G11" s="363">
        <v>3</v>
      </c>
      <c r="H11" s="235">
        <v>0</v>
      </c>
      <c r="I11" s="223">
        <v>0</v>
      </c>
      <c r="J11" s="223">
        <v>1</v>
      </c>
      <c r="K11" s="223">
        <v>0</v>
      </c>
      <c r="L11" s="223">
        <v>534</v>
      </c>
      <c r="M11" s="235">
        <v>0</v>
      </c>
      <c r="N11" s="223">
        <v>4</v>
      </c>
      <c r="O11" s="235">
        <f t="shared" si="0"/>
        <v>538</v>
      </c>
      <c r="P11" s="223">
        <f t="shared" si="1"/>
        <v>56.7510548523207</v>
      </c>
      <c r="Q11" s="235">
        <f t="shared" si="2"/>
        <v>39.7769516728625</v>
      </c>
      <c r="R11" s="223">
        <f t="shared" si="3"/>
        <v>58.550185873606</v>
      </c>
      <c r="S11" s="235">
        <f t="shared" si="4"/>
        <v>0.185873605947955</v>
      </c>
      <c r="T11" s="223">
        <f t="shared" si="5"/>
        <v>0.557620817843866</v>
      </c>
      <c r="U11" s="235">
        <f t="shared" si="6"/>
        <v>0.185873605947955</v>
      </c>
      <c r="V11" s="223">
        <f t="shared" si="7"/>
        <v>0.743494423791822</v>
      </c>
      <c r="W11" s="235">
        <f t="shared" si="8"/>
        <v>-18.7732342007435</v>
      </c>
      <c r="X11" s="223">
        <f t="shared" si="9"/>
        <v>-19.7026022304833</v>
      </c>
      <c r="Y11" s="235" t="str">
        <f t="shared" si="10"/>
        <v>LOST</v>
      </c>
      <c r="Z11" s="380" t="str">
        <f t="shared" si="11"/>
        <v>MEDIUM</v>
      </c>
      <c r="AA11" s="284" t="str">
        <f t="shared" si="12"/>
        <v>CONGRESS</v>
      </c>
      <c r="AB11">
        <v>942</v>
      </c>
      <c r="AD11">
        <v>439</v>
      </c>
      <c r="AF11">
        <v>503</v>
      </c>
      <c r="AH11">
        <v>430</v>
      </c>
      <c r="AJ11">
        <v>146</v>
      </c>
      <c r="AL11">
        <v>366</v>
      </c>
      <c r="AN11" s="248">
        <f t="shared" si="13"/>
        <v>46.6029723991507</v>
      </c>
      <c r="AO11" s="316" t="e">
        <f t="shared" si="13"/>
        <v>#DIV/0!</v>
      </c>
      <c r="AP11" s="317">
        <f t="shared" si="14"/>
        <v>53.3970276008493</v>
      </c>
      <c r="AQ11" s="318" t="e">
        <f t="shared" si="14"/>
        <v>#DIV/0!</v>
      </c>
      <c r="AR11" s="318" t="str">
        <f t="shared" si="15"/>
        <v>FEMALE DOM</v>
      </c>
      <c r="AS11" s="319" t="e">
        <f t="shared" si="16"/>
        <v>#DIV/0!</v>
      </c>
      <c r="AT11" s="317">
        <f t="shared" si="17"/>
        <v>45.6475583864119</v>
      </c>
      <c r="AU11" s="317" t="e">
        <f t="shared" si="17"/>
        <v>#DIV/0!</v>
      </c>
      <c r="AV11" s="248">
        <f t="shared" si="18"/>
        <v>15.4989384288747</v>
      </c>
      <c r="AW11" s="317" t="e">
        <f t="shared" si="18"/>
        <v>#DIV/0!</v>
      </c>
      <c r="AX11" s="248">
        <f t="shared" si="19"/>
        <v>38.8535031847134</v>
      </c>
      <c r="AY11" s="317" t="e">
        <f t="shared" si="19"/>
        <v>#DIV/0!</v>
      </c>
      <c r="AZ11" s="248" t="str">
        <f t="shared" si="20"/>
        <v>MINORITY</v>
      </c>
      <c r="BA11" s="318" t="e">
        <f t="shared" si="21"/>
        <v>#DIV/0!</v>
      </c>
    </row>
    <row r="12" ht="21" spans="1:53">
      <c r="A12" s="358"/>
      <c r="B12" s="221">
        <v>157</v>
      </c>
      <c r="C12" s="221">
        <v>1141</v>
      </c>
      <c r="D12" s="222">
        <v>259</v>
      </c>
      <c r="E12" s="360">
        <v>440</v>
      </c>
      <c r="F12" s="360">
        <v>3</v>
      </c>
      <c r="G12" s="360">
        <v>2</v>
      </c>
      <c r="H12" s="234">
        <v>1</v>
      </c>
      <c r="I12" s="222">
        <v>2</v>
      </c>
      <c r="J12" s="222">
        <v>4</v>
      </c>
      <c r="K12" s="222">
        <v>1</v>
      </c>
      <c r="L12" s="222">
        <v>712</v>
      </c>
      <c r="M12" s="234">
        <v>0</v>
      </c>
      <c r="N12" s="222">
        <v>1</v>
      </c>
      <c r="O12" s="234">
        <f t="shared" si="0"/>
        <v>713</v>
      </c>
      <c r="P12" s="222">
        <f t="shared" si="1"/>
        <v>62.4890446976337</v>
      </c>
      <c r="Q12" s="234">
        <f t="shared" si="2"/>
        <v>61.711079943899</v>
      </c>
      <c r="R12" s="222">
        <f t="shared" si="3"/>
        <v>36.3253856942497</v>
      </c>
      <c r="S12" s="234">
        <f t="shared" si="4"/>
        <v>0.420757363253857</v>
      </c>
      <c r="T12" s="222">
        <f t="shared" si="5"/>
        <v>0.280504908835905</v>
      </c>
      <c r="U12" s="234">
        <f t="shared" si="6"/>
        <v>1.12201963534362</v>
      </c>
      <c r="V12" s="222">
        <f t="shared" si="7"/>
        <v>0.140252454417952</v>
      </c>
      <c r="W12" s="234">
        <f t="shared" si="8"/>
        <v>25.3856942496494</v>
      </c>
      <c r="X12" s="222">
        <f t="shared" si="9"/>
        <v>23.562412342216</v>
      </c>
      <c r="Y12" s="234" t="str">
        <f t="shared" si="10"/>
        <v>MEDIUM</v>
      </c>
      <c r="Z12" s="381" t="str">
        <f t="shared" si="11"/>
        <v>STRONG</v>
      </c>
      <c r="AA12" s="351" t="str">
        <f t="shared" si="12"/>
        <v>BJP</v>
      </c>
      <c r="AB12">
        <v>1138</v>
      </c>
      <c r="AD12">
        <v>534</v>
      </c>
      <c r="AF12">
        <v>604</v>
      </c>
      <c r="AH12">
        <v>813</v>
      </c>
      <c r="AJ12">
        <v>80</v>
      </c>
      <c r="AL12">
        <v>245</v>
      </c>
      <c r="AN12" s="248">
        <f t="shared" ref="AN12:AO14" si="22">(AD12/AB12)*100</f>
        <v>46.9244288224956</v>
      </c>
      <c r="AO12" s="316" t="e">
        <f t="shared" si="22"/>
        <v>#DIV/0!</v>
      </c>
      <c r="AP12" s="317">
        <f t="shared" ref="AP12:AQ14" si="23">(AF12/AB12)*100</f>
        <v>53.0755711775044</v>
      </c>
      <c r="AQ12" s="318" t="e">
        <f t="shared" si="23"/>
        <v>#DIV/0!</v>
      </c>
      <c r="AR12" s="318" t="str">
        <f t="shared" si="15"/>
        <v>FEMALE DOM</v>
      </c>
      <c r="AS12" s="319" t="e">
        <f t="shared" si="16"/>
        <v>#DIV/0!</v>
      </c>
      <c r="AT12" s="317">
        <f t="shared" ref="AT12:AU14" si="24">(AH12/AB12)*100</f>
        <v>71.4411247803163</v>
      </c>
      <c r="AU12" s="317" t="e">
        <f t="shared" si="24"/>
        <v>#DIV/0!</v>
      </c>
      <c r="AV12" s="248">
        <f t="shared" ref="AV12:AW14" si="25">(AJ12/AB12)*100</f>
        <v>7.0298769771529</v>
      </c>
      <c r="AW12" s="317" t="e">
        <f t="shared" si="25"/>
        <v>#DIV/0!</v>
      </c>
      <c r="AX12" s="248">
        <f t="shared" ref="AX12:AY14" si="26">(AL12/AB12)*100</f>
        <v>21.5289982425308</v>
      </c>
      <c r="AY12" s="317" t="e">
        <f t="shared" si="26"/>
        <v>#DIV/0!</v>
      </c>
      <c r="AZ12" s="248" t="str">
        <f t="shared" si="20"/>
        <v>HINDU</v>
      </c>
      <c r="BA12" s="318" t="e">
        <f t="shared" si="21"/>
        <v>#DIV/0!</v>
      </c>
    </row>
    <row r="13" ht="21" spans="1:53">
      <c r="A13" s="358"/>
      <c r="B13" s="364">
        <v>155</v>
      </c>
      <c r="C13" s="365">
        <v>757</v>
      </c>
      <c r="D13" s="366">
        <v>177</v>
      </c>
      <c r="E13" s="367">
        <v>186</v>
      </c>
      <c r="F13" s="367">
        <v>2</v>
      </c>
      <c r="G13" s="367">
        <v>2</v>
      </c>
      <c r="H13" s="368">
        <v>2</v>
      </c>
      <c r="I13" s="366">
        <v>1</v>
      </c>
      <c r="J13" s="366">
        <v>7</v>
      </c>
      <c r="K13" s="366">
        <v>5</v>
      </c>
      <c r="L13" s="366">
        <v>382</v>
      </c>
      <c r="M13" s="368">
        <v>0</v>
      </c>
      <c r="N13" s="366">
        <v>10</v>
      </c>
      <c r="O13" s="368">
        <f t="shared" si="0"/>
        <v>392</v>
      </c>
      <c r="P13" s="366">
        <f t="shared" si="1"/>
        <v>51.7833553500661</v>
      </c>
      <c r="Q13" s="368">
        <f t="shared" si="2"/>
        <v>47.4489795918367</v>
      </c>
      <c r="R13" s="366">
        <f t="shared" si="3"/>
        <v>45.1530612244898</v>
      </c>
      <c r="S13" s="368">
        <f t="shared" si="4"/>
        <v>0.510204081632653</v>
      </c>
      <c r="T13" s="366">
        <f t="shared" si="5"/>
        <v>0.510204081632653</v>
      </c>
      <c r="U13" s="368">
        <f t="shared" si="6"/>
        <v>3.8265306122449</v>
      </c>
      <c r="V13" s="366">
        <f t="shared" si="7"/>
        <v>2.55102040816327</v>
      </c>
      <c r="W13" s="368">
        <f t="shared" si="8"/>
        <v>2.29591836734694</v>
      </c>
      <c r="X13" s="366">
        <f t="shared" si="9"/>
        <v>-2.55102040816325</v>
      </c>
      <c r="Y13" s="368" t="str">
        <f t="shared" si="10"/>
        <v>NARROW</v>
      </c>
      <c r="Z13" s="382" t="str">
        <f t="shared" si="11"/>
        <v>MEDIUM</v>
      </c>
      <c r="AA13" s="351" t="str">
        <f t="shared" si="12"/>
        <v>BJP</v>
      </c>
      <c r="AB13">
        <v>757</v>
      </c>
      <c r="AC13">
        <v>396</v>
      </c>
      <c r="AD13">
        <v>421</v>
      </c>
      <c r="AE13">
        <v>198</v>
      </c>
      <c r="AF13">
        <v>336</v>
      </c>
      <c r="AG13">
        <v>198</v>
      </c>
      <c r="AH13">
        <v>332</v>
      </c>
      <c r="AI13">
        <v>237</v>
      </c>
      <c r="AJ13">
        <v>14</v>
      </c>
      <c r="AK13">
        <v>7</v>
      </c>
      <c r="AL13">
        <v>411</v>
      </c>
      <c r="AM13">
        <v>152</v>
      </c>
      <c r="AN13" s="248">
        <f t="shared" si="22"/>
        <v>55.6142668428005</v>
      </c>
      <c r="AO13" s="316">
        <f t="shared" si="22"/>
        <v>50</v>
      </c>
      <c r="AP13" s="317">
        <f t="shared" si="23"/>
        <v>44.3857331571995</v>
      </c>
      <c r="AQ13" s="318">
        <f t="shared" si="23"/>
        <v>50</v>
      </c>
      <c r="AR13" s="318" t="str">
        <f t="shared" si="15"/>
        <v>MALE DOM</v>
      </c>
      <c r="AS13" s="319" t="str">
        <f t="shared" si="16"/>
        <v>MALE</v>
      </c>
      <c r="AT13" s="317">
        <f t="shared" si="24"/>
        <v>43.8573315719947</v>
      </c>
      <c r="AU13" s="317">
        <f t="shared" si="24"/>
        <v>59.8484848484849</v>
      </c>
      <c r="AV13" s="248">
        <f t="shared" si="25"/>
        <v>1.84940554821664</v>
      </c>
      <c r="AW13" s="317">
        <f t="shared" si="25"/>
        <v>1.76767676767677</v>
      </c>
      <c r="AX13" s="248">
        <f t="shared" si="26"/>
        <v>54.2932628797886</v>
      </c>
      <c r="AY13" s="317">
        <f t="shared" si="26"/>
        <v>38.3838383838384</v>
      </c>
      <c r="AZ13" s="248" t="str">
        <f t="shared" si="20"/>
        <v>MINORITY</v>
      </c>
      <c r="BA13" s="318" t="str">
        <f t="shared" si="21"/>
        <v>HIND</v>
      </c>
    </row>
    <row r="14" ht="21" spans="1:53">
      <c r="A14" s="358"/>
      <c r="B14" s="215">
        <v>154</v>
      </c>
      <c r="C14" s="217">
        <v>785</v>
      </c>
      <c r="D14" s="218">
        <v>312</v>
      </c>
      <c r="E14" s="369">
        <v>208</v>
      </c>
      <c r="F14" s="369">
        <v>0</v>
      </c>
      <c r="G14" s="369">
        <v>5</v>
      </c>
      <c r="H14" s="232">
        <v>0</v>
      </c>
      <c r="I14" s="218">
        <v>0</v>
      </c>
      <c r="J14" s="218">
        <v>0</v>
      </c>
      <c r="K14" s="218">
        <v>0</v>
      </c>
      <c r="L14" s="218">
        <v>525</v>
      </c>
      <c r="M14" s="232">
        <v>0</v>
      </c>
      <c r="N14" s="218">
        <v>1</v>
      </c>
      <c r="O14" s="232">
        <f t="shared" si="0"/>
        <v>526</v>
      </c>
      <c r="P14" s="218">
        <f t="shared" si="1"/>
        <v>67.0063694267516</v>
      </c>
      <c r="Q14" s="232">
        <f t="shared" si="2"/>
        <v>39.5437262357414</v>
      </c>
      <c r="R14" s="218">
        <f t="shared" si="3"/>
        <v>59.3155893536122</v>
      </c>
      <c r="S14" s="232">
        <f t="shared" si="4"/>
        <v>0</v>
      </c>
      <c r="T14" s="218">
        <f t="shared" si="5"/>
        <v>0.950570342205323</v>
      </c>
      <c r="U14" s="232">
        <f t="shared" si="6"/>
        <v>0</v>
      </c>
      <c r="V14" s="218">
        <f t="shared" si="7"/>
        <v>0.190114068441065</v>
      </c>
      <c r="W14" s="232">
        <f t="shared" si="8"/>
        <v>-19.7718631178707</v>
      </c>
      <c r="X14" s="218">
        <f t="shared" si="9"/>
        <v>-20.722433460076</v>
      </c>
      <c r="Y14" s="232" t="str">
        <f t="shared" si="10"/>
        <v>LOST</v>
      </c>
      <c r="Z14" s="381" t="str">
        <f t="shared" si="11"/>
        <v>STRONG</v>
      </c>
      <c r="AA14" s="383" t="str">
        <f t="shared" si="12"/>
        <v>CONGRESS</v>
      </c>
      <c r="AB14">
        <v>781</v>
      </c>
      <c r="AD14">
        <v>365</v>
      </c>
      <c r="AF14">
        <v>416</v>
      </c>
      <c r="AH14">
        <v>353</v>
      </c>
      <c r="AJ14">
        <v>88</v>
      </c>
      <c r="AL14">
        <v>340</v>
      </c>
      <c r="AN14" s="248">
        <f t="shared" si="22"/>
        <v>46.7349551856594</v>
      </c>
      <c r="AO14" s="316" t="e">
        <f t="shared" si="22"/>
        <v>#DIV/0!</v>
      </c>
      <c r="AP14" s="317">
        <f t="shared" si="23"/>
        <v>53.2650448143406</v>
      </c>
      <c r="AQ14" s="318" t="e">
        <f t="shared" si="23"/>
        <v>#DIV/0!</v>
      </c>
      <c r="AR14" s="318" t="str">
        <f t="shared" si="15"/>
        <v>FEMALE DOM</v>
      </c>
      <c r="AS14" s="319" t="e">
        <f t="shared" si="16"/>
        <v>#DIV/0!</v>
      </c>
      <c r="AT14" s="317">
        <f t="shared" si="24"/>
        <v>45.1984635083227</v>
      </c>
      <c r="AU14" s="317" t="e">
        <f t="shared" si="24"/>
        <v>#DIV/0!</v>
      </c>
      <c r="AV14" s="248">
        <f t="shared" si="25"/>
        <v>11.2676056338028</v>
      </c>
      <c r="AW14" s="317" t="e">
        <f t="shared" si="25"/>
        <v>#DIV/0!</v>
      </c>
      <c r="AX14" s="248">
        <f t="shared" si="26"/>
        <v>43.5339308578745</v>
      </c>
      <c r="AY14" s="317" t="e">
        <f t="shared" si="26"/>
        <v>#DIV/0!</v>
      </c>
      <c r="AZ14" s="248" t="str">
        <f t="shared" si="20"/>
        <v>MINORITY</v>
      </c>
      <c r="BA14" s="318" t="e">
        <f t="shared" si="21"/>
        <v>#DIV/0!</v>
      </c>
    </row>
    <row r="15" ht="21" spans="2:27">
      <c r="B15" s="334"/>
      <c r="C15" s="370">
        <f t="shared" ref="C15:O15" si="27">SUM(C7:C14)</f>
        <v>7458</v>
      </c>
      <c r="D15" s="224">
        <f t="shared" si="27"/>
        <v>2362</v>
      </c>
      <c r="E15" s="362">
        <f t="shared" si="27"/>
        <v>2075</v>
      </c>
      <c r="F15" s="362">
        <f t="shared" si="27"/>
        <v>15</v>
      </c>
      <c r="G15" s="362">
        <f t="shared" si="27"/>
        <v>15</v>
      </c>
      <c r="H15" s="236">
        <f t="shared" si="27"/>
        <v>8</v>
      </c>
      <c r="I15" s="224">
        <f t="shared" si="27"/>
        <v>6</v>
      </c>
      <c r="J15" s="224">
        <f t="shared" si="27"/>
        <v>15</v>
      </c>
      <c r="K15" s="224">
        <f t="shared" si="27"/>
        <v>6</v>
      </c>
      <c r="L15" s="224">
        <f t="shared" si="27"/>
        <v>4502</v>
      </c>
      <c r="M15" s="236">
        <f t="shared" si="27"/>
        <v>0</v>
      </c>
      <c r="N15" s="224">
        <f t="shared" si="27"/>
        <v>26</v>
      </c>
      <c r="O15" s="236">
        <f t="shared" si="27"/>
        <v>4528</v>
      </c>
      <c r="P15" s="224">
        <f t="shared" ref="P15:X15" si="28">AVERAGE(P7:P14)</f>
        <v>60.3130178016433</v>
      </c>
      <c r="Q15" s="236">
        <f t="shared" si="28"/>
        <v>44.8323624490561</v>
      </c>
      <c r="R15" s="224">
        <f t="shared" si="28"/>
        <v>52.8976239696617</v>
      </c>
      <c r="S15" s="236">
        <f t="shared" si="28"/>
        <v>0.338049154488911</v>
      </c>
      <c r="T15" s="224">
        <f t="shared" si="28"/>
        <v>0.36871271921552</v>
      </c>
      <c r="U15" s="236">
        <f t="shared" si="28"/>
        <v>0.875741626157658</v>
      </c>
      <c r="V15" s="224">
        <f t="shared" si="28"/>
        <v>0.6875100814201</v>
      </c>
      <c r="W15" s="236">
        <f t="shared" si="28"/>
        <v>-8.06526152060555</v>
      </c>
      <c r="X15" s="224">
        <f t="shared" si="28"/>
        <v>-9.64776502046764</v>
      </c>
      <c r="Y15" s="236" t="str">
        <f t="shared" si="10"/>
        <v>LOST</v>
      </c>
      <c r="Z15" s="381" t="str">
        <f t="shared" si="11"/>
        <v>STRONG</v>
      </c>
      <c r="AA15" s="383" t="str">
        <f t="shared" si="12"/>
        <v>CONGRESS</v>
      </c>
    </row>
    <row r="17" spans="8:16">
      <c r="H17" s="225" t="s">
        <v>205</v>
      </c>
      <c r="I17" s="237"/>
      <c r="J17" s="237"/>
      <c r="K17" s="238"/>
      <c r="M17" s="225" t="s">
        <v>97</v>
      </c>
      <c r="N17" s="237"/>
      <c r="O17" s="237"/>
      <c r="P17" s="238"/>
    </row>
    <row r="18" spans="8:16">
      <c r="H18" s="226"/>
      <c r="I18" s="239"/>
      <c r="J18" s="239"/>
      <c r="K18" s="240"/>
      <c r="M18" s="241"/>
      <c r="N18" s="242"/>
      <c r="O18" s="242"/>
      <c r="P18" s="243"/>
    </row>
    <row r="19" spans="8:27">
      <c r="H19" s="227" t="s">
        <v>99</v>
      </c>
      <c r="I19" s="244"/>
      <c r="J19" s="245"/>
      <c r="K19" s="245">
        <f>COUNTIF(AA7:AA14,"BJP")</f>
        <v>4</v>
      </c>
      <c r="M19" s="246" t="s">
        <v>100</v>
      </c>
      <c r="N19" s="247"/>
      <c r="O19" s="247"/>
      <c r="P19" s="248">
        <f>COUNTIF(Y7:Y14,"NARROW")</f>
        <v>2</v>
      </c>
      <c r="T19" s="265" t="s">
        <v>98</v>
      </c>
      <c r="U19" s="265"/>
      <c r="V19" s="265"/>
      <c r="W19" s="265"/>
      <c r="X19" s="265"/>
      <c r="Y19" s="265"/>
      <c r="Z19" s="265"/>
      <c r="AA19" s="265"/>
    </row>
    <row r="20" spans="8:27">
      <c r="H20" s="227"/>
      <c r="I20" s="244"/>
      <c r="J20" s="245"/>
      <c r="K20" s="245"/>
      <c r="M20" s="249"/>
      <c r="N20" s="250"/>
      <c r="O20" s="250"/>
      <c r="P20" s="251"/>
      <c r="T20" s="265"/>
      <c r="U20" s="265"/>
      <c r="V20" s="265"/>
      <c r="W20" s="265"/>
      <c r="X20" s="265"/>
      <c r="Y20" s="265"/>
      <c r="Z20" s="265"/>
      <c r="AA20" s="265"/>
    </row>
    <row r="21" spans="8:27">
      <c r="H21" s="227"/>
      <c r="I21" s="244"/>
      <c r="J21" s="245"/>
      <c r="K21" s="245"/>
      <c r="M21" s="252" t="s">
        <v>103</v>
      </c>
      <c r="N21" s="253"/>
      <c r="O21" s="253"/>
      <c r="P21" s="248">
        <f>COUNTIF(Y7:Y14,"MEDIUM")</f>
        <v>2</v>
      </c>
      <c r="T21" s="265" t="s">
        <v>101</v>
      </c>
      <c r="U21" s="265"/>
      <c r="V21" s="265"/>
      <c r="W21" s="265">
        <f>'JEPPU-18'!E8</f>
        <v>49.5931811023846</v>
      </c>
      <c r="X21" s="265" t="s">
        <v>102</v>
      </c>
      <c r="Y21" s="265"/>
      <c r="Z21" s="265"/>
      <c r="AA21" s="265">
        <f>Q15</f>
        <v>44.8323624490561</v>
      </c>
    </row>
    <row r="22" spans="8:27">
      <c r="H22" s="228" t="s">
        <v>106</v>
      </c>
      <c r="I22" s="254"/>
      <c r="J22" s="255"/>
      <c r="K22" s="255">
        <f>COUNTIF(AA7:AA14,"CONGRESS")</f>
        <v>4</v>
      </c>
      <c r="M22" s="252"/>
      <c r="N22" s="253"/>
      <c r="O22" s="253"/>
      <c r="P22" s="251"/>
      <c r="T22" s="265"/>
      <c r="U22" s="265"/>
      <c r="V22" s="265"/>
      <c r="W22" s="265"/>
      <c r="X22" s="265"/>
      <c r="Y22" s="265"/>
      <c r="Z22" s="265"/>
      <c r="AA22" s="265"/>
    </row>
    <row r="23" spans="8:27">
      <c r="H23" s="229"/>
      <c r="I23" s="256"/>
      <c r="J23" s="257"/>
      <c r="K23" s="257"/>
      <c r="M23" s="258" t="s">
        <v>107</v>
      </c>
      <c r="N23" s="259"/>
      <c r="O23" s="259"/>
      <c r="P23" s="248">
        <f>COUNTIF(Y7:Y14,"STRONG")</f>
        <v>0</v>
      </c>
      <c r="T23" s="265" t="s">
        <v>104</v>
      </c>
      <c r="U23" s="265"/>
      <c r="V23" s="265"/>
      <c r="W23" s="265">
        <f>'JEPPU-18'!G8</f>
        <v>45.5372285090976</v>
      </c>
      <c r="X23" s="265" t="s">
        <v>105</v>
      </c>
      <c r="Y23" s="265"/>
      <c r="Z23" s="265"/>
      <c r="AA23" s="265">
        <f>R15</f>
        <v>52.8976239696617</v>
      </c>
    </row>
    <row r="24" spans="8:27">
      <c r="H24" s="230"/>
      <c r="I24" s="260"/>
      <c r="J24" s="261"/>
      <c r="K24" s="261"/>
      <c r="M24" s="262"/>
      <c r="N24" s="263"/>
      <c r="O24" s="263"/>
      <c r="P24" s="251"/>
      <c r="T24" s="265"/>
      <c r="U24" s="265"/>
      <c r="V24" s="265"/>
      <c r="W24" s="265"/>
      <c r="X24" s="265"/>
      <c r="Y24" s="265"/>
      <c r="Z24" s="265"/>
      <c r="AA24" s="265"/>
    </row>
    <row r="25" spans="13:27">
      <c r="M25" s="229" t="s">
        <v>110</v>
      </c>
      <c r="N25" s="256"/>
      <c r="O25" s="256"/>
      <c r="P25" s="248">
        <f>COUNTIF(Y7:Y14,"LOST")</f>
        <v>4</v>
      </c>
      <c r="T25" s="265" t="s">
        <v>108</v>
      </c>
      <c r="U25" s="265"/>
      <c r="V25" s="265"/>
      <c r="W25" s="265">
        <f>'JEPPU-18'!C8</f>
        <v>5073</v>
      </c>
      <c r="X25" s="265" t="s">
        <v>109</v>
      </c>
      <c r="Y25" s="265"/>
      <c r="Z25" s="265"/>
      <c r="AA25" s="265">
        <f>O15</f>
        <v>4528</v>
      </c>
    </row>
    <row r="26" spans="13:27">
      <c r="M26" s="230"/>
      <c r="N26" s="260"/>
      <c r="O26" s="260"/>
      <c r="P26" s="251"/>
      <c r="T26" s="265"/>
      <c r="U26" s="265"/>
      <c r="V26" s="265"/>
      <c r="W26" s="265"/>
      <c r="X26" s="265"/>
      <c r="Y26" s="265"/>
      <c r="Z26" s="265"/>
      <c r="AA26" s="265"/>
    </row>
    <row r="27" spans="20:27">
      <c r="T27" s="265" t="s">
        <v>111</v>
      </c>
      <c r="U27" s="265"/>
      <c r="V27" s="265"/>
      <c r="W27" s="265">
        <f>W21-W23</f>
        <v>4.05595259328697</v>
      </c>
      <c r="X27" s="265" t="s">
        <v>111</v>
      </c>
      <c r="Y27" s="265"/>
      <c r="Z27" s="265"/>
      <c r="AA27" s="265">
        <f>AA21-AA23</f>
        <v>-8.06526152060555</v>
      </c>
    </row>
    <row r="28" spans="20:27">
      <c r="T28" s="265"/>
      <c r="U28" s="265"/>
      <c r="V28" s="265"/>
      <c r="W28" s="265"/>
      <c r="X28" s="265"/>
      <c r="Y28" s="265"/>
      <c r="Z28" s="265"/>
      <c r="AA28" s="265"/>
    </row>
    <row r="29" spans="20:26">
      <c r="T29" s="265" t="s">
        <v>112</v>
      </c>
      <c r="U29" s="265"/>
      <c r="V29" s="265"/>
      <c r="W29" s="265">
        <f>AA21-W21</f>
        <v>-4.76081865332849</v>
      </c>
      <c r="X29" s="265"/>
      <c r="Y29" s="265"/>
      <c r="Z29" s="265"/>
    </row>
    <row r="30" spans="20:26">
      <c r="T30" s="265"/>
      <c r="U30" s="265"/>
      <c r="V30" s="265"/>
      <c r="W30" s="265"/>
      <c r="X30" s="265"/>
      <c r="Y30" s="265"/>
      <c r="Z30" s="265"/>
    </row>
    <row r="31" spans="20:26">
      <c r="T31" s="265" t="s">
        <v>113</v>
      </c>
      <c r="U31" s="265"/>
      <c r="V31" s="265"/>
      <c r="W31" s="265">
        <f>AA23-W23</f>
        <v>7.36039546056404</v>
      </c>
      <c r="X31" s="265"/>
      <c r="Y31" s="265"/>
      <c r="Z31" s="265"/>
    </row>
    <row r="32" spans="20:26">
      <c r="T32" s="265"/>
      <c r="U32" s="265"/>
      <c r="V32" s="265"/>
      <c r="W32" s="265"/>
      <c r="X32" s="265"/>
      <c r="Y32" s="265"/>
      <c r="Z32" s="265"/>
    </row>
    <row r="33" spans="20:26">
      <c r="T33" s="265" t="s">
        <v>114</v>
      </c>
      <c r="U33" s="265"/>
      <c r="V33" s="265"/>
      <c r="W33" s="265" t="str">
        <f>IF(W29&gt;W31,"INCREASE","DECREASE")</f>
        <v>DECREASE</v>
      </c>
      <c r="X33" s="265"/>
      <c r="Y33" s="265"/>
      <c r="Z33" s="265"/>
    </row>
    <row r="34" spans="20:26">
      <c r="T34" s="265"/>
      <c r="U34" s="265"/>
      <c r="V34" s="265"/>
      <c r="W34" s="265"/>
      <c r="X34" s="265"/>
      <c r="Y34" s="265"/>
      <c r="Z34" s="265"/>
    </row>
    <row r="35" spans="20:27">
      <c r="T35" s="265">
        <v>0</v>
      </c>
      <c r="U35" s="265"/>
      <c r="V35" s="265"/>
      <c r="W35" s="265"/>
      <c r="X35" s="265"/>
      <c r="Y35" s="265"/>
      <c r="Z35" s="265"/>
      <c r="AA35" s="265"/>
    </row>
    <row r="36" spans="20:27">
      <c r="T36" s="265"/>
      <c r="U36" s="265"/>
      <c r="V36" s="265"/>
      <c r="W36" s="265"/>
      <c r="X36" s="265"/>
      <c r="Y36" s="265"/>
      <c r="Z36" s="265"/>
      <c r="AA36" s="265"/>
    </row>
    <row r="37" spans="20:27">
      <c r="T37" s="265"/>
      <c r="U37" s="265"/>
      <c r="V37" s="265"/>
      <c r="W37" s="265"/>
      <c r="X37" s="265"/>
      <c r="Y37" s="265"/>
      <c r="Z37" s="265"/>
      <c r="AA37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K19:K21"/>
    <mergeCell ref="K22:K24"/>
    <mergeCell ref="L1:L6"/>
    <mergeCell ref="M1:M6"/>
    <mergeCell ref="N1:N6"/>
    <mergeCell ref="O1:O6"/>
    <mergeCell ref="P1:P6"/>
    <mergeCell ref="P19:P20"/>
    <mergeCell ref="P21:P22"/>
    <mergeCell ref="P23:P24"/>
    <mergeCell ref="P25:P26"/>
    <mergeCell ref="Q1:Q6"/>
    <mergeCell ref="R1:R6"/>
    <mergeCell ref="S1:S6"/>
    <mergeCell ref="T1:T6"/>
    <mergeCell ref="U1:U6"/>
    <mergeCell ref="V1:V6"/>
    <mergeCell ref="W1:W6"/>
    <mergeCell ref="W21:W22"/>
    <mergeCell ref="W23:W24"/>
    <mergeCell ref="W25:W26"/>
    <mergeCell ref="W27:W28"/>
    <mergeCell ref="X1:X6"/>
    <mergeCell ref="Y1:Y6"/>
    <mergeCell ref="Z1:Z6"/>
    <mergeCell ref="AA1:AA6"/>
    <mergeCell ref="AA21:AA22"/>
    <mergeCell ref="AA23:AA24"/>
    <mergeCell ref="AA25:AA26"/>
    <mergeCell ref="AA27:AA28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M25:O26"/>
    <mergeCell ref="H17:K18"/>
    <mergeCell ref="M17:P18"/>
    <mergeCell ref="H19:J21"/>
    <mergeCell ref="M19:O20"/>
    <mergeCell ref="M21:O22"/>
    <mergeCell ref="H22:J24"/>
    <mergeCell ref="M23:O24"/>
    <mergeCell ref="D1:K2"/>
    <mergeCell ref="T19:AA20"/>
    <mergeCell ref="T21:V22"/>
    <mergeCell ref="X21:Z22"/>
    <mergeCell ref="T23:V24"/>
    <mergeCell ref="X23:Z24"/>
    <mergeCell ref="T25:V26"/>
    <mergeCell ref="X25:Z26"/>
    <mergeCell ref="T27:V28"/>
    <mergeCell ref="X27:Z28"/>
    <mergeCell ref="T29:V30"/>
    <mergeCell ref="W29:Z30"/>
    <mergeCell ref="T35:AA37"/>
    <mergeCell ref="T31:V32"/>
    <mergeCell ref="W31:Z32"/>
    <mergeCell ref="T33:V34"/>
    <mergeCell ref="W33:X34"/>
    <mergeCell ref="Y33:Z34"/>
  </mergeCells>
  <conditionalFormatting sqref="AR7:AR14">
    <cfRule type="containsText" dxfId="6" priority="1" operator="between" text="FEMALE DOM">
      <formula>NOT(ISERROR(SEARCH("FEMALE DOM",AR7)))</formula>
    </cfRule>
  </conditionalFormatting>
  <conditionalFormatting sqref="AZ7:AZ14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4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workbookViewId="0">
      <selection activeCell="A1" sqref="A1:AJ1"/>
    </sheetView>
  </sheetViews>
  <sheetFormatPr defaultColWidth="9" defaultRowHeight="14.5" outlineLevelRow="7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>
        <v>141</v>
      </c>
      <c r="B2" s="185" t="s">
        <v>280</v>
      </c>
      <c r="C2" s="184">
        <v>559</v>
      </c>
      <c r="D2" s="184">
        <v>188</v>
      </c>
      <c r="E2" s="184">
        <f t="shared" ref="E2:E7" si="0">(D2/C2)*100</f>
        <v>33.6314847942755</v>
      </c>
      <c r="F2" s="184">
        <v>351</v>
      </c>
      <c r="G2" s="184">
        <f t="shared" ref="G2:G7" si="1">(F2/C2)*100</f>
        <v>62.7906976744186</v>
      </c>
      <c r="H2" s="184">
        <v>6</v>
      </c>
      <c r="I2" s="184">
        <f t="shared" ref="I2:I7" si="2">(H2/C2)*100</f>
        <v>1.07334525939177</v>
      </c>
      <c r="J2" s="184">
        <v>5</v>
      </c>
      <c r="K2" s="184">
        <f t="shared" ref="K2:K7" si="3">(J2/C2)*100</f>
        <v>0.894454382826476</v>
      </c>
      <c r="L2" s="189">
        <v>404</v>
      </c>
      <c r="M2" s="189">
        <v>440</v>
      </c>
      <c r="N2" s="189">
        <f t="shared" ref="N2:N7" si="4">L2+M2</f>
        <v>844</v>
      </c>
      <c r="O2" s="184">
        <v>559</v>
      </c>
      <c r="P2" s="190">
        <f t="shared" ref="P2:P7" si="5">O2/N2*100</f>
        <v>66.2322274881517</v>
      </c>
      <c r="Q2" s="184">
        <v>382</v>
      </c>
      <c r="R2" s="184">
        <f t="shared" ref="R2:R7" si="6">(Q2/N2)*100</f>
        <v>45.260663507109</v>
      </c>
      <c r="S2" s="184">
        <f t="shared" ref="S2:S7" si="7">Q2-U2</f>
        <v>127</v>
      </c>
      <c r="T2" s="184">
        <f t="shared" ref="T2:T7" si="8">(S2/Q2)*100</f>
        <v>33.2460732984293</v>
      </c>
      <c r="U2" s="184">
        <v>255</v>
      </c>
      <c r="V2" s="191">
        <f t="shared" ref="V2:V7" si="9">IFERROR(U2/Q2*100,0)</f>
        <v>66.7539267015707</v>
      </c>
      <c r="W2" s="184">
        <f>384+92</f>
        <v>476</v>
      </c>
      <c r="X2" s="184">
        <f t="shared" ref="X2:X7" si="10">100-R2</f>
        <v>54.739336492891</v>
      </c>
      <c r="Y2" s="184">
        <f t="shared" ref="Y2:Y7" si="11">W2-AA2</f>
        <v>172</v>
      </c>
      <c r="Z2" s="193">
        <f t="shared" ref="Z2:Z7" si="12">(Y2/W2)*100</f>
        <v>36.1344537815126</v>
      </c>
      <c r="AA2" s="193">
        <f>251+53</f>
        <v>304</v>
      </c>
      <c r="AB2" s="194">
        <f t="shared" ref="AB2:AB7" si="13">IFERROR(AA2/W2*100,0)</f>
        <v>63.8655462184874</v>
      </c>
      <c r="AC2" s="193">
        <f t="shared" ref="AC2:AC7" si="14">U2+AA2</f>
        <v>559</v>
      </c>
      <c r="AD2" s="193" t="str">
        <f t="shared" ref="AD2:AD7" si="15">IF(P2&gt;80,"EXCELLENT",IF(P2&gt;70,"STRONG",IF(P2&gt;60,"AVG",IF(P2&gt;50,"WEAK",IF(P2&lt;50,"VLOW")))))</f>
        <v>AVG</v>
      </c>
      <c r="AE2" s="195" t="str">
        <f t="shared" ref="AE2:AE7" si="16">IF(R2&gt;80,"EXCELLENT",IF(R2&gt;70,"STRONG",IF(R2&gt;60,"AVG",IF(R2&gt;50,"WEAK",IF(R2&lt;50,"VLOW")))))</f>
        <v>VLOW</v>
      </c>
      <c r="AF2" s="193" t="str">
        <f t="shared" ref="AF2:AF7" si="17">IF(X2&gt;80,"EXCELLENT",IF(X2&gt;70,"STRONG",IF(X2&gt;60,"AVG",IF(X2&gt;50,"WEAK",IF(X2&lt;50,"VLOW")))))</f>
        <v>WEAK</v>
      </c>
      <c r="AG2" s="193" t="str">
        <f t="shared" ref="AG2:AG7" si="18">IF(M2&gt;L2,"FEMALE DOM","MEN")</f>
        <v>FEMALE DOM</v>
      </c>
      <c r="AH2" s="193" t="str">
        <f t="shared" ref="AH2:AH7" si="19">IF(T2&gt;Z2,"H","O")</f>
        <v>O</v>
      </c>
      <c r="AI2" s="197">
        <f>G2-E2</f>
        <v>29.1592128801431</v>
      </c>
      <c r="AJ2" s="198" t="str">
        <f t="shared" ref="AJ2:AJ8" si="20">IF(E2&gt;G2,"BJP GAIN","CONGRESSGAIN")</f>
        <v>CONGRESSGAIN</v>
      </c>
    </row>
    <row r="3" spans="1:36">
      <c r="A3">
        <v>142</v>
      </c>
      <c r="B3" s="185" t="s">
        <v>281</v>
      </c>
      <c r="C3" s="184">
        <v>960</v>
      </c>
      <c r="D3" s="184">
        <v>362</v>
      </c>
      <c r="E3" s="184">
        <f t="shared" si="0"/>
        <v>37.7083333333333</v>
      </c>
      <c r="F3" s="184">
        <v>534</v>
      </c>
      <c r="G3" s="184">
        <f t="shared" si="1"/>
        <v>55.625</v>
      </c>
      <c r="H3" s="184">
        <v>8</v>
      </c>
      <c r="I3" s="184">
        <f t="shared" si="2"/>
        <v>0.833333333333333</v>
      </c>
      <c r="J3" s="184">
        <v>11</v>
      </c>
      <c r="K3" s="184">
        <f t="shared" si="3"/>
        <v>1.14583333333333</v>
      </c>
      <c r="L3" s="189">
        <v>808</v>
      </c>
      <c r="M3" s="189">
        <v>777</v>
      </c>
      <c r="N3" s="189">
        <f t="shared" si="4"/>
        <v>1585</v>
      </c>
      <c r="O3" s="184">
        <v>960</v>
      </c>
      <c r="P3" s="190">
        <f t="shared" si="5"/>
        <v>60.5678233438486</v>
      </c>
      <c r="Q3" s="184"/>
      <c r="R3" s="184">
        <f t="shared" si="6"/>
        <v>0</v>
      </c>
      <c r="S3" s="184">
        <f t="shared" si="7"/>
        <v>0</v>
      </c>
      <c r="T3" s="184" t="e">
        <f t="shared" si="8"/>
        <v>#DIV/0!</v>
      </c>
      <c r="U3" s="184"/>
      <c r="V3" s="191">
        <f t="shared" si="9"/>
        <v>0</v>
      </c>
      <c r="W3" s="184"/>
      <c r="X3" s="184">
        <f t="shared" si="10"/>
        <v>100</v>
      </c>
      <c r="Y3" s="196">
        <f t="shared" si="11"/>
        <v>0</v>
      </c>
      <c r="Z3" s="193" t="e">
        <f t="shared" si="12"/>
        <v>#DIV/0!</v>
      </c>
      <c r="AA3" s="193"/>
      <c r="AB3" s="194">
        <f t="shared" si="13"/>
        <v>0</v>
      </c>
      <c r="AC3" s="193">
        <f t="shared" si="14"/>
        <v>0</v>
      </c>
      <c r="AD3" s="193" t="str">
        <f t="shared" si="15"/>
        <v>AVG</v>
      </c>
      <c r="AE3" s="195" t="str">
        <f t="shared" si="16"/>
        <v>VLOW</v>
      </c>
      <c r="AF3" s="193" t="str">
        <f t="shared" si="17"/>
        <v>EXCELLENT</v>
      </c>
      <c r="AG3" s="193" t="str">
        <f t="shared" si="18"/>
        <v>MEN</v>
      </c>
      <c r="AH3" s="193" t="e">
        <f t="shared" si="19"/>
        <v>#DIV/0!</v>
      </c>
      <c r="AI3" s="197">
        <f>G3-E3</f>
        <v>17.9166666666667</v>
      </c>
      <c r="AJ3" s="198" t="str">
        <f t="shared" si="20"/>
        <v>CONGRESSGAIN</v>
      </c>
    </row>
    <row r="4" spans="1:36">
      <c r="A4">
        <v>143</v>
      </c>
      <c r="B4" s="185" t="s">
        <v>282</v>
      </c>
      <c r="C4" s="184">
        <v>765</v>
      </c>
      <c r="D4" s="184">
        <v>469</v>
      </c>
      <c r="E4" s="184">
        <f t="shared" si="0"/>
        <v>61.3071895424837</v>
      </c>
      <c r="F4" s="184">
        <v>256</v>
      </c>
      <c r="G4" s="184">
        <f t="shared" si="1"/>
        <v>33.4640522875817</v>
      </c>
      <c r="H4" s="184">
        <v>5</v>
      </c>
      <c r="I4" s="184">
        <f t="shared" si="2"/>
        <v>0.65359477124183</v>
      </c>
      <c r="J4" s="184">
        <v>13</v>
      </c>
      <c r="K4" s="184">
        <f t="shared" si="3"/>
        <v>1.69934640522876</v>
      </c>
      <c r="L4" s="189">
        <v>531</v>
      </c>
      <c r="M4" s="189">
        <v>602</v>
      </c>
      <c r="N4" s="189">
        <f t="shared" si="4"/>
        <v>1133</v>
      </c>
      <c r="O4" s="184">
        <v>765</v>
      </c>
      <c r="P4" s="190">
        <f t="shared" si="5"/>
        <v>67.5198587819947</v>
      </c>
      <c r="Q4" s="184"/>
      <c r="R4" s="184">
        <f t="shared" si="6"/>
        <v>0</v>
      </c>
      <c r="S4" s="184">
        <f t="shared" si="7"/>
        <v>0</v>
      </c>
      <c r="T4" s="184" t="e">
        <f t="shared" si="8"/>
        <v>#DIV/0!</v>
      </c>
      <c r="U4" s="184"/>
      <c r="V4" s="191">
        <f t="shared" si="9"/>
        <v>0</v>
      </c>
      <c r="W4" s="184"/>
      <c r="X4" s="184">
        <f t="shared" si="10"/>
        <v>100</v>
      </c>
      <c r="Y4" s="184">
        <f t="shared" si="11"/>
        <v>0</v>
      </c>
      <c r="Z4" s="193" t="e">
        <f t="shared" si="12"/>
        <v>#DIV/0!</v>
      </c>
      <c r="AA4" s="193"/>
      <c r="AB4" s="194">
        <f t="shared" si="13"/>
        <v>0</v>
      </c>
      <c r="AC4" s="193">
        <f t="shared" si="14"/>
        <v>0</v>
      </c>
      <c r="AD4" s="193" t="str">
        <f t="shared" si="15"/>
        <v>AVG</v>
      </c>
      <c r="AE4" s="195" t="str">
        <f t="shared" si="16"/>
        <v>VLOW</v>
      </c>
      <c r="AF4" s="193" t="str">
        <f t="shared" si="17"/>
        <v>EXCELLENT</v>
      </c>
      <c r="AG4" s="193" t="str">
        <f t="shared" si="18"/>
        <v>FEMALE DOM</v>
      </c>
      <c r="AH4" s="193" t="e">
        <f t="shared" si="19"/>
        <v>#DIV/0!</v>
      </c>
      <c r="AI4" s="197">
        <f>E4-G4</f>
        <v>27.843137254902</v>
      </c>
      <c r="AJ4" s="199" t="str">
        <f t="shared" si="20"/>
        <v>BJP GAIN</v>
      </c>
    </row>
    <row r="5" spans="1:36">
      <c r="A5" s="184">
        <v>196</v>
      </c>
      <c r="B5" s="185" t="s">
        <v>283</v>
      </c>
      <c r="C5" s="184">
        <v>1147</v>
      </c>
      <c r="D5" s="184">
        <v>658</v>
      </c>
      <c r="E5" s="184">
        <f t="shared" si="0"/>
        <v>57.3670444638187</v>
      </c>
      <c r="F5" s="184">
        <v>431</v>
      </c>
      <c r="G5" s="184">
        <f t="shared" si="1"/>
        <v>37.5762859633827</v>
      </c>
      <c r="H5" s="184">
        <v>4</v>
      </c>
      <c r="I5" s="184">
        <f t="shared" si="2"/>
        <v>0.3487358326068</v>
      </c>
      <c r="J5" s="184">
        <v>27</v>
      </c>
      <c r="K5" s="184">
        <f t="shared" si="3"/>
        <v>2.3539668700959</v>
      </c>
      <c r="L5" s="189">
        <v>737</v>
      </c>
      <c r="M5" s="189">
        <v>805</v>
      </c>
      <c r="N5" s="189">
        <f t="shared" si="4"/>
        <v>1542</v>
      </c>
      <c r="O5" s="184">
        <v>1147</v>
      </c>
      <c r="P5" s="190">
        <f t="shared" si="5"/>
        <v>74.3839169909209</v>
      </c>
      <c r="Q5" s="184"/>
      <c r="R5" s="184">
        <f t="shared" si="6"/>
        <v>0</v>
      </c>
      <c r="S5" s="184">
        <f t="shared" si="7"/>
        <v>0</v>
      </c>
      <c r="T5" s="184" t="e">
        <f t="shared" si="8"/>
        <v>#DIV/0!</v>
      </c>
      <c r="U5" s="184"/>
      <c r="V5" s="191">
        <f t="shared" si="9"/>
        <v>0</v>
      </c>
      <c r="W5" s="184"/>
      <c r="X5" s="184">
        <f t="shared" si="10"/>
        <v>100</v>
      </c>
      <c r="Y5" s="196">
        <f t="shared" si="11"/>
        <v>0</v>
      </c>
      <c r="Z5" s="193" t="e">
        <f t="shared" si="12"/>
        <v>#DIV/0!</v>
      </c>
      <c r="AA5" s="193"/>
      <c r="AB5" s="194">
        <f t="shared" si="13"/>
        <v>0</v>
      </c>
      <c r="AC5" s="193">
        <f t="shared" si="14"/>
        <v>0</v>
      </c>
      <c r="AD5" s="193" t="str">
        <f t="shared" si="15"/>
        <v>STRONG</v>
      </c>
      <c r="AE5" s="195" t="str">
        <f t="shared" si="16"/>
        <v>VLOW</v>
      </c>
      <c r="AF5" s="193" t="str">
        <f t="shared" si="17"/>
        <v>EXCELLENT</v>
      </c>
      <c r="AG5" s="193" t="str">
        <f t="shared" si="18"/>
        <v>FEMALE DOM</v>
      </c>
      <c r="AH5" s="193" t="e">
        <f t="shared" si="19"/>
        <v>#DIV/0!</v>
      </c>
      <c r="AI5" s="197">
        <f t="shared" ref="AI5:AI8" si="21">E5-G5</f>
        <v>19.7907585004359</v>
      </c>
      <c r="AJ5" s="199" t="str">
        <f t="shared" si="20"/>
        <v>BJP GAIN</v>
      </c>
    </row>
    <row r="6" spans="1:36">
      <c r="A6">
        <v>215</v>
      </c>
      <c r="B6" s="185" t="s">
        <v>284</v>
      </c>
      <c r="C6" s="184">
        <v>771</v>
      </c>
      <c r="D6" s="184">
        <v>445</v>
      </c>
      <c r="E6" s="184">
        <f t="shared" si="0"/>
        <v>57.7172503242542</v>
      </c>
      <c r="F6" s="184">
        <v>290</v>
      </c>
      <c r="G6" s="184">
        <f t="shared" si="1"/>
        <v>37.6134889753567</v>
      </c>
      <c r="H6" s="184">
        <v>2</v>
      </c>
      <c r="I6" s="184">
        <f t="shared" si="2"/>
        <v>0.259403372243839</v>
      </c>
      <c r="J6" s="184">
        <v>23</v>
      </c>
      <c r="K6" s="184">
        <f t="shared" si="3"/>
        <v>2.98313878080415</v>
      </c>
      <c r="L6" s="189">
        <v>598</v>
      </c>
      <c r="M6" s="189">
        <v>623</v>
      </c>
      <c r="N6" s="189">
        <f t="shared" si="4"/>
        <v>1221</v>
      </c>
      <c r="O6" s="184">
        <v>771</v>
      </c>
      <c r="P6" s="190">
        <f t="shared" si="5"/>
        <v>63.1449631449631</v>
      </c>
      <c r="Q6" s="184"/>
      <c r="R6" s="184">
        <f t="shared" si="6"/>
        <v>0</v>
      </c>
      <c r="S6" s="184">
        <f t="shared" si="7"/>
        <v>0</v>
      </c>
      <c r="T6" s="184" t="e">
        <f t="shared" si="8"/>
        <v>#DIV/0!</v>
      </c>
      <c r="U6" s="184"/>
      <c r="V6" s="191">
        <f t="shared" si="9"/>
        <v>0</v>
      </c>
      <c r="W6" s="184"/>
      <c r="X6" s="184">
        <f t="shared" si="10"/>
        <v>100</v>
      </c>
      <c r="Y6" s="184">
        <f t="shared" si="11"/>
        <v>0</v>
      </c>
      <c r="Z6" s="193" t="e">
        <f t="shared" si="12"/>
        <v>#DIV/0!</v>
      </c>
      <c r="AA6" s="193"/>
      <c r="AB6" s="194">
        <f t="shared" si="13"/>
        <v>0</v>
      </c>
      <c r="AC6" s="193">
        <f t="shared" si="14"/>
        <v>0</v>
      </c>
      <c r="AD6" s="193" t="str">
        <f t="shared" si="15"/>
        <v>AVG</v>
      </c>
      <c r="AE6" s="195" t="str">
        <f t="shared" si="16"/>
        <v>VLOW</v>
      </c>
      <c r="AF6" s="193" t="str">
        <f t="shared" si="17"/>
        <v>EXCELLENT</v>
      </c>
      <c r="AG6" s="193" t="str">
        <f t="shared" si="18"/>
        <v>FEMALE DOM</v>
      </c>
      <c r="AH6" s="193" t="e">
        <f t="shared" si="19"/>
        <v>#DIV/0!</v>
      </c>
      <c r="AI6" s="197">
        <f t="shared" si="21"/>
        <v>20.1037613488975</v>
      </c>
      <c r="AJ6" s="199" t="str">
        <f t="shared" si="20"/>
        <v>BJP GAIN</v>
      </c>
    </row>
    <row r="7" spans="1:36">
      <c r="A7">
        <v>216</v>
      </c>
      <c r="B7" s="185" t="s">
        <v>285</v>
      </c>
      <c r="C7" s="184">
        <v>871</v>
      </c>
      <c r="D7" s="184">
        <v>434</v>
      </c>
      <c r="E7" s="184">
        <f t="shared" si="0"/>
        <v>49.8277841561424</v>
      </c>
      <c r="F7" s="184">
        <v>402</v>
      </c>
      <c r="G7" s="184">
        <f t="shared" si="1"/>
        <v>46.1538461538462</v>
      </c>
      <c r="H7" s="184">
        <v>5</v>
      </c>
      <c r="I7" s="184">
        <f t="shared" si="2"/>
        <v>0.574052812858783</v>
      </c>
      <c r="J7" s="184">
        <v>10</v>
      </c>
      <c r="K7" s="184">
        <f t="shared" si="3"/>
        <v>1.14810562571757</v>
      </c>
      <c r="L7" s="189">
        <v>608</v>
      </c>
      <c r="M7" s="189">
        <v>647</v>
      </c>
      <c r="N7" s="189">
        <f t="shared" si="4"/>
        <v>1255</v>
      </c>
      <c r="O7" s="184">
        <v>871</v>
      </c>
      <c r="P7" s="190">
        <f t="shared" si="5"/>
        <v>69.402390438247</v>
      </c>
      <c r="Q7" s="184"/>
      <c r="R7" s="184">
        <f t="shared" si="6"/>
        <v>0</v>
      </c>
      <c r="S7" s="184">
        <f t="shared" si="7"/>
        <v>0</v>
      </c>
      <c r="T7" s="184" t="e">
        <f t="shared" si="8"/>
        <v>#DIV/0!</v>
      </c>
      <c r="U7" s="184"/>
      <c r="V7" s="191">
        <f t="shared" si="9"/>
        <v>0</v>
      </c>
      <c r="W7" s="184"/>
      <c r="X7" s="184">
        <f t="shared" si="10"/>
        <v>100</v>
      </c>
      <c r="Y7" s="184">
        <f t="shared" si="11"/>
        <v>0</v>
      </c>
      <c r="Z7" s="193" t="e">
        <f t="shared" si="12"/>
        <v>#DIV/0!</v>
      </c>
      <c r="AA7" s="193"/>
      <c r="AB7" s="194">
        <f t="shared" si="13"/>
        <v>0</v>
      </c>
      <c r="AC7" s="193">
        <f t="shared" si="14"/>
        <v>0</v>
      </c>
      <c r="AD7" s="193" t="str">
        <f t="shared" si="15"/>
        <v>AVG</v>
      </c>
      <c r="AE7" s="195" t="str">
        <f t="shared" si="16"/>
        <v>VLOW</v>
      </c>
      <c r="AF7" s="193" t="str">
        <f t="shared" si="17"/>
        <v>EXCELLENT</v>
      </c>
      <c r="AG7" s="193" t="str">
        <f t="shared" si="18"/>
        <v>FEMALE DOM</v>
      </c>
      <c r="AH7" s="193" t="e">
        <f t="shared" si="19"/>
        <v>#DIV/0!</v>
      </c>
      <c r="AI7" s="197">
        <f t="shared" si="21"/>
        <v>3.67393800229621</v>
      </c>
      <c r="AJ7" s="199" t="str">
        <f t="shared" si="20"/>
        <v>BJP GAIN</v>
      </c>
    </row>
    <row r="8" spans="3:36">
      <c r="C8">
        <f>SUM(C2:C7)</f>
        <v>5073</v>
      </c>
      <c r="D8">
        <f>SUM(D2:D7)</f>
        <v>2556</v>
      </c>
      <c r="E8" s="186">
        <f>AVERAGE(E2:E7)</f>
        <v>49.5931811023846</v>
      </c>
      <c r="F8">
        <f>SUM(F2:F7)</f>
        <v>2264</v>
      </c>
      <c r="G8" s="186">
        <f>AVERAGE(G2:G7)</f>
        <v>45.5372285090976</v>
      </c>
      <c r="H8">
        <f>SUM(H2:H7)</f>
        <v>30</v>
      </c>
      <c r="I8" s="186">
        <f>AVERAGE(I2:I7)</f>
        <v>0.623744230279393</v>
      </c>
      <c r="J8">
        <f>SUM(J2:J7)</f>
        <v>89</v>
      </c>
      <c r="K8" s="186">
        <f>AVERAGE(K2:K7)</f>
        <v>1.7041408996677</v>
      </c>
      <c r="AI8" s="329">
        <f t="shared" si="21"/>
        <v>4.05595259328697</v>
      </c>
      <c r="AJ8" s="335" t="str">
        <f t="shared" si="20"/>
        <v>BJP GAIN</v>
      </c>
    </row>
  </sheetData>
  <conditionalFormatting sqref="AD5">
    <cfRule type="containsText" dxfId="8" priority="30" operator="between" text="AVG">
      <formula>NOT(ISERROR(SEARCH("AVG",AD5)))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NOT(ISERROR(SEARCH("VSTRONG",AD5)))</formula>
    </cfRule>
    <cfRule type="containsText" dxfId="10" priority="20" operator="between" text="AVG">
      <formula>NOT(ISERROR(SEARCH("AVG",AD5)))</formula>
    </cfRule>
  </conditionalFormatting>
  <conditionalFormatting sqref="AE5">
    <cfRule type="containsText" dxfId="3" priority="24" operator="between" text="STRONG">
      <formula>NOT(ISERROR(SEARCH("STRONG",AE5)))</formula>
    </cfRule>
    <cfRule type="containsText" dxfId="1" priority="22" operator="between" text="VSTRONG">
      <formula>NOT(ISERROR(SEARCH("VSTRONG",AE5)))</formula>
    </cfRule>
  </conditionalFormatting>
  <conditionalFormatting sqref="AE5:AF5">
    <cfRule type="containsText" dxfId="2" priority="23" operator="between" text="AVG">
      <formula>NOT(ISERROR(SEARCH("AVG",AE5)))</formula>
    </cfRule>
  </conditionalFormatting>
  <conditionalFormatting sqref="AF5">
    <cfRule type="cellIs" dxfId="11" priority="18" operator="equal">
      <formula>"VWEAK"</formula>
    </cfRule>
    <cfRule type="containsText" dxfId="0" priority="17" operator="between" text="VSTRONG">
      <formula>NOT(ISERROR(SEARCH("VSTRONG",AF5)))</formula>
    </cfRule>
  </conditionalFormatting>
  <conditionalFormatting sqref="AG5">
    <cfRule type="containsText" dxfId="12" priority="21" operator="between" text="FEMALE DOM">
      <formula>NOT(ISERROR(SEARCH("FEMALE DOM",AG5)))</formula>
    </cfRule>
    <cfRule type="containsText" dxfId="10" priority="16" operator="between" text="MEN">
      <formula>NOT(ISERROR(SEARCH("MEN",AG5)))</formula>
    </cfRule>
  </conditionalFormatting>
  <conditionalFormatting sqref="AH5">
    <cfRule type="containsText" dxfId="0" priority="27" operator="between" text="O">
      <formula>NOT(ISERROR(SEARCH("O",AH5)))</formula>
    </cfRule>
    <cfRule type="containsText" dxfId="3" priority="25" operator="between" text="H">
      <formula>NOT(ISERROR(SEARCH("H",AH5)))</formula>
    </cfRule>
    <cfRule type="containsText" dxfId="13" priority="26" operator="between" text="H">
      <formula>NOT(ISERROR(SEARCH("H",AH5)))</formula>
    </cfRule>
    <cfRule type="containsText" dxfId="1" priority="19" operator="between" text="H">
      <formula>NOT(ISERROR(SEARCH("H",AH5)))</formula>
    </cfRule>
  </conditionalFormatting>
  <conditionalFormatting sqref="AD2:AD4">
    <cfRule type="containsText" dxfId="8" priority="45" operator="between" text="AVG">
      <formula>NOT(ISERROR(SEARCH("AVG",AD2)))</formula>
    </cfRule>
    <cfRule type="cellIs" dxfId="9" priority="44" operator="equal">
      <formula>"STRONG"</formula>
    </cfRule>
    <cfRule type="containsText" dxfId="3" priority="43" operator="between" text="VSTRONG">
      <formula>NOT(ISERROR(SEARCH("VSTRONG",AD2)))</formula>
    </cfRule>
    <cfRule type="containsText" dxfId="10" priority="35" operator="between" text="AVG">
      <formula>NOT(ISERROR(SEARCH("AVG",AD2)))</formula>
    </cfRule>
  </conditionalFormatting>
  <conditionalFormatting sqref="AD6:AD7">
    <cfRule type="containsText" dxfId="8" priority="15" operator="between" text="AVG">
      <formula>NOT(ISERROR(SEARCH("AVG",AD6)))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NOT(ISERROR(SEARCH("VSTRONG",AD6)))</formula>
    </cfRule>
    <cfRule type="containsText" dxfId="10" priority="5" operator="between" text="AVG">
      <formula>NOT(ISERROR(SEARCH("AVG",AD6)))</formula>
    </cfRule>
  </conditionalFormatting>
  <conditionalFormatting sqref="AE2:AE4">
    <cfRule type="containsText" dxfId="3" priority="39" operator="between" text="STRONG">
      <formula>NOT(ISERROR(SEARCH("STRONG",AE2)))</formula>
    </cfRule>
    <cfRule type="containsText" dxfId="1" priority="37" operator="between" text="VSTRONG">
      <formula>NOT(ISERROR(SEARCH("VSTRONG",AE2)))</formula>
    </cfRule>
  </conditionalFormatting>
  <conditionalFormatting sqref="AE6:AE7">
    <cfRule type="containsText" dxfId="3" priority="9" operator="between" text="STRONG">
      <formula>NOT(ISERROR(SEARCH("STRONG",AE6)))</formula>
    </cfRule>
    <cfRule type="containsText" dxfId="1" priority="7" operator="between" text="VSTRONG">
      <formula>NOT(ISERROR(SEARCH("VSTRONG",AE6)))</formula>
    </cfRule>
  </conditionalFormatting>
  <conditionalFormatting sqref="AF2:AF4">
    <cfRule type="cellIs" dxfId="11" priority="33" operator="equal">
      <formula>"VWEAK"</formula>
    </cfRule>
    <cfRule type="containsText" dxfId="0" priority="32" operator="between" text="VSTRONG">
      <formula>NOT(ISERROR(SEARCH("VSTRONG",AF2)))</formula>
    </cfRule>
  </conditionalFormatting>
  <conditionalFormatting sqref="AF6:AF7">
    <cfRule type="cellIs" dxfId="11" priority="3" operator="equal">
      <formula>"VWEAK"</formula>
    </cfRule>
    <cfRule type="containsText" dxfId="0" priority="2" operator="between" text="VSTRONG">
      <formula>NOT(ISERROR(SEARCH("VSTRONG",AF6)))</formula>
    </cfRule>
  </conditionalFormatting>
  <conditionalFormatting sqref="AG2:AG4">
    <cfRule type="containsText" dxfId="12" priority="36" operator="between" text="FEMALE DOM">
      <formula>NOT(ISERROR(SEARCH("FEMALE DOM",AG2)))</formula>
    </cfRule>
    <cfRule type="containsText" dxfId="10" priority="31" operator="between" text="MEN">
      <formula>NOT(ISERROR(SEARCH("MEN",AG2)))</formula>
    </cfRule>
  </conditionalFormatting>
  <conditionalFormatting sqref="AG6:AG7">
    <cfRule type="containsText" dxfId="12" priority="6" operator="between" text="FEMALE DOM">
      <formula>NOT(ISERROR(SEARCH("FEMALE DOM",AG6)))</formula>
    </cfRule>
    <cfRule type="containsText" dxfId="10" priority="1" operator="between" text="MEN">
      <formula>NOT(ISERROR(SEARCH("MEN",AG6)))</formula>
    </cfRule>
  </conditionalFormatting>
  <conditionalFormatting sqref="AH2:AH4">
    <cfRule type="containsText" dxfId="0" priority="42" operator="between" text="O">
      <formula>NOT(ISERROR(SEARCH("O",AH2)))</formula>
    </cfRule>
    <cfRule type="containsText" dxfId="3" priority="40" operator="between" text="H">
      <formula>NOT(ISERROR(SEARCH("H",AH2)))</formula>
    </cfRule>
    <cfRule type="containsText" dxfId="13" priority="41" operator="between" text="H">
      <formula>NOT(ISERROR(SEARCH("H",AH2)))</formula>
    </cfRule>
    <cfRule type="containsText" dxfId="1" priority="34" operator="between" text="H">
      <formula>NOT(ISERROR(SEARCH("H",AH2)))</formula>
    </cfRule>
  </conditionalFormatting>
  <conditionalFormatting sqref="AH6:AH7">
    <cfRule type="containsText" dxfId="0" priority="12" operator="between" text="O">
      <formula>NOT(ISERROR(SEARCH("O",AH6)))</formula>
    </cfRule>
    <cfRule type="containsText" dxfId="3" priority="10" operator="between" text="H">
      <formula>NOT(ISERROR(SEARCH("H",AH6)))</formula>
    </cfRule>
    <cfRule type="containsText" dxfId="13" priority="11" operator="between" text="H">
      <formula>NOT(ISERROR(SEARCH("H",AH6)))</formula>
    </cfRule>
    <cfRule type="containsText" dxfId="1" priority="4" operator="between" text="H">
      <formula>NOT(ISERROR(SEARCH("H",AH6)))</formula>
    </cfRule>
  </conditionalFormatting>
  <conditionalFormatting sqref="AE2:AF4">
    <cfRule type="containsText" dxfId="2" priority="38" operator="between" text="AVG">
      <formula>NOT(ISERROR(SEARCH("AVG",AE2)))</formula>
    </cfRule>
  </conditionalFormatting>
  <conditionalFormatting sqref="AE6:AF7">
    <cfRule type="containsText" dxfId="2" priority="8" operator="between" text="AVG">
      <formula>NOT(ISERROR(SEARCH("AVG",AE6)))</formula>
    </cfRule>
  </conditionalFormatting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4"/>
  <sheetViews>
    <sheetView topLeftCell="T16" workbookViewId="0">
      <selection activeCell="T16" sqref="T16:AA34"/>
    </sheetView>
  </sheetViews>
  <sheetFormatPr defaultColWidth="9" defaultRowHeight="14.5"/>
  <cols>
    <col min="26" max="26" width="12.1363636363636" customWidth="1"/>
    <col min="27" max="27" width="11.2818181818182" customWidth="1"/>
  </cols>
  <sheetData>
    <row r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336" t="s">
        <v>48</v>
      </c>
      <c r="B7" s="337">
        <v>62</v>
      </c>
      <c r="C7" s="337">
        <v>703</v>
      </c>
      <c r="D7" s="337">
        <v>84</v>
      </c>
      <c r="E7" s="337">
        <v>410</v>
      </c>
      <c r="F7" s="337">
        <v>1</v>
      </c>
      <c r="G7" s="337">
        <v>2</v>
      </c>
      <c r="H7" s="337">
        <v>0</v>
      </c>
      <c r="I7" s="337">
        <v>0</v>
      </c>
      <c r="J7" s="337">
        <v>1</v>
      </c>
      <c r="K7" s="337">
        <v>1</v>
      </c>
      <c r="L7" s="337">
        <v>499</v>
      </c>
      <c r="M7" s="337">
        <v>0</v>
      </c>
      <c r="N7" s="337">
        <v>4</v>
      </c>
      <c r="O7" s="337">
        <f t="shared" ref="O7:O12" si="0">D7+E7+F7+G7+H7+I7+J7+K7+N7</f>
        <v>503</v>
      </c>
      <c r="P7" s="337">
        <f t="shared" ref="P7:P12" si="1">(O7/C7)*100</f>
        <v>71.5504978662873</v>
      </c>
      <c r="Q7" s="337">
        <f t="shared" ref="Q7:Q12" si="2">(E7/O7)*100</f>
        <v>81.5109343936382</v>
      </c>
      <c r="R7" s="337">
        <f t="shared" ref="R7:R12" si="3">(D7/O7)*100</f>
        <v>16.6998011928429</v>
      </c>
      <c r="S7" s="337">
        <f t="shared" ref="S7:S12" si="4">(F7/O7)*100</f>
        <v>0.198807157057654</v>
      </c>
      <c r="T7" s="337">
        <f t="shared" ref="T7:T12" si="5">(G7/O7)*100</f>
        <v>0.397614314115308</v>
      </c>
      <c r="U7" s="337">
        <f t="shared" ref="U7:U12" si="6">((H7+I7+J7+K7)/O7)*100</f>
        <v>0.397614314115308</v>
      </c>
      <c r="V7" s="337">
        <f t="shared" ref="V7:V12" si="7">(N7/O7)*100</f>
        <v>0.795228628230616</v>
      </c>
      <c r="W7" s="337">
        <f>Q7-R7</f>
        <v>64.8111332007952</v>
      </c>
      <c r="X7" s="337">
        <f>Q7-(R7+S7+T7+'KADRI NORTH'!U7)</f>
        <v>63.817097415507</v>
      </c>
      <c r="Y7" s="337" t="str">
        <f>IF(AND(W7&lt;0,W7&lt;=1),"LOST",IF(AND(W7&gt;1,W7&lt;=10),"NARROW",IF(AND(W7&gt;10,W7&lt;=40),"MEDIUM",IF(AND(W7&gt;40,W7&lt;=90),"STRONG",""))))</f>
        <v>STRONG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695</v>
      </c>
      <c r="AC7">
        <v>488</v>
      </c>
      <c r="AD7">
        <v>332</v>
      </c>
      <c r="AE7">
        <v>238</v>
      </c>
      <c r="AF7">
        <v>363</v>
      </c>
      <c r="AG7">
        <v>250</v>
      </c>
      <c r="AH7">
        <v>666</v>
      </c>
      <c r="AI7">
        <v>475</v>
      </c>
      <c r="AJ7">
        <v>0</v>
      </c>
      <c r="AK7">
        <v>0</v>
      </c>
      <c r="AL7">
        <v>29</v>
      </c>
      <c r="AM7">
        <v>13</v>
      </c>
      <c r="AN7" s="248">
        <f>(AD7/AB7)*100</f>
        <v>47.7697841726619</v>
      </c>
      <c r="AO7" s="316">
        <f>(AE7/AC7)*100</f>
        <v>48.7704918032787</v>
      </c>
      <c r="AP7" s="317">
        <f>(AF7/AB7)*100</f>
        <v>52.2302158273381</v>
      </c>
      <c r="AQ7" s="318">
        <f>(AG7/AC7)*100</f>
        <v>51.2295081967213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95.8273381294964</v>
      </c>
      <c r="AU7" s="317">
        <f>(AI7/AC7)*100</f>
        <v>97.3360655737705</v>
      </c>
      <c r="AV7" s="248">
        <f>(AJ7/AB7)*100</f>
        <v>0</v>
      </c>
      <c r="AW7" s="317">
        <f>(AK7/AC7)*100</f>
        <v>0</v>
      </c>
      <c r="AX7" s="248">
        <f>(AL7/AB7)*100</f>
        <v>4.1726618705036</v>
      </c>
      <c r="AY7" s="317">
        <f>(AM7/AC7)*100</f>
        <v>2.66393442622951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2:53">
      <c r="B8" s="337">
        <v>63</v>
      </c>
      <c r="C8" s="337">
        <v>1194</v>
      </c>
      <c r="D8" s="337">
        <v>183</v>
      </c>
      <c r="E8" s="337">
        <v>580</v>
      </c>
      <c r="F8" s="337">
        <v>1</v>
      </c>
      <c r="G8" s="337">
        <v>10</v>
      </c>
      <c r="H8" s="337">
        <v>1</v>
      </c>
      <c r="I8" s="337">
        <v>0</v>
      </c>
      <c r="J8" s="337">
        <v>0</v>
      </c>
      <c r="K8" s="337">
        <v>0</v>
      </c>
      <c r="L8" s="337">
        <v>775</v>
      </c>
      <c r="M8" s="337">
        <v>0</v>
      </c>
      <c r="N8" s="337">
        <v>7</v>
      </c>
      <c r="O8" s="337">
        <f t="shared" si="0"/>
        <v>782</v>
      </c>
      <c r="P8" s="337">
        <f t="shared" si="1"/>
        <v>65.4941373534338</v>
      </c>
      <c r="Q8" s="337">
        <f t="shared" si="2"/>
        <v>74.1687979539642</v>
      </c>
      <c r="R8" s="337">
        <f t="shared" si="3"/>
        <v>23.4015345268542</v>
      </c>
      <c r="S8" s="337">
        <f t="shared" si="4"/>
        <v>0.127877237851662</v>
      </c>
      <c r="T8" s="337">
        <f t="shared" si="5"/>
        <v>1.27877237851662</v>
      </c>
      <c r="U8" s="337">
        <f t="shared" si="6"/>
        <v>0.127877237851662</v>
      </c>
      <c r="V8" s="337">
        <f t="shared" si="7"/>
        <v>0.895140664961637</v>
      </c>
      <c r="W8" s="337">
        <f t="shared" ref="W8:W12" si="8">Q8-R8</f>
        <v>50.76726342711</v>
      </c>
      <c r="X8" s="337">
        <f>Q8-(R8+S8+T8+U8)</f>
        <v>49.23273657289</v>
      </c>
      <c r="Y8" s="337" t="str">
        <f t="shared" ref="Y8:Y13" si="9">IF(AND(W8&lt;0,W8&lt;=1),"LOST",IF(AND(W8&gt;1,W8&lt;=10),"NARROW",IF(AND(W8&gt;10,W8&lt;=40),"MEDIUM",IF(AND(W8&gt;40,W8&lt;=90),"STRONG",""))))</f>
        <v>STRONG</v>
      </c>
      <c r="Z8" s="285" t="str">
        <f t="shared" ref="Z8:Z13" si="10">IF(AND(P8&lt;0,P8&lt;=10),"WEAK",IF(AND(P8&gt;10,P8&lt;20),"BELOW AVG",IF(AND(P8&gt;20,P8&lt;=60),"MEDIUM",IF(AND(P8&gt;60,P8&lt;=90),"STRONG",""))))</f>
        <v>STRONG</v>
      </c>
      <c r="AA8" s="333" t="str">
        <f t="shared" ref="AA8:AA13" si="11">IF(Q8&gt;R8,"BJP","CONGRESS")</f>
        <v>BJP</v>
      </c>
      <c r="AB8">
        <v>1189</v>
      </c>
      <c r="AC8">
        <v>788</v>
      </c>
      <c r="AD8">
        <v>569</v>
      </c>
      <c r="AE8">
        <v>376</v>
      </c>
      <c r="AF8">
        <v>620</v>
      </c>
      <c r="AG8">
        <v>412</v>
      </c>
      <c r="AH8">
        <v>1023</v>
      </c>
      <c r="AI8">
        <v>683</v>
      </c>
      <c r="AJ8">
        <v>14</v>
      </c>
      <c r="AK8">
        <v>5</v>
      </c>
      <c r="AL8">
        <v>152</v>
      </c>
      <c r="AM8">
        <v>100</v>
      </c>
      <c r="AN8" s="248">
        <f t="shared" ref="AN8:AO11" si="12">(AD8/AB8)*100</f>
        <v>47.8553406223717</v>
      </c>
      <c r="AO8" s="316">
        <f t="shared" si="12"/>
        <v>47.7157360406091</v>
      </c>
      <c r="AP8" s="317">
        <f t="shared" ref="AP8:AQ11" si="13">(AF8/AB8)*100</f>
        <v>52.1446593776283</v>
      </c>
      <c r="AQ8" s="318">
        <f t="shared" si="13"/>
        <v>52.2842639593909</v>
      </c>
      <c r="AR8" s="318" t="str">
        <f t="shared" ref="AR8:AR12" si="14">IF(AN8&gt;AP8,"MALE DOM","FEMALE DOM")</f>
        <v>FEMALE DOM</v>
      </c>
      <c r="AS8" s="319" t="str">
        <f t="shared" ref="AS8:AS12" si="15">IF(AO8&gt;AP8,"MALE","FEMALE")</f>
        <v>FEMALE</v>
      </c>
      <c r="AT8" s="317">
        <f t="shared" ref="AT8:AU11" si="16">(AH8/AB8)*100</f>
        <v>86.0386879730866</v>
      </c>
      <c r="AU8" s="317">
        <f t="shared" si="16"/>
        <v>86.6751269035533</v>
      </c>
      <c r="AV8" s="248">
        <f t="shared" ref="AV8:AW11" si="17">(AJ8/AB8)*100</f>
        <v>1.17746005046257</v>
      </c>
      <c r="AW8" s="317">
        <f t="shared" si="17"/>
        <v>0.634517766497462</v>
      </c>
      <c r="AX8" s="248">
        <f t="shared" ref="AX8:AY11" si="18">(AL8/AB8)*100</f>
        <v>12.7838519764508</v>
      </c>
      <c r="AY8" s="317">
        <f t="shared" si="18"/>
        <v>12.6903553299492</v>
      </c>
      <c r="AZ8" s="248" t="str">
        <f t="shared" ref="AZ8:AZ12" si="19">IF(AT8&gt;(AV8+AX8),"HINDU","MINORITY")</f>
        <v>HINDU</v>
      </c>
      <c r="BA8" s="318" t="str">
        <f t="shared" ref="BA8:BA12" si="20">IF(AU8&gt;(AW8+AY8),"HIND","MINORITY")</f>
        <v>HIND</v>
      </c>
    </row>
    <row r="9" spans="2:53">
      <c r="B9" s="219">
        <v>30</v>
      </c>
      <c r="C9" s="219">
        <v>1500</v>
      </c>
      <c r="D9" s="219">
        <v>306</v>
      </c>
      <c r="E9" s="219">
        <v>703</v>
      </c>
      <c r="F9" s="219">
        <v>3</v>
      </c>
      <c r="G9" s="219">
        <v>2</v>
      </c>
      <c r="H9" s="219">
        <v>1</v>
      </c>
      <c r="I9" s="219">
        <v>0</v>
      </c>
      <c r="J9" s="219">
        <v>2</v>
      </c>
      <c r="K9" s="219">
        <v>1</v>
      </c>
      <c r="L9" s="219">
        <v>1018</v>
      </c>
      <c r="M9" s="219">
        <v>0</v>
      </c>
      <c r="N9" s="219">
        <v>6</v>
      </c>
      <c r="O9" s="219">
        <f t="shared" si="0"/>
        <v>1024</v>
      </c>
      <c r="P9" s="219">
        <f t="shared" si="1"/>
        <v>68.2666666666667</v>
      </c>
      <c r="Q9" s="219">
        <f t="shared" si="2"/>
        <v>68.65234375</v>
      </c>
      <c r="R9" s="219">
        <f t="shared" si="3"/>
        <v>29.8828125</v>
      </c>
      <c r="S9" s="219">
        <f t="shared" si="4"/>
        <v>0.29296875</v>
      </c>
      <c r="T9" s="219">
        <f t="shared" si="5"/>
        <v>0.1953125</v>
      </c>
      <c r="U9" s="219">
        <f t="shared" si="6"/>
        <v>0.390625</v>
      </c>
      <c r="V9" s="219">
        <f t="shared" si="7"/>
        <v>0.5859375</v>
      </c>
      <c r="W9" s="219">
        <f t="shared" si="8"/>
        <v>38.76953125</v>
      </c>
      <c r="X9" s="219">
        <f>Q9-(R9+S9+T9+U9)</f>
        <v>37.890625</v>
      </c>
      <c r="Y9" s="219" t="str">
        <f t="shared" si="9"/>
        <v>MEDIUM</v>
      </c>
      <c r="Z9" s="283" t="str">
        <f t="shared" si="10"/>
        <v>STRONG</v>
      </c>
      <c r="AA9" s="289" t="str">
        <f t="shared" si="11"/>
        <v>BJP</v>
      </c>
      <c r="AB9">
        <v>1489</v>
      </c>
      <c r="AC9">
        <v>1018</v>
      </c>
      <c r="AD9">
        <v>687</v>
      </c>
      <c r="AE9">
        <v>466</v>
      </c>
      <c r="AF9">
        <v>802</v>
      </c>
      <c r="AG9">
        <v>552</v>
      </c>
      <c r="AH9">
        <v>1382</v>
      </c>
      <c r="AI9">
        <v>950</v>
      </c>
      <c r="AJ9">
        <v>7</v>
      </c>
      <c r="AK9">
        <v>4</v>
      </c>
      <c r="AL9">
        <v>100</v>
      </c>
      <c r="AM9">
        <v>64</v>
      </c>
      <c r="AN9" s="248">
        <f t="shared" si="12"/>
        <v>46.1383478844862</v>
      </c>
      <c r="AO9" s="316">
        <f t="shared" si="12"/>
        <v>45.7760314341847</v>
      </c>
      <c r="AP9" s="317">
        <f t="shared" si="13"/>
        <v>53.8616521155138</v>
      </c>
      <c r="AQ9" s="318">
        <f t="shared" si="13"/>
        <v>54.2239685658153</v>
      </c>
      <c r="AR9" s="318" t="str">
        <f t="shared" si="14"/>
        <v>FEMALE DOM</v>
      </c>
      <c r="AS9" s="319" t="str">
        <f t="shared" si="15"/>
        <v>FEMALE</v>
      </c>
      <c r="AT9" s="317">
        <f t="shared" si="16"/>
        <v>92.8139691067831</v>
      </c>
      <c r="AU9" s="317">
        <f t="shared" si="16"/>
        <v>93.3202357563851</v>
      </c>
      <c r="AV9" s="248">
        <f t="shared" si="17"/>
        <v>0.470114170584285</v>
      </c>
      <c r="AW9" s="317">
        <f t="shared" si="17"/>
        <v>0.392927308447937</v>
      </c>
      <c r="AX9" s="248">
        <f t="shared" si="18"/>
        <v>6.71591672263264</v>
      </c>
      <c r="AY9" s="317">
        <f t="shared" si="18"/>
        <v>6.28683693516699</v>
      </c>
      <c r="AZ9" s="248" t="str">
        <f t="shared" si="19"/>
        <v>HINDU</v>
      </c>
      <c r="BA9" s="318" t="str">
        <f t="shared" si="20"/>
        <v>HIND</v>
      </c>
    </row>
    <row r="10" spans="2:53">
      <c r="B10" s="337">
        <v>27</v>
      </c>
      <c r="C10" s="337">
        <v>1052</v>
      </c>
      <c r="D10" s="337">
        <v>186</v>
      </c>
      <c r="E10" s="337">
        <v>449</v>
      </c>
      <c r="F10" s="337">
        <v>1</v>
      </c>
      <c r="G10" s="337">
        <v>6</v>
      </c>
      <c r="H10" s="337">
        <v>1</v>
      </c>
      <c r="I10" s="337">
        <v>1</v>
      </c>
      <c r="J10" s="337">
        <v>0</v>
      </c>
      <c r="K10" s="337">
        <v>0</v>
      </c>
      <c r="L10" s="337">
        <v>644</v>
      </c>
      <c r="M10" s="337">
        <v>0</v>
      </c>
      <c r="N10" s="337">
        <v>6</v>
      </c>
      <c r="O10" s="337">
        <f t="shared" si="0"/>
        <v>650</v>
      </c>
      <c r="P10" s="337">
        <f t="shared" si="1"/>
        <v>61.787072243346</v>
      </c>
      <c r="Q10" s="337">
        <f t="shared" si="2"/>
        <v>69.0769230769231</v>
      </c>
      <c r="R10" s="337">
        <f t="shared" si="3"/>
        <v>28.6153846153846</v>
      </c>
      <c r="S10" s="337">
        <f t="shared" si="4"/>
        <v>0.153846153846154</v>
      </c>
      <c r="T10" s="337">
        <f t="shared" si="5"/>
        <v>0.923076923076923</v>
      </c>
      <c r="U10" s="337">
        <f t="shared" si="6"/>
        <v>0.307692307692308</v>
      </c>
      <c r="V10" s="337">
        <f t="shared" si="7"/>
        <v>0.923076923076923</v>
      </c>
      <c r="W10" s="337">
        <f t="shared" si="8"/>
        <v>40.4615384615385</v>
      </c>
      <c r="X10" s="337">
        <f t="shared" ref="X10:X12" si="21">Q10-(R10+S10+T10+U10)</f>
        <v>39.0769230769231</v>
      </c>
      <c r="Y10" s="337" t="str">
        <f t="shared" si="9"/>
        <v>STRONG</v>
      </c>
      <c r="Z10" s="285" t="str">
        <f t="shared" si="10"/>
        <v>STRONG</v>
      </c>
      <c r="AA10" s="289" t="str">
        <f t="shared" si="11"/>
        <v>BJP</v>
      </c>
      <c r="AB10">
        <v>1050</v>
      </c>
      <c r="AC10">
        <v>652</v>
      </c>
      <c r="AD10">
        <v>503</v>
      </c>
      <c r="AE10">
        <v>315</v>
      </c>
      <c r="AF10">
        <v>547</v>
      </c>
      <c r="AG10">
        <v>337</v>
      </c>
      <c r="AH10">
        <v>870</v>
      </c>
      <c r="AI10">
        <v>544</v>
      </c>
      <c r="AJ10">
        <v>11</v>
      </c>
      <c r="AK10">
        <v>6</v>
      </c>
      <c r="AL10">
        <v>169</v>
      </c>
      <c r="AM10">
        <v>102</v>
      </c>
      <c r="AN10" s="248">
        <f t="shared" si="12"/>
        <v>47.9047619047619</v>
      </c>
      <c r="AO10" s="316">
        <f t="shared" si="12"/>
        <v>48.3128834355828</v>
      </c>
      <c r="AP10" s="317">
        <f t="shared" si="13"/>
        <v>52.0952380952381</v>
      </c>
      <c r="AQ10" s="318">
        <f t="shared" si="13"/>
        <v>51.6871165644172</v>
      </c>
      <c r="AR10" s="318" t="str">
        <f t="shared" si="14"/>
        <v>FEMALE DOM</v>
      </c>
      <c r="AS10" s="319" t="str">
        <f t="shared" si="15"/>
        <v>FEMALE</v>
      </c>
      <c r="AT10" s="317">
        <f t="shared" si="16"/>
        <v>82.8571428571429</v>
      </c>
      <c r="AU10" s="317">
        <f t="shared" si="16"/>
        <v>83.4355828220859</v>
      </c>
      <c r="AV10" s="248">
        <f t="shared" si="17"/>
        <v>1.04761904761905</v>
      </c>
      <c r="AW10" s="317">
        <f t="shared" si="17"/>
        <v>0.920245398773006</v>
      </c>
      <c r="AX10" s="248">
        <f t="shared" si="18"/>
        <v>16.0952380952381</v>
      </c>
      <c r="AY10" s="317">
        <f t="shared" si="18"/>
        <v>15.6441717791411</v>
      </c>
      <c r="AZ10" s="248" t="str">
        <f t="shared" si="19"/>
        <v>HINDU</v>
      </c>
      <c r="BA10" s="318" t="str">
        <f t="shared" si="20"/>
        <v>HIND</v>
      </c>
    </row>
    <row r="11" spans="2:53">
      <c r="B11" s="219">
        <v>28</v>
      </c>
      <c r="C11" s="219">
        <v>906</v>
      </c>
      <c r="D11" s="219">
        <v>201</v>
      </c>
      <c r="E11" s="219">
        <v>347</v>
      </c>
      <c r="F11" s="219">
        <v>2</v>
      </c>
      <c r="G11" s="219">
        <v>4</v>
      </c>
      <c r="H11" s="219">
        <v>0</v>
      </c>
      <c r="I11" s="219">
        <v>1</v>
      </c>
      <c r="J11" s="219">
        <v>0</v>
      </c>
      <c r="K11" s="219">
        <v>0</v>
      </c>
      <c r="L11" s="219">
        <v>555</v>
      </c>
      <c r="M11" s="219">
        <v>0</v>
      </c>
      <c r="N11" s="219">
        <v>1</v>
      </c>
      <c r="O11" s="219">
        <f t="shared" si="0"/>
        <v>556</v>
      </c>
      <c r="P11" s="219">
        <f t="shared" si="1"/>
        <v>61.3686534216336</v>
      </c>
      <c r="Q11" s="219">
        <f t="shared" si="2"/>
        <v>62.410071942446</v>
      </c>
      <c r="R11" s="219">
        <f t="shared" si="3"/>
        <v>36.1510791366906</v>
      </c>
      <c r="S11" s="219">
        <f t="shared" si="4"/>
        <v>0.359712230215827</v>
      </c>
      <c r="T11" s="219">
        <f t="shared" si="5"/>
        <v>0.719424460431655</v>
      </c>
      <c r="U11" s="219">
        <f t="shared" si="6"/>
        <v>0.179856115107914</v>
      </c>
      <c r="V11" s="219">
        <f t="shared" si="7"/>
        <v>0.179856115107914</v>
      </c>
      <c r="W11" s="219">
        <f t="shared" si="8"/>
        <v>26.2589928057554</v>
      </c>
      <c r="X11" s="219">
        <f t="shared" si="21"/>
        <v>25</v>
      </c>
      <c r="Y11" s="219" t="str">
        <f t="shared" si="9"/>
        <v>MEDIUM</v>
      </c>
      <c r="Z11" s="341" t="str">
        <f t="shared" si="10"/>
        <v>STRONG</v>
      </c>
      <c r="AA11" s="289" t="str">
        <f t="shared" si="11"/>
        <v>BJP</v>
      </c>
      <c r="AB11">
        <v>902</v>
      </c>
      <c r="AC11">
        <v>558</v>
      </c>
      <c r="AD11">
        <v>431</v>
      </c>
      <c r="AE11">
        <v>270</v>
      </c>
      <c r="AF11">
        <v>471</v>
      </c>
      <c r="AG11">
        <v>288</v>
      </c>
      <c r="AH11">
        <v>690</v>
      </c>
      <c r="AI11">
        <v>437</v>
      </c>
      <c r="AJ11">
        <v>13</v>
      </c>
      <c r="AK11">
        <v>9</v>
      </c>
      <c r="AL11">
        <v>199</v>
      </c>
      <c r="AM11">
        <v>112</v>
      </c>
      <c r="AN11" s="248">
        <f t="shared" si="12"/>
        <v>47.7827050997783</v>
      </c>
      <c r="AO11" s="316">
        <f t="shared" si="12"/>
        <v>48.3870967741936</v>
      </c>
      <c r="AP11" s="317">
        <f t="shared" si="13"/>
        <v>52.2172949002217</v>
      </c>
      <c r="AQ11" s="318">
        <f t="shared" si="13"/>
        <v>51.6129032258064</v>
      </c>
      <c r="AR11" s="318" t="str">
        <f t="shared" si="14"/>
        <v>FEMALE DOM</v>
      </c>
      <c r="AS11" s="319" t="str">
        <f t="shared" si="15"/>
        <v>FEMALE</v>
      </c>
      <c r="AT11" s="317">
        <f t="shared" si="16"/>
        <v>76.4966740576497</v>
      </c>
      <c r="AU11" s="317">
        <f t="shared" si="16"/>
        <v>78.3154121863799</v>
      </c>
      <c r="AV11" s="248">
        <f t="shared" si="17"/>
        <v>1.44124168514412</v>
      </c>
      <c r="AW11" s="317">
        <f t="shared" si="17"/>
        <v>1.61290322580645</v>
      </c>
      <c r="AX11" s="248">
        <f t="shared" si="18"/>
        <v>22.0620842572062</v>
      </c>
      <c r="AY11" s="317">
        <f t="shared" si="18"/>
        <v>20.0716845878136</v>
      </c>
      <c r="AZ11" s="248" t="str">
        <f t="shared" si="19"/>
        <v>HINDU</v>
      </c>
      <c r="BA11" s="318" t="str">
        <f t="shared" si="20"/>
        <v>HIND</v>
      </c>
    </row>
    <row r="12" ht="21" spans="2:53">
      <c r="B12" s="337">
        <v>29</v>
      </c>
      <c r="C12" s="337">
        <v>1441</v>
      </c>
      <c r="D12" s="337">
        <v>205</v>
      </c>
      <c r="E12" s="337">
        <v>707</v>
      </c>
      <c r="F12" s="337">
        <v>3</v>
      </c>
      <c r="G12" s="337">
        <v>4</v>
      </c>
      <c r="H12" s="337">
        <v>0</v>
      </c>
      <c r="I12" s="337">
        <v>2</v>
      </c>
      <c r="J12" s="337">
        <v>1</v>
      </c>
      <c r="K12" s="337">
        <v>2</v>
      </c>
      <c r="L12" s="337">
        <v>924</v>
      </c>
      <c r="M12" s="337">
        <v>0</v>
      </c>
      <c r="N12" s="337">
        <v>6</v>
      </c>
      <c r="O12" s="337">
        <f t="shared" si="0"/>
        <v>930</v>
      </c>
      <c r="P12" s="337">
        <f t="shared" si="1"/>
        <v>64.5385149201943</v>
      </c>
      <c r="Q12" s="337">
        <f t="shared" si="2"/>
        <v>76.0215053763441</v>
      </c>
      <c r="R12" s="337">
        <f t="shared" si="3"/>
        <v>22.0430107526882</v>
      </c>
      <c r="S12" s="337">
        <f t="shared" si="4"/>
        <v>0.32258064516129</v>
      </c>
      <c r="T12" s="337">
        <f t="shared" si="5"/>
        <v>0.43010752688172</v>
      </c>
      <c r="U12" s="337">
        <f t="shared" si="6"/>
        <v>0.537634408602151</v>
      </c>
      <c r="V12" s="337">
        <f t="shared" si="7"/>
        <v>0.645161290322581</v>
      </c>
      <c r="W12" s="337">
        <f t="shared" si="8"/>
        <v>53.9784946236559</v>
      </c>
      <c r="X12" s="337">
        <f t="shared" si="21"/>
        <v>52.6881720430108</v>
      </c>
      <c r="Y12" s="337" t="str">
        <f t="shared" si="9"/>
        <v>STRONG</v>
      </c>
      <c r="Z12" s="350" t="str">
        <f t="shared" si="10"/>
        <v>STRONG</v>
      </c>
      <c r="AA12" s="351" t="str">
        <f t="shared" si="11"/>
        <v>BJP</v>
      </c>
      <c r="AB12">
        <v>1424</v>
      </c>
      <c r="AC12">
        <v>905</v>
      </c>
      <c r="AD12">
        <v>648</v>
      </c>
      <c r="AE12">
        <v>415</v>
      </c>
      <c r="AF12">
        <v>776</v>
      </c>
      <c r="AG12">
        <v>490</v>
      </c>
      <c r="AH12">
        <v>1224</v>
      </c>
      <c r="AI12">
        <v>813</v>
      </c>
      <c r="AJ12">
        <v>0</v>
      </c>
      <c r="AK12">
        <v>0</v>
      </c>
      <c r="AL12">
        <v>200</v>
      </c>
      <c r="AM12">
        <v>92</v>
      </c>
      <c r="AN12" s="248">
        <f>(AD12/AB12)*100</f>
        <v>45.5056179775281</v>
      </c>
      <c r="AO12" s="316">
        <f>(AE12/AC12)*100</f>
        <v>45.8563535911602</v>
      </c>
      <c r="AP12" s="317">
        <f>(AF12/AB12)*100</f>
        <v>54.4943820224719</v>
      </c>
      <c r="AQ12" s="318">
        <f>(AG12/AC12)*100</f>
        <v>54.1436464088398</v>
      </c>
      <c r="AR12" s="318" t="str">
        <f t="shared" si="14"/>
        <v>FEMALE DOM</v>
      </c>
      <c r="AS12" s="319" t="str">
        <f t="shared" si="15"/>
        <v>FEMALE</v>
      </c>
      <c r="AT12" s="317">
        <f>(AH12/AB12)*100</f>
        <v>85.9550561797753</v>
      </c>
      <c r="AU12" s="317">
        <f>(AI12/AC12)*100</f>
        <v>89.8342541436464</v>
      </c>
      <c r="AV12" s="248">
        <f>(AJ12/AB12)*100</f>
        <v>0</v>
      </c>
      <c r="AW12" s="317">
        <f>(AK12/AC12)*100</f>
        <v>0</v>
      </c>
      <c r="AX12" s="248">
        <f>(AL12/AB12)*100</f>
        <v>14.0449438202247</v>
      </c>
      <c r="AY12" s="317">
        <f>(AM12/AC12)*100</f>
        <v>10.1657458563536</v>
      </c>
      <c r="AZ12" s="248" t="str">
        <f t="shared" si="19"/>
        <v>HINDU</v>
      </c>
      <c r="BA12" s="318" t="str">
        <f t="shared" si="20"/>
        <v>HIND</v>
      </c>
    </row>
    <row r="13" ht="21" spans="2:27">
      <c r="B13" s="334"/>
      <c r="C13" s="337">
        <f t="shared" ref="C13:O13" si="22">SUM(C7:C12)</f>
        <v>6796</v>
      </c>
      <c r="D13" s="337">
        <f t="shared" si="22"/>
        <v>1165</v>
      </c>
      <c r="E13" s="337">
        <f t="shared" si="22"/>
        <v>3196</v>
      </c>
      <c r="F13" s="337">
        <f t="shared" si="22"/>
        <v>11</v>
      </c>
      <c r="G13" s="337">
        <f t="shared" si="22"/>
        <v>28</v>
      </c>
      <c r="H13" s="337">
        <f t="shared" si="22"/>
        <v>3</v>
      </c>
      <c r="I13" s="337">
        <f t="shared" si="22"/>
        <v>4</v>
      </c>
      <c r="J13" s="337">
        <f t="shared" si="22"/>
        <v>4</v>
      </c>
      <c r="K13" s="337">
        <f t="shared" si="22"/>
        <v>4</v>
      </c>
      <c r="L13" s="337">
        <f t="shared" si="22"/>
        <v>4415</v>
      </c>
      <c r="M13" s="337">
        <f t="shared" si="22"/>
        <v>0</v>
      </c>
      <c r="N13" s="337">
        <f t="shared" si="22"/>
        <v>30</v>
      </c>
      <c r="O13" s="337">
        <f t="shared" si="22"/>
        <v>4445</v>
      </c>
      <c r="P13" s="337">
        <f t="shared" ref="P13:X13" si="23">AVERAGE(P7:P12)</f>
        <v>65.5009237452603</v>
      </c>
      <c r="Q13" s="337">
        <f t="shared" si="23"/>
        <v>71.9734294155526</v>
      </c>
      <c r="R13" s="337">
        <f t="shared" si="23"/>
        <v>26.1322704540768</v>
      </c>
      <c r="S13" s="337">
        <f t="shared" si="23"/>
        <v>0.242632029022098</v>
      </c>
      <c r="T13" s="337">
        <f t="shared" si="23"/>
        <v>0.657384683837038</v>
      </c>
      <c r="U13" s="337">
        <f t="shared" si="23"/>
        <v>0.323549897228224</v>
      </c>
      <c r="V13" s="337">
        <f t="shared" si="23"/>
        <v>0.670733520283278</v>
      </c>
      <c r="W13" s="337">
        <f t="shared" si="23"/>
        <v>45.8411589614758</v>
      </c>
      <c r="X13" s="337">
        <f t="shared" si="23"/>
        <v>44.6175923513885</v>
      </c>
      <c r="Y13" s="337" t="str">
        <f t="shared" si="9"/>
        <v>STRONG</v>
      </c>
      <c r="Z13" s="350" t="str">
        <f t="shared" si="10"/>
        <v>STRONG</v>
      </c>
      <c r="AA13" s="351" t="str">
        <f t="shared" si="11"/>
        <v>BJP</v>
      </c>
    </row>
    <row r="16" spans="10:27">
      <c r="J16" s="225" t="s">
        <v>205</v>
      </c>
      <c r="K16" s="237"/>
      <c r="L16" s="237"/>
      <c r="M16" s="238"/>
      <c r="O16" s="225" t="s">
        <v>97</v>
      </c>
      <c r="P16" s="237"/>
      <c r="Q16" s="237"/>
      <c r="R16" s="238"/>
      <c r="T16" s="265" t="s">
        <v>98</v>
      </c>
      <c r="U16" s="265"/>
      <c r="V16" s="265"/>
      <c r="W16" s="265"/>
      <c r="X16" s="265"/>
      <c r="Y16" s="265"/>
      <c r="Z16" s="265"/>
      <c r="AA16" s="265"/>
    </row>
    <row r="17" spans="10:27">
      <c r="J17" s="226"/>
      <c r="K17" s="239"/>
      <c r="L17" s="239"/>
      <c r="M17" s="240"/>
      <c r="O17" s="241"/>
      <c r="P17" s="242"/>
      <c r="Q17" s="242"/>
      <c r="R17" s="243"/>
      <c r="T17" s="265"/>
      <c r="U17" s="265"/>
      <c r="V17" s="265"/>
      <c r="W17" s="265"/>
      <c r="X17" s="265"/>
      <c r="Y17" s="265"/>
      <c r="Z17" s="265"/>
      <c r="AA17" s="265"/>
    </row>
    <row r="18" spans="10:27">
      <c r="J18" s="227" t="s">
        <v>99</v>
      </c>
      <c r="K18" s="244"/>
      <c r="L18" s="245"/>
      <c r="M18" s="245">
        <f>COUNTIF(AA7:AA12,"BJP")</f>
        <v>6</v>
      </c>
      <c r="O18" s="246" t="s">
        <v>100</v>
      </c>
      <c r="P18" s="247"/>
      <c r="Q18" s="247"/>
      <c r="R18" s="248">
        <f>COUNTIF(Y7:Y12,"NARROW")</f>
        <v>0</v>
      </c>
      <c r="T18" s="265" t="s">
        <v>101</v>
      </c>
      <c r="U18" s="265"/>
      <c r="V18" s="265"/>
      <c r="W18" s="265">
        <f>'KADRI-18'!E7</f>
        <v>67.4668915682164</v>
      </c>
      <c r="X18" s="265" t="s">
        <v>102</v>
      </c>
      <c r="Y18" s="265"/>
      <c r="Z18" s="265"/>
      <c r="AA18" s="265">
        <f>Q13</f>
        <v>71.9734294155526</v>
      </c>
    </row>
    <row r="19" spans="10:27">
      <c r="J19" s="227"/>
      <c r="K19" s="244"/>
      <c r="L19" s="245"/>
      <c r="M19" s="245"/>
      <c r="O19" s="249"/>
      <c r="P19" s="250"/>
      <c r="Q19" s="250"/>
      <c r="R19" s="251"/>
      <c r="T19" s="265"/>
      <c r="U19" s="265"/>
      <c r="V19" s="265"/>
      <c r="W19" s="265"/>
      <c r="X19" s="265"/>
      <c r="Y19" s="265"/>
      <c r="Z19" s="265"/>
      <c r="AA19" s="265"/>
    </row>
    <row r="20" spans="10:27">
      <c r="J20" s="227"/>
      <c r="K20" s="244"/>
      <c r="L20" s="245"/>
      <c r="M20" s="245"/>
      <c r="O20" s="252" t="s">
        <v>103</v>
      </c>
      <c r="P20" s="253"/>
      <c r="Q20" s="253"/>
      <c r="R20" s="248">
        <f>COUNTIF(Y7:Y12,"MEDIUM")</f>
        <v>2</v>
      </c>
      <c r="T20" s="265" t="s">
        <v>104</v>
      </c>
      <c r="U20" s="265"/>
      <c r="V20" s="265"/>
      <c r="W20" s="265">
        <f>'KADRI-18'!G7</f>
        <v>28.2779141960127</v>
      </c>
      <c r="X20" s="265" t="s">
        <v>105</v>
      </c>
      <c r="Y20" s="265"/>
      <c r="Z20" s="265"/>
      <c r="AA20" s="265">
        <f>R13</f>
        <v>26.1322704540768</v>
      </c>
    </row>
    <row r="21" spans="10:27">
      <c r="J21" s="228" t="s">
        <v>106</v>
      </c>
      <c r="K21" s="254"/>
      <c r="L21" s="255"/>
      <c r="M21" s="255">
        <f>COUNTIF(AA7:AA12,"CONGRESS")</f>
        <v>0</v>
      </c>
      <c r="O21" s="252"/>
      <c r="P21" s="253"/>
      <c r="Q21" s="253"/>
      <c r="R21" s="251"/>
      <c r="T21" s="265"/>
      <c r="U21" s="265"/>
      <c r="V21" s="265"/>
      <c r="W21" s="265"/>
      <c r="X21" s="265"/>
      <c r="Y21" s="265"/>
      <c r="Z21" s="265"/>
      <c r="AA21" s="265"/>
    </row>
    <row r="22" spans="10:27">
      <c r="J22" s="229"/>
      <c r="K22" s="256"/>
      <c r="L22" s="257"/>
      <c r="M22" s="257"/>
      <c r="O22" s="258" t="s">
        <v>107</v>
      </c>
      <c r="P22" s="259"/>
      <c r="Q22" s="259"/>
      <c r="R22" s="248">
        <f>COUNTIF(Y7:Y12,"STRONG")</f>
        <v>4</v>
      </c>
      <c r="T22" s="265" t="s">
        <v>108</v>
      </c>
      <c r="U22" s="265"/>
      <c r="V22" s="265"/>
      <c r="W22" s="265">
        <f>'KADRI-18'!C7</f>
        <v>3656</v>
      </c>
      <c r="X22" s="265" t="s">
        <v>109</v>
      </c>
      <c r="Y22" s="265"/>
      <c r="Z22" s="265"/>
      <c r="AA22" s="265">
        <f>O13</f>
        <v>4445</v>
      </c>
    </row>
    <row r="23" spans="10:27">
      <c r="J23" s="230"/>
      <c r="K23" s="260"/>
      <c r="L23" s="261"/>
      <c r="M23" s="261"/>
      <c r="O23" s="262"/>
      <c r="P23" s="263"/>
      <c r="Q23" s="263"/>
      <c r="R23" s="251"/>
      <c r="T23" s="265"/>
      <c r="U23" s="265"/>
      <c r="V23" s="265"/>
      <c r="W23" s="265"/>
      <c r="X23" s="265"/>
      <c r="Y23" s="265"/>
      <c r="Z23" s="265"/>
      <c r="AA23" s="265"/>
    </row>
    <row r="24" spans="15:27">
      <c r="O24" s="229" t="s">
        <v>110</v>
      </c>
      <c r="P24" s="256"/>
      <c r="Q24" s="256"/>
      <c r="R24" s="248">
        <f>COUNTIF(Y7:Y12,"LOST")</f>
        <v>0</v>
      </c>
      <c r="T24" s="265" t="s">
        <v>111</v>
      </c>
      <c r="U24" s="265"/>
      <c r="V24" s="265"/>
      <c r="W24" s="265">
        <f>W18-W20</f>
        <v>39.1889773722038</v>
      </c>
      <c r="X24" s="265" t="s">
        <v>111</v>
      </c>
      <c r="Y24" s="265"/>
      <c r="Z24" s="265"/>
      <c r="AA24" s="265">
        <f>AA18-AA20</f>
        <v>45.8411589614758</v>
      </c>
    </row>
    <row r="25" spans="15:27">
      <c r="O25" s="230"/>
      <c r="P25" s="260"/>
      <c r="Q25" s="260"/>
      <c r="R25" s="251"/>
      <c r="T25" s="265"/>
      <c r="U25" s="265"/>
      <c r="V25" s="265"/>
      <c r="W25" s="265"/>
      <c r="X25" s="265"/>
      <c r="Y25" s="265"/>
      <c r="Z25" s="265"/>
      <c r="AA25" s="265"/>
    </row>
    <row r="26" spans="20:26">
      <c r="T26" s="265" t="s">
        <v>112</v>
      </c>
      <c r="U26" s="265"/>
      <c r="V26" s="265"/>
      <c r="W26" s="265">
        <f>AA18-W18</f>
        <v>4.50653784733615</v>
      </c>
      <c r="X26" s="265"/>
      <c r="Y26" s="265"/>
      <c r="Z26" s="265"/>
    </row>
    <row r="27" spans="20:26">
      <c r="T27" s="265"/>
      <c r="U27" s="265"/>
      <c r="V27" s="265"/>
      <c r="W27" s="265"/>
      <c r="X27" s="265"/>
      <c r="Y27" s="265"/>
      <c r="Z27" s="265"/>
    </row>
    <row r="28" spans="20:26">
      <c r="T28" s="265" t="s">
        <v>113</v>
      </c>
      <c r="U28" s="265"/>
      <c r="V28" s="265"/>
      <c r="W28" s="265">
        <f>AA20-W20</f>
        <v>-2.1456437419359</v>
      </c>
      <c r="X28" s="265"/>
      <c r="Y28" s="265"/>
      <c r="Z28" s="265"/>
    </row>
    <row r="29" spans="20:26">
      <c r="T29" s="265"/>
      <c r="U29" s="265"/>
      <c r="V29" s="265"/>
      <c r="W29" s="265"/>
      <c r="X29" s="265"/>
      <c r="Y29" s="265"/>
      <c r="Z29" s="265"/>
    </row>
    <row r="30" spans="20:26">
      <c r="T30" s="265" t="s">
        <v>114</v>
      </c>
      <c r="U30" s="265"/>
      <c r="V30" s="265"/>
      <c r="W30" s="265" t="str">
        <f>IF(W26&gt;W28,"INCREASE","DECREASE")</f>
        <v>INCREASE</v>
      </c>
      <c r="X30" s="265"/>
      <c r="Y30" s="265"/>
      <c r="Z30" s="265"/>
    </row>
    <row r="31" spans="20:26">
      <c r="T31" s="265"/>
      <c r="U31" s="265"/>
      <c r="V31" s="265"/>
      <c r="W31" s="265"/>
      <c r="X31" s="265"/>
      <c r="Y31" s="265"/>
      <c r="Z31" s="265"/>
    </row>
    <row r="32" spans="20:27">
      <c r="T32" s="265">
        <v>0</v>
      </c>
      <c r="U32" s="265"/>
      <c r="V32" s="265"/>
      <c r="W32" s="265"/>
      <c r="X32" s="265"/>
      <c r="Y32" s="265"/>
      <c r="Z32" s="265"/>
      <c r="AA32" s="265"/>
    </row>
    <row r="33" spans="20:27">
      <c r="T33" s="265"/>
      <c r="U33" s="265"/>
      <c r="V33" s="265"/>
      <c r="W33" s="265"/>
      <c r="X33" s="265"/>
      <c r="Y33" s="265"/>
      <c r="Z33" s="265"/>
      <c r="AA33" s="265"/>
    </row>
    <row r="34" spans="20:27">
      <c r="T34" s="265"/>
      <c r="U34" s="265"/>
      <c r="V34" s="265"/>
      <c r="W34" s="265"/>
      <c r="X34" s="265"/>
      <c r="Y34" s="265"/>
      <c r="Z34" s="265"/>
      <c r="AA34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M18:M20"/>
    <mergeCell ref="M21:M23"/>
    <mergeCell ref="N1:N6"/>
    <mergeCell ref="O1:O6"/>
    <mergeCell ref="P1:P6"/>
    <mergeCell ref="Q1:Q6"/>
    <mergeCell ref="R1:R6"/>
    <mergeCell ref="R18:R19"/>
    <mergeCell ref="R20:R21"/>
    <mergeCell ref="R22:R23"/>
    <mergeCell ref="R24:R25"/>
    <mergeCell ref="S1:S6"/>
    <mergeCell ref="T1:T6"/>
    <mergeCell ref="U1:U6"/>
    <mergeCell ref="V1:V6"/>
    <mergeCell ref="W1:W6"/>
    <mergeCell ref="W18:W19"/>
    <mergeCell ref="W20:W21"/>
    <mergeCell ref="W22:W23"/>
    <mergeCell ref="W24:W25"/>
    <mergeCell ref="X1:X6"/>
    <mergeCell ref="Y1:Y6"/>
    <mergeCell ref="Z1:Z6"/>
    <mergeCell ref="AA1:AA6"/>
    <mergeCell ref="AA18:AA19"/>
    <mergeCell ref="AA20:AA21"/>
    <mergeCell ref="AA22:AA23"/>
    <mergeCell ref="AA24:AA25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O24:Q25"/>
    <mergeCell ref="X24:Z25"/>
    <mergeCell ref="J16:M17"/>
    <mergeCell ref="O16:R17"/>
    <mergeCell ref="J18:L20"/>
    <mergeCell ref="O18:Q19"/>
    <mergeCell ref="X18:Z19"/>
    <mergeCell ref="O20:Q21"/>
    <mergeCell ref="X20:Z21"/>
    <mergeCell ref="J21:L23"/>
    <mergeCell ref="O22:Q23"/>
    <mergeCell ref="X22:Z23"/>
    <mergeCell ref="D1:K2"/>
    <mergeCell ref="T16:AA17"/>
    <mergeCell ref="T18:V19"/>
    <mergeCell ref="T20:V21"/>
    <mergeCell ref="T22:V23"/>
    <mergeCell ref="T24:V25"/>
    <mergeCell ref="T26:V27"/>
    <mergeCell ref="W26:Z27"/>
    <mergeCell ref="T32:AA34"/>
    <mergeCell ref="T28:V29"/>
    <mergeCell ref="W28:Z29"/>
    <mergeCell ref="T30:V31"/>
    <mergeCell ref="W30:X31"/>
    <mergeCell ref="Y30:Z31"/>
  </mergeCells>
  <conditionalFormatting sqref="AR7:AR12">
    <cfRule type="containsText" dxfId="6" priority="1" operator="between" text="FEMALE DOM">
      <formula>NOT(ISERROR(SEARCH("FEMALE DOM",AR7)))</formula>
    </cfRule>
  </conditionalFormatting>
  <conditionalFormatting sqref="AZ7:AZ12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2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"/>
  <sheetViews>
    <sheetView workbookViewId="0">
      <selection activeCell="A1" sqref="A1:AJ1"/>
    </sheetView>
  </sheetViews>
  <sheetFormatPr defaultColWidth="9" defaultRowHeight="14.5" outlineLevelRow="6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24</v>
      </c>
      <c r="B2" s="185" t="s">
        <v>288</v>
      </c>
      <c r="C2" s="184">
        <v>620</v>
      </c>
      <c r="D2" s="184">
        <v>397</v>
      </c>
      <c r="E2" s="184">
        <f t="shared" ref="E2:E6" si="0">(D2/C2)*100</f>
        <v>64.0322580645161</v>
      </c>
      <c r="F2" s="184">
        <v>196</v>
      </c>
      <c r="G2" s="184">
        <f t="shared" ref="G2:G6" si="1">(F2/C2)*100</f>
        <v>31.6129032258064</v>
      </c>
      <c r="H2" s="184">
        <v>4</v>
      </c>
      <c r="I2" s="184">
        <f t="shared" ref="I2:I6" si="2">(H2/C2)*100</f>
        <v>0.645161290322581</v>
      </c>
      <c r="J2" s="184">
        <v>4</v>
      </c>
      <c r="K2" s="184">
        <f t="shared" ref="K2:K6" si="3">(J2/C2)*100</f>
        <v>0.645161290322581</v>
      </c>
      <c r="L2" s="189">
        <v>453</v>
      </c>
      <c r="M2" s="189">
        <v>495</v>
      </c>
      <c r="N2" s="189">
        <f t="shared" ref="N2:N6" si="4">L2+M2</f>
        <v>948</v>
      </c>
      <c r="O2" s="184">
        <v>620</v>
      </c>
      <c r="P2" s="190">
        <f t="shared" ref="P2:P6" si="5">O2/N2*100</f>
        <v>65.4008438818565</v>
      </c>
      <c r="Q2" s="184">
        <v>753</v>
      </c>
      <c r="R2" s="184">
        <f t="shared" ref="R2:R6" si="6">(Q2/N2)*100</f>
        <v>79.4303797468354</v>
      </c>
      <c r="S2" s="184">
        <f t="shared" ref="S2:S6" si="7">Q2-U2</f>
        <v>286</v>
      </c>
      <c r="T2" s="184">
        <f t="shared" ref="T2:T6" si="8">(S2/Q2)*100</f>
        <v>37.9814077025232</v>
      </c>
      <c r="U2" s="184">
        <v>467</v>
      </c>
      <c r="V2" s="191">
        <f t="shared" ref="V2:V6" si="9">IFERROR(U2/Q2*100,0)</f>
        <v>62.0185922974768</v>
      </c>
      <c r="W2" s="184">
        <v>195</v>
      </c>
      <c r="X2" s="184">
        <f t="shared" ref="X2:X6" si="10">100-R2</f>
        <v>20.5696202531646</v>
      </c>
      <c r="Y2" s="184">
        <f t="shared" ref="Y2:Y6" si="11">W2-AA2</f>
        <v>42</v>
      </c>
      <c r="Z2" s="193">
        <f t="shared" ref="Z2:Z6" si="12">(Y2/W2)*100</f>
        <v>21.5384615384615</v>
      </c>
      <c r="AA2" s="193">
        <f>620-467</f>
        <v>153</v>
      </c>
      <c r="AB2" s="194">
        <f t="shared" ref="AB2:AB6" si="13">IFERROR(AA2/W2*100,0)</f>
        <v>78.4615384615385</v>
      </c>
      <c r="AC2" s="193">
        <f t="shared" ref="AC2:AC6" si="14">U2+AA2</f>
        <v>620</v>
      </c>
      <c r="AD2" s="193" t="str">
        <f t="shared" ref="AD2:AD6" si="15">IF(P2&gt;80,"EXCELLENT",IF(P2&gt;70,"STRONG",IF(P2&gt;60,"AVG",IF(P2&gt;50,"WEAK",IF(P2&lt;50,"VLOW")))))</f>
        <v>AVG</v>
      </c>
      <c r="AE2" s="195" t="str">
        <f t="shared" ref="AE2:AE6" si="16">IF(R2&gt;80,"EXCELLENT",IF(R2&gt;70,"STRONG",IF(R2&gt;60,"AVG",IF(R2&gt;50,"WEAK",IF(R2&lt;50,"VLOW")))))</f>
        <v>STRONG</v>
      </c>
      <c r="AF2" s="193" t="str">
        <f t="shared" ref="AF2:AF6" si="17">IF(X2&gt;80,"EXCELLENT",IF(X2&gt;70,"STRONG",IF(X2&gt;60,"AVG",IF(X2&gt;50,"WEAK",IF(X2&lt;50,"VLOW")))))</f>
        <v>VLOW</v>
      </c>
      <c r="AG2" s="193" t="str">
        <f t="shared" ref="AG2:AG6" si="18">IF(M2&gt;L2,"FEMALE DOM","MEN")</f>
        <v>FEMALE DOM</v>
      </c>
      <c r="AH2" s="193" t="str">
        <f t="shared" ref="AH2:AH6" si="19">IF(T2&gt;Z2,"H","O")</f>
        <v>H</v>
      </c>
      <c r="AI2" s="197">
        <f t="shared" ref="AI2:AI7" si="20">E2-G2</f>
        <v>32.4193548387097</v>
      </c>
      <c r="AJ2" s="199" t="str">
        <f t="shared" ref="AJ2:AJ7" si="21">IF(E2&gt;G2,"BJP GAIN","CONGRESSGAIN")</f>
        <v>BJP GAIN</v>
      </c>
    </row>
    <row r="3" spans="1:36">
      <c r="A3" s="184">
        <v>27</v>
      </c>
      <c r="B3" s="185" t="s">
        <v>289</v>
      </c>
      <c r="C3" s="184">
        <v>989</v>
      </c>
      <c r="D3" s="184">
        <v>652</v>
      </c>
      <c r="E3" s="184">
        <f t="shared" si="0"/>
        <v>65.9251769464105</v>
      </c>
      <c r="F3" s="184">
        <v>284</v>
      </c>
      <c r="G3" s="184">
        <f t="shared" si="1"/>
        <v>28.7158746208291</v>
      </c>
      <c r="H3" s="184">
        <v>3</v>
      </c>
      <c r="I3" s="184">
        <f t="shared" si="2"/>
        <v>0.303336703741153</v>
      </c>
      <c r="J3" s="184">
        <v>31</v>
      </c>
      <c r="K3" s="184">
        <f t="shared" si="3"/>
        <v>3.13447927199191</v>
      </c>
      <c r="L3" s="189">
        <v>642</v>
      </c>
      <c r="M3" s="189">
        <v>721</v>
      </c>
      <c r="N3" s="189">
        <f t="shared" si="4"/>
        <v>1363</v>
      </c>
      <c r="O3" s="184">
        <v>989</v>
      </c>
      <c r="P3" s="190">
        <f t="shared" si="5"/>
        <v>72.560528246515</v>
      </c>
      <c r="Q3" s="184">
        <v>1290</v>
      </c>
      <c r="R3" s="184">
        <f t="shared" si="6"/>
        <v>94.6441672780631</v>
      </c>
      <c r="S3" s="184">
        <f t="shared" si="7"/>
        <v>384</v>
      </c>
      <c r="T3" s="184">
        <f t="shared" si="8"/>
        <v>29.7674418604651</v>
      </c>
      <c r="U3" s="184">
        <v>906</v>
      </c>
      <c r="V3" s="191">
        <f t="shared" si="9"/>
        <v>70.2325581395349</v>
      </c>
      <c r="W3" s="184">
        <v>100</v>
      </c>
      <c r="X3" s="184">
        <f t="shared" si="10"/>
        <v>5.35583272193691</v>
      </c>
      <c r="Y3" s="196">
        <f t="shared" si="11"/>
        <v>55</v>
      </c>
      <c r="Z3" s="193">
        <f t="shared" si="12"/>
        <v>55</v>
      </c>
      <c r="AA3" s="193">
        <v>45</v>
      </c>
      <c r="AB3" s="194">
        <f t="shared" si="13"/>
        <v>45</v>
      </c>
      <c r="AC3" s="193">
        <f t="shared" si="14"/>
        <v>951</v>
      </c>
      <c r="AD3" s="193" t="str">
        <f t="shared" si="15"/>
        <v>STRONG</v>
      </c>
      <c r="AE3" s="195" t="str">
        <f t="shared" si="16"/>
        <v>EXCELLENT</v>
      </c>
      <c r="AF3" s="193" t="str">
        <f t="shared" si="17"/>
        <v>VLOW</v>
      </c>
      <c r="AG3" s="193" t="str">
        <f t="shared" si="18"/>
        <v>FEMALE DOM</v>
      </c>
      <c r="AH3" s="193" t="str">
        <f t="shared" si="19"/>
        <v>O</v>
      </c>
      <c r="AI3" s="197">
        <f t="shared" si="20"/>
        <v>37.2093023255814</v>
      </c>
      <c r="AJ3" s="199" t="str">
        <f t="shared" si="21"/>
        <v>BJP GAIN</v>
      </c>
    </row>
    <row r="4" spans="1:36">
      <c r="A4" s="184">
        <v>57</v>
      </c>
      <c r="B4" s="185" t="s">
        <v>290</v>
      </c>
      <c r="C4" s="184">
        <v>499</v>
      </c>
      <c r="D4" s="184">
        <v>400</v>
      </c>
      <c r="E4" s="184">
        <f t="shared" si="0"/>
        <v>80.1603206412826</v>
      </c>
      <c r="F4" s="184">
        <v>86</v>
      </c>
      <c r="G4" s="184">
        <f t="shared" si="1"/>
        <v>17.2344689378758</v>
      </c>
      <c r="H4" s="184">
        <v>1</v>
      </c>
      <c r="I4" s="184">
        <f t="shared" si="2"/>
        <v>0.200400801603206</v>
      </c>
      <c r="J4" s="184">
        <v>1</v>
      </c>
      <c r="K4" s="184">
        <f t="shared" si="3"/>
        <v>0.200400801603206</v>
      </c>
      <c r="L4" s="189">
        <v>319</v>
      </c>
      <c r="M4" s="189">
        <v>347</v>
      </c>
      <c r="N4" s="189">
        <f t="shared" si="4"/>
        <v>666</v>
      </c>
      <c r="O4" s="184">
        <v>799</v>
      </c>
      <c r="P4" s="190">
        <f t="shared" si="5"/>
        <v>119.96996996997</v>
      </c>
      <c r="Q4" s="184">
        <v>910</v>
      </c>
      <c r="R4" s="184">
        <f t="shared" si="6"/>
        <v>136.636636636637</v>
      </c>
      <c r="S4" s="184">
        <f t="shared" si="7"/>
        <v>149</v>
      </c>
      <c r="T4" s="184">
        <f t="shared" si="8"/>
        <v>16.3736263736264</v>
      </c>
      <c r="U4" s="184">
        <f>683+78</f>
        <v>761</v>
      </c>
      <c r="V4" s="191">
        <f t="shared" si="9"/>
        <v>83.6263736263736</v>
      </c>
      <c r="W4" s="184">
        <v>51</v>
      </c>
      <c r="X4" s="184">
        <f t="shared" si="10"/>
        <v>-36.6366366366366</v>
      </c>
      <c r="Y4" s="184">
        <f t="shared" si="11"/>
        <v>13</v>
      </c>
      <c r="Z4" s="193">
        <f t="shared" si="12"/>
        <v>25.4901960784314</v>
      </c>
      <c r="AA4" s="193">
        <v>38</v>
      </c>
      <c r="AB4" s="194">
        <f t="shared" si="13"/>
        <v>74.5098039215686</v>
      </c>
      <c r="AC4" s="193">
        <f t="shared" si="14"/>
        <v>799</v>
      </c>
      <c r="AD4" s="193" t="str">
        <f t="shared" si="15"/>
        <v>EXCELLENT</v>
      </c>
      <c r="AE4" s="195" t="str">
        <f t="shared" si="16"/>
        <v>EXCELLENT</v>
      </c>
      <c r="AF4" s="193" t="str">
        <f t="shared" si="17"/>
        <v>VLOW</v>
      </c>
      <c r="AG4" s="193" t="str">
        <f t="shared" si="18"/>
        <v>FEMALE DOM</v>
      </c>
      <c r="AH4" s="193" t="str">
        <f t="shared" si="19"/>
        <v>O</v>
      </c>
      <c r="AI4" s="197">
        <f t="shared" si="20"/>
        <v>62.9258517034068</v>
      </c>
      <c r="AJ4" s="199" t="str">
        <f t="shared" si="21"/>
        <v>BJP GAIN</v>
      </c>
    </row>
    <row r="5" spans="1:36">
      <c r="A5" s="184">
        <v>25</v>
      </c>
      <c r="B5" s="185" t="s">
        <v>291</v>
      </c>
      <c r="C5" s="184">
        <v>571</v>
      </c>
      <c r="D5" s="184">
        <v>336</v>
      </c>
      <c r="E5" s="184">
        <f t="shared" si="0"/>
        <v>58.8441330998249</v>
      </c>
      <c r="F5" s="184">
        <v>216</v>
      </c>
      <c r="G5" s="184">
        <f t="shared" si="1"/>
        <v>37.8283712784588</v>
      </c>
      <c r="H5" s="184">
        <v>0</v>
      </c>
      <c r="I5" s="184">
        <f t="shared" si="2"/>
        <v>0</v>
      </c>
      <c r="J5" s="184">
        <v>6</v>
      </c>
      <c r="K5" s="184">
        <f t="shared" si="3"/>
        <v>1.0507880910683</v>
      </c>
      <c r="L5" s="189">
        <v>408</v>
      </c>
      <c r="M5" s="189">
        <v>450</v>
      </c>
      <c r="N5" s="189">
        <f t="shared" si="4"/>
        <v>858</v>
      </c>
      <c r="O5" s="184">
        <v>571</v>
      </c>
      <c r="P5" s="190">
        <f t="shared" si="5"/>
        <v>66.5501165501165</v>
      </c>
      <c r="Q5" s="184"/>
      <c r="R5" s="184">
        <f t="shared" si="6"/>
        <v>0</v>
      </c>
      <c r="S5" s="184">
        <f t="shared" si="7"/>
        <v>0</v>
      </c>
      <c r="T5" s="184" t="e">
        <f t="shared" si="8"/>
        <v>#DIV/0!</v>
      </c>
      <c r="U5" s="184"/>
      <c r="V5" s="191">
        <f t="shared" si="9"/>
        <v>0</v>
      </c>
      <c r="W5" s="184"/>
      <c r="X5" s="184">
        <f t="shared" si="10"/>
        <v>100</v>
      </c>
      <c r="Y5" s="196">
        <f t="shared" si="11"/>
        <v>0</v>
      </c>
      <c r="Z5" s="193" t="e">
        <f t="shared" si="12"/>
        <v>#DIV/0!</v>
      </c>
      <c r="AA5" s="193"/>
      <c r="AB5" s="194">
        <f t="shared" si="13"/>
        <v>0</v>
      </c>
      <c r="AC5" s="193">
        <f t="shared" si="14"/>
        <v>0</v>
      </c>
      <c r="AD5" s="193" t="str">
        <f t="shared" si="15"/>
        <v>AVG</v>
      </c>
      <c r="AE5" s="195" t="str">
        <f t="shared" si="16"/>
        <v>VLOW</v>
      </c>
      <c r="AF5" s="193" t="str">
        <f t="shared" si="17"/>
        <v>EXCELLENT</v>
      </c>
      <c r="AG5" s="193" t="str">
        <f t="shared" si="18"/>
        <v>FEMALE DOM</v>
      </c>
      <c r="AH5" s="193" t="e">
        <f t="shared" si="19"/>
        <v>#DIV/0!</v>
      </c>
      <c r="AI5" s="197">
        <f t="shared" si="20"/>
        <v>21.015761821366</v>
      </c>
      <c r="AJ5" s="199" t="str">
        <f t="shared" si="21"/>
        <v>BJP GAIN</v>
      </c>
    </row>
    <row r="6" spans="1:36">
      <c r="A6" s="184">
        <v>26</v>
      </c>
      <c r="B6" s="185" t="s">
        <v>292</v>
      </c>
      <c r="C6" s="184">
        <v>977</v>
      </c>
      <c r="D6" s="184">
        <v>668</v>
      </c>
      <c r="E6" s="184">
        <f t="shared" si="0"/>
        <v>68.3725690890481</v>
      </c>
      <c r="F6" s="184">
        <v>254</v>
      </c>
      <c r="G6" s="184">
        <f t="shared" si="1"/>
        <v>25.9979529170931</v>
      </c>
      <c r="H6" s="184">
        <v>7</v>
      </c>
      <c r="I6" s="184">
        <f t="shared" si="2"/>
        <v>0.716479017400205</v>
      </c>
      <c r="J6" s="184">
        <v>20</v>
      </c>
      <c r="K6" s="184">
        <f t="shared" si="3"/>
        <v>2.04708290685773</v>
      </c>
      <c r="L6" s="189">
        <v>627</v>
      </c>
      <c r="M6" s="189">
        <v>759</v>
      </c>
      <c r="N6" s="189">
        <f t="shared" si="4"/>
        <v>1386</v>
      </c>
      <c r="O6" s="184">
        <v>977</v>
      </c>
      <c r="P6" s="190">
        <f t="shared" si="5"/>
        <v>70.4906204906205</v>
      </c>
      <c r="Q6" s="184">
        <v>1166</v>
      </c>
      <c r="R6" s="184">
        <f t="shared" si="6"/>
        <v>84.1269841269841</v>
      </c>
      <c r="S6" s="192">
        <f t="shared" si="7"/>
        <v>320</v>
      </c>
      <c r="T6" s="184">
        <f t="shared" si="8"/>
        <v>27.4442538593482</v>
      </c>
      <c r="U6" s="184">
        <v>846</v>
      </c>
      <c r="V6" s="191">
        <f t="shared" si="9"/>
        <v>72.5557461406518</v>
      </c>
      <c r="W6" s="184">
        <v>221</v>
      </c>
      <c r="X6" s="184">
        <f t="shared" si="10"/>
        <v>15.8730158730159</v>
      </c>
      <c r="Y6" s="184">
        <f t="shared" si="11"/>
        <v>90</v>
      </c>
      <c r="Z6" s="193">
        <f t="shared" si="12"/>
        <v>40.7239819004525</v>
      </c>
      <c r="AA6" s="193">
        <v>131</v>
      </c>
      <c r="AB6" s="194">
        <f t="shared" si="13"/>
        <v>59.2760180995475</v>
      </c>
      <c r="AC6" s="193">
        <f t="shared" si="14"/>
        <v>977</v>
      </c>
      <c r="AD6" s="193" t="str">
        <f t="shared" si="15"/>
        <v>STRONG</v>
      </c>
      <c r="AE6" s="195" t="str">
        <f t="shared" si="16"/>
        <v>EXCELLENT</v>
      </c>
      <c r="AF6" s="193" t="str">
        <f t="shared" si="17"/>
        <v>VLOW</v>
      </c>
      <c r="AG6" s="193" t="str">
        <f t="shared" si="18"/>
        <v>FEMALE DOM</v>
      </c>
      <c r="AH6" s="193" t="str">
        <f t="shared" si="19"/>
        <v>O</v>
      </c>
      <c r="AI6" s="197">
        <f t="shared" si="20"/>
        <v>42.374616171955</v>
      </c>
      <c r="AJ6" s="199" t="str">
        <f t="shared" si="21"/>
        <v>BJP GAIN</v>
      </c>
    </row>
    <row r="7" spans="3:36">
      <c r="C7">
        <f>SUM(C2:C6)</f>
        <v>3656</v>
      </c>
      <c r="D7">
        <f>SUM(D2:D6)</f>
        <v>2453</v>
      </c>
      <c r="E7" s="186">
        <f>AVERAGE(E2:E6)</f>
        <v>67.4668915682164</v>
      </c>
      <c r="F7">
        <f>SUM(F2:F6)</f>
        <v>1036</v>
      </c>
      <c r="G7" s="186">
        <f>AVERAGE(G2:G6)</f>
        <v>28.2779141960127</v>
      </c>
      <c r="H7">
        <f>SUM(H2:H6)</f>
        <v>15</v>
      </c>
      <c r="I7" s="186">
        <f>AVERAGE(I2:I6)</f>
        <v>0.373075562613429</v>
      </c>
      <c r="J7">
        <f>SUM(J2:J6)</f>
        <v>62</v>
      </c>
      <c r="K7" s="186">
        <f>AVERAGE(K2:K6)</f>
        <v>1.41558247236875</v>
      </c>
      <c r="AI7" s="329">
        <f t="shared" si="20"/>
        <v>39.1889773722038</v>
      </c>
      <c r="AJ7" s="335" t="str">
        <f t="shared" si="21"/>
        <v>BJP GAIN</v>
      </c>
    </row>
  </sheetData>
  <conditionalFormatting sqref="AD2">
    <cfRule type="containsText" dxfId="8" priority="60" operator="between" text="AVG">
      <formula>NOT(ISERROR(SEARCH("AVG",AD2)))</formula>
    </cfRule>
    <cfRule type="cellIs" dxfId="9" priority="59" operator="equal">
      <formula>"STRONG"</formula>
    </cfRule>
    <cfRule type="containsText" dxfId="3" priority="58" operator="between" text="VSTRONG">
      <formula>NOT(ISERROR(SEARCH("VSTRONG",AD2)))</formula>
    </cfRule>
    <cfRule type="containsText" dxfId="10" priority="50" operator="between" text="AVG">
      <formula>NOT(ISERROR(SEARCH("AVG",AD2)))</formula>
    </cfRule>
  </conditionalFormatting>
  <conditionalFormatting sqref="AE2">
    <cfRule type="containsText" dxfId="3" priority="54" operator="between" text="STRONG">
      <formula>NOT(ISERROR(SEARCH("STRONG",AE2)))</formula>
    </cfRule>
    <cfRule type="containsText" dxfId="1" priority="52" operator="between" text="VSTRONG">
      <formula>NOT(ISERROR(SEARCH("VSTRONG",AE2)))</formula>
    </cfRule>
  </conditionalFormatting>
  <conditionalFormatting sqref="AE2:AF2">
    <cfRule type="containsText" dxfId="2" priority="53" operator="between" text="AVG">
      <formula>NOT(ISERROR(SEARCH("AVG",AE2)))</formula>
    </cfRule>
  </conditionalFormatting>
  <conditionalFormatting sqref="AF2">
    <cfRule type="cellIs" dxfId="11" priority="48" operator="equal">
      <formula>"VWEAK"</formula>
    </cfRule>
    <cfRule type="containsText" dxfId="0" priority="47" operator="between" text="VSTRONG">
      <formula>NOT(ISERROR(SEARCH("VSTRONG",AF2)))</formula>
    </cfRule>
  </conditionalFormatting>
  <conditionalFormatting sqref="AG2">
    <cfRule type="containsText" dxfId="12" priority="51" operator="between" text="FEMALE DOM">
      <formula>NOT(ISERROR(SEARCH("FEMALE DOM",AG2)))</formula>
    </cfRule>
    <cfRule type="containsText" dxfId="10" priority="46" operator="between" text="MEN">
      <formula>NOT(ISERROR(SEARCH("MEN",AG2)))</formula>
    </cfRule>
  </conditionalFormatting>
  <conditionalFormatting sqref="AH2">
    <cfRule type="containsText" dxfId="0" priority="57" operator="between" text="O">
      <formula>NOT(ISERROR(SEARCH("O",AH2)))</formula>
    </cfRule>
    <cfRule type="containsText" dxfId="3" priority="55" operator="between" text="H">
      <formula>NOT(ISERROR(SEARCH("H",AH2)))</formula>
    </cfRule>
    <cfRule type="containsText" dxfId="13" priority="56" operator="between" text="H">
      <formula>NOT(ISERROR(SEARCH("H",AH2)))</formula>
    </cfRule>
    <cfRule type="containsText" dxfId="1" priority="49" operator="between" text="H">
      <formula>NOT(ISERROR(SEARCH("H",AH2)))</formula>
    </cfRule>
  </conditionalFormatting>
  <conditionalFormatting sqref="AD3">
    <cfRule type="containsText" dxfId="8" priority="45" operator="between" text="AVG">
      <formula>NOT(ISERROR(SEARCH("AVG",AD3)))</formula>
    </cfRule>
    <cfRule type="cellIs" dxfId="9" priority="44" operator="equal">
      <formula>"STRONG"</formula>
    </cfRule>
    <cfRule type="containsText" dxfId="3" priority="43" operator="between" text="VSTRONG">
      <formula>NOT(ISERROR(SEARCH("VSTRONG",AD3)))</formula>
    </cfRule>
    <cfRule type="containsText" dxfId="10" priority="35" operator="between" text="AVG">
      <formula>NOT(ISERROR(SEARCH("AVG",AD3)))</formula>
    </cfRule>
  </conditionalFormatting>
  <conditionalFormatting sqref="AE3">
    <cfRule type="containsText" dxfId="3" priority="39" operator="between" text="STRONG">
      <formula>NOT(ISERROR(SEARCH("STRONG",AE3)))</formula>
    </cfRule>
    <cfRule type="containsText" dxfId="1" priority="37" operator="between" text="VSTRONG">
      <formula>NOT(ISERROR(SEARCH("VSTRONG",AE3)))</formula>
    </cfRule>
  </conditionalFormatting>
  <conditionalFormatting sqref="AE3:AF3">
    <cfRule type="containsText" dxfId="2" priority="38" operator="between" text="AVG">
      <formula>NOT(ISERROR(SEARCH("AVG",AE3)))</formula>
    </cfRule>
  </conditionalFormatting>
  <conditionalFormatting sqref="AF3">
    <cfRule type="cellIs" dxfId="11" priority="33" operator="equal">
      <formula>"VWEAK"</formula>
    </cfRule>
    <cfRule type="containsText" dxfId="0" priority="32" operator="between" text="VSTRONG">
      <formula>NOT(ISERROR(SEARCH("VSTRONG",AF3)))</formula>
    </cfRule>
  </conditionalFormatting>
  <conditionalFormatting sqref="AG3">
    <cfRule type="containsText" dxfId="12" priority="36" operator="between" text="FEMALE DOM">
      <formula>NOT(ISERROR(SEARCH("FEMALE DOM",AG3)))</formula>
    </cfRule>
    <cfRule type="containsText" dxfId="10" priority="31" operator="between" text="MEN">
      <formula>NOT(ISERROR(SEARCH("MEN",AG3)))</formula>
    </cfRule>
  </conditionalFormatting>
  <conditionalFormatting sqref="AH3">
    <cfRule type="containsText" dxfId="0" priority="42" operator="between" text="O">
      <formula>NOT(ISERROR(SEARCH("O",AH3)))</formula>
    </cfRule>
    <cfRule type="containsText" dxfId="3" priority="40" operator="between" text="H">
      <formula>NOT(ISERROR(SEARCH("H",AH3)))</formula>
    </cfRule>
    <cfRule type="containsText" dxfId="13" priority="41" operator="between" text="H">
      <formula>NOT(ISERROR(SEARCH("H",AH3)))</formula>
    </cfRule>
    <cfRule type="containsText" dxfId="1" priority="34" operator="between" text="H">
      <formula>NOT(ISERROR(SEARCH("H",AH3)))</formula>
    </cfRule>
  </conditionalFormatting>
  <conditionalFormatting sqref="AD4">
    <cfRule type="containsText" dxfId="8" priority="30" operator="between" text="AVG">
      <formula>NOT(ISERROR(SEARCH("AVG",AD4)))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NOT(ISERROR(SEARCH("VSTRONG",AD4)))</formula>
    </cfRule>
    <cfRule type="containsText" dxfId="10" priority="20" operator="between" text="AVG">
      <formula>NOT(ISERROR(SEARCH("AVG",AD4)))</formula>
    </cfRule>
  </conditionalFormatting>
  <conditionalFormatting sqref="AE4">
    <cfRule type="containsText" dxfId="3" priority="24" operator="between" text="STRONG">
      <formula>NOT(ISERROR(SEARCH("STRONG",AE4)))</formula>
    </cfRule>
    <cfRule type="containsText" dxfId="1" priority="22" operator="between" text="VSTRONG">
      <formula>NOT(ISERROR(SEARCH("VSTRONG",AE4)))</formula>
    </cfRule>
  </conditionalFormatting>
  <conditionalFormatting sqref="AE4:AF4">
    <cfRule type="containsText" dxfId="2" priority="23" operator="between" text="AVG">
      <formula>NOT(ISERROR(SEARCH("AVG",AE4)))</formula>
    </cfRule>
  </conditionalFormatting>
  <conditionalFormatting sqref="AF4">
    <cfRule type="cellIs" dxfId="11" priority="18" operator="equal">
      <formula>"VWEAK"</formula>
    </cfRule>
    <cfRule type="containsText" dxfId="0" priority="17" operator="between" text="VSTRONG">
      <formula>NOT(ISERROR(SEARCH("VSTRONG",AF4)))</formula>
    </cfRule>
  </conditionalFormatting>
  <conditionalFormatting sqref="AG4">
    <cfRule type="containsText" dxfId="12" priority="21" operator="between" text="FEMALE DOM">
      <formula>NOT(ISERROR(SEARCH("FEMALE DOM",AG4)))</formula>
    </cfRule>
    <cfRule type="containsText" dxfId="10" priority="16" operator="between" text="MEN">
      <formula>NOT(ISERROR(SEARCH("MEN",AG4)))</formula>
    </cfRule>
  </conditionalFormatting>
  <conditionalFormatting sqref="AH4">
    <cfRule type="containsText" dxfId="0" priority="27" operator="between" text="O">
      <formula>NOT(ISERROR(SEARCH("O",AH4)))</formula>
    </cfRule>
    <cfRule type="containsText" dxfId="3" priority="25" operator="between" text="H">
      <formula>NOT(ISERROR(SEARCH("H",AH4)))</formula>
    </cfRule>
    <cfRule type="containsText" dxfId="13" priority="26" operator="between" text="H">
      <formula>NOT(ISERROR(SEARCH("H",AH4)))</formula>
    </cfRule>
    <cfRule type="containsText" dxfId="1" priority="19" operator="between" text="H">
      <formula>NOT(ISERROR(SEARCH("H",AH4)))</formula>
    </cfRule>
  </conditionalFormatting>
  <conditionalFormatting sqref="AD5:AD6">
    <cfRule type="containsText" dxfId="8" priority="15" operator="between" text="AVG">
      <formula>NOT(ISERROR(SEARCH("AVG",AD5)))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NOT(ISERROR(SEARCH("VSTRONG",AD5)))</formula>
    </cfRule>
    <cfRule type="containsText" dxfId="10" priority="5" operator="between" text="AVG">
      <formula>NOT(ISERROR(SEARCH("AVG",AD5)))</formula>
    </cfRule>
  </conditionalFormatting>
  <conditionalFormatting sqref="AE5:AE6">
    <cfRule type="containsText" dxfId="3" priority="9" operator="between" text="STRONG">
      <formula>NOT(ISERROR(SEARCH("STRONG",AE5)))</formula>
    </cfRule>
    <cfRule type="containsText" dxfId="1" priority="7" operator="between" text="VSTRONG">
      <formula>NOT(ISERROR(SEARCH("VSTRONG",AE5)))</formula>
    </cfRule>
  </conditionalFormatting>
  <conditionalFormatting sqref="AF5:AF6">
    <cfRule type="cellIs" dxfId="11" priority="3" operator="equal">
      <formula>"VWEAK"</formula>
    </cfRule>
    <cfRule type="containsText" dxfId="0" priority="2" operator="between" text="VSTRONG">
      <formula>NOT(ISERROR(SEARCH("VSTRONG",AF5)))</formula>
    </cfRule>
  </conditionalFormatting>
  <conditionalFormatting sqref="AG5:AG6">
    <cfRule type="containsText" dxfId="12" priority="6" operator="between" text="FEMALE DOM">
      <formula>NOT(ISERROR(SEARCH("FEMALE DOM",AG5)))</formula>
    </cfRule>
    <cfRule type="containsText" dxfId="10" priority="1" operator="between" text="MEN">
      <formula>NOT(ISERROR(SEARCH("MEN",AG5)))</formula>
    </cfRule>
  </conditionalFormatting>
  <conditionalFormatting sqref="AH5:AH6">
    <cfRule type="containsText" dxfId="0" priority="12" operator="between" text="O">
      <formula>NOT(ISERROR(SEARCH("O",AH5)))</formula>
    </cfRule>
    <cfRule type="containsText" dxfId="3" priority="10" operator="between" text="H">
      <formula>NOT(ISERROR(SEARCH("H",AH5)))</formula>
    </cfRule>
    <cfRule type="containsText" dxfId="13" priority="11" operator="between" text="H">
      <formula>NOT(ISERROR(SEARCH("H",AH5)))</formula>
    </cfRule>
    <cfRule type="containsText" dxfId="1" priority="4" operator="between" text="H">
      <formula>NOT(ISERROR(SEARCH("H",AH5)))</formula>
    </cfRule>
  </conditionalFormatting>
  <conditionalFormatting sqref="AE5:AF6">
    <cfRule type="containsText" dxfId="2" priority="8" operator="between" text="AVG">
      <formula>NOT(ISERROR(SEARCH("AVG",AE5)))</formula>
    </cfRule>
  </conditionalFormatting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2"/>
  <sheetViews>
    <sheetView topLeftCell="S10" workbookViewId="0">
      <selection activeCell="U14" sqref="U14:AB32"/>
    </sheetView>
  </sheetViews>
  <sheetFormatPr defaultColWidth="9" defaultRowHeight="14.5"/>
  <sheetData>
    <row r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340" t="s">
        <v>49</v>
      </c>
      <c r="B7" s="337">
        <v>59</v>
      </c>
      <c r="C7" s="337">
        <v>972</v>
      </c>
      <c r="D7" s="337">
        <v>143</v>
      </c>
      <c r="E7" s="337">
        <v>498</v>
      </c>
      <c r="F7" s="337">
        <v>0</v>
      </c>
      <c r="G7" s="337">
        <v>6</v>
      </c>
      <c r="H7" s="337">
        <v>1</v>
      </c>
      <c r="I7" s="337">
        <v>0</v>
      </c>
      <c r="J7" s="337">
        <v>0</v>
      </c>
      <c r="K7" s="337">
        <v>0</v>
      </c>
      <c r="L7" s="337">
        <v>648</v>
      </c>
      <c r="M7" s="337">
        <v>0</v>
      </c>
      <c r="N7" s="337">
        <v>7</v>
      </c>
      <c r="O7" s="337">
        <f t="shared" ref="O7:O10" si="0">D7+E7+F7+G7+H7+I7+J7+K7+N7</f>
        <v>655</v>
      </c>
      <c r="P7" s="337">
        <f t="shared" ref="P7:P10" si="1">(O7/C7)*100</f>
        <v>67.3868312757202</v>
      </c>
      <c r="Q7" s="337">
        <f t="shared" ref="Q7:Q10" si="2">(E7/O7)*100</f>
        <v>76.030534351145</v>
      </c>
      <c r="R7" s="337">
        <f t="shared" ref="R7:R10" si="3">(D7/O7)*100</f>
        <v>21.8320610687023</v>
      </c>
      <c r="S7" s="337">
        <f t="shared" ref="S7:S10" si="4">(F7/O7)*100</f>
        <v>0</v>
      </c>
      <c r="T7" s="337">
        <f t="shared" ref="T7:T10" si="5">(G7/O7)*100</f>
        <v>0.916030534351145</v>
      </c>
      <c r="U7" s="337">
        <f t="shared" ref="U7:U10" si="6">((H7+I7+J7+K7)/O7)*100</f>
        <v>0.152671755725191</v>
      </c>
      <c r="V7" s="337">
        <f t="shared" ref="V7:V10" si="7">(N7/O7)*100</f>
        <v>1.06870229007634</v>
      </c>
      <c r="W7" s="337">
        <f>Q7-R7</f>
        <v>54.1984732824427</v>
      </c>
      <c r="X7" s="337">
        <f>Q7-(R7+S7+T7+U7)</f>
        <v>53.1297709923664</v>
      </c>
      <c r="Y7" s="337" t="str">
        <f>IF(AND(W7&lt;0,W7&lt;=1),"LOST",IF(AND(W7&gt;1,W7&lt;=10),"NARROW",IF(AND(W7&gt;10,W7&lt;=40),"MEDIUM",IF(AND(W7&gt;40,W7&lt;=90),"STRONG",""))))</f>
        <v>STRONG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967</v>
      </c>
      <c r="AC7">
        <v>635</v>
      </c>
      <c r="AD7">
        <v>464</v>
      </c>
      <c r="AE7">
        <v>291</v>
      </c>
      <c r="AF7">
        <v>503</v>
      </c>
      <c r="AG7">
        <v>344</v>
      </c>
      <c r="AH7">
        <v>827</v>
      </c>
      <c r="AI7">
        <v>551</v>
      </c>
      <c r="AJ7">
        <v>9</v>
      </c>
      <c r="AK7">
        <v>5</v>
      </c>
      <c r="AL7">
        <v>131</v>
      </c>
      <c r="AM7">
        <v>79</v>
      </c>
      <c r="AN7" s="248">
        <f>(AD7/AB7)*100</f>
        <v>47.9834539813857</v>
      </c>
      <c r="AO7" s="316">
        <f>(AE7/AC7)*100</f>
        <v>45.8267716535433</v>
      </c>
      <c r="AP7" s="317">
        <f>(AF7/AB7)*100</f>
        <v>52.0165460186143</v>
      </c>
      <c r="AQ7" s="318">
        <f>(AG7/AC7)*100</f>
        <v>54.1732283464567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85.5222337125129</v>
      </c>
      <c r="AU7" s="317">
        <f>(AI7/AC7)*100</f>
        <v>86.7716535433071</v>
      </c>
      <c r="AV7" s="248">
        <f>(AJ7/AB7)*100</f>
        <v>0.93071354705274</v>
      </c>
      <c r="AW7" s="317">
        <f>(AK7/AC7)*100</f>
        <v>0.78740157480315</v>
      </c>
      <c r="AX7" s="248">
        <f>(AL7/AB7)*100</f>
        <v>13.5470527404343</v>
      </c>
      <c r="AY7" s="317">
        <f>(AM7/AC7)*100</f>
        <v>12.4409448818898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2:53">
      <c r="B8" s="215">
        <v>61</v>
      </c>
      <c r="C8" s="215">
        <v>1425</v>
      </c>
      <c r="D8" s="215">
        <v>428</v>
      </c>
      <c r="E8" s="215">
        <v>388</v>
      </c>
      <c r="F8" s="215">
        <v>4</v>
      </c>
      <c r="G8" s="215">
        <v>10</v>
      </c>
      <c r="H8" s="215">
        <v>1</v>
      </c>
      <c r="I8" s="215">
        <v>1</v>
      </c>
      <c r="J8" s="215">
        <v>0</v>
      </c>
      <c r="K8" s="215">
        <v>0</v>
      </c>
      <c r="L8" s="215">
        <v>832</v>
      </c>
      <c r="M8" s="215">
        <v>0</v>
      </c>
      <c r="N8" s="215">
        <v>4</v>
      </c>
      <c r="O8" s="215">
        <f t="shared" si="0"/>
        <v>836</v>
      </c>
      <c r="P8" s="215">
        <f t="shared" si="1"/>
        <v>58.6666666666667</v>
      </c>
      <c r="Q8" s="215">
        <f t="shared" si="2"/>
        <v>46.4114832535885</v>
      </c>
      <c r="R8" s="215">
        <f t="shared" si="3"/>
        <v>51.1961722488038</v>
      </c>
      <c r="S8" s="215">
        <f t="shared" si="4"/>
        <v>0.478468899521531</v>
      </c>
      <c r="T8" s="215">
        <f t="shared" si="5"/>
        <v>1.19617224880383</v>
      </c>
      <c r="U8" s="215">
        <f t="shared" si="6"/>
        <v>0.239234449760766</v>
      </c>
      <c r="V8" s="215">
        <f t="shared" si="7"/>
        <v>0.478468899521531</v>
      </c>
      <c r="W8" s="215">
        <f t="shared" ref="W8:W10" si="8">Q8-R8</f>
        <v>-4.78468899521531</v>
      </c>
      <c r="X8" s="215">
        <f t="shared" ref="X8:X10" si="9">Q8-(R8+S8+T8+U8)</f>
        <v>-6.69856459330143</v>
      </c>
      <c r="Y8" s="215" t="str">
        <f t="shared" ref="Y8:Y11" si="10">IF(AND(W8&lt;0,W8&lt;=1),"LOST",IF(AND(W8&gt;1,W8&lt;=10),"NARROW",IF(AND(W8&gt;10,W8&lt;=40),"MEDIUM",IF(AND(W8&gt;40,W8&lt;=90),"STRONG",""))))</f>
        <v>LOST</v>
      </c>
      <c r="Z8" s="291" t="str">
        <f t="shared" ref="Z8:Z11" si="11">IF(AND(P8&lt;0,P8&lt;=10),"WEAK",IF(AND(P8&gt;10,P8&lt;20),"BELOW AVG",IF(AND(P8&gt;20,P8&lt;=60),"MEDIUM",IF(AND(P8&gt;60,P8&lt;=90),"STRONG",""))))</f>
        <v>MEDIUM</v>
      </c>
      <c r="AA8" s="286" t="str">
        <f t="shared" ref="AA8:AA11" si="12">IF(Q8&gt;R8,"BJP","CONGRESS")</f>
        <v>CONGRESS</v>
      </c>
      <c r="AB8">
        <v>1413</v>
      </c>
      <c r="AC8">
        <v>700</v>
      </c>
      <c r="AD8">
        <v>636</v>
      </c>
      <c r="AE8">
        <v>330</v>
      </c>
      <c r="AF8">
        <v>777</v>
      </c>
      <c r="AG8">
        <v>370</v>
      </c>
      <c r="AH8">
        <v>752</v>
      </c>
      <c r="AI8">
        <v>397</v>
      </c>
      <c r="AJ8">
        <v>54</v>
      </c>
      <c r="AK8">
        <v>27</v>
      </c>
      <c r="AL8">
        <v>607</v>
      </c>
      <c r="AM8">
        <v>276</v>
      </c>
      <c r="AN8" s="248">
        <f t="shared" ref="AN8:AO10" si="13">(AD8/AB8)*100</f>
        <v>45.0106157112527</v>
      </c>
      <c r="AO8" s="316">
        <f t="shared" si="13"/>
        <v>47.1428571428571</v>
      </c>
      <c r="AP8" s="317">
        <f t="shared" ref="AP8:AQ10" si="14">(AF8/AB8)*100</f>
        <v>54.9893842887473</v>
      </c>
      <c r="AQ8" s="318">
        <f t="shared" si="14"/>
        <v>52.8571428571429</v>
      </c>
      <c r="AR8" s="318" t="str">
        <f t="shared" ref="AR8:AR10" si="15">IF(AN8&gt;AP8,"MALE DOM","FEMALE DOM")</f>
        <v>FEMALE DOM</v>
      </c>
      <c r="AS8" s="319" t="str">
        <f t="shared" ref="AS8:AS10" si="16">IF(AO8&gt;AP8,"MALE","FEMALE")</f>
        <v>FEMALE</v>
      </c>
      <c r="AT8" s="317">
        <f t="shared" ref="AT8:AU10" si="17">(AH8/AB8)*100</f>
        <v>53.2200990799717</v>
      </c>
      <c r="AU8" s="317">
        <f t="shared" si="17"/>
        <v>56.7142857142857</v>
      </c>
      <c r="AV8" s="248">
        <f t="shared" ref="AV8:AW10" si="18">(AJ8/AB8)*100</f>
        <v>3.82165605095541</v>
      </c>
      <c r="AW8" s="317">
        <f t="shared" si="18"/>
        <v>3.85714285714286</v>
      </c>
      <c r="AX8" s="248">
        <f t="shared" ref="AX8:AY10" si="19">(AL8/AB8)*100</f>
        <v>42.9582448690729</v>
      </c>
      <c r="AY8" s="317">
        <f t="shared" si="19"/>
        <v>39.4285714285714</v>
      </c>
      <c r="AZ8" s="248" t="str">
        <f t="shared" ref="AZ8:AZ10" si="20">IF(AT8&gt;(AV8+AX8),"HINDU","MINORITY")</f>
        <v>HINDU</v>
      </c>
      <c r="BA8" s="318" t="str">
        <f t="shared" ref="BA8:BA10" si="21">IF(AU8&gt;(AW8+AY8),"HIND","MINORITY")</f>
        <v>HIND</v>
      </c>
    </row>
    <row r="9" spans="2:53">
      <c r="B9" s="337">
        <v>60</v>
      </c>
      <c r="C9" s="337">
        <v>1400</v>
      </c>
      <c r="D9" s="337">
        <v>230</v>
      </c>
      <c r="E9" s="337">
        <v>648</v>
      </c>
      <c r="F9" s="337">
        <v>1</v>
      </c>
      <c r="G9" s="337">
        <v>4</v>
      </c>
      <c r="H9" s="337">
        <v>3</v>
      </c>
      <c r="I9" s="337">
        <v>1</v>
      </c>
      <c r="J9" s="337">
        <v>1</v>
      </c>
      <c r="K9" s="337">
        <v>0</v>
      </c>
      <c r="L9" s="337">
        <v>888</v>
      </c>
      <c r="M9" s="337">
        <v>0</v>
      </c>
      <c r="N9" s="337">
        <v>4</v>
      </c>
      <c r="O9" s="337">
        <f t="shared" si="0"/>
        <v>892</v>
      </c>
      <c r="P9" s="337">
        <f t="shared" si="1"/>
        <v>63.7142857142857</v>
      </c>
      <c r="Q9" s="337">
        <f t="shared" si="2"/>
        <v>72.6457399103139</v>
      </c>
      <c r="R9" s="337">
        <f t="shared" si="3"/>
        <v>25.7847533632287</v>
      </c>
      <c r="S9" s="337">
        <f t="shared" si="4"/>
        <v>0.112107623318386</v>
      </c>
      <c r="T9" s="337">
        <f t="shared" si="5"/>
        <v>0.448430493273543</v>
      </c>
      <c r="U9" s="337">
        <f t="shared" si="6"/>
        <v>0.560538116591928</v>
      </c>
      <c r="V9" s="337">
        <f t="shared" si="7"/>
        <v>0.448430493273543</v>
      </c>
      <c r="W9" s="337">
        <f t="shared" si="8"/>
        <v>46.8609865470852</v>
      </c>
      <c r="X9" s="337">
        <f t="shared" si="9"/>
        <v>45.7399103139013</v>
      </c>
      <c r="Y9" s="337" t="str">
        <f t="shared" si="10"/>
        <v>STRONG</v>
      </c>
      <c r="Z9" s="283" t="str">
        <f t="shared" si="11"/>
        <v>STRONG</v>
      </c>
      <c r="AA9" s="289" t="str">
        <f t="shared" si="12"/>
        <v>BJP</v>
      </c>
      <c r="AB9">
        <v>1394</v>
      </c>
      <c r="AC9">
        <v>836</v>
      </c>
      <c r="AD9">
        <v>650</v>
      </c>
      <c r="AE9">
        <v>380</v>
      </c>
      <c r="AF9">
        <v>744</v>
      </c>
      <c r="AG9">
        <v>456</v>
      </c>
      <c r="AH9">
        <v>1110</v>
      </c>
      <c r="AI9">
        <v>698</v>
      </c>
      <c r="AJ9">
        <v>7</v>
      </c>
      <c r="AK9">
        <v>1</v>
      </c>
      <c r="AL9">
        <v>277</v>
      </c>
      <c r="AM9">
        <v>137</v>
      </c>
      <c r="AN9" s="248">
        <f t="shared" si="13"/>
        <v>46.6284074605452</v>
      </c>
      <c r="AO9" s="316">
        <f t="shared" si="13"/>
        <v>45.4545454545455</v>
      </c>
      <c r="AP9" s="317">
        <f t="shared" si="14"/>
        <v>53.3715925394548</v>
      </c>
      <c r="AQ9" s="318">
        <f t="shared" si="14"/>
        <v>54.5454545454545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79.6269727403156</v>
      </c>
      <c r="AU9" s="317">
        <f t="shared" si="17"/>
        <v>83.4928229665072</v>
      </c>
      <c r="AV9" s="248">
        <f t="shared" si="18"/>
        <v>0.502152080344333</v>
      </c>
      <c r="AW9" s="317">
        <f t="shared" si="18"/>
        <v>0.119617224880383</v>
      </c>
      <c r="AX9" s="248">
        <f t="shared" si="19"/>
        <v>19.87087517934</v>
      </c>
      <c r="AY9" s="317">
        <f t="shared" si="19"/>
        <v>16.3875598086124</v>
      </c>
      <c r="AZ9" s="248" t="str">
        <f t="shared" si="20"/>
        <v>HINDU</v>
      </c>
      <c r="BA9" s="318" t="str">
        <f t="shared" si="21"/>
        <v>HIND</v>
      </c>
    </row>
    <row r="10" spans="2:53">
      <c r="B10" s="215">
        <v>57</v>
      </c>
      <c r="C10" s="215">
        <v>1386</v>
      </c>
      <c r="D10" s="215">
        <v>433</v>
      </c>
      <c r="E10" s="215">
        <v>317</v>
      </c>
      <c r="F10" s="215">
        <v>2</v>
      </c>
      <c r="G10" s="215">
        <v>4</v>
      </c>
      <c r="H10" s="215">
        <v>0</v>
      </c>
      <c r="I10" s="215">
        <v>0</v>
      </c>
      <c r="J10" s="215">
        <v>1</v>
      </c>
      <c r="K10" s="215">
        <v>0</v>
      </c>
      <c r="L10" s="215">
        <v>757</v>
      </c>
      <c r="M10" s="215">
        <v>0</v>
      </c>
      <c r="N10" s="215">
        <v>5</v>
      </c>
      <c r="O10" s="215">
        <f t="shared" si="0"/>
        <v>762</v>
      </c>
      <c r="P10" s="215">
        <f t="shared" si="1"/>
        <v>54.978354978355</v>
      </c>
      <c r="Q10" s="215">
        <f t="shared" si="2"/>
        <v>41.6010498687664</v>
      </c>
      <c r="R10" s="215">
        <f t="shared" si="3"/>
        <v>56.8241469816273</v>
      </c>
      <c r="S10" s="215">
        <f t="shared" si="4"/>
        <v>0.26246719160105</v>
      </c>
      <c r="T10" s="215">
        <f t="shared" si="5"/>
        <v>0.5249343832021</v>
      </c>
      <c r="U10" s="215">
        <f t="shared" si="6"/>
        <v>0.131233595800525</v>
      </c>
      <c r="V10" s="215">
        <f t="shared" si="7"/>
        <v>0.656167979002625</v>
      </c>
      <c r="W10" s="215">
        <f t="shared" si="8"/>
        <v>-15.2230971128609</v>
      </c>
      <c r="X10" s="215">
        <f t="shared" si="9"/>
        <v>-16.1417322834646</v>
      </c>
      <c r="Y10" s="215" t="str">
        <f t="shared" si="10"/>
        <v>LOST</v>
      </c>
      <c r="Z10" s="291" t="str">
        <f t="shared" si="11"/>
        <v>MEDIUM</v>
      </c>
      <c r="AA10" s="284" t="str">
        <f t="shared" si="12"/>
        <v>CONGRESS</v>
      </c>
      <c r="AB10">
        <v>1379</v>
      </c>
      <c r="AC10">
        <v>751</v>
      </c>
      <c r="AD10">
        <v>653</v>
      </c>
      <c r="AE10">
        <v>359</v>
      </c>
      <c r="AF10">
        <v>726</v>
      </c>
      <c r="AG10">
        <v>392</v>
      </c>
      <c r="AH10">
        <v>603</v>
      </c>
      <c r="AI10">
        <v>361</v>
      </c>
      <c r="AJ10">
        <v>207</v>
      </c>
      <c r="AK10">
        <v>84</v>
      </c>
      <c r="AL10">
        <v>569</v>
      </c>
      <c r="AM10">
        <v>306</v>
      </c>
      <c r="AN10" s="248">
        <f t="shared" si="13"/>
        <v>47.3531544597534</v>
      </c>
      <c r="AO10" s="316">
        <f t="shared" si="13"/>
        <v>47.8029294274301</v>
      </c>
      <c r="AP10" s="317">
        <f t="shared" si="14"/>
        <v>52.6468455402466</v>
      </c>
      <c r="AQ10" s="318">
        <f t="shared" si="14"/>
        <v>52.1970705725699</v>
      </c>
      <c r="AR10" s="318" t="str">
        <f t="shared" si="15"/>
        <v>FEMALE DOM</v>
      </c>
      <c r="AS10" s="319" t="str">
        <f t="shared" si="16"/>
        <v>FEMALE</v>
      </c>
      <c r="AT10" s="317">
        <f t="shared" si="17"/>
        <v>43.7273386511965</v>
      </c>
      <c r="AU10" s="317">
        <f t="shared" si="17"/>
        <v>48.069241011984</v>
      </c>
      <c r="AV10" s="248">
        <f t="shared" si="18"/>
        <v>15.0108774474257</v>
      </c>
      <c r="AW10" s="317">
        <f t="shared" si="18"/>
        <v>11.185086551265</v>
      </c>
      <c r="AX10" s="248">
        <f t="shared" si="19"/>
        <v>41.2617839013778</v>
      </c>
      <c r="AY10" s="317">
        <f t="shared" si="19"/>
        <v>40.745672436751</v>
      </c>
      <c r="AZ10" s="248" t="str">
        <f t="shared" si="20"/>
        <v>MINORITY</v>
      </c>
      <c r="BA10" s="318" t="str">
        <f t="shared" si="21"/>
        <v>MINORITY</v>
      </c>
    </row>
    <row r="11" spans="2:27">
      <c r="B11" s="334"/>
      <c r="C11" s="219">
        <f t="shared" ref="C11:O11" si="22">SUM(C7:C10)</f>
        <v>5183</v>
      </c>
      <c r="D11" s="219">
        <f t="shared" si="22"/>
        <v>1234</v>
      </c>
      <c r="E11" s="219">
        <f t="shared" si="22"/>
        <v>1851</v>
      </c>
      <c r="F11" s="219">
        <f t="shared" si="22"/>
        <v>7</v>
      </c>
      <c r="G11" s="219">
        <f t="shared" si="22"/>
        <v>24</v>
      </c>
      <c r="H11" s="219">
        <f t="shared" si="22"/>
        <v>5</v>
      </c>
      <c r="I11" s="219">
        <f t="shared" si="22"/>
        <v>2</v>
      </c>
      <c r="J11" s="219">
        <f t="shared" si="22"/>
        <v>2</v>
      </c>
      <c r="K11" s="219">
        <f t="shared" si="22"/>
        <v>0</v>
      </c>
      <c r="L11" s="219">
        <f t="shared" si="22"/>
        <v>3125</v>
      </c>
      <c r="M11" s="219">
        <f t="shared" si="22"/>
        <v>0</v>
      </c>
      <c r="N11" s="219">
        <f t="shared" si="22"/>
        <v>20</v>
      </c>
      <c r="O11" s="219">
        <f t="shared" si="22"/>
        <v>3145</v>
      </c>
      <c r="P11" s="219">
        <f t="shared" ref="P11:X11" si="23">AVERAGE(P7:P10)</f>
        <v>61.1865346587569</v>
      </c>
      <c r="Q11" s="219">
        <f t="shared" si="23"/>
        <v>59.1722018459535</v>
      </c>
      <c r="R11" s="219">
        <f t="shared" si="23"/>
        <v>38.9092834155905</v>
      </c>
      <c r="S11" s="219">
        <f t="shared" si="23"/>
        <v>0.213260928610242</v>
      </c>
      <c r="T11" s="219">
        <f t="shared" si="23"/>
        <v>0.771391914907654</v>
      </c>
      <c r="U11" s="219">
        <f t="shared" si="23"/>
        <v>0.270919479469602</v>
      </c>
      <c r="V11" s="219">
        <f t="shared" si="23"/>
        <v>0.662942415468509</v>
      </c>
      <c r="W11" s="219">
        <f t="shared" si="23"/>
        <v>20.2629184303629</v>
      </c>
      <c r="X11" s="219">
        <f t="shared" si="23"/>
        <v>19.0073461073754</v>
      </c>
      <c r="Y11" s="219" t="str">
        <f t="shared" si="10"/>
        <v>MEDIUM</v>
      </c>
      <c r="Z11" s="341" t="str">
        <f t="shared" si="11"/>
        <v>STRONG</v>
      </c>
      <c r="AA11" s="289" t="str">
        <f t="shared" si="12"/>
        <v>BJP</v>
      </c>
    </row>
    <row r="14" spans="11:28">
      <c r="K14" s="225" t="s">
        <v>205</v>
      </c>
      <c r="L14" s="237"/>
      <c r="M14" s="237"/>
      <c r="N14" s="238"/>
      <c r="P14" s="225" t="s">
        <v>97</v>
      </c>
      <c r="Q14" s="237"/>
      <c r="R14" s="237"/>
      <c r="S14" s="238"/>
      <c r="U14" s="265" t="s">
        <v>98</v>
      </c>
      <c r="V14" s="265"/>
      <c r="W14" s="265"/>
      <c r="X14" s="265"/>
      <c r="Y14" s="265"/>
      <c r="Z14" s="265"/>
      <c r="AA14" s="265"/>
      <c r="AB14" s="265"/>
    </row>
    <row r="15" spans="11:28">
      <c r="K15" s="226"/>
      <c r="L15" s="239"/>
      <c r="M15" s="239"/>
      <c r="N15" s="240"/>
      <c r="P15" s="241"/>
      <c r="Q15" s="242"/>
      <c r="R15" s="242"/>
      <c r="S15" s="243"/>
      <c r="U15" s="265"/>
      <c r="V15" s="265"/>
      <c r="W15" s="265"/>
      <c r="X15" s="265"/>
      <c r="Y15" s="265"/>
      <c r="Z15" s="265"/>
      <c r="AA15" s="265"/>
      <c r="AB15" s="265"/>
    </row>
    <row r="16" spans="11:28">
      <c r="K16" s="227" t="s">
        <v>99</v>
      </c>
      <c r="L16" s="244"/>
      <c r="M16" s="245"/>
      <c r="N16" s="245">
        <f>COUNTIF(AA7:AA10,"BJP")</f>
        <v>2</v>
      </c>
      <c r="P16" s="246" t="s">
        <v>100</v>
      </c>
      <c r="Q16" s="247"/>
      <c r="R16" s="247"/>
      <c r="S16" s="248">
        <f>COUNTIF(Y7:Y10,"NARROW")</f>
        <v>0</v>
      </c>
      <c r="U16" s="265" t="s">
        <v>101</v>
      </c>
      <c r="V16" s="265"/>
      <c r="W16" s="265"/>
      <c r="X16" s="265">
        <f>'KADRI(S)-18'!E7</f>
        <v>66.1092396773551</v>
      </c>
      <c r="Y16" s="265" t="s">
        <v>102</v>
      </c>
      <c r="Z16" s="265"/>
      <c r="AA16" s="265"/>
      <c r="AB16" s="265">
        <f>Q11</f>
        <v>59.1722018459535</v>
      </c>
    </row>
    <row r="17" spans="11:28">
      <c r="K17" s="227"/>
      <c r="L17" s="244"/>
      <c r="M17" s="245"/>
      <c r="N17" s="245"/>
      <c r="P17" s="249"/>
      <c r="Q17" s="250"/>
      <c r="R17" s="250"/>
      <c r="S17" s="251"/>
      <c r="U17" s="265"/>
      <c r="V17" s="265"/>
      <c r="W17" s="265"/>
      <c r="X17" s="265"/>
      <c r="Y17" s="265"/>
      <c r="Z17" s="265"/>
      <c r="AA17" s="265"/>
      <c r="AB17" s="265"/>
    </row>
    <row r="18" spans="11:28">
      <c r="K18" s="227"/>
      <c r="L18" s="244"/>
      <c r="M18" s="245"/>
      <c r="N18" s="245"/>
      <c r="P18" s="252" t="s">
        <v>103</v>
      </c>
      <c r="Q18" s="253"/>
      <c r="R18" s="253"/>
      <c r="S18" s="248">
        <f>COUNTIF(Y7:Y10,"MEDIUM")</f>
        <v>0</v>
      </c>
      <c r="U18" s="265" t="s">
        <v>104</v>
      </c>
      <c r="V18" s="265"/>
      <c r="W18" s="265"/>
      <c r="X18" s="265">
        <f>'KADRI(S)-18'!G7</f>
        <v>30.8745366539153</v>
      </c>
      <c r="Y18" s="265" t="s">
        <v>105</v>
      </c>
      <c r="Z18" s="265"/>
      <c r="AA18" s="265"/>
      <c r="AB18" s="265">
        <f>R11</f>
        <v>38.9092834155905</v>
      </c>
    </row>
    <row r="19" spans="11:28">
      <c r="K19" s="228" t="s">
        <v>106</v>
      </c>
      <c r="L19" s="254"/>
      <c r="M19" s="255"/>
      <c r="N19" s="255">
        <f>COUNTIF(AA7:AA10,"CONGRESS")</f>
        <v>2</v>
      </c>
      <c r="P19" s="252"/>
      <c r="Q19" s="253"/>
      <c r="R19" s="253"/>
      <c r="S19" s="251"/>
      <c r="U19" s="265"/>
      <c r="V19" s="265"/>
      <c r="W19" s="265"/>
      <c r="X19" s="265"/>
      <c r="Y19" s="265"/>
      <c r="Z19" s="265"/>
      <c r="AA19" s="265"/>
      <c r="AB19" s="265"/>
    </row>
    <row r="20" spans="11:28">
      <c r="K20" s="229"/>
      <c r="L20" s="256"/>
      <c r="M20" s="257"/>
      <c r="N20" s="257"/>
      <c r="P20" s="258" t="s">
        <v>107</v>
      </c>
      <c r="Q20" s="259"/>
      <c r="R20" s="259"/>
      <c r="S20" s="248">
        <f>COUNTIF(Y7:Y10,"STRONG")</f>
        <v>2</v>
      </c>
      <c r="U20" s="265" t="s">
        <v>108</v>
      </c>
      <c r="V20" s="265"/>
      <c r="W20" s="265"/>
      <c r="X20" s="265">
        <f>'KADRI-18'!D5</f>
        <v>336</v>
      </c>
      <c r="Y20" s="265" t="s">
        <v>109</v>
      </c>
      <c r="Z20" s="265"/>
      <c r="AA20" s="265"/>
      <c r="AB20" s="265">
        <f>O11</f>
        <v>3145</v>
      </c>
    </row>
    <row r="21" spans="11:28">
      <c r="K21" s="230"/>
      <c r="L21" s="260"/>
      <c r="M21" s="261"/>
      <c r="N21" s="261"/>
      <c r="P21" s="262"/>
      <c r="Q21" s="263"/>
      <c r="R21" s="263"/>
      <c r="S21" s="251"/>
      <c r="U21" s="265"/>
      <c r="V21" s="265"/>
      <c r="W21" s="265"/>
      <c r="X21" s="265"/>
      <c r="Y21" s="265"/>
      <c r="Z21" s="265"/>
      <c r="AA21" s="265"/>
      <c r="AB21" s="265"/>
    </row>
    <row r="22" spans="16:28">
      <c r="P22" s="229" t="s">
        <v>110</v>
      </c>
      <c r="Q22" s="256"/>
      <c r="R22" s="256"/>
      <c r="S22" s="248">
        <f>COUNTIF(Y7:Y10,"LOST")</f>
        <v>2</v>
      </c>
      <c r="U22" s="265" t="s">
        <v>111</v>
      </c>
      <c r="V22" s="265"/>
      <c r="W22" s="265"/>
      <c r="X22" s="265">
        <f>'KADRI(S)-18'!C7</f>
        <v>3692</v>
      </c>
      <c r="Y22" s="265" t="s">
        <v>111</v>
      </c>
      <c r="Z22" s="265"/>
      <c r="AA22" s="265"/>
      <c r="AB22" s="265">
        <f>AB16-AB18</f>
        <v>20.2629184303629</v>
      </c>
    </row>
    <row r="23" spans="16:28">
      <c r="P23" s="230"/>
      <c r="Q23" s="260"/>
      <c r="R23" s="260"/>
      <c r="S23" s="251"/>
      <c r="U23" s="265"/>
      <c r="V23" s="265"/>
      <c r="W23" s="265"/>
      <c r="X23" s="265"/>
      <c r="Y23" s="265"/>
      <c r="Z23" s="265"/>
      <c r="AA23" s="265"/>
      <c r="AB23" s="265"/>
    </row>
    <row r="24" spans="21:27">
      <c r="U24" s="265" t="s">
        <v>112</v>
      </c>
      <c r="V24" s="265"/>
      <c r="W24" s="265"/>
      <c r="X24" s="265">
        <f>AB16-X16</f>
        <v>-6.93703783140167</v>
      </c>
      <c r="Y24" s="265"/>
      <c r="Z24" s="265"/>
      <c r="AA24" s="265"/>
    </row>
    <row r="25" spans="21:27">
      <c r="U25" s="265"/>
      <c r="V25" s="265"/>
      <c r="W25" s="265"/>
      <c r="X25" s="265"/>
      <c r="Y25" s="265"/>
      <c r="Z25" s="265"/>
      <c r="AA25" s="265"/>
    </row>
    <row r="26" spans="21:27">
      <c r="U26" s="265" t="s">
        <v>113</v>
      </c>
      <c r="V26" s="265"/>
      <c r="W26" s="265"/>
      <c r="X26" s="265">
        <f>AB18-X18</f>
        <v>8.03474676167521</v>
      </c>
      <c r="Y26" s="265"/>
      <c r="Z26" s="265"/>
      <c r="AA26" s="265"/>
    </row>
    <row r="27" spans="21:27">
      <c r="U27" s="265"/>
      <c r="V27" s="265"/>
      <c r="W27" s="265"/>
      <c r="X27" s="265"/>
      <c r="Y27" s="265"/>
      <c r="Z27" s="265"/>
      <c r="AA27" s="265"/>
    </row>
    <row r="28" spans="21:27">
      <c r="U28" s="265" t="s">
        <v>114</v>
      </c>
      <c r="V28" s="265"/>
      <c r="W28" s="265"/>
      <c r="X28" s="265" t="str">
        <f>IF(X24&gt;X26,"INCREASE","DECREASE")</f>
        <v>DECREASE</v>
      </c>
      <c r="Y28" s="265"/>
      <c r="Z28" s="265"/>
      <c r="AA28" s="265"/>
    </row>
    <row r="29" spans="21:27">
      <c r="U29" s="265"/>
      <c r="V29" s="265"/>
      <c r="W29" s="265"/>
      <c r="X29" s="265"/>
      <c r="Y29" s="265"/>
      <c r="Z29" s="265"/>
      <c r="AA29" s="265"/>
    </row>
    <row r="30" spans="21:28">
      <c r="U30" s="265">
        <v>0</v>
      </c>
      <c r="V30" s="265"/>
      <c r="W30" s="265"/>
      <c r="X30" s="265"/>
      <c r="Y30" s="265"/>
      <c r="Z30" s="265"/>
      <c r="AA30" s="265"/>
      <c r="AB30" s="265"/>
    </row>
    <row r="31" spans="21:28">
      <c r="U31" s="265"/>
      <c r="V31" s="265"/>
      <c r="W31" s="265"/>
      <c r="X31" s="265"/>
      <c r="Y31" s="265"/>
      <c r="Z31" s="265"/>
      <c r="AA31" s="265"/>
      <c r="AB31" s="265"/>
    </row>
    <row r="32" spans="21:28">
      <c r="U32" s="265"/>
      <c r="V32" s="265"/>
      <c r="W32" s="265"/>
      <c r="X32" s="265"/>
      <c r="Y32" s="265"/>
      <c r="Z32" s="265"/>
      <c r="AA32" s="265"/>
      <c r="AB32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N16:N18"/>
    <mergeCell ref="N19:N21"/>
    <mergeCell ref="O1:O6"/>
    <mergeCell ref="P1:P6"/>
    <mergeCell ref="Q1:Q6"/>
    <mergeCell ref="R1:R6"/>
    <mergeCell ref="S1:S6"/>
    <mergeCell ref="S16:S17"/>
    <mergeCell ref="S18:S19"/>
    <mergeCell ref="S20:S21"/>
    <mergeCell ref="S22:S23"/>
    <mergeCell ref="T1:T6"/>
    <mergeCell ref="U1:U6"/>
    <mergeCell ref="V1:V6"/>
    <mergeCell ref="W1:W6"/>
    <mergeCell ref="X1:X6"/>
    <mergeCell ref="X16:X17"/>
    <mergeCell ref="X18:X19"/>
    <mergeCell ref="X20:X21"/>
    <mergeCell ref="X22:X23"/>
    <mergeCell ref="Y1:Y6"/>
    <mergeCell ref="Z1:Z6"/>
    <mergeCell ref="AA1:AA6"/>
    <mergeCell ref="AB1:AB6"/>
    <mergeCell ref="AB16:AB17"/>
    <mergeCell ref="AB18:AB19"/>
    <mergeCell ref="AB20:AB21"/>
    <mergeCell ref="AB22:AB23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P22:R23"/>
    <mergeCell ref="Y22:AA23"/>
    <mergeCell ref="K14:N15"/>
    <mergeCell ref="P14:S15"/>
    <mergeCell ref="K16:M18"/>
    <mergeCell ref="P16:R17"/>
    <mergeCell ref="Y16:AA17"/>
    <mergeCell ref="P18:R19"/>
    <mergeCell ref="Y18:AA19"/>
    <mergeCell ref="K19:M21"/>
    <mergeCell ref="P20:R21"/>
    <mergeCell ref="Y20:AA21"/>
    <mergeCell ref="D1:K2"/>
    <mergeCell ref="U14:AB15"/>
    <mergeCell ref="U16:W17"/>
    <mergeCell ref="U18:W19"/>
    <mergeCell ref="U20:W21"/>
    <mergeCell ref="U22:W23"/>
    <mergeCell ref="U24:W25"/>
    <mergeCell ref="X24:AA25"/>
    <mergeCell ref="U30:AB32"/>
    <mergeCell ref="U26:W27"/>
    <mergeCell ref="X26:AA27"/>
    <mergeCell ref="U28:W29"/>
    <mergeCell ref="X28:Y29"/>
    <mergeCell ref="Z28:AA29"/>
  </mergeCells>
  <conditionalFormatting sqref="AR7:AR10">
    <cfRule type="containsText" dxfId="6" priority="1" operator="between" text="FEMALE DOM">
      <formula>NOT(ISERROR(SEARCH("FEMALE DOM",AR7)))</formula>
    </cfRule>
  </conditionalFormatting>
  <conditionalFormatting sqref="AZ7:AZ10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0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"/>
  <sheetViews>
    <sheetView topLeftCell="U1" workbookViewId="0">
      <selection activeCell="A1" sqref="A1:AJ1"/>
    </sheetView>
  </sheetViews>
  <sheetFormatPr defaultColWidth="9" defaultRowHeight="14.5" outlineLevelRow="6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54</v>
      </c>
      <c r="B2" s="185" t="s">
        <v>293</v>
      </c>
      <c r="C2" s="184">
        <v>718</v>
      </c>
      <c r="D2" s="184">
        <v>509</v>
      </c>
      <c r="E2" s="184">
        <f t="shared" ref="E2:E6" si="0">(D2/C2)*100</f>
        <v>70.891364902507</v>
      </c>
      <c r="F2" s="184">
        <v>180</v>
      </c>
      <c r="G2" s="184">
        <f t="shared" ref="G2:G6" si="1">(F2/C2)*100</f>
        <v>25.0696378830084</v>
      </c>
      <c r="H2" s="184">
        <v>6</v>
      </c>
      <c r="I2" s="184">
        <f t="shared" ref="I2:I6" si="2">(H2/C2)*100</f>
        <v>0.835654596100279</v>
      </c>
      <c r="J2" s="184">
        <v>3</v>
      </c>
      <c r="K2" s="184">
        <f t="shared" ref="K2:K6" si="3">(J2/C2)*100</f>
        <v>0.417827298050139</v>
      </c>
      <c r="L2" s="189">
        <v>480</v>
      </c>
      <c r="M2" s="189">
        <v>525</v>
      </c>
      <c r="N2" s="189">
        <f t="shared" ref="N2:N6" si="4">L2+M2</f>
        <v>1005</v>
      </c>
      <c r="O2" s="184">
        <v>718</v>
      </c>
      <c r="P2" s="190">
        <f t="shared" ref="P2:P6" si="5">O2/N2*100</f>
        <v>71.4427860696517</v>
      </c>
      <c r="Q2" s="184">
        <v>857</v>
      </c>
      <c r="R2" s="184">
        <f t="shared" ref="R2:R6" si="6">(Q2/N2)*100</f>
        <v>85.273631840796</v>
      </c>
      <c r="S2" s="192">
        <f t="shared" ref="S2:S6" si="7">Q2-U2</f>
        <v>264</v>
      </c>
      <c r="T2" s="184">
        <f t="shared" ref="T2:T6" si="8">(S2/Q2)*100</f>
        <v>30.8051341890315</v>
      </c>
      <c r="U2" s="184">
        <v>593</v>
      </c>
      <c r="V2" s="191">
        <f t="shared" ref="V2:V6" si="9">IFERROR(U2/Q2*100,0)</f>
        <v>69.1948658109685</v>
      </c>
      <c r="W2" s="184">
        <f>1005-857</f>
        <v>148</v>
      </c>
      <c r="X2" s="184">
        <f t="shared" ref="X2:X6" si="10">100-R2</f>
        <v>14.726368159204</v>
      </c>
      <c r="Y2" s="184">
        <f t="shared" ref="Y2:Y6" si="11">W2-AA2</f>
        <v>23</v>
      </c>
      <c r="Z2" s="193">
        <f t="shared" ref="Z2:Z6" si="12">(Y2/W2)*100</f>
        <v>15.5405405405405</v>
      </c>
      <c r="AA2" s="193">
        <f>718-593</f>
        <v>125</v>
      </c>
      <c r="AB2" s="194">
        <f t="shared" ref="AB2:AB6" si="13">IFERROR(AA2/W2*100,0)</f>
        <v>84.4594594594595</v>
      </c>
      <c r="AC2" s="193">
        <f t="shared" ref="AC2:AC6" si="14">U2+AA2</f>
        <v>718</v>
      </c>
      <c r="AD2" s="193" t="str">
        <f t="shared" ref="AD2:AD6" si="15">IF(P2&gt;80,"EXCELLENT",IF(P2&gt;70,"STRONG",IF(P2&gt;60,"AVG",IF(P2&gt;50,"WEAK",IF(P2&lt;50,"VLOW")))))</f>
        <v>STRONG</v>
      </c>
      <c r="AE2" s="195" t="str">
        <f t="shared" ref="AE2:AE6" si="16">IF(R2&gt;80,"EXCELLENT",IF(R2&gt;70,"STRONG",IF(R2&gt;60,"AVG",IF(R2&gt;50,"WEAK",IF(R2&lt;50,"VLOW")))))</f>
        <v>EXCELLENT</v>
      </c>
      <c r="AF2" s="193" t="str">
        <f t="shared" ref="AF2:AF6" si="17">IF(X2&gt;80,"EXCELLENT",IF(X2&gt;70,"STRONG",IF(X2&gt;60,"AVG",IF(X2&gt;50,"WEAK",IF(X2&lt;50,"VLOW")))))</f>
        <v>VLOW</v>
      </c>
      <c r="AG2" s="193" t="str">
        <f t="shared" ref="AG2:AG6" si="18">IF(M2&gt;L2,"FEMALE DOM","MEN")</f>
        <v>FEMALE DOM</v>
      </c>
      <c r="AH2" s="193" t="str">
        <f t="shared" ref="AH2:AH6" si="19">IF(T2&gt;Z2,"H","O")</f>
        <v>H</v>
      </c>
      <c r="AI2" s="197">
        <f>E2-G2</f>
        <v>45.8217270194986</v>
      </c>
      <c r="AJ2" s="199" t="str">
        <f t="shared" ref="AJ2:AJ7" si="20">IF(E2&gt;G2,"BJP GAIN","CONGRESSGAIN")</f>
        <v>BJP GAIN</v>
      </c>
    </row>
    <row r="3" spans="1:36">
      <c r="A3" s="184">
        <v>55</v>
      </c>
      <c r="B3" s="185" t="s">
        <v>294</v>
      </c>
      <c r="C3" s="184">
        <v>873</v>
      </c>
      <c r="D3" s="184">
        <v>589</v>
      </c>
      <c r="E3" s="184">
        <f t="shared" si="0"/>
        <v>67.4684994272623</v>
      </c>
      <c r="F3" s="184">
        <v>263</v>
      </c>
      <c r="G3" s="184">
        <f t="shared" si="1"/>
        <v>30.1260022909507</v>
      </c>
      <c r="H3" s="184">
        <v>3</v>
      </c>
      <c r="I3" s="184">
        <f t="shared" si="2"/>
        <v>0.343642611683849</v>
      </c>
      <c r="J3" s="184">
        <v>4</v>
      </c>
      <c r="K3" s="184">
        <f t="shared" si="3"/>
        <v>0.458190148911798</v>
      </c>
      <c r="L3" s="189">
        <v>602</v>
      </c>
      <c r="M3" s="189">
        <v>708</v>
      </c>
      <c r="N3" s="189">
        <f t="shared" si="4"/>
        <v>1310</v>
      </c>
      <c r="O3" s="184">
        <v>873</v>
      </c>
      <c r="P3" s="190">
        <f t="shared" si="5"/>
        <v>66.6412213740458</v>
      </c>
      <c r="Q3" s="184">
        <v>1047</v>
      </c>
      <c r="R3" s="184">
        <f t="shared" si="6"/>
        <v>79.9236641221374</v>
      </c>
      <c r="S3" s="184">
        <f t="shared" si="7"/>
        <v>379</v>
      </c>
      <c r="T3" s="184">
        <f t="shared" si="8"/>
        <v>36.1986628462273</v>
      </c>
      <c r="U3" s="184">
        <v>668</v>
      </c>
      <c r="V3" s="191">
        <f t="shared" si="9"/>
        <v>63.8013371537727</v>
      </c>
      <c r="W3" s="184">
        <v>258</v>
      </c>
      <c r="X3" s="184">
        <f t="shared" si="10"/>
        <v>20.0763358778626</v>
      </c>
      <c r="Y3" s="196">
        <f t="shared" si="11"/>
        <v>62</v>
      </c>
      <c r="Z3" s="193">
        <f t="shared" si="12"/>
        <v>24.031007751938</v>
      </c>
      <c r="AA3" s="193">
        <v>196</v>
      </c>
      <c r="AB3" s="194">
        <f t="shared" si="13"/>
        <v>75.968992248062</v>
      </c>
      <c r="AC3" s="193">
        <f t="shared" si="14"/>
        <v>864</v>
      </c>
      <c r="AD3" s="193" t="str">
        <f t="shared" si="15"/>
        <v>AVG</v>
      </c>
      <c r="AE3" s="195" t="str">
        <f t="shared" si="16"/>
        <v>STRONG</v>
      </c>
      <c r="AF3" s="193" t="str">
        <f t="shared" si="17"/>
        <v>VLOW</v>
      </c>
      <c r="AG3" s="193" t="str">
        <f t="shared" si="18"/>
        <v>FEMALE DOM</v>
      </c>
      <c r="AH3" s="193" t="str">
        <f t="shared" si="19"/>
        <v>H</v>
      </c>
      <c r="AI3" s="197">
        <f>E3-G3</f>
        <v>37.3424971363116</v>
      </c>
      <c r="AJ3" s="199" t="str">
        <f t="shared" si="20"/>
        <v>BJP GAIN</v>
      </c>
    </row>
    <row r="4" spans="1:36">
      <c r="A4" s="184">
        <v>56</v>
      </c>
      <c r="B4" s="185" t="s">
        <v>295</v>
      </c>
      <c r="C4" s="184">
        <v>878</v>
      </c>
      <c r="D4" s="184">
        <v>393</v>
      </c>
      <c r="E4" s="184">
        <f t="shared" si="0"/>
        <v>44.7608200455581</v>
      </c>
      <c r="F4" s="184">
        <v>466</v>
      </c>
      <c r="G4" s="184">
        <f t="shared" si="1"/>
        <v>53.0751708428246</v>
      </c>
      <c r="H4" s="184">
        <v>1</v>
      </c>
      <c r="I4" s="184">
        <f t="shared" si="2"/>
        <v>0.113895216400911</v>
      </c>
      <c r="J4" s="184">
        <v>4</v>
      </c>
      <c r="K4" s="184">
        <f t="shared" si="3"/>
        <v>0.455580865603645</v>
      </c>
      <c r="L4" s="189">
        <v>637</v>
      </c>
      <c r="M4" s="189">
        <v>755</v>
      </c>
      <c r="N4" s="189">
        <f t="shared" si="4"/>
        <v>1392</v>
      </c>
      <c r="O4" s="184">
        <v>878</v>
      </c>
      <c r="P4" s="190">
        <f t="shared" si="5"/>
        <v>63.0747126436782</v>
      </c>
      <c r="Q4" s="184">
        <v>651</v>
      </c>
      <c r="R4" s="184">
        <f t="shared" si="6"/>
        <v>46.7672413793103</v>
      </c>
      <c r="S4" s="184">
        <f t="shared" si="7"/>
        <v>138</v>
      </c>
      <c r="T4" s="184">
        <f t="shared" si="8"/>
        <v>21.1981566820277</v>
      </c>
      <c r="U4" s="184">
        <v>513</v>
      </c>
      <c r="V4" s="191">
        <f t="shared" si="9"/>
        <v>78.8018433179724</v>
      </c>
      <c r="W4" s="184">
        <f>1392-651</f>
        <v>741</v>
      </c>
      <c r="X4" s="184">
        <f t="shared" si="10"/>
        <v>53.2327586206897</v>
      </c>
      <c r="Y4" s="184">
        <f t="shared" si="11"/>
        <v>376</v>
      </c>
      <c r="Z4" s="193">
        <f t="shared" si="12"/>
        <v>50.7422402159244</v>
      </c>
      <c r="AA4" s="193">
        <f>878-513</f>
        <v>365</v>
      </c>
      <c r="AB4" s="194">
        <f t="shared" si="13"/>
        <v>49.2577597840756</v>
      </c>
      <c r="AC4" s="193">
        <f t="shared" si="14"/>
        <v>878</v>
      </c>
      <c r="AD4" s="193" t="str">
        <f t="shared" si="15"/>
        <v>AVG</v>
      </c>
      <c r="AE4" s="195" t="str">
        <f t="shared" si="16"/>
        <v>VLOW</v>
      </c>
      <c r="AF4" s="193" t="str">
        <f t="shared" si="17"/>
        <v>WEAK</v>
      </c>
      <c r="AG4" s="193" t="str">
        <f t="shared" si="18"/>
        <v>FEMALE DOM</v>
      </c>
      <c r="AH4" s="193" t="str">
        <f t="shared" si="19"/>
        <v>O</v>
      </c>
      <c r="AI4" s="197">
        <f>G4-E4</f>
        <v>8.31435079726652</v>
      </c>
      <c r="AJ4" s="198" t="str">
        <f t="shared" si="20"/>
        <v>CONGRESSGAIN</v>
      </c>
    </row>
    <row r="5" spans="1:36">
      <c r="A5" s="345">
        <v>57</v>
      </c>
      <c r="B5" s="346" t="s">
        <v>290</v>
      </c>
      <c r="C5" s="345">
        <v>499</v>
      </c>
      <c r="D5" s="345">
        <v>400</v>
      </c>
      <c r="E5" s="345">
        <f t="shared" si="0"/>
        <v>80.1603206412826</v>
      </c>
      <c r="F5" s="345">
        <v>86</v>
      </c>
      <c r="G5" s="345">
        <f t="shared" si="1"/>
        <v>17.2344689378758</v>
      </c>
      <c r="H5" s="345">
        <v>1</v>
      </c>
      <c r="I5" s="345">
        <f t="shared" si="2"/>
        <v>0.200400801603206</v>
      </c>
      <c r="J5" s="345">
        <v>1</v>
      </c>
      <c r="K5" s="345">
        <f t="shared" si="3"/>
        <v>0.200400801603206</v>
      </c>
      <c r="L5" s="347">
        <v>319</v>
      </c>
      <c r="M5" s="347">
        <v>347</v>
      </c>
      <c r="N5" s="347">
        <f t="shared" si="4"/>
        <v>666</v>
      </c>
      <c r="O5" s="345">
        <v>799</v>
      </c>
      <c r="P5" s="348">
        <f t="shared" si="5"/>
        <v>119.96996996997</v>
      </c>
      <c r="Q5" s="345">
        <v>910</v>
      </c>
      <c r="R5" s="345">
        <f t="shared" si="6"/>
        <v>136.636636636637</v>
      </c>
      <c r="S5" s="345">
        <f t="shared" si="7"/>
        <v>149</v>
      </c>
      <c r="T5" s="345">
        <f t="shared" si="8"/>
        <v>16.3736263736264</v>
      </c>
      <c r="U5" s="345">
        <f>683+78</f>
        <v>761</v>
      </c>
      <c r="V5" s="349">
        <f t="shared" si="9"/>
        <v>83.6263736263736</v>
      </c>
      <c r="W5" s="345">
        <v>51</v>
      </c>
      <c r="X5" s="345">
        <f t="shared" si="10"/>
        <v>-36.6366366366366</v>
      </c>
      <c r="Y5" s="345">
        <f t="shared" si="11"/>
        <v>13</v>
      </c>
      <c r="Z5" s="345">
        <f t="shared" si="12"/>
        <v>25.4901960784314</v>
      </c>
      <c r="AA5" s="345">
        <v>38</v>
      </c>
      <c r="AB5" s="349">
        <f t="shared" si="13"/>
        <v>74.5098039215686</v>
      </c>
      <c r="AC5" s="345">
        <f t="shared" si="14"/>
        <v>799</v>
      </c>
      <c r="AD5" s="345" t="str">
        <f t="shared" si="15"/>
        <v>EXCELLENT</v>
      </c>
      <c r="AE5" s="345" t="str">
        <f t="shared" si="16"/>
        <v>EXCELLENT</v>
      </c>
      <c r="AF5" s="345" t="str">
        <f t="shared" si="17"/>
        <v>VLOW</v>
      </c>
      <c r="AG5" s="345" t="str">
        <f t="shared" si="18"/>
        <v>FEMALE DOM</v>
      </c>
      <c r="AH5" s="345" t="str">
        <f t="shared" si="19"/>
        <v>O</v>
      </c>
      <c r="AI5" s="345">
        <f t="shared" ref="AI5:AI7" si="21">E5-G5</f>
        <v>62.9258517034068</v>
      </c>
      <c r="AJ5" s="345" t="str">
        <f t="shared" si="20"/>
        <v>BJP GAIN</v>
      </c>
    </row>
    <row r="6" spans="1:36">
      <c r="A6" s="184">
        <v>58</v>
      </c>
      <c r="B6" s="185" t="s">
        <v>296</v>
      </c>
      <c r="C6" s="184">
        <v>724</v>
      </c>
      <c r="D6" s="184">
        <v>487</v>
      </c>
      <c r="E6" s="184">
        <f t="shared" si="0"/>
        <v>67.2651933701657</v>
      </c>
      <c r="F6" s="184">
        <v>209</v>
      </c>
      <c r="G6" s="184">
        <f t="shared" si="1"/>
        <v>28.8674033149171</v>
      </c>
      <c r="H6" s="184">
        <v>1</v>
      </c>
      <c r="I6" s="184">
        <f t="shared" si="2"/>
        <v>0.138121546961326</v>
      </c>
      <c r="J6" s="184">
        <v>5</v>
      </c>
      <c r="K6" s="184">
        <f t="shared" si="3"/>
        <v>0.69060773480663</v>
      </c>
      <c r="L6" s="189">
        <v>513</v>
      </c>
      <c r="M6" s="189">
        <v>530</v>
      </c>
      <c r="N6" s="189">
        <f t="shared" si="4"/>
        <v>1043</v>
      </c>
      <c r="O6" s="184">
        <v>724</v>
      </c>
      <c r="P6" s="190">
        <f t="shared" si="5"/>
        <v>69.4151486097795</v>
      </c>
      <c r="Q6" s="184">
        <f>1043-153</f>
        <v>890</v>
      </c>
      <c r="R6" s="184">
        <f t="shared" si="6"/>
        <v>85.3307766059444</v>
      </c>
      <c r="S6" s="192">
        <f t="shared" si="7"/>
        <v>298</v>
      </c>
      <c r="T6" s="184">
        <f t="shared" si="8"/>
        <v>33.4831460674157</v>
      </c>
      <c r="U6" s="184">
        <v>592</v>
      </c>
      <c r="V6" s="191">
        <f t="shared" si="9"/>
        <v>66.5168539325843</v>
      </c>
      <c r="W6" s="184">
        <v>153</v>
      </c>
      <c r="X6" s="184">
        <f t="shared" si="10"/>
        <v>14.6692233940556</v>
      </c>
      <c r="Y6" s="196">
        <f t="shared" si="11"/>
        <v>72</v>
      </c>
      <c r="Z6" s="193">
        <f t="shared" si="12"/>
        <v>47.0588235294118</v>
      </c>
      <c r="AA6" s="193">
        <v>81</v>
      </c>
      <c r="AB6" s="194">
        <f t="shared" si="13"/>
        <v>52.9411764705882</v>
      </c>
      <c r="AC6" s="193">
        <f t="shared" si="14"/>
        <v>673</v>
      </c>
      <c r="AD6" s="193" t="str">
        <f t="shared" si="15"/>
        <v>AVG</v>
      </c>
      <c r="AE6" s="195" t="str">
        <f t="shared" si="16"/>
        <v>EXCELLENT</v>
      </c>
      <c r="AF6" s="193" t="str">
        <f t="shared" si="17"/>
        <v>VLOW</v>
      </c>
      <c r="AG6" s="193" t="str">
        <f t="shared" si="18"/>
        <v>FEMALE DOM</v>
      </c>
      <c r="AH6" s="193" t="str">
        <f t="shared" si="19"/>
        <v>O</v>
      </c>
      <c r="AI6" s="197">
        <f t="shared" si="21"/>
        <v>38.3977900552486</v>
      </c>
      <c r="AJ6" s="199" t="str">
        <f t="shared" si="20"/>
        <v>BJP GAIN</v>
      </c>
    </row>
    <row r="7" spans="3:36">
      <c r="C7">
        <f>SUM(C2:C6)</f>
        <v>3692</v>
      </c>
      <c r="D7">
        <f>SUM(D2:D6)</f>
        <v>2378</v>
      </c>
      <c r="E7" s="186">
        <f>AVERAGE(E2:E6)</f>
        <v>66.1092396773551</v>
      </c>
      <c r="F7">
        <f>SUM(F2:F6)</f>
        <v>1204</v>
      </c>
      <c r="G7" s="186">
        <f>AVERAGE(G2:G6)</f>
        <v>30.8745366539153</v>
      </c>
      <c r="H7">
        <f>SUM(H2:H6)</f>
        <v>12</v>
      </c>
      <c r="I7" s="186">
        <f>AVERAGE(I2:I6)</f>
        <v>0.326342954549914</v>
      </c>
      <c r="J7">
        <f>SUM(J2:J6)</f>
        <v>17</v>
      </c>
      <c r="K7" s="186">
        <f>AVERAGE(K2:K6)</f>
        <v>0.444521369795084</v>
      </c>
      <c r="AI7" s="329">
        <f t="shared" si="21"/>
        <v>35.2347030234398</v>
      </c>
      <c r="AJ7" s="335" t="str">
        <f t="shared" si="20"/>
        <v>BJP GAIN</v>
      </c>
    </row>
  </sheetData>
  <conditionalFormatting sqref="AD2:AD6">
    <cfRule type="containsText" dxfId="8" priority="15" operator="between" text="AVG">
      <formula>NOT(ISERROR(SEARCH("AVG",AD2)))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NOT(ISERROR(SEARCH("VSTRONG",AD2)))</formula>
    </cfRule>
    <cfRule type="containsText" dxfId="10" priority="5" operator="between" text="AVG">
      <formula>NOT(ISERROR(SEARCH("AVG",AD2)))</formula>
    </cfRule>
  </conditionalFormatting>
  <conditionalFormatting sqref="AE2:AE6">
    <cfRule type="containsText" dxfId="3" priority="9" operator="between" text="STRONG">
      <formula>NOT(ISERROR(SEARCH("STRONG",AE2)))</formula>
    </cfRule>
    <cfRule type="containsText" dxfId="1" priority="7" operator="between" text="VSTRONG">
      <formula>NOT(ISERROR(SEARCH("VSTRONG",AE2)))</formula>
    </cfRule>
  </conditionalFormatting>
  <conditionalFormatting sqref="AF2:AF6">
    <cfRule type="cellIs" dxfId="11" priority="3" operator="equal">
      <formula>"VWEAK"</formula>
    </cfRule>
    <cfRule type="containsText" dxfId="0" priority="2" operator="between" text="VSTRONG">
      <formula>NOT(ISERROR(SEARCH("VSTRONG",AF2)))</formula>
    </cfRule>
  </conditionalFormatting>
  <conditionalFormatting sqref="AG2:AG6">
    <cfRule type="containsText" dxfId="12" priority="6" operator="between" text="FEMALE DOM">
      <formula>NOT(ISERROR(SEARCH("FEMALE DOM",AG2)))</formula>
    </cfRule>
    <cfRule type="containsText" dxfId="10" priority="1" operator="between" text="MEN">
      <formula>NOT(ISERROR(SEARCH("MEN",AG2)))</formula>
    </cfRule>
  </conditionalFormatting>
  <conditionalFormatting sqref="AH2:AH6">
    <cfRule type="containsText" dxfId="0" priority="12" operator="between" text="O">
      <formula>NOT(ISERROR(SEARCH("O",AH2)))</formula>
    </cfRule>
    <cfRule type="containsText" dxfId="3" priority="10" operator="between" text="H">
      <formula>NOT(ISERROR(SEARCH("H",AH2)))</formula>
    </cfRule>
    <cfRule type="containsText" dxfId="13" priority="11" operator="between" text="H">
      <formula>NOT(ISERROR(SEARCH("H",AH2)))</formula>
    </cfRule>
    <cfRule type="containsText" dxfId="1" priority="4" operator="between" text="H">
      <formula>NOT(ISERROR(SEARCH("H",AH2)))</formula>
    </cfRule>
  </conditionalFormatting>
  <conditionalFormatting sqref="AE2:AF6">
    <cfRule type="containsText" dxfId="2" priority="8" operator="between" text="AVG">
      <formula>NOT(ISERROR(SEARCH("AVG",AE2)))</formula>
    </cfRule>
  </conditionalFormatting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2"/>
  <sheetViews>
    <sheetView topLeftCell="S16" workbookViewId="0">
      <selection activeCell="AD22" sqref="AD22"/>
    </sheetView>
  </sheetViews>
  <sheetFormatPr defaultColWidth="9" defaultRowHeight="14.5"/>
  <sheetData>
    <row r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337" t="s">
        <v>50</v>
      </c>
      <c r="B7" s="337">
        <v>69</v>
      </c>
      <c r="C7" s="337">
        <v>576</v>
      </c>
      <c r="D7" s="337">
        <v>51</v>
      </c>
      <c r="E7" s="337">
        <v>261</v>
      </c>
      <c r="F7" s="337">
        <v>0</v>
      </c>
      <c r="G7" s="337">
        <v>4</v>
      </c>
      <c r="H7" s="337">
        <v>0</v>
      </c>
      <c r="I7" s="337">
        <v>0</v>
      </c>
      <c r="J7" s="337">
        <v>1</v>
      </c>
      <c r="K7" s="337">
        <v>0</v>
      </c>
      <c r="L7" s="337">
        <v>317</v>
      </c>
      <c r="M7" s="337">
        <v>0</v>
      </c>
      <c r="N7" s="337">
        <v>4</v>
      </c>
      <c r="O7" s="337">
        <f t="shared" ref="O7:O11" si="0">D7+E7+F7+G7+H7+I7+J7+K7+N7</f>
        <v>321</v>
      </c>
      <c r="P7" s="337">
        <f t="shared" ref="P7:P11" si="1">(O7/C7)*100</f>
        <v>55.7291666666667</v>
      </c>
      <c r="Q7" s="337">
        <f t="shared" ref="Q7:Q11" si="2">(E7/O7)*100</f>
        <v>81.3084112149533</v>
      </c>
      <c r="R7" s="337">
        <f t="shared" ref="R7:R11" si="3">(D7/O7)*100</f>
        <v>15.8878504672897</v>
      </c>
      <c r="S7" s="337">
        <f t="shared" ref="S7:S11" si="4">(F7/O7)*100</f>
        <v>0</v>
      </c>
      <c r="T7" s="337">
        <f t="shared" ref="T7:T11" si="5">(G7/O7)*100</f>
        <v>1.24610591900312</v>
      </c>
      <c r="U7" s="337">
        <f t="shared" ref="U7:U11" si="6">((H7+I7+J7+K7)/O7)*100</f>
        <v>0.311526479750779</v>
      </c>
      <c r="V7" s="337">
        <f t="shared" ref="V7:V11" si="7">(N7/O7)*100</f>
        <v>1.24610591900312</v>
      </c>
      <c r="W7" s="337">
        <f>Q7-R7</f>
        <v>65.4205607476635</v>
      </c>
      <c r="X7" s="337">
        <f>Q7-(R7+S7+T7+U7)</f>
        <v>63.8629283489097</v>
      </c>
      <c r="Y7" s="337" t="str">
        <f>IF(AND(W7&lt;0,W7&lt;=1),"LOST",IF(AND(W7&gt;1,W7&lt;=10),"NARROW",IF(AND(W7&gt;10,W7&lt;=40),"MEDIUM",IF(AND(W7&gt;40,W7&lt;=90),"STRONG",""))))</f>
        <v>STRONG</v>
      </c>
      <c r="Z7" s="288" t="str">
        <f>IF(AND(P7&lt;0,P7&lt;=10),"WEAK",IF(AND(P7&gt;10,P7&lt;20),"BELOW AVG",IF(AND(P7&gt;20,P7&lt;=60),"MEDIUM",IF(AND(P7&gt;60,P7&lt;=90),"STRONG",""))))</f>
        <v>MEDIUM</v>
      </c>
      <c r="AA7" s="289" t="str">
        <f>IF(Q7&gt;R7,"BJP","CONGRESS")</f>
        <v>BJP</v>
      </c>
      <c r="AB7">
        <v>1573</v>
      </c>
      <c r="AC7">
        <v>872</v>
      </c>
      <c r="AD7">
        <v>770</v>
      </c>
      <c r="AE7">
        <v>423</v>
      </c>
      <c r="AF7">
        <v>803</v>
      </c>
      <c r="AG7">
        <v>449</v>
      </c>
      <c r="AH7">
        <v>1458</v>
      </c>
      <c r="AI7">
        <v>825</v>
      </c>
      <c r="AJ7">
        <v>39</v>
      </c>
      <c r="AK7">
        <v>19</v>
      </c>
      <c r="AL7">
        <v>76</v>
      </c>
      <c r="AM7">
        <v>28</v>
      </c>
      <c r="AN7" s="248">
        <f>(AD7/AB7)*100</f>
        <v>48.951048951049</v>
      </c>
      <c r="AO7" s="316">
        <f>(AE7/AC7)*100</f>
        <v>48.5091743119266</v>
      </c>
      <c r="AP7" s="317">
        <f>(AF7/AB7)*100</f>
        <v>51.0489510489511</v>
      </c>
      <c r="AQ7" s="318">
        <f>(AG7/AC7)*100</f>
        <v>51.4908256880734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92.6891290527654</v>
      </c>
      <c r="AU7" s="317">
        <f>(AI7/AC7)*100</f>
        <v>94.6100917431193</v>
      </c>
      <c r="AV7" s="248">
        <f>(AJ7/AB7)*100</f>
        <v>2.47933884297521</v>
      </c>
      <c r="AW7" s="317">
        <f>(AK7/AC7)*100</f>
        <v>2.17889908256881</v>
      </c>
      <c r="AX7" s="248">
        <f>(AL7/AB7)*100</f>
        <v>4.83153210425938</v>
      </c>
      <c r="AY7" s="317">
        <f>(AM7/AC7)*100</f>
        <v>3.21100917431193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2:53">
      <c r="B8" s="337">
        <v>68</v>
      </c>
      <c r="C8" s="337">
        <v>1047</v>
      </c>
      <c r="D8" s="337">
        <v>122</v>
      </c>
      <c r="E8" s="337">
        <v>481</v>
      </c>
      <c r="F8" s="337">
        <v>1</v>
      </c>
      <c r="G8" s="337">
        <v>3</v>
      </c>
      <c r="H8" s="337">
        <v>0</v>
      </c>
      <c r="I8" s="337">
        <v>0</v>
      </c>
      <c r="J8" s="337">
        <v>0</v>
      </c>
      <c r="K8" s="337">
        <v>0</v>
      </c>
      <c r="L8" s="337">
        <v>607</v>
      </c>
      <c r="M8" s="337">
        <v>0</v>
      </c>
      <c r="N8" s="337">
        <v>5</v>
      </c>
      <c r="O8" s="337">
        <f t="shared" si="0"/>
        <v>612</v>
      </c>
      <c r="P8" s="337">
        <f t="shared" si="1"/>
        <v>58.4527220630373</v>
      </c>
      <c r="Q8" s="337">
        <f t="shared" si="2"/>
        <v>78.5947712418301</v>
      </c>
      <c r="R8" s="337">
        <f t="shared" si="3"/>
        <v>19.9346405228758</v>
      </c>
      <c r="S8" s="337">
        <f t="shared" si="4"/>
        <v>0.163398692810458</v>
      </c>
      <c r="T8" s="337">
        <f t="shared" si="5"/>
        <v>0.490196078431373</v>
      </c>
      <c r="U8" s="337">
        <f t="shared" si="6"/>
        <v>0</v>
      </c>
      <c r="V8" s="337">
        <f t="shared" si="7"/>
        <v>0.816993464052288</v>
      </c>
      <c r="W8" s="337">
        <f t="shared" ref="W8:W11" si="8">Q8-R8</f>
        <v>58.6601307189542</v>
      </c>
      <c r="X8" s="337">
        <f t="shared" ref="X8:X11" si="9">Q8-(R8+S8+T8+U8)</f>
        <v>58.0065359477124</v>
      </c>
      <c r="Y8" s="337" t="str">
        <f t="shared" ref="Y8:Y12" si="10">IF(AND(W8&lt;0,W8&lt;=1),"LOST",IF(AND(W8&gt;1,W8&lt;=10),"NARROW",IF(AND(W8&gt;10,W8&lt;=40),"MEDIUM",IF(AND(W8&gt;40,W8&lt;=90),"STRONG",""))))</f>
        <v>STRONG</v>
      </c>
      <c r="Z8" s="291" t="str">
        <f t="shared" ref="Z8:Z12" si="11">IF(AND(P8&lt;0,P8&lt;=10),"WEAK",IF(AND(P8&gt;10,P8&lt;20),"BELOW AVG",IF(AND(P8&gt;20,P8&lt;=60),"MEDIUM",IF(AND(P8&gt;60,P8&lt;=90),"STRONG",""))))</f>
        <v>MEDIUM</v>
      </c>
      <c r="AA8" s="333" t="str">
        <f t="shared" ref="AA8:AA12" si="12">IF(Q8&gt;R8,"BJP","CONGRESS")</f>
        <v>BJP</v>
      </c>
      <c r="AB8">
        <v>1049</v>
      </c>
      <c r="AC8">
        <v>543</v>
      </c>
      <c r="AD8">
        <v>521</v>
      </c>
      <c r="AE8">
        <v>268</v>
      </c>
      <c r="AF8">
        <v>528</v>
      </c>
      <c r="AG8">
        <v>275</v>
      </c>
      <c r="AH8">
        <v>895</v>
      </c>
      <c r="AI8">
        <v>472</v>
      </c>
      <c r="AJ8">
        <v>5</v>
      </c>
      <c r="AK8">
        <v>3</v>
      </c>
      <c r="AL8">
        <v>149</v>
      </c>
      <c r="AM8">
        <v>68</v>
      </c>
      <c r="AN8" s="248">
        <f t="shared" ref="AN8:AO10" si="13">(AD8/AB8)*100</f>
        <v>49.6663489037178</v>
      </c>
      <c r="AO8" s="316">
        <f t="shared" si="13"/>
        <v>49.3554327808471</v>
      </c>
      <c r="AP8" s="317">
        <f t="shared" ref="AP8:AQ10" si="14">(AF8/AB8)*100</f>
        <v>50.3336510962822</v>
      </c>
      <c r="AQ8" s="318">
        <f t="shared" si="14"/>
        <v>50.6445672191529</v>
      </c>
      <c r="AR8" s="318" t="str">
        <f t="shared" ref="AR8:AR11" si="15">IF(AN8&gt;AP8,"MALE DOM","FEMALE DOM")</f>
        <v>FEMALE DOM</v>
      </c>
      <c r="AS8" s="319" t="str">
        <f t="shared" ref="AS8:AS11" si="16">IF(AO8&gt;AP8,"MALE","FEMALE")</f>
        <v>FEMALE</v>
      </c>
      <c r="AT8" s="317">
        <f t="shared" ref="AT8:AU10" si="17">(AH8/AB8)*100</f>
        <v>85.3193517635844</v>
      </c>
      <c r="AU8" s="317">
        <f t="shared" si="17"/>
        <v>86.9244935543278</v>
      </c>
      <c r="AV8" s="248">
        <f t="shared" ref="AV8:AW10" si="18">(AJ8/AB8)*100</f>
        <v>0.476644423260248</v>
      </c>
      <c r="AW8" s="317">
        <f t="shared" si="18"/>
        <v>0.552486187845304</v>
      </c>
      <c r="AX8" s="248">
        <f t="shared" ref="AX8:AY10" si="19">(AL8/AB8)*100</f>
        <v>14.2040038131554</v>
      </c>
      <c r="AY8" s="317">
        <f t="shared" si="19"/>
        <v>12.5230202578269</v>
      </c>
      <c r="AZ8" s="248" t="str">
        <f t="shared" ref="AZ8:AZ11" si="20">IF(AT8&gt;(AV8+AX8),"HINDU","MINORITY")</f>
        <v>HINDU</v>
      </c>
      <c r="BA8" s="318" t="str">
        <f t="shared" ref="BA8:BA11" si="21">IF(AU8&gt;(AW8+AY8),"HIND","MINORITY")</f>
        <v>HIND</v>
      </c>
    </row>
    <row r="9" spans="2:53">
      <c r="B9" s="219">
        <v>67</v>
      </c>
      <c r="C9" s="219">
        <v>1051</v>
      </c>
      <c r="D9" s="219">
        <v>196</v>
      </c>
      <c r="E9" s="219">
        <v>451</v>
      </c>
      <c r="F9" s="219">
        <v>2</v>
      </c>
      <c r="G9" s="219">
        <v>4</v>
      </c>
      <c r="H9" s="219">
        <v>0</v>
      </c>
      <c r="I9" s="219">
        <v>0</v>
      </c>
      <c r="J9" s="219">
        <v>1</v>
      </c>
      <c r="K9" s="219">
        <v>0</v>
      </c>
      <c r="L9" s="219">
        <v>654</v>
      </c>
      <c r="M9" s="219">
        <v>0</v>
      </c>
      <c r="N9" s="219">
        <v>4</v>
      </c>
      <c r="O9" s="219">
        <f t="shared" si="0"/>
        <v>658</v>
      </c>
      <c r="P9" s="219">
        <f t="shared" si="1"/>
        <v>62.6070409134158</v>
      </c>
      <c r="Q9" s="219">
        <f t="shared" si="2"/>
        <v>68.5410334346505</v>
      </c>
      <c r="R9" s="219">
        <f t="shared" si="3"/>
        <v>29.7872340425532</v>
      </c>
      <c r="S9" s="219">
        <f t="shared" si="4"/>
        <v>0.303951367781155</v>
      </c>
      <c r="T9" s="219">
        <f t="shared" si="5"/>
        <v>0.60790273556231</v>
      </c>
      <c r="U9" s="219">
        <f t="shared" si="6"/>
        <v>0.151975683890578</v>
      </c>
      <c r="V9" s="219">
        <f t="shared" si="7"/>
        <v>0.60790273556231</v>
      </c>
      <c r="W9" s="219">
        <f t="shared" si="8"/>
        <v>38.7537993920973</v>
      </c>
      <c r="X9" s="219">
        <f t="shared" si="9"/>
        <v>37.6899696048632</v>
      </c>
      <c r="Y9" s="219" t="str">
        <f t="shared" si="10"/>
        <v>MEDIUM</v>
      </c>
      <c r="Z9" s="283" t="str">
        <f t="shared" si="11"/>
        <v>STRONG</v>
      </c>
      <c r="AA9" s="289" t="str">
        <f t="shared" si="12"/>
        <v>BJP</v>
      </c>
      <c r="AB9">
        <v>1044</v>
      </c>
      <c r="AC9">
        <v>606</v>
      </c>
      <c r="AD9">
        <v>505</v>
      </c>
      <c r="AE9">
        <v>299</v>
      </c>
      <c r="AF9">
        <v>539</v>
      </c>
      <c r="AG9">
        <v>307</v>
      </c>
      <c r="AH9">
        <v>996</v>
      </c>
      <c r="AI9">
        <v>572</v>
      </c>
      <c r="AJ9">
        <v>6</v>
      </c>
      <c r="AK9">
        <v>6</v>
      </c>
      <c r="AL9">
        <v>42</v>
      </c>
      <c r="AM9">
        <v>28</v>
      </c>
      <c r="AN9" s="248">
        <f t="shared" si="13"/>
        <v>48.3716475095785</v>
      </c>
      <c r="AO9" s="316">
        <f t="shared" si="13"/>
        <v>49.3399339933993</v>
      </c>
      <c r="AP9" s="317">
        <f t="shared" si="14"/>
        <v>51.6283524904215</v>
      </c>
      <c r="AQ9" s="318">
        <f t="shared" si="14"/>
        <v>50.6600660066007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95.4022988505747</v>
      </c>
      <c r="AU9" s="317">
        <f t="shared" si="17"/>
        <v>94.3894389438944</v>
      </c>
      <c r="AV9" s="248">
        <f t="shared" si="18"/>
        <v>0.574712643678161</v>
      </c>
      <c r="AW9" s="317">
        <f t="shared" si="18"/>
        <v>0.99009900990099</v>
      </c>
      <c r="AX9" s="248">
        <f t="shared" si="19"/>
        <v>4.02298850574713</v>
      </c>
      <c r="AY9" s="317">
        <f t="shared" si="19"/>
        <v>4.62046204620462</v>
      </c>
      <c r="AZ9" s="248" t="str">
        <f t="shared" si="20"/>
        <v>HINDU</v>
      </c>
      <c r="BA9" s="318" t="str">
        <f t="shared" si="21"/>
        <v>HIND</v>
      </c>
    </row>
    <row r="10" spans="2:53">
      <c r="B10" s="337">
        <v>66</v>
      </c>
      <c r="C10" s="337">
        <v>1581</v>
      </c>
      <c r="D10" s="337">
        <v>109</v>
      </c>
      <c r="E10" s="337">
        <v>774</v>
      </c>
      <c r="F10" s="337">
        <v>0</v>
      </c>
      <c r="G10" s="337">
        <v>5</v>
      </c>
      <c r="H10" s="337">
        <v>1</v>
      </c>
      <c r="I10" s="337">
        <v>0</v>
      </c>
      <c r="J10" s="337">
        <v>0</v>
      </c>
      <c r="K10" s="337">
        <v>1</v>
      </c>
      <c r="L10" s="337">
        <v>890</v>
      </c>
      <c r="M10" s="337">
        <v>0</v>
      </c>
      <c r="N10" s="337">
        <v>13</v>
      </c>
      <c r="O10" s="337">
        <f t="shared" si="0"/>
        <v>903</v>
      </c>
      <c r="P10" s="337">
        <f t="shared" si="1"/>
        <v>57.1157495256167</v>
      </c>
      <c r="Q10" s="337">
        <f t="shared" si="2"/>
        <v>85.7142857142857</v>
      </c>
      <c r="R10" s="337">
        <f t="shared" si="3"/>
        <v>12.0708748615725</v>
      </c>
      <c r="S10" s="337">
        <f t="shared" si="4"/>
        <v>0</v>
      </c>
      <c r="T10" s="337">
        <f t="shared" si="5"/>
        <v>0.553709856035437</v>
      </c>
      <c r="U10" s="337">
        <f t="shared" si="6"/>
        <v>0.221483942414175</v>
      </c>
      <c r="V10" s="337">
        <f t="shared" si="7"/>
        <v>1.43964562569214</v>
      </c>
      <c r="W10" s="337">
        <f t="shared" si="8"/>
        <v>73.6434108527132</v>
      </c>
      <c r="X10" s="337">
        <f t="shared" si="9"/>
        <v>72.8682170542636</v>
      </c>
      <c r="Y10" s="337" t="str">
        <f t="shared" si="10"/>
        <v>STRONG</v>
      </c>
      <c r="Z10" s="291" t="str">
        <f t="shared" si="11"/>
        <v>MEDIUM</v>
      </c>
      <c r="AA10" s="289" t="str">
        <f t="shared" si="12"/>
        <v>BJP</v>
      </c>
      <c r="AB10">
        <v>575</v>
      </c>
      <c r="AC10">
        <v>299</v>
      </c>
      <c r="AD10">
        <v>260</v>
      </c>
      <c r="AE10">
        <v>136</v>
      </c>
      <c r="AF10">
        <v>315</v>
      </c>
      <c r="AG10">
        <v>163</v>
      </c>
      <c r="AH10">
        <v>535</v>
      </c>
      <c r="AI10">
        <v>282</v>
      </c>
      <c r="AJ10">
        <v>9</v>
      </c>
      <c r="AK10">
        <v>4</v>
      </c>
      <c r="AL10">
        <v>31</v>
      </c>
      <c r="AM10">
        <v>13</v>
      </c>
      <c r="AN10" s="248">
        <f t="shared" si="13"/>
        <v>45.2173913043478</v>
      </c>
      <c r="AO10" s="316">
        <f t="shared" si="13"/>
        <v>45.4849498327759</v>
      </c>
      <c r="AP10" s="317">
        <f t="shared" si="14"/>
        <v>54.7826086956522</v>
      </c>
      <c r="AQ10" s="318">
        <f t="shared" si="14"/>
        <v>54.5150501672241</v>
      </c>
      <c r="AR10" s="318" t="str">
        <f t="shared" si="15"/>
        <v>FEMALE DOM</v>
      </c>
      <c r="AS10" s="319" t="str">
        <f t="shared" si="16"/>
        <v>FEMALE</v>
      </c>
      <c r="AT10" s="317">
        <f t="shared" si="17"/>
        <v>93.0434782608696</v>
      </c>
      <c r="AU10" s="317">
        <f t="shared" si="17"/>
        <v>94.314381270903</v>
      </c>
      <c r="AV10" s="248">
        <f t="shared" si="18"/>
        <v>1.56521739130435</v>
      </c>
      <c r="AW10" s="317">
        <f t="shared" si="18"/>
        <v>1.33779264214047</v>
      </c>
      <c r="AX10" s="248">
        <f t="shared" si="19"/>
        <v>5.39130434782609</v>
      </c>
      <c r="AY10" s="317">
        <f t="shared" si="19"/>
        <v>4.34782608695652</v>
      </c>
      <c r="AZ10" s="248" t="str">
        <f t="shared" si="20"/>
        <v>HINDU</v>
      </c>
      <c r="BA10" s="318" t="str">
        <f t="shared" si="21"/>
        <v>HIND</v>
      </c>
    </row>
    <row r="11" spans="2:53">
      <c r="B11" s="337">
        <v>70</v>
      </c>
      <c r="C11" s="337">
        <v>1216</v>
      </c>
      <c r="D11" s="337">
        <v>95</v>
      </c>
      <c r="E11" s="337">
        <v>801</v>
      </c>
      <c r="F11" s="337">
        <v>3</v>
      </c>
      <c r="G11" s="337">
        <v>5</v>
      </c>
      <c r="H11" s="337">
        <v>1</v>
      </c>
      <c r="I11" s="337">
        <v>0</v>
      </c>
      <c r="J11" s="337">
        <v>1</v>
      </c>
      <c r="K11" s="337">
        <v>1</v>
      </c>
      <c r="L11" s="337">
        <v>907</v>
      </c>
      <c r="M11" s="337">
        <v>0</v>
      </c>
      <c r="N11" s="337">
        <v>22</v>
      </c>
      <c r="O11" s="337">
        <f t="shared" si="0"/>
        <v>929</v>
      </c>
      <c r="P11" s="337">
        <f t="shared" si="1"/>
        <v>76.3980263157895</v>
      </c>
      <c r="Q11" s="337">
        <f t="shared" si="2"/>
        <v>86.221743810549</v>
      </c>
      <c r="R11" s="337">
        <f t="shared" si="3"/>
        <v>10.2260495156082</v>
      </c>
      <c r="S11" s="337">
        <f t="shared" si="4"/>
        <v>0.322927879440258</v>
      </c>
      <c r="T11" s="337">
        <f t="shared" si="5"/>
        <v>0.538213132400431</v>
      </c>
      <c r="U11" s="337">
        <f t="shared" si="6"/>
        <v>0.322927879440258</v>
      </c>
      <c r="V11" s="337">
        <f t="shared" si="7"/>
        <v>2.36813778256189</v>
      </c>
      <c r="W11" s="337">
        <f t="shared" si="8"/>
        <v>75.9956942949408</v>
      </c>
      <c r="X11" s="337">
        <f t="shared" si="9"/>
        <v>74.8116254036598</v>
      </c>
      <c r="Y11" s="337" t="str">
        <f t="shared" si="10"/>
        <v>STRONG</v>
      </c>
      <c r="Z11" s="341" t="str">
        <f t="shared" si="11"/>
        <v>STRONG</v>
      </c>
      <c r="AA11" s="289" t="str">
        <f t="shared" si="12"/>
        <v>BJP</v>
      </c>
      <c r="AB11">
        <v>1205</v>
      </c>
      <c r="AC11">
        <v>862</v>
      </c>
      <c r="AD11">
        <v>578</v>
      </c>
      <c r="AE11">
        <v>423</v>
      </c>
      <c r="AF11">
        <v>627</v>
      </c>
      <c r="AG11">
        <v>439</v>
      </c>
      <c r="AH11">
        <v>1159</v>
      </c>
      <c r="AI11">
        <v>836</v>
      </c>
      <c r="AJ11">
        <v>40</v>
      </c>
      <c r="AK11">
        <v>22</v>
      </c>
      <c r="AL11">
        <v>6</v>
      </c>
      <c r="AM11">
        <v>4</v>
      </c>
      <c r="AN11" s="248">
        <f>(AD11/AB11)*100</f>
        <v>47.9668049792531</v>
      </c>
      <c r="AO11" s="316">
        <f>(AE11/AC11)*100</f>
        <v>49.0719257540603</v>
      </c>
      <c r="AP11" s="317">
        <f>(AF11/AB11)*100</f>
        <v>52.0331950207469</v>
      </c>
      <c r="AQ11" s="318">
        <f>(AG11/AC11)*100</f>
        <v>50.9280742459397</v>
      </c>
      <c r="AR11" s="318" t="str">
        <f t="shared" si="15"/>
        <v>FEMALE DOM</v>
      </c>
      <c r="AS11" s="319" t="str">
        <f t="shared" si="16"/>
        <v>FEMALE</v>
      </c>
      <c r="AT11" s="317">
        <f>(AH11/AB11)*100</f>
        <v>96.1825726141079</v>
      </c>
      <c r="AU11" s="317">
        <f>(AI11/AC11)*100</f>
        <v>96.9837587006961</v>
      </c>
      <c r="AV11" s="248">
        <f>(AJ11/AB11)*100</f>
        <v>3.3195020746888</v>
      </c>
      <c r="AW11" s="317">
        <f>(AK11/AC11)*100</f>
        <v>2.55220417633411</v>
      </c>
      <c r="AX11" s="248">
        <f>(AL11/AB11)*100</f>
        <v>0.497925311203319</v>
      </c>
      <c r="AY11" s="317">
        <f>(AM11/AC11)*100</f>
        <v>0.464037122969838</v>
      </c>
      <c r="AZ11" s="248" t="str">
        <f t="shared" si="20"/>
        <v>HINDU</v>
      </c>
      <c r="BA11" s="318" t="str">
        <f t="shared" si="21"/>
        <v>HIND</v>
      </c>
    </row>
    <row r="12" spans="2:53">
      <c r="B12" s="334"/>
      <c r="C12" s="337">
        <f t="shared" ref="C12:O12" si="22">SUM(C7:C11)</f>
        <v>5471</v>
      </c>
      <c r="D12" s="337">
        <f t="shared" si="22"/>
        <v>573</v>
      </c>
      <c r="E12" s="337">
        <f t="shared" si="22"/>
        <v>2768</v>
      </c>
      <c r="F12" s="337">
        <f t="shared" si="22"/>
        <v>6</v>
      </c>
      <c r="G12" s="337">
        <f t="shared" si="22"/>
        <v>21</v>
      </c>
      <c r="H12" s="337">
        <f t="shared" si="22"/>
        <v>2</v>
      </c>
      <c r="I12" s="337">
        <f t="shared" si="22"/>
        <v>0</v>
      </c>
      <c r="J12" s="337">
        <f t="shared" si="22"/>
        <v>3</v>
      </c>
      <c r="K12" s="337">
        <f t="shared" si="22"/>
        <v>2</v>
      </c>
      <c r="L12" s="337">
        <f t="shared" si="22"/>
        <v>3375</v>
      </c>
      <c r="M12" s="337">
        <f t="shared" si="22"/>
        <v>0</v>
      </c>
      <c r="N12" s="337">
        <f t="shared" si="22"/>
        <v>48</v>
      </c>
      <c r="O12" s="337">
        <f t="shared" si="22"/>
        <v>3423</v>
      </c>
      <c r="P12" s="337">
        <f t="shared" ref="P12:X12" si="23">AVERAGE(P7:P11)</f>
        <v>62.0605410969052</v>
      </c>
      <c r="Q12" s="337">
        <f t="shared" si="23"/>
        <v>80.0760490832537</v>
      </c>
      <c r="R12" s="337">
        <f t="shared" si="23"/>
        <v>17.5813298819799</v>
      </c>
      <c r="S12" s="337">
        <f t="shared" si="23"/>
        <v>0.158055588006374</v>
      </c>
      <c r="T12" s="337">
        <f t="shared" si="23"/>
        <v>0.687225544286533</v>
      </c>
      <c r="U12" s="337">
        <f t="shared" si="23"/>
        <v>0.201582797099158</v>
      </c>
      <c r="V12" s="337">
        <f t="shared" si="23"/>
        <v>1.29575710537435</v>
      </c>
      <c r="W12" s="337">
        <f t="shared" si="23"/>
        <v>62.4947192012738</v>
      </c>
      <c r="X12" s="337">
        <f t="shared" si="23"/>
        <v>61.4478552718817</v>
      </c>
      <c r="Y12" s="337" t="str">
        <f t="shared" si="10"/>
        <v>STRONG</v>
      </c>
      <c r="Z12" s="341" t="str">
        <f t="shared" si="11"/>
        <v>STRONG</v>
      </c>
      <c r="AA12" s="289" t="str">
        <f t="shared" si="12"/>
        <v>BJP</v>
      </c>
      <c r="AN12" s="248"/>
      <c r="AO12" s="316"/>
      <c r="AP12" s="317"/>
      <c r="AQ12" s="318"/>
      <c r="AR12" s="318"/>
      <c r="AS12" s="319"/>
      <c r="AT12" s="317"/>
      <c r="AU12" s="317"/>
      <c r="AV12" s="248"/>
      <c r="AW12" s="317"/>
      <c r="AX12" s="248"/>
      <c r="AY12" s="317"/>
      <c r="AZ12" s="248"/>
      <c r="BA12" s="318"/>
    </row>
    <row r="14" spans="12:29">
      <c r="L14" s="225" t="s">
        <v>205</v>
      </c>
      <c r="M14" s="237"/>
      <c r="N14" s="237"/>
      <c r="O14" s="238"/>
      <c r="Q14" s="225" t="s">
        <v>97</v>
      </c>
      <c r="R14" s="237"/>
      <c r="S14" s="237"/>
      <c r="T14" s="238"/>
      <c r="V14" s="265" t="s">
        <v>98</v>
      </c>
      <c r="W14" s="265"/>
      <c r="X14" s="265"/>
      <c r="Y14" s="265"/>
      <c r="Z14" s="265"/>
      <c r="AA14" s="265"/>
      <c r="AB14" s="265"/>
      <c r="AC14" s="265"/>
    </row>
    <row r="15" spans="12:29">
      <c r="L15" s="226"/>
      <c r="M15" s="239"/>
      <c r="N15" s="239"/>
      <c r="O15" s="240"/>
      <c r="Q15" s="241"/>
      <c r="R15" s="242"/>
      <c r="S15" s="242"/>
      <c r="T15" s="243"/>
      <c r="V15" s="265"/>
      <c r="W15" s="265"/>
      <c r="X15" s="265"/>
      <c r="Y15" s="265"/>
      <c r="Z15" s="265"/>
      <c r="AA15" s="265"/>
      <c r="AB15" s="265"/>
      <c r="AC15" s="265"/>
    </row>
    <row r="16" spans="12:29">
      <c r="L16" s="227" t="s">
        <v>99</v>
      </c>
      <c r="M16" s="244"/>
      <c r="N16" s="245"/>
      <c r="O16" s="245">
        <f>COUNTIF(AA7:AA11,"BJP")</f>
        <v>5</v>
      </c>
      <c r="Q16" s="246" t="s">
        <v>100</v>
      </c>
      <c r="R16" s="247"/>
      <c r="S16" s="247"/>
      <c r="T16" s="248">
        <f>COUNTIF(Y7:Y11,"NARROW")</f>
        <v>0</v>
      </c>
      <c r="V16" s="265" t="s">
        <v>101</v>
      </c>
      <c r="W16" s="265"/>
      <c r="X16" s="265"/>
      <c r="Y16" s="265">
        <f>'KAMBALA-18'!E6</f>
        <v>76.0983697691215</v>
      </c>
      <c r="Z16" s="265" t="s">
        <v>102</v>
      </c>
      <c r="AA16" s="265"/>
      <c r="AB16" s="265"/>
      <c r="AC16" s="265">
        <f>Q12</f>
        <v>80.0760490832537</v>
      </c>
    </row>
    <row r="17" spans="12:29">
      <c r="L17" s="227"/>
      <c r="M17" s="244"/>
      <c r="N17" s="245"/>
      <c r="O17" s="245"/>
      <c r="Q17" s="249"/>
      <c r="R17" s="250"/>
      <c r="S17" s="250"/>
      <c r="T17" s="251"/>
      <c r="V17" s="265"/>
      <c r="W17" s="265"/>
      <c r="X17" s="265"/>
      <c r="Y17" s="265"/>
      <c r="Z17" s="265"/>
      <c r="AA17" s="265"/>
      <c r="AB17" s="265"/>
      <c r="AC17" s="265"/>
    </row>
    <row r="18" spans="12:29">
      <c r="L18" s="227"/>
      <c r="M18" s="244"/>
      <c r="N18" s="245"/>
      <c r="O18" s="245"/>
      <c r="Q18" s="252" t="s">
        <v>103</v>
      </c>
      <c r="R18" s="253"/>
      <c r="S18" s="253"/>
      <c r="T18" s="248">
        <f>COUNTIF(Y7:Y11,"MEDIUM")</f>
        <v>1</v>
      </c>
      <c r="V18" s="265" t="s">
        <v>104</v>
      </c>
      <c r="W18" s="265"/>
      <c r="X18" s="265"/>
      <c r="Y18" s="265">
        <f>'KAMBALA-18'!G6</f>
        <v>20.2639211019057</v>
      </c>
      <c r="Z18" s="265" t="s">
        <v>105</v>
      </c>
      <c r="AA18" s="265"/>
      <c r="AB18" s="265"/>
      <c r="AC18" s="265">
        <f>R12</f>
        <v>17.5813298819799</v>
      </c>
    </row>
    <row r="19" spans="12:29">
      <c r="L19" s="228" t="s">
        <v>106</v>
      </c>
      <c r="M19" s="254"/>
      <c r="N19" s="255"/>
      <c r="O19" s="255">
        <f>COUNTIF(AA7:AA11,"CONGRESS")</f>
        <v>0</v>
      </c>
      <c r="Q19" s="252"/>
      <c r="R19" s="253"/>
      <c r="S19" s="253"/>
      <c r="T19" s="251"/>
      <c r="V19" s="265"/>
      <c r="W19" s="265"/>
      <c r="X19" s="265"/>
      <c r="Y19" s="265"/>
      <c r="Z19" s="265"/>
      <c r="AA19" s="265"/>
      <c r="AB19" s="265"/>
      <c r="AC19" s="265"/>
    </row>
    <row r="20" spans="12:29">
      <c r="L20" s="229"/>
      <c r="M20" s="256"/>
      <c r="N20" s="257"/>
      <c r="O20" s="257"/>
      <c r="Q20" s="258" t="s">
        <v>107</v>
      </c>
      <c r="R20" s="259"/>
      <c r="S20" s="259"/>
      <c r="T20" s="248">
        <f>COUNTIF(Y7:Y11,"STRONG")</f>
        <v>4</v>
      </c>
      <c r="V20" s="265" t="s">
        <v>108</v>
      </c>
      <c r="W20" s="265"/>
      <c r="X20" s="265"/>
      <c r="Y20" s="265">
        <f>'KAMBALA-18'!C6</f>
        <v>3336</v>
      </c>
      <c r="Z20" s="265" t="s">
        <v>109</v>
      </c>
      <c r="AA20" s="265"/>
      <c r="AB20" s="265"/>
      <c r="AC20" s="265">
        <f>O12</f>
        <v>3423</v>
      </c>
    </row>
    <row r="21" spans="12:29">
      <c r="L21" s="230"/>
      <c r="M21" s="260"/>
      <c r="N21" s="261"/>
      <c r="O21" s="261"/>
      <c r="Q21" s="262"/>
      <c r="R21" s="263"/>
      <c r="S21" s="263"/>
      <c r="T21" s="251"/>
      <c r="V21" s="265"/>
      <c r="W21" s="265"/>
      <c r="X21" s="265"/>
      <c r="Y21" s="265"/>
      <c r="Z21" s="265"/>
      <c r="AA21" s="265"/>
      <c r="AB21" s="265"/>
      <c r="AC21" s="265"/>
    </row>
    <row r="22" spans="17:29">
      <c r="Q22" s="229" t="s">
        <v>110</v>
      </c>
      <c r="R22" s="256"/>
      <c r="S22" s="256"/>
      <c r="T22" s="248">
        <f>COUNTIF(Y7:Y11,"LOST")</f>
        <v>0</v>
      </c>
      <c r="V22" s="265" t="s">
        <v>111</v>
      </c>
      <c r="W22" s="265"/>
      <c r="X22" s="265"/>
      <c r="Y22" s="265">
        <f>'KADRI(S)-18'!D7</f>
        <v>2378</v>
      </c>
      <c r="Z22" s="265" t="s">
        <v>111</v>
      </c>
      <c r="AA22" s="265"/>
      <c r="AB22" s="265"/>
      <c r="AC22" s="265">
        <f>AC16-AC18</f>
        <v>62.4947192012738</v>
      </c>
    </row>
    <row r="23" spans="17:29">
      <c r="Q23" s="230"/>
      <c r="R23" s="260"/>
      <c r="S23" s="260"/>
      <c r="T23" s="251"/>
      <c r="V23" s="265"/>
      <c r="W23" s="265"/>
      <c r="X23" s="265"/>
      <c r="Y23" s="265"/>
      <c r="Z23" s="265"/>
      <c r="AA23" s="265"/>
      <c r="AB23" s="265"/>
      <c r="AC23" s="265"/>
    </row>
    <row r="24" spans="22:28">
      <c r="V24" s="265" t="s">
        <v>112</v>
      </c>
      <c r="W24" s="265"/>
      <c r="X24" s="265"/>
      <c r="Y24" s="265">
        <f>AC16-Y16</f>
        <v>3.97767931413223</v>
      </c>
      <c r="Z24" s="265"/>
      <c r="AA24" s="265"/>
      <c r="AB24" s="265"/>
    </row>
    <row r="25" spans="22:28">
      <c r="V25" s="265"/>
      <c r="W25" s="265"/>
      <c r="X25" s="265"/>
      <c r="Y25" s="265"/>
      <c r="Z25" s="265"/>
      <c r="AA25" s="265"/>
      <c r="AB25" s="265"/>
    </row>
    <row r="26" spans="22:28">
      <c r="V26" s="265" t="s">
        <v>113</v>
      </c>
      <c r="W26" s="265"/>
      <c r="X26" s="265"/>
      <c r="Y26" s="265">
        <f>AC18-Y18</f>
        <v>-2.6825912199258</v>
      </c>
      <c r="Z26" s="265"/>
      <c r="AA26" s="265"/>
      <c r="AB26" s="265"/>
    </row>
    <row r="27" spans="22:28">
      <c r="V27" s="265"/>
      <c r="W27" s="265"/>
      <c r="X27" s="265"/>
      <c r="Y27" s="265"/>
      <c r="Z27" s="265"/>
      <c r="AA27" s="265"/>
      <c r="AB27" s="265"/>
    </row>
    <row r="28" spans="22:28">
      <c r="V28" s="265" t="s">
        <v>114</v>
      </c>
      <c r="W28" s="265"/>
      <c r="X28" s="265"/>
      <c r="Y28" s="265" t="str">
        <f>IF(Y24&gt;Y26,"INCREASE","DECREASE")</f>
        <v>INCREASE</v>
      </c>
      <c r="Z28" s="265"/>
      <c r="AA28" s="265"/>
      <c r="AB28" s="265"/>
    </row>
    <row r="29" spans="22:28">
      <c r="V29" s="265"/>
      <c r="W29" s="265"/>
      <c r="X29" s="265"/>
      <c r="Y29" s="265"/>
      <c r="Z29" s="265"/>
      <c r="AA29" s="265"/>
      <c r="AB29" s="265"/>
    </row>
    <row r="30" spans="22:29">
      <c r="V30" s="265">
        <v>0</v>
      </c>
      <c r="W30" s="265"/>
      <c r="X30" s="265"/>
      <c r="Y30" s="265"/>
      <c r="Z30" s="265"/>
      <c r="AA30" s="265"/>
      <c r="AB30" s="265"/>
      <c r="AC30" s="265"/>
    </row>
    <row r="31" spans="22:29">
      <c r="V31" s="265"/>
      <c r="W31" s="265"/>
      <c r="X31" s="265"/>
      <c r="Y31" s="265"/>
      <c r="Z31" s="265"/>
      <c r="AA31" s="265"/>
      <c r="AB31" s="265"/>
      <c r="AC31" s="265"/>
    </row>
    <row r="32" spans="22:29">
      <c r="V32" s="265"/>
      <c r="W32" s="265"/>
      <c r="X32" s="265"/>
      <c r="Y32" s="265"/>
      <c r="Z32" s="265"/>
      <c r="AA32" s="265"/>
      <c r="AB32" s="265"/>
      <c r="AC32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O1:O6"/>
    <mergeCell ref="O16:O18"/>
    <mergeCell ref="O19:O21"/>
    <mergeCell ref="P1:P6"/>
    <mergeCell ref="Q1:Q6"/>
    <mergeCell ref="R1:R6"/>
    <mergeCell ref="S1:S6"/>
    <mergeCell ref="T1:T6"/>
    <mergeCell ref="T16:T17"/>
    <mergeCell ref="T18:T19"/>
    <mergeCell ref="T20:T21"/>
    <mergeCell ref="T22:T23"/>
    <mergeCell ref="U1:U6"/>
    <mergeCell ref="V1:V6"/>
    <mergeCell ref="W1:W6"/>
    <mergeCell ref="X1:X6"/>
    <mergeCell ref="Y1:Y6"/>
    <mergeCell ref="Y16:Y17"/>
    <mergeCell ref="Y18:Y19"/>
    <mergeCell ref="Y20:Y21"/>
    <mergeCell ref="Y22:Y23"/>
    <mergeCell ref="Z1:Z6"/>
    <mergeCell ref="AA1:AA6"/>
    <mergeCell ref="AB1:AB6"/>
    <mergeCell ref="AC1:AC6"/>
    <mergeCell ref="AC16:AC17"/>
    <mergeCell ref="AC18:AC19"/>
    <mergeCell ref="AC20:AC21"/>
    <mergeCell ref="AC22:AC23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Q22:S23"/>
    <mergeCell ref="Z22:AB23"/>
    <mergeCell ref="L14:O15"/>
    <mergeCell ref="Q14:T15"/>
    <mergeCell ref="L16:N18"/>
    <mergeCell ref="Q16:S17"/>
    <mergeCell ref="Z16:AB17"/>
    <mergeCell ref="Q18:S19"/>
    <mergeCell ref="Z18:AB19"/>
    <mergeCell ref="L19:N21"/>
    <mergeCell ref="Q20:S21"/>
    <mergeCell ref="Z20:AB21"/>
    <mergeCell ref="D1:K2"/>
    <mergeCell ref="V14:AC15"/>
    <mergeCell ref="V16:X17"/>
    <mergeCell ref="V18:X19"/>
    <mergeCell ref="V20:X21"/>
    <mergeCell ref="V22:X23"/>
    <mergeCell ref="V24:X25"/>
    <mergeCell ref="Y24:AB25"/>
    <mergeCell ref="V30:AC32"/>
    <mergeCell ref="V26:X27"/>
    <mergeCell ref="Y26:AB27"/>
    <mergeCell ref="V28:X29"/>
    <mergeCell ref="Y28:Z29"/>
    <mergeCell ref="AA28:AB29"/>
  </mergeCells>
  <conditionalFormatting sqref="AR7:AR12">
    <cfRule type="containsText" dxfId="6" priority="1" operator="between" text="FEMALE DOM">
      <formula>NOT(ISERROR(SEARCH("FEMALE DOM",AR7)))</formula>
    </cfRule>
  </conditionalFormatting>
  <conditionalFormatting sqref="AZ7:AZ12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2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"/>
  <sheetViews>
    <sheetView workbookViewId="0">
      <selection activeCell="A1" sqref="A1:AJ1"/>
    </sheetView>
  </sheetViews>
  <sheetFormatPr defaultColWidth="9" defaultRowHeight="14.5" outlineLevelRow="5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61</v>
      </c>
      <c r="B2" s="185" t="s">
        <v>297</v>
      </c>
      <c r="C2" s="184">
        <v>858</v>
      </c>
      <c r="D2" s="184">
        <v>703</v>
      </c>
      <c r="E2" s="184">
        <f t="shared" ref="E2:E5" si="0">(D2/C2)*100</f>
        <v>81.9347319347319</v>
      </c>
      <c r="F2" s="184">
        <v>121</v>
      </c>
      <c r="G2" s="184">
        <f t="shared" ref="G2:G5" si="1">(F2/C2)*100</f>
        <v>14.1025641025641</v>
      </c>
      <c r="H2" s="184">
        <v>0</v>
      </c>
      <c r="I2" s="184">
        <f t="shared" ref="I2:I5" si="2">(H2/C2)*100</f>
        <v>0</v>
      </c>
      <c r="J2" s="184">
        <v>2</v>
      </c>
      <c r="K2" s="184">
        <f t="shared" ref="K2:K5" si="3">(J2/C2)*100</f>
        <v>0.233100233100233</v>
      </c>
      <c r="L2" s="189">
        <v>686</v>
      </c>
      <c r="M2" s="189">
        <v>702</v>
      </c>
      <c r="N2" s="189">
        <f t="shared" ref="N2:N5" si="4">L2+M2</f>
        <v>1388</v>
      </c>
      <c r="O2" s="184">
        <v>858</v>
      </c>
      <c r="P2" s="190">
        <f t="shared" ref="P2:P5" si="5">O2/N2*100</f>
        <v>61.8155619596542</v>
      </c>
      <c r="Q2" s="184">
        <v>1285</v>
      </c>
      <c r="R2" s="184">
        <f t="shared" ref="R2:R5" si="6">(Q2/N2)*100</f>
        <v>92.5792507204611</v>
      </c>
      <c r="S2" s="184">
        <f t="shared" ref="S2:S5" si="7">Q2-U2</f>
        <v>515</v>
      </c>
      <c r="T2" s="184">
        <f t="shared" ref="T2:T5" si="8">(S2/Q2)*100</f>
        <v>40.0778210116732</v>
      </c>
      <c r="U2" s="184">
        <v>770</v>
      </c>
      <c r="V2" s="191">
        <f t="shared" ref="V2:V5" si="9">IFERROR(U2/Q2*100,0)</f>
        <v>59.9221789883268</v>
      </c>
      <c r="W2" s="184">
        <f>37+66</f>
        <v>103</v>
      </c>
      <c r="X2" s="184">
        <f t="shared" ref="X2:X5" si="10">100-R2</f>
        <v>7.42074927953891</v>
      </c>
      <c r="Y2" s="196">
        <f t="shared" ref="Y2:Y5" si="11">W2-AA2</f>
        <v>31</v>
      </c>
      <c r="Z2" s="193">
        <f t="shared" ref="Z2:Z5" si="12">(Y2/W2)*100</f>
        <v>30.0970873786408</v>
      </c>
      <c r="AA2" s="193">
        <v>72</v>
      </c>
      <c r="AB2" s="194">
        <f t="shared" ref="AB2:AB5" si="13">IFERROR(AA2/W2*100,0)</f>
        <v>69.9029126213592</v>
      </c>
      <c r="AC2" s="193">
        <f t="shared" ref="AC2:AC5" si="14">U2+AA2</f>
        <v>842</v>
      </c>
      <c r="AD2" s="193" t="str">
        <f t="shared" ref="AD2:AD5" si="15">IF(P2&gt;80,"EXCELLENT",IF(P2&gt;70,"STRONG",IF(P2&gt;60,"AVG",IF(P2&gt;50,"WEAK",IF(P2&lt;50,"VLOW")))))</f>
        <v>AVG</v>
      </c>
      <c r="AE2" s="195" t="str">
        <f t="shared" ref="AE2:AE5" si="16">IF(R2&gt;80,"EXCELLENT",IF(R2&gt;70,"STRONG",IF(R2&gt;60,"AVG",IF(R2&gt;50,"WEAK",IF(R2&lt;50,"VLOW")))))</f>
        <v>EXCELLENT</v>
      </c>
      <c r="AF2" s="193" t="str">
        <f t="shared" ref="AF2:AF5" si="17">IF(X2&gt;80,"EXCELLENT",IF(X2&gt;70,"STRONG",IF(X2&gt;60,"AVG",IF(X2&gt;50,"WEAK",IF(X2&lt;50,"VLOW")))))</f>
        <v>VLOW</v>
      </c>
      <c r="AG2" s="193" t="str">
        <f t="shared" ref="AG2:AG5" si="18">IF(M2&gt;L2,"FEMALE DOM","MEN")</f>
        <v>FEMALE DOM</v>
      </c>
      <c r="AH2" s="193" t="str">
        <f t="shared" ref="AH2:AH5" si="19">IF(T2&gt;Z2,"H","O")</f>
        <v>H</v>
      </c>
      <c r="AI2" s="197">
        <f t="shared" ref="AI2:AI6" si="20">E2-G2</f>
        <v>67.8321678321678</v>
      </c>
      <c r="AJ2" s="199" t="str">
        <f t="shared" ref="AJ2:AJ6" si="21">IF(E2&gt;G2,"BJP GAIN","CONGRESSGAIN")</f>
        <v>BJP GAIN</v>
      </c>
    </row>
    <row r="3" spans="1:36">
      <c r="A3" s="184">
        <v>62</v>
      </c>
      <c r="B3" s="185" t="s">
        <v>298</v>
      </c>
      <c r="C3" s="184">
        <v>583</v>
      </c>
      <c r="D3" s="184">
        <v>386</v>
      </c>
      <c r="E3" s="184">
        <f t="shared" si="0"/>
        <v>66.2092624356775</v>
      </c>
      <c r="F3" s="184">
        <v>185</v>
      </c>
      <c r="G3" s="184">
        <f t="shared" si="1"/>
        <v>31.7324185248714</v>
      </c>
      <c r="H3" s="184">
        <v>2</v>
      </c>
      <c r="I3" s="184">
        <f t="shared" si="2"/>
        <v>0.343053173241852</v>
      </c>
      <c r="J3" s="184">
        <v>2</v>
      </c>
      <c r="K3" s="184">
        <f t="shared" si="3"/>
        <v>0.343053173241852</v>
      </c>
      <c r="L3" s="189">
        <v>436</v>
      </c>
      <c r="M3" s="189">
        <v>441</v>
      </c>
      <c r="N3" s="189">
        <f t="shared" si="4"/>
        <v>877</v>
      </c>
      <c r="O3" s="184">
        <v>583</v>
      </c>
      <c r="P3" s="190">
        <f t="shared" si="5"/>
        <v>66.4766248574686</v>
      </c>
      <c r="Q3" s="184">
        <v>761</v>
      </c>
      <c r="R3" s="184">
        <f t="shared" si="6"/>
        <v>86.7730900798176</v>
      </c>
      <c r="S3" s="192">
        <f t="shared" si="7"/>
        <v>273</v>
      </c>
      <c r="T3" s="184">
        <f t="shared" si="8"/>
        <v>35.8738501971091</v>
      </c>
      <c r="U3" s="184">
        <v>488</v>
      </c>
      <c r="V3" s="191">
        <f t="shared" si="9"/>
        <v>64.1261498028909</v>
      </c>
      <c r="W3" s="184">
        <f>877-761</f>
        <v>116</v>
      </c>
      <c r="X3" s="184">
        <f t="shared" si="10"/>
        <v>13.2269099201824</v>
      </c>
      <c r="Y3" s="184">
        <f t="shared" si="11"/>
        <v>21</v>
      </c>
      <c r="Z3" s="193">
        <f t="shared" si="12"/>
        <v>18.1034482758621</v>
      </c>
      <c r="AA3" s="193">
        <f>583-488</f>
        <v>95</v>
      </c>
      <c r="AB3" s="194">
        <f t="shared" si="13"/>
        <v>81.8965517241379</v>
      </c>
      <c r="AC3" s="193">
        <f t="shared" si="14"/>
        <v>583</v>
      </c>
      <c r="AD3" s="193" t="str">
        <f t="shared" si="15"/>
        <v>AVG</v>
      </c>
      <c r="AE3" s="195" t="str">
        <f t="shared" si="16"/>
        <v>EXCELLENT</v>
      </c>
      <c r="AF3" s="193" t="str">
        <f t="shared" si="17"/>
        <v>VLOW</v>
      </c>
      <c r="AG3" s="193" t="str">
        <f t="shared" si="18"/>
        <v>FEMALE DOM</v>
      </c>
      <c r="AH3" s="193" t="str">
        <f t="shared" si="19"/>
        <v>H</v>
      </c>
      <c r="AI3" s="197">
        <f t="shared" si="20"/>
        <v>34.4768439108062</v>
      </c>
      <c r="AJ3" s="199" t="str">
        <f t="shared" si="21"/>
        <v>BJP GAIN</v>
      </c>
    </row>
    <row r="4" spans="1:36">
      <c r="A4" s="184">
        <v>63</v>
      </c>
      <c r="B4" s="185" t="s">
        <v>299</v>
      </c>
      <c r="C4" s="184">
        <v>962</v>
      </c>
      <c r="D4" s="184">
        <v>703</v>
      </c>
      <c r="E4" s="184">
        <f t="shared" si="0"/>
        <v>73.0769230769231</v>
      </c>
      <c r="F4" s="184">
        <v>212</v>
      </c>
      <c r="G4" s="184">
        <f t="shared" si="1"/>
        <v>22.037422037422</v>
      </c>
      <c r="H4" s="184">
        <v>2</v>
      </c>
      <c r="I4" s="184">
        <f t="shared" si="2"/>
        <v>0.207900207900208</v>
      </c>
      <c r="J4" s="184">
        <v>6</v>
      </c>
      <c r="K4" s="184">
        <f t="shared" si="3"/>
        <v>0.623700623700624</v>
      </c>
      <c r="L4" s="189">
        <v>752</v>
      </c>
      <c r="M4" s="189">
        <v>829</v>
      </c>
      <c r="N4" s="189">
        <f t="shared" si="4"/>
        <v>1581</v>
      </c>
      <c r="O4" s="184">
        <v>962</v>
      </c>
      <c r="P4" s="190">
        <f t="shared" si="5"/>
        <v>60.8475648323846</v>
      </c>
      <c r="Q4" s="184">
        <v>661</v>
      </c>
      <c r="R4" s="184">
        <f t="shared" si="6"/>
        <v>41.808981657179</v>
      </c>
      <c r="S4" s="184">
        <f t="shared" si="7"/>
        <v>295</v>
      </c>
      <c r="T4" s="184">
        <f t="shared" si="8"/>
        <v>44.6293494704992</v>
      </c>
      <c r="U4" s="184">
        <v>366</v>
      </c>
      <c r="V4" s="191">
        <f t="shared" si="9"/>
        <v>55.3706505295008</v>
      </c>
      <c r="W4" s="184">
        <v>31</v>
      </c>
      <c r="X4" s="184">
        <f t="shared" si="10"/>
        <v>58.191018342821</v>
      </c>
      <c r="Y4" s="184">
        <f t="shared" si="11"/>
        <v>10</v>
      </c>
      <c r="Z4" s="193">
        <f t="shared" si="12"/>
        <v>32.258064516129</v>
      </c>
      <c r="AA4" s="198">
        <v>21</v>
      </c>
      <c r="AB4" s="344">
        <f t="shared" si="13"/>
        <v>67.741935483871</v>
      </c>
      <c r="AC4" s="198">
        <f t="shared" si="14"/>
        <v>387</v>
      </c>
      <c r="AD4" s="193" t="str">
        <f t="shared" si="15"/>
        <v>AVG</v>
      </c>
      <c r="AE4" s="195" t="str">
        <f t="shared" si="16"/>
        <v>VLOW</v>
      </c>
      <c r="AF4" s="193" t="str">
        <f t="shared" si="17"/>
        <v>WEAK</v>
      </c>
      <c r="AG4" s="193" t="str">
        <f t="shared" si="18"/>
        <v>FEMALE DOM</v>
      </c>
      <c r="AH4" s="193" t="str">
        <f t="shared" si="19"/>
        <v>H</v>
      </c>
      <c r="AI4" s="197">
        <f t="shared" si="20"/>
        <v>51.039501039501</v>
      </c>
      <c r="AJ4" s="199" t="str">
        <f t="shared" si="21"/>
        <v>BJP GAIN</v>
      </c>
    </row>
    <row r="5" spans="1:36">
      <c r="A5" s="184">
        <v>64</v>
      </c>
      <c r="B5" s="185" t="s">
        <v>300</v>
      </c>
      <c r="C5" s="184">
        <v>933</v>
      </c>
      <c r="D5" s="184">
        <v>776</v>
      </c>
      <c r="E5" s="184">
        <f t="shared" si="0"/>
        <v>83.1725616291533</v>
      </c>
      <c r="F5" s="184">
        <v>123</v>
      </c>
      <c r="G5" s="184">
        <f t="shared" si="1"/>
        <v>13.1832797427653</v>
      </c>
      <c r="H5" s="184">
        <v>2</v>
      </c>
      <c r="I5" s="184">
        <f t="shared" si="2"/>
        <v>0.214362272240086</v>
      </c>
      <c r="J5" s="184">
        <v>5</v>
      </c>
      <c r="K5" s="184">
        <f t="shared" si="3"/>
        <v>0.535905680600214</v>
      </c>
      <c r="L5" s="189">
        <v>611</v>
      </c>
      <c r="M5" s="189">
        <v>664</v>
      </c>
      <c r="N5" s="189">
        <f t="shared" si="4"/>
        <v>1275</v>
      </c>
      <c r="O5" s="184">
        <v>933</v>
      </c>
      <c r="P5" s="190">
        <f t="shared" si="5"/>
        <v>73.1764705882353</v>
      </c>
      <c r="Q5" s="184">
        <v>1221</v>
      </c>
      <c r="R5" s="184">
        <f t="shared" si="6"/>
        <v>95.7647058823529</v>
      </c>
      <c r="S5" s="184">
        <f t="shared" si="7"/>
        <v>329</v>
      </c>
      <c r="T5" s="184">
        <f t="shared" si="8"/>
        <v>26.9451269451269</v>
      </c>
      <c r="U5" s="184">
        <v>892</v>
      </c>
      <c r="V5" s="191">
        <f t="shared" si="9"/>
        <v>73.0548730548731</v>
      </c>
      <c r="W5" s="184">
        <v>54</v>
      </c>
      <c r="X5" s="184">
        <f t="shared" si="10"/>
        <v>4.23529411764706</v>
      </c>
      <c r="Y5" s="196">
        <f t="shared" si="11"/>
        <v>13</v>
      </c>
      <c r="Z5" s="193">
        <f t="shared" si="12"/>
        <v>24.0740740740741</v>
      </c>
      <c r="AA5" s="193">
        <v>41</v>
      </c>
      <c r="AB5" s="194">
        <f t="shared" si="13"/>
        <v>75.9259259259259</v>
      </c>
      <c r="AC5" s="193">
        <f t="shared" si="14"/>
        <v>933</v>
      </c>
      <c r="AD5" s="193" t="str">
        <f t="shared" si="15"/>
        <v>STRONG</v>
      </c>
      <c r="AE5" s="195" t="str">
        <f t="shared" si="16"/>
        <v>EXCELLENT</v>
      </c>
      <c r="AF5" s="193" t="str">
        <f t="shared" si="17"/>
        <v>VLOW</v>
      </c>
      <c r="AG5" s="193" t="str">
        <f t="shared" si="18"/>
        <v>FEMALE DOM</v>
      </c>
      <c r="AH5" s="193" t="str">
        <f t="shared" si="19"/>
        <v>H</v>
      </c>
      <c r="AI5" s="197">
        <f t="shared" si="20"/>
        <v>69.989281886388</v>
      </c>
      <c r="AJ5" s="199" t="str">
        <f t="shared" si="21"/>
        <v>BJP GAIN</v>
      </c>
    </row>
    <row r="6" spans="3:36">
      <c r="C6">
        <f>SUM(C2:C5)</f>
        <v>3336</v>
      </c>
      <c r="D6">
        <f>SUM(D2:D5)</f>
        <v>2568</v>
      </c>
      <c r="E6" s="186">
        <f>AVERAGE(E2:E5)</f>
        <v>76.0983697691215</v>
      </c>
      <c r="F6">
        <f>SUM(F2:F5)</f>
        <v>641</v>
      </c>
      <c r="G6" s="186">
        <f>AVERAGE(G2:G5)</f>
        <v>20.2639211019057</v>
      </c>
      <c r="H6">
        <f>SUM(H2:H5)</f>
        <v>6</v>
      </c>
      <c r="I6" s="186">
        <f>AVERAGE(I2:I5)</f>
        <v>0.191328913345537</v>
      </c>
      <c r="J6">
        <f>SUM(J2:J5)</f>
        <v>15</v>
      </c>
      <c r="K6" s="186">
        <f>AVERAGE(K2:K5)</f>
        <v>0.433939927660731</v>
      </c>
      <c r="AI6" s="329">
        <f t="shared" si="20"/>
        <v>55.8344486672158</v>
      </c>
      <c r="AJ6" s="335" t="str">
        <f t="shared" si="21"/>
        <v>BJP GAIN</v>
      </c>
    </row>
  </sheetData>
  <conditionalFormatting sqref="AD2:AD5">
    <cfRule type="containsText" dxfId="8" priority="15" operator="between" text="AVG">
      <formula>NOT(ISERROR(SEARCH("AVG",AD2)))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NOT(ISERROR(SEARCH("VSTRONG",AD2)))</formula>
    </cfRule>
    <cfRule type="containsText" dxfId="10" priority="5" operator="between" text="AVG">
      <formula>NOT(ISERROR(SEARCH("AVG",AD2)))</formula>
    </cfRule>
  </conditionalFormatting>
  <conditionalFormatting sqref="AE2:AE5">
    <cfRule type="containsText" dxfId="3" priority="9" operator="between" text="STRONG">
      <formula>NOT(ISERROR(SEARCH("STRONG",AE2)))</formula>
    </cfRule>
    <cfRule type="containsText" dxfId="1" priority="7" operator="between" text="VSTRONG">
      <formula>NOT(ISERROR(SEARCH("VSTRONG",AE2)))</formula>
    </cfRule>
  </conditionalFormatting>
  <conditionalFormatting sqref="AF2:AF5">
    <cfRule type="cellIs" dxfId="11" priority="3" operator="equal">
      <formula>"VWEAK"</formula>
    </cfRule>
    <cfRule type="containsText" dxfId="0" priority="2" operator="between" text="VSTRONG">
      <formula>NOT(ISERROR(SEARCH("VSTRONG",AF2)))</formula>
    </cfRule>
  </conditionalFormatting>
  <conditionalFormatting sqref="AG2:AG5">
    <cfRule type="containsText" dxfId="12" priority="6" operator="between" text="FEMALE DOM">
      <formula>NOT(ISERROR(SEARCH("FEMALE DOM",AG2)))</formula>
    </cfRule>
    <cfRule type="containsText" dxfId="10" priority="1" operator="between" text="MEN">
      <formula>NOT(ISERROR(SEARCH("MEN",AG2)))</formula>
    </cfRule>
  </conditionalFormatting>
  <conditionalFormatting sqref="AH2:AH5">
    <cfRule type="containsText" dxfId="0" priority="12" operator="between" text="O">
      <formula>NOT(ISERROR(SEARCH("O",AH2)))</formula>
    </cfRule>
    <cfRule type="containsText" dxfId="3" priority="10" operator="between" text="H">
      <formula>NOT(ISERROR(SEARCH("H",AH2)))</formula>
    </cfRule>
    <cfRule type="containsText" dxfId="13" priority="11" operator="between" text="H">
      <formula>NOT(ISERROR(SEARCH("H",AH2)))</formula>
    </cfRule>
    <cfRule type="containsText" dxfId="1" priority="4" operator="between" text="H">
      <formula>NOT(ISERROR(SEARCH("H",AH2)))</formula>
    </cfRule>
  </conditionalFormatting>
  <conditionalFormatting sqref="AE2:AF5">
    <cfRule type="containsText" dxfId="2" priority="8" operator="between" text="AVG">
      <formula>NOT(ISERROR(SEARCH("AVG",AE2)))</formula>
    </cfRule>
  </conditionalFormatting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6"/>
  <sheetViews>
    <sheetView topLeftCell="R16" workbookViewId="0">
      <selection activeCell="Y28" sqref="Y28:AB29"/>
    </sheetView>
  </sheetViews>
  <sheetFormatPr defaultColWidth="9" defaultRowHeight="14.5"/>
  <sheetData>
    <row r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340" t="s">
        <v>51</v>
      </c>
      <c r="B7" s="219">
        <v>176</v>
      </c>
      <c r="C7" s="219">
        <v>1293</v>
      </c>
      <c r="D7" s="219">
        <v>325</v>
      </c>
      <c r="E7" s="219">
        <v>624</v>
      </c>
      <c r="F7" s="219">
        <v>1</v>
      </c>
      <c r="G7" s="219">
        <v>4</v>
      </c>
      <c r="H7" s="219">
        <v>0</v>
      </c>
      <c r="I7" s="219">
        <v>0</v>
      </c>
      <c r="J7" s="219">
        <v>0</v>
      </c>
      <c r="K7" s="219">
        <v>1</v>
      </c>
      <c r="L7" s="219">
        <v>955</v>
      </c>
      <c r="M7" s="219">
        <v>0</v>
      </c>
      <c r="N7" s="219">
        <v>8</v>
      </c>
      <c r="O7" s="219">
        <f t="shared" ref="O7:O14" si="0">D7+E7+F7+G7+H7+I7+J7+K7+N7</f>
        <v>963</v>
      </c>
      <c r="P7" s="219">
        <f t="shared" ref="P7:P14" si="1">(O7/C7)*100</f>
        <v>74.4779582366589</v>
      </c>
      <c r="Q7" s="219">
        <f t="shared" ref="Q7:Q14" si="2">(E7/O7)*100</f>
        <v>64.797507788162</v>
      </c>
      <c r="R7" s="219">
        <f t="shared" ref="R7:R14" si="3">(D7/O7)*100</f>
        <v>33.748701973001</v>
      </c>
      <c r="S7" s="219">
        <f t="shared" ref="S7:S14" si="4">(F7/O7)*100</f>
        <v>0.103842159916926</v>
      </c>
      <c r="T7" s="219">
        <f t="shared" ref="T7:T14" si="5">(G7/O7)*100</f>
        <v>0.415368639667705</v>
      </c>
      <c r="U7" s="219">
        <f t="shared" ref="U7:U14" si="6">((H7+I7+J7+K7)/O7)*100</f>
        <v>0.103842159916926</v>
      </c>
      <c r="V7" s="219">
        <f t="shared" ref="V7:V14" si="7">(N7/O7)*100</f>
        <v>0.83073727933541</v>
      </c>
      <c r="W7" s="219">
        <f>Q7-R7</f>
        <v>31.048805815161</v>
      </c>
      <c r="X7" s="219">
        <f>Q7-(R7+S7+T7+U7)</f>
        <v>30.4257528556594</v>
      </c>
      <c r="Y7" s="219" t="str">
        <f>IF(AND(W7&lt;0,W7&lt;=1),"LOST",IF(AND(W7&gt;1,W7&lt;=10),"NARROW",IF(AND(W7&gt;10,W7&lt;=40),"MEDIUM",IF(AND(W7&gt;40,W7&lt;=90),"STRONG",""))))</f>
        <v>MEDIUM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1288</v>
      </c>
      <c r="AC7">
        <v>895</v>
      </c>
      <c r="AD7">
        <v>624</v>
      </c>
      <c r="AE7">
        <v>424</v>
      </c>
      <c r="AF7">
        <v>664</v>
      </c>
      <c r="AG7">
        <v>471</v>
      </c>
      <c r="AH7">
        <v>1045</v>
      </c>
      <c r="AI7">
        <v>740</v>
      </c>
      <c r="AJ7">
        <v>38</v>
      </c>
      <c r="AK7">
        <v>19</v>
      </c>
      <c r="AL7">
        <v>205</v>
      </c>
      <c r="AM7">
        <v>136</v>
      </c>
      <c r="AN7" s="248">
        <f>(AD7/AB7)*100</f>
        <v>48.4472049689441</v>
      </c>
      <c r="AO7" s="316">
        <f>(AE7/AC7)*100</f>
        <v>47.3743016759777</v>
      </c>
      <c r="AP7" s="317">
        <f>(AF7/AB7)*100</f>
        <v>51.5527950310559</v>
      </c>
      <c r="AQ7" s="318">
        <f>(AG7/AC7)*100</f>
        <v>52.6256983240223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81.1335403726708</v>
      </c>
      <c r="AU7" s="317">
        <f>(AI7/AC7)*100</f>
        <v>82.6815642458101</v>
      </c>
      <c r="AV7" s="248">
        <f>(AJ7/AB7)*100</f>
        <v>2.95031055900621</v>
      </c>
      <c r="AW7" s="317">
        <f>(AK7/AC7)*100</f>
        <v>2.12290502793296</v>
      </c>
      <c r="AX7" s="248">
        <f>(AL7/AB7)*100</f>
        <v>15.916149068323</v>
      </c>
      <c r="AY7" s="317">
        <f>(AM7/AC7)*100</f>
        <v>15.195530726257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2:53">
      <c r="B8" s="219">
        <v>175</v>
      </c>
      <c r="C8" s="219">
        <v>1044</v>
      </c>
      <c r="D8" s="219">
        <v>248</v>
      </c>
      <c r="E8" s="219">
        <v>447</v>
      </c>
      <c r="F8" s="219">
        <v>4</v>
      </c>
      <c r="G8" s="219">
        <v>3</v>
      </c>
      <c r="H8" s="219">
        <v>0</v>
      </c>
      <c r="I8" s="219">
        <v>0</v>
      </c>
      <c r="J8" s="219">
        <v>1</v>
      </c>
      <c r="K8" s="219">
        <v>0</v>
      </c>
      <c r="L8" s="219">
        <v>703</v>
      </c>
      <c r="M8" s="219">
        <v>0</v>
      </c>
      <c r="N8" s="219">
        <v>10</v>
      </c>
      <c r="O8" s="219">
        <f t="shared" si="0"/>
        <v>713</v>
      </c>
      <c r="P8" s="219">
        <f t="shared" si="1"/>
        <v>68.2950191570881</v>
      </c>
      <c r="Q8" s="219">
        <f t="shared" si="2"/>
        <v>62.6928471248247</v>
      </c>
      <c r="R8" s="219">
        <f t="shared" si="3"/>
        <v>34.7826086956522</v>
      </c>
      <c r="S8" s="219">
        <f t="shared" si="4"/>
        <v>0.561009817671809</v>
      </c>
      <c r="T8" s="219">
        <f t="shared" si="5"/>
        <v>0.420757363253857</v>
      </c>
      <c r="U8" s="219">
        <f t="shared" si="6"/>
        <v>0.140252454417952</v>
      </c>
      <c r="V8" s="219">
        <f t="shared" si="7"/>
        <v>1.40252454417952</v>
      </c>
      <c r="W8" s="219">
        <f t="shared" ref="W8:W14" si="8">Q8-R8</f>
        <v>27.9102384291725</v>
      </c>
      <c r="X8" s="219">
        <f t="shared" ref="X8:X14" si="9">Q8-(R8+S8+T8+U8)</f>
        <v>26.7882187938289</v>
      </c>
      <c r="Y8" s="219" t="str">
        <f t="shared" ref="Y8:Y15" si="10">IF(AND(W8&lt;0,W8&lt;=1),"LOST",IF(AND(W8&gt;1,W8&lt;=10),"NARROW",IF(AND(W8&gt;10,W8&lt;=40),"MEDIUM",IF(AND(W8&gt;40,W8&lt;=90),"STRONG",""))))</f>
        <v>MEDIUM</v>
      </c>
      <c r="Z8" s="285" t="str">
        <f t="shared" ref="Z8:Z15" si="11">IF(AND(P8&lt;0,P8&lt;=10),"WEAK",IF(AND(P8&gt;10,P8&lt;20),"BELOW AVG",IF(AND(P8&gt;20,P8&lt;=60),"MEDIUM",IF(AND(P8&gt;60,P8&lt;=90),"STRONG",""))))</f>
        <v>STRONG</v>
      </c>
      <c r="AA8" s="333" t="str">
        <f t="shared" ref="AA8:AA15" si="12">IF(Q8&gt;R8,"BJP","CONGRESS")</f>
        <v>BJP</v>
      </c>
      <c r="AB8">
        <v>1043</v>
      </c>
      <c r="AD8">
        <v>490</v>
      </c>
      <c r="AF8">
        <v>553</v>
      </c>
      <c r="AH8">
        <v>826</v>
      </c>
      <c r="AJ8">
        <v>6</v>
      </c>
      <c r="AL8">
        <v>211</v>
      </c>
      <c r="AN8" s="248">
        <f t="shared" ref="AN8:AO10" si="13">(AD8/AB8)*100</f>
        <v>46.9798657718121</v>
      </c>
      <c r="AO8" s="316" t="e">
        <f t="shared" si="13"/>
        <v>#DIV/0!</v>
      </c>
      <c r="AP8" s="317">
        <f t="shared" ref="AP8:AQ10" si="14">(AF8/AB8)*100</f>
        <v>53.0201342281879</v>
      </c>
      <c r="AQ8" s="318" t="e">
        <f t="shared" si="14"/>
        <v>#DIV/0!</v>
      </c>
      <c r="AR8" s="318" t="str">
        <f t="shared" ref="AR8:AR12" si="15">IF(AN8&gt;AP8,"MALE DOM","FEMALE DOM")</f>
        <v>FEMALE DOM</v>
      </c>
      <c r="AS8" s="319" t="e">
        <f t="shared" ref="AS8:AS12" si="16">IF(AO8&gt;AP8,"MALE","FEMALE")</f>
        <v>#DIV/0!</v>
      </c>
      <c r="AT8" s="317">
        <f t="shared" ref="AT8:AU10" si="17">(AH8/AB8)*100</f>
        <v>79.1946308724832</v>
      </c>
      <c r="AU8" s="317" t="e">
        <f t="shared" si="17"/>
        <v>#DIV/0!</v>
      </c>
      <c r="AV8" s="248">
        <f t="shared" ref="AV8:AW10" si="18">(AJ8/AB8)*100</f>
        <v>0.575263662511985</v>
      </c>
      <c r="AW8" s="317" t="e">
        <f t="shared" si="18"/>
        <v>#DIV/0!</v>
      </c>
      <c r="AX8" s="248">
        <f t="shared" ref="AX8:AY10" si="19">(AL8/AB8)*100</f>
        <v>20.2301054650048</v>
      </c>
      <c r="AY8" s="317" t="e">
        <f t="shared" si="19"/>
        <v>#DIV/0!</v>
      </c>
      <c r="AZ8" s="248" t="str">
        <f t="shared" ref="AZ8:AZ12" si="20">IF(AT8&gt;(AV8+AX8),"HINDU","MINORITY")</f>
        <v>HINDU</v>
      </c>
      <c r="BA8" s="318" t="e">
        <f t="shared" ref="BA8:BA12" si="21">IF(AU8&gt;(AW8+AY8),"HIND","MINORITY")</f>
        <v>#DIV/0!</v>
      </c>
    </row>
    <row r="9" spans="2:53">
      <c r="B9" s="337">
        <v>182</v>
      </c>
      <c r="C9" s="337">
        <v>770</v>
      </c>
      <c r="D9" s="337">
        <v>154</v>
      </c>
      <c r="E9" s="337">
        <v>377</v>
      </c>
      <c r="F9" s="337">
        <v>2</v>
      </c>
      <c r="G9" s="337">
        <v>3</v>
      </c>
      <c r="H9" s="337">
        <v>0</v>
      </c>
      <c r="I9" s="337">
        <v>0</v>
      </c>
      <c r="J9" s="337">
        <v>0</v>
      </c>
      <c r="K9" s="337">
        <v>0</v>
      </c>
      <c r="L9" s="337">
        <v>536</v>
      </c>
      <c r="M9" s="337">
        <v>0</v>
      </c>
      <c r="N9" s="337">
        <v>2</v>
      </c>
      <c r="O9" s="337">
        <f t="shared" si="0"/>
        <v>538</v>
      </c>
      <c r="P9" s="337">
        <f t="shared" si="1"/>
        <v>69.8701298701299</v>
      </c>
      <c r="Q9" s="337">
        <f t="shared" si="2"/>
        <v>70.0743494423792</v>
      </c>
      <c r="R9" s="337">
        <f t="shared" si="3"/>
        <v>28.6245353159851</v>
      </c>
      <c r="S9" s="337">
        <f t="shared" si="4"/>
        <v>0.371747211895911</v>
      </c>
      <c r="T9" s="337">
        <f t="shared" si="5"/>
        <v>0.557620817843866</v>
      </c>
      <c r="U9" s="337">
        <f t="shared" si="6"/>
        <v>0</v>
      </c>
      <c r="V9" s="337">
        <f t="shared" si="7"/>
        <v>0.371747211895911</v>
      </c>
      <c r="W9" s="337">
        <f t="shared" si="8"/>
        <v>41.449814126394</v>
      </c>
      <c r="X9" s="337">
        <f t="shared" si="9"/>
        <v>40.5204460966543</v>
      </c>
      <c r="Y9" s="337" t="str">
        <f t="shared" si="10"/>
        <v>STRONG</v>
      </c>
      <c r="Z9" s="283" t="str">
        <f t="shared" si="11"/>
        <v>STRONG</v>
      </c>
      <c r="AA9" s="289" t="str">
        <f t="shared" si="12"/>
        <v>BJP</v>
      </c>
      <c r="AB9">
        <v>766</v>
      </c>
      <c r="AD9">
        <v>361</v>
      </c>
      <c r="AF9">
        <v>405</v>
      </c>
      <c r="AH9">
        <v>633</v>
      </c>
      <c r="AJ9">
        <v>9</v>
      </c>
      <c r="AL9">
        <v>124</v>
      </c>
      <c r="AN9" s="248">
        <f t="shared" si="13"/>
        <v>47.1279373368146</v>
      </c>
      <c r="AO9" s="316" t="e">
        <f t="shared" si="13"/>
        <v>#DIV/0!</v>
      </c>
      <c r="AP9" s="317">
        <f t="shared" si="14"/>
        <v>52.8720626631854</v>
      </c>
      <c r="AQ9" s="318" t="e">
        <f t="shared" si="14"/>
        <v>#DIV/0!</v>
      </c>
      <c r="AR9" s="318" t="str">
        <f t="shared" si="15"/>
        <v>FEMALE DOM</v>
      </c>
      <c r="AS9" s="319" t="e">
        <f t="shared" si="16"/>
        <v>#DIV/0!</v>
      </c>
      <c r="AT9" s="317">
        <f t="shared" si="17"/>
        <v>82.6370757180157</v>
      </c>
      <c r="AU9" s="317" t="e">
        <f t="shared" si="17"/>
        <v>#DIV/0!</v>
      </c>
      <c r="AV9" s="248">
        <f t="shared" si="18"/>
        <v>1.17493472584856</v>
      </c>
      <c r="AW9" s="317" t="e">
        <f t="shared" si="18"/>
        <v>#DIV/0!</v>
      </c>
      <c r="AX9" s="248">
        <f t="shared" si="19"/>
        <v>16.1879895561358</v>
      </c>
      <c r="AY9" s="317" t="e">
        <f t="shared" si="19"/>
        <v>#DIV/0!</v>
      </c>
      <c r="AZ9" s="248" t="str">
        <f t="shared" si="20"/>
        <v>HINDU</v>
      </c>
      <c r="BA9" s="318" t="e">
        <f t="shared" si="21"/>
        <v>#DIV/0!</v>
      </c>
    </row>
    <row r="10" spans="2:53">
      <c r="B10" s="337">
        <v>181</v>
      </c>
      <c r="C10" s="337">
        <v>798</v>
      </c>
      <c r="D10" s="337">
        <v>133</v>
      </c>
      <c r="E10" s="337">
        <v>418</v>
      </c>
      <c r="F10" s="337">
        <v>1</v>
      </c>
      <c r="G10" s="337">
        <v>2</v>
      </c>
      <c r="H10" s="337">
        <v>1</v>
      </c>
      <c r="I10" s="337">
        <v>1</v>
      </c>
      <c r="J10" s="337">
        <v>1</v>
      </c>
      <c r="K10" s="337">
        <v>1</v>
      </c>
      <c r="L10" s="337">
        <v>558</v>
      </c>
      <c r="M10" s="337">
        <v>0</v>
      </c>
      <c r="N10" s="337">
        <v>4</v>
      </c>
      <c r="O10" s="337">
        <f t="shared" si="0"/>
        <v>562</v>
      </c>
      <c r="P10" s="337">
        <f t="shared" si="1"/>
        <v>70.4260651629073</v>
      </c>
      <c r="Q10" s="337">
        <f t="shared" si="2"/>
        <v>74.3772241992883</v>
      </c>
      <c r="R10" s="337">
        <f t="shared" si="3"/>
        <v>23.6654804270463</v>
      </c>
      <c r="S10" s="337">
        <f t="shared" si="4"/>
        <v>0.177935943060498</v>
      </c>
      <c r="T10" s="337">
        <f t="shared" si="5"/>
        <v>0.355871886120996</v>
      </c>
      <c r="U10" s="337">
        <f t="shared" si="6"/>
        <v>0.711743772241993</v>
      </c>
      <c r="V10" s="337">
        <f t="shared" si="7"/>
        <v>0.711743772241993</v>
      </c>
      <c r="W10" s="337">
        <f t="shared" si="8"/>
        <v>50.711743772242</v>
      </c>
      <c r="X10" s="337">
        <f t="shared" si="9"/>
        <v>49.4661921708185</v>
      </c>
      <c r="Y10" s="337" t="str">
        <f t="shared" si="10"/>
        <v>STRONG</v>
      </c>
      <c r="Z10" s="285" t="str">
        <f t="shared" si="11"/>
        <v>STRONG</v>
      </c>
      <c r="AA10" s="289" t="str">
        <f t="shared" si="12"/>
        <v>BJP</v>
      </c>
      <c r="AB10">
        <v>790</v>
      </c>
      <c r="AD10">
        <v>360</v>
      </c>
      <c r="AF10">
        <v>430</v>
      </c>
      <c r="AH10">
        <v>667</v>
      </c>
      <c r="AJ10">
        <v>9</v>
      </c>
      <c r="AL10">
        <v>114</v>
      </c>
      <c r="AN10" s="248">
        <f t="shared" si="13"/>
        <v>45.5696202531646</v>
      </c>
      <c r="AO10" s="316" t="e">
        <f t="shared" si="13"/>
        <v>#DIV/0!</v>
      </c>
      <c r="AP10" s="317">
        <f t="shared" si="14"/>
        <v>54.4303797468354</v>
      </c>
      <c r="AQ10" s="318" t="e">
        <f t="shared" si="14"/>
        <v>#DIV/0!</v>
      </c>
      <c r="AR10" s="318" t="str">
        <f t="shared" si="15"/>
        <v>FEMALE DOM</v>
      </c>
      <c r="AS10" s="319" t="e">
        <f t="shared" si="16"/>
        <v>#DIV/0!</v>
      </c>
      <c r="AT10" s="317">
        <f t="shared" si="17"/>
        <v>84.4303797468354</v>
      </c>
      <c r="AU10" s="317" t="e">
        <f t="shared" si="17"/>
        <v>#DIV/0!</v>
      </c>
      <c r="AV10" s="248">
        <f t="shared" si="18"/>
        <v>1.13924050632911</v>
      </c>
      <c r="AW10" s="317" t="e">
        <f t="shared" si="18"/>
        <v>#DIV/0!</v>
      </c>
      <c r="AX10" s="248">
        <f t="shared" si="19"/>
        <v>14.4303797468354</v>
      </c>
      <c r="AY10" s="317" t="e">
        <f t="shared" si="19"/>
        <v>#DIV/0!</v>
      </c>
      <c r="AZ10" s="248" t="str">
        <f t="shared" si="20"/>
        <v>HINDU</v>
      </c>
      <c r="BA10" s="318" t="e">
        <f t="shared" si="21"/>
        <v>#DIV/0!</v>
      </c>
    </row>
    <row r="11" spans="2:53">
      <c r="B11" s="215">
        <v>177</v>
      </c>
      <c r="C11" s="215">
        <v>839</v>
      </c>
      <c r="D11" s="215">
        <v>315</v>
      </c>
      <c r="E11" s="215">
        <v>245</v>
      </c>
      <c r="F11" s="215">
        <v>1</v>
      </c>
      <c r="G11" s="215">
        <v>1</v>
      </c>
      <c r="H11" s="215">
        <v>0</v>
      </c>
      <c r="I11" s="215">
        <v>1</v>
      </c>
      <c r="J11" s="215">
        <v>0</v>
      </c>
      <c r="K11" s="215">
        <v>0</v>
      </c>
      <c r="L11" s="215">
        <v>563</v>
      </c>
      <c r="M11" s="215">
        <v>0</v>
      </c>
      <c r="N11" s="215">
        <v>4</v>
      </c>
      <c r="O11" s="215">
        <f t="shared" si="0"/>
        <v>567</v>
      </c>
      <c r="P11" s="215">
        <f t="shared" si="1"/>
        <v>67.580452920143</v>
      </c>
      <c r="Q11" s="215">
        <f t="shared" si="2"/>
        <v>43.2098765432099</v>
      </c>
      <c r="R11" s="215">
        <f t="shared" si="3"/>
        <v>55.5555555555556</v>
      </c>
      <c r="S11" s="215">
        <f t="shared" si="4"/>
        <v>0.17636684303351</v>
      </c>
      <c r="T11" s="215">
        <f t="shared" si="5"/>
        <v>0.17636684303351</v>
      </c>
      <c r="U11" s="215">
        <f t="shared" si="6"/>
        <v>0.17636684303351</v>
      </c>
      <c r="V11" s="215">
        <f t="shared" si="7"/>
        <v>0.705467372134039</v>
      </c>
      <c r="W11" s="215">
        <f t="shared" si="8"/>
        <v>-12.3456790123457</v>
      </c>
      <c r="X11" s="215">
        <f t="shared" si="9"/>
        <v>-12.8747795414462</v>
      </c>
      <c r="Y11" s="215" t="str">
        <f t="shared" si="10"/>
        <v>LOST</v>
      </c>
      <c r="Z11" s="341" t="str">
        <f t="shared" si="11"/>
        <v>STRONG</v>
      </c>
      <c r="AA11" s="284" t="str">
        <f t="shared" si="12"/>
        <v>CONGRESS</v>
      </c>
      <c r="AB11">
        <v>834</v>
      </c>
      <c r="AC11">
        <v>563</v>
      </c>
      <c r="AD11">
        <v>410</v>
      </c>
      <c r="AE11">
        <v>269</v>
      </c>
      <c r="AF11">
        <v>424</v>
      </c>
      <c r="AG11">
        <v>294</v>
      </c>
      <c r="AH11">
        <v>407</v>
      </c>
      <c r="AI11">
        <v>286</v>
      </c>
      <c r="AJ11">
        <v>312</v>
      </c>
      <c r="AK11">
        <v>211</v>
      </c>
      <c r="AL11">
        <v>115</v>
      </c>
      <c r="AM11">
        <v>66</v>
      </c>
      <c r="AN11" s="248">
        <f>(AD11/AB11)*100</f>
        <v>49.1606714628297</v>
      </c>
      <c r="AO11" s="316">
        <f>(AE11/AC11)*100</f>
        <v>47.7797513321492</v>
      </c>
      <c r="AP11" s="317">
        <f>(AF11/AB11)*100</f>
        <v>50.8393285371703</v>
      </c>
      <c r="AQ11" s="318">
        <f>(AG11/AC11)*100</f>
        <v>52.2202486678508</v>
      </c>
      <c r="AR11" s="318" t="str">
        <f t="shared" si="15"/>
        <v>FEMALE DOM</v>
      </c>
      <c r="AS11" s="319" t="str">
        <f t="shared" si="16"/>
        <v>FEMALE</v>
      </c>
      <c r="AT11" s="317">
        <f>(AH11/AB11)*100</f>
        <v>48.8009592326139</v>
      </c>
      <c r="AU11" s="317">
        <f>(AI11/AC11)*100</f>
        <v>50.7992895204263</v>
      </c>
      <c r="AV11" s="248">
        <f>(AJ11/AB11)*100</f>
        <v>37.410071942446</v>
      </c>
      <c r="AW11" s="317">
        <f>(AK11/AC11)*100</f>
        <v>37.4777975133215</v>
      </c>
      <c r="AX11" s="248">
        <f>(AL11/AB11)*100</f>
        <v>13.78896882494</v>
      </c>
      <c r="AY11" s="317">
        <f>(AM11/AC11)*100</f>
        <v>11.7229129662522</v>
      </c>
      <c r="AZ11" s="248" t="str">
        <f t="shared" si="20"/>
        <v>MINORITY</v>
      </c>
      <c r="BA11" s="318" t="str">
        <f t="shared" si="21"/>
        <v>HIND</v>
      </c>
    </row>
    <row r="12" spans="2:53">
      <c r="B12" s="337">
        <v>178</v>
      </c>
      <c r="C12" s="337">
        <v>1009</v>
      </c>
      <c r="D12" s="337">
        <v>199</v>
      </c>
      <c r="E12" s="337">
        <v>534</v>
      </c>
      <c r="F12" s="337">
        <v>2</v>
      </c>
      <c r="G12" s="337">
        <v>5</v>
      </c>
      <c r="H12" s="337">
        <v>0</v>
      </c>
      <c r="I12" s="337">
        <v>1</v>
      </c>
      <c r="J12" s="337">
        <v>0</v>
      </c>
      <c r="K12" s="337">
        <v>0</v>
      </c>
      <c r="L12" s="337">
        <v>741</v>
      </c>
      <c r="M12" s="337">
        <v>0</v>
      </c>
      <c r="N12" s="337">
        <v>6</v>
      </c>
      <c r="O12" s="337">
        <f t="shared" si="0"/>
        <v>747</v>
      </c>
      <c r="P12" s="337">
        <f t="shared" si="1"/>
        <v>74.0336967294351</v>
      </c>
      <c r="Q12" s="337">
        <f t="shared" si="2"/>
        <v>71.4859437751004</v>
      </c>
      <c r="R12" s="337">
        <f t="shared" si="3"/>
        <v>26.6398929049531</v>
      </c>
      <c r="S12" s="337">
        <f t="shared" si="4"/>
        <v>0.267737617135207</v>
      </c>
      <c r="T12" s="337">
        <f t="shared" si="5"/>
        <v>0.669344042838019</v>
      </c>
      <c r="U12" s="337">
        <f t="shared" si="6"/>
        <v>0.133868808567604</v>
      </c>
      <c r="V12" s="337">
        <f t="shared" si="7"/>
        <v>0.803212851405622</v>
      </c>
      <c r="W12" s="337">
        <f t="shared" si="8"/>
        <v>44.8460508701473</v>
      </c>
      <c r="X12" s="337">
        <f t="shared" si="9"/>
        <v>43.7751004016064</v>
      </c>
      <c r="Y12" s="337" t="str">
        <f t="shared" si="10"/>
        <v>STRONG</v>
      </c>
      <c r="Z12" s="341" t="str">
        <f t="shared" si="11"/>
        <v>STRONG</v>
      </c>
      <c r="AA12" s="289" t="str">
        <f t="shared" si="12"/>
        <v>BJP</v>
      </c>
      <c r="AB12">
        <v>1007</v>
      </c>
      <c r="AD12">
        <v>457</v>
      </c>
      <c r="AF12">
        <v>550</v>
      </c>
      <c r="AH12">
        <v>907</v>
      </c>
      <c r="AJ12">
        <v>14</v>
      </c>
      <c r="AL12">
        <v>86</v>
      </c>
      <c r="AN12" s="248">
        <f>(AD12/AB12)*100</f>
        <v>45.382323733863</v>
      </c>
      <c r="AO12" s="316" t="e">
        <f>(AE12/AC12)*100</f>
        <v>#DIV/0!</v>
      </c>
      <c r="AP12" s="317">
        <f>(AF12/AB12)*100</f>
        <v>54.617676266137</v>
      </c>
      <c r="AQ12" s="318" t="e">
        <f>(AG12/AC12)*100</f>
        <v>#DIV/0!</v>
      </c>
      <c r="AR12" s="318" t="str">
        <f t="shared" si="15"/>
        <v>FEMALE DOM</v>
      </c>
      <c r="AS12" s="319" t="e">
        <f t="shared" si="16"/>
        <v>#DIV/0!</v>
      </c>
      <c r="AT12" s="317">
        <f>(AH12/AB12)*100</f>
        <v>90.0695134061569</v>
      </c>
      <c r="AU12" s="317" t="e">
        <f>(AI12/AC12)*100</f>
        <v>#DIV/0!</v>
      </c>
      <c r="AV12" s="248">
        <f>(AJ12/AB12)*100</f>
        <v>1.39026812313803</v>
      </c>
      <c r="AW12" s="317" t="e">
        <f>(AK12/AC12)*100</f>
        <v>#DIV/0!</v>
      </c>
      <c r="AX12" s="248">
        <f>(AL12/AB12)*100</f>
        <v>8.54021847070507</v>
      </c>
      <c r="AY12" s="317" t="e">
        <f>(AM12/AC12)*100</f>
        <v>#DIV/0!</v>
      </c>
      <c r="AZ12" s="248" t="str">
        <f t="shared" si="20"/>
        <v>HINDU</v>
      </c>
      <c r="BA12" s="318" t="e">
        <f t="shared" si="21"/>
        <v>#DIV/0!</v>
      </c>
    </row>
    <row r="13" spans="2:53">
      <c r="B13" s="215">
        <v>179</v>
      </c>
      <c r="C13" s="215">
        <v>989</v>
      </c>
      <c r="D13" s="215">
        <v>420</v>
      </c>
      <c r="E13" s="215">
        <v>296</v>
      </c>
      <c r="F13" s="215">
        <v>0</v>
      </c>
      <c r="G13" s="215">
        <v>2</v>
      </c>
      <c r="H13" s="215">
        <v>1</v>
      </c>
      <c r="I13" s="215">
        <v>1</v>
      </c>
      <c r="J13" s="215">
        <v>0</v>
      </c>
      <c r="K13" s="215">
        <v>1</v>
      </c>
      <c r="L13" s="215">
        <v>721</v>
      </c>
      <c r="M13" s="215">
        <v>0</v>
      </c>
      <c r="N13" s="215">
        <v>8</v>
      </c>
      <c r="O13" s="215">
        <f t="shared" si="0"/>
        <v>729</v>
      </c>
      <c r="P13" s="215">
        <f t="shared" si="1"/>
        <v>73.7108190091001</v>
      </c>
      <c r="Q13" s="215">
        <f t="shared" si="2"/>
        <v>40.6035665294925</v>
      </c>
      <c r="R13" s="215">
        <f t="shared" si="3"/>
        <v>57.6131687242798</v>
      </c>
      <c r="S13" s="215">
        <f t="shared" si="4"/>
        <v>0</v>
      </c>
      <c r="T13" s="215">
        <f t="shared" si="5"/>
        <v>0.274348422496571</v>
      </c>
      <c r="U13" s="215">
        <f t="shared" si="6"/>
        <v>0.411522633744856</v>
      </c>
      <c r="V13" s="215">
        <f t="shared" si="7"/>
        <v>1.09739368998628</v>
      </c>
      <c r="W13" s="215">
        <f t="shared" si="8"/>
        <v>-17.0096021947874</v>
      </c>
      <c r="X13" s="215">
        <f t="shared" si="9"/>
        <v>-17.6954732510288</v>
      </c>
      <c r="Y13" s="215" t="str">
        <f t="shared" si="10"/>
        <v>LOST</v>
      </c>
      <c r="Z13" s="341" t="str">
        <f t="shared" si="11"/>
        <v>STRONG</v>
      </c>
      <c r="AA13" s="284" t="str">
        <f t="shared" si="12"/>
        <v>CONGRESS</v>
      </c>
      <c r="AB13">
        <v>986</v>
      </c>
      <c r="AD13">
        <v>490</v>
      </c>
      <c r="AF13">
        <v>496</v>
      </c>
      <c r="AH13">
        <v>538</v>
      </c>
      <c r="AJ13">
        <v>399</v>
      </c>
      <c r="AL13">
        <v>49</v>
      </c>
      <c r="AN13" s="248">
        <f t="shared" ref="AN13" si="22">(AD13/AB13)*100</f>
        <v>49.6957403651116</v>
      </c>
      <c r="AO13" s="316" t="e">
        <f t="shared" ref="AO13" si="23">(AE13/AC13)*100</f>
        <v>#DIV/0!</v>
      </c>
      <c r="AP13" s="317">
        <f t="shared" ref="AP13" si="24">(AF13/AB13)*100</f>
        <v>50.3042596348884</v>
      </c>
      <c r="AQ13" s="318" t="e">
        <f t="shared" ref="AQ13" si="25">(AG13/AC13)*100</f>
        <v>#DIV/0!</v>
      </c>
      <c r="AR13" s="318" t="str">
        <f t="shared" ref="AR13" si="26">IF(AN13&gt;AP13,"MALE DOM","FEMALE DOM")</f>
        <v>FEMALE DOM</v>
      </c>
      <c r="AS13" s="319" t="e">
        <f t="shared" ref="AS13" si="27">IF(AO13&gt;AP13,"MALE","FEMALE")</f>
        <v>#DIV/0!</v>
      </c>
      <c r="AT13" s="317">
        <f t="shared" ref="AT13" si="28">(AH13/AB13)*100</f>
        <v>54.5638945233266</v>
      </c>
      <c r="AU13" s="317" t="e">
        <f t="shared" ref="AU13" si="29">(AI13/AC13)*100</f>
        <v>#DIV/0!</v>
      </c>
      <c r="AV13" s="248">
        <f t="shared" ref="AV13" si="30">(AJ13/AB13)*100</f>
        <v>40.4665314401623</v>
      </c>
      <c r="AW13" s="317" t="e">
        <f t="shared" ref="AW13" si="31">(AK13/AC13)*100</f>
        <v>#DIV/0!</v>
      </c>
      <c r="AX13" s="248">
        <f t="shared" ref="AX13" si="32">(AL13/AB13)*100</f>
        <v>4.96957403651116</v>
      </c>
      <c r="AY13" s="317" t="e">
        <f t="shared" ref="AY13" si="33">(AM13/AC13)*100</f>
        <v>#DIV/0!</v>
      </c>
      <c r="AZ13" s="248" t="str">
        <f t="shared" ref="AZ13" si="34">IF(AT13&gt;(AV13+AX13),"HINDU","MINORITY")</f>
        <v>HINDU</v>
      </c>
      <c r="BA13" s="318" t="e">
        <f t="shared" ref="BA13" si="35">IF(AU13&gt;(AW13+AY13),"HIND","MINORITY")</f>
        <v>#DIV/0!</v>
      </c>
    </row>
    <row r="14" spans="2:38">
      <c r="B14" s="219">
        <v>180</v>
      </c>
      <c r="C14" s="219">
        <v>710</v>
      </c>
      <c r="D14" s="219">
        <v>165</v>
      </c>
      <c r="E14" s="219">
        <v>348</v>
      </c>
      <c r="F14" s="219">
        <v>2</v>
      </c>
      <c r="G14" s="219">
        <v>0</v>
      </c>
      <c r="H14" s="219">
        <v>1</v>
      </c>
      <c r="I14" s="219">
        <v>2</v>
      </c>
      <c r="J14" s="219">
        <v>0</v>
      </c>
      <c r="K14" s="219">
        <v>1</v>
      </c>
      <c r="L14" s="219">
        <v>519</v>
      </c>
      <c r="M14" s="219">
        <v>0</v>
      </c>
      <c r="N14" s="219">
        <v>5</v>
      </c>
      <c r="O14" s="219">
        <f t="shared" si="0"/>
        <v>524</v>
      </c>
      <c r="P14" s="219">
        <f t="shared" si="1"/>
        <v>73.8028169014084</v>
      </c>
      <c r="Q14" s="219">
        <f t="shared" si="2"/>
        <v>66.412213740458</v>
      </c>
      <c r="R14" s="219">
        <f t="shared" si="3"/>
        <v>31.4885496183206</v>
      </c>
      <c r="S14" s="219">
        <f t="shared" si="4"/>
        <v>0.381679389312977</v>
      </c>
      <c r="T14" s="219">
        <f t="shared" si="5"/>
        <v>0</v>
      </c>
      <c r="U14" s="219">
        <f t="shared" si="6"/>
        <v>0.763358778625954</v>
      </c>
      <c r="V14" s="219">
        <f t="shared" si="7"/>
        <v>0.954198473282443</v>
      </c>
      <c r="W14" s="219">
        <f t="shared" si="8"/>
        <v>34.9236641221374</v>
      </c>
      <c r="X14" s="219">
        <f t="shared" si="9"/>
        <v>33.7786259541985</v>
      </c>
      <c r="Y14" s="219" t="str">
        <f t="shared" si="10"/>
        <v>MEDIUM</v>
      </c>
      <c r="Z14" s="341" t="str">
        <f t="shared" si="11"/>
        <v>STRONG</v>
      </c>
      <c r="AA14" s="289" t="str">
        <f t="shared" si="12"/>
        <v>BJP</v>
      </c>
      <c r="AB14">
        <v>707</v>
      </c>
      <c r="AD14">
        <v>328</v>
      </c>
      <c r="AF14">
        <v>378</v>
      </c>
      <c r="AH14">
        <v>623</v>
      </c>
      <c r="AJ14">
        <v>13</v>
      </c>
      <c r="AL14">
        <v>71</v>
      </c>
    </row>
    <row r="15" spans="2:27">
      <c r="B15" s="334"/>
      <c r="C15" s="219">
        <f t="shared" ref="C15:O15" si="36">SUM(C7:C14)</f>
        <v>7452</v>
      </c>
      <c r="D15" s="219">
        <f t="shared" si="36"/>
        <v>1959</v>
      </c>
      <c r="E15" s="219">
        <f t="shared" si="36"/>
        <v>3289</v>
      </c>
      <c r="F15" s="219">
        <f t="shared" si="36"/>
        <v>13</v>
      </c>
      <c r="G15" s="219">
        <f t="shared" si="36"/>
        <v>20</v>
      </c>
      <c r="H15" s="219">
        <f t="shared" si="36"/>
        <v>3</v>
      </c>
      <c r="I15" s="219">
        <f t="shared" si="36"/>
        <v>6</v>
      </c>
      <c r="J15" s="219">
        <f t="shared" si="36"/>
        <v>2</v>
      </c>
      <c r="K15" s="219">
        <f t="shared" si="36"/>
        <v>4</v>
      </c>
      <c r="L15" s="219">
        <f t="shared" si="36"/>
        <v>5296</v>
      </c>
      <c r="M15" s="219">
        <f t="shared" si="36"/>
        <v>0</v>
      </c>
      <c r="N15" s="219">
        <f t="shared" si="36"/>
        <v>47</v>
      </c>
      <c r="O15" s="219">
        <f t="shared" si="36"/>
        <v>5343</v>
      </c>
      <c r="P15" s="219">
        <f t="shared" ref="P15:X15" si="37">AVERAGE(P7:P14)</f>
        <v>71.5246197483588</v>
      </c>
      <c r="Q15" s="219">
        <f t="shared" si="37"/>
        <v>61.7066911428644</v>
      </c>
      <c r="R15" s="219">
        <f t="shared" si="37"/>
        <v>36.5148116518492</v>
      </c>
      <c r="S15" s="219">
        <f t="shared" si="37"/>
        <v>0.255039872753355</v>
      </c>
      <c r="T15" s="219">
        <f t="shared" si="37"/>
        <v>0.358709751906815</v>
      </c>
      <c r="U15" s="219">
        <f t="shared" si="37"/>
        <v>0.305119431318599</v>
      </c>
      <c r="V15" s="219">
        <f t="shared" si="37"/>
        <v>0.859628149307653</v>
      </c>
      <c r="W15" s="219">
        <f t="shared" si="37"/>
        <v>25.1918794910151</v>
      </c>
      <c r="X15" s="219">
        <f t="shared" si="37"/>
        <v>24.2730104350364</v>
      </c>
      <c r="Y15" s="219" t="str">
        <f t="shared" si="10"/>
        <v>MEDIUM</v>
      </c>
      <c r="Z15" s="341" t="str">
        <f t="shared" si="11"/>
        <v>STRONG</v>
      </c>
      <c r="AA15" s="289" t="str">
        <f t="shared" si="12"/>
        <v>BJP</v>
      </c>
    </row>
    <row r="18" spans="12:29">
      <c r="L18" s="225" t="s">
        <v>205</v>
      </c>
      <c r="M18" s="237"/>
      <c r="N18" s="237"/>
      <c r="O18" s="238"/>
      <c r="Q18" s="225" t="s">
        <v>97</v>
      </c>
      <c r="R18" s="237"/>
      <c r="S18" s="237"/>
      <c r="T18" s="238"/>
      <c r="V18" s="265" t="s">
        <v>98</v>
      </c>
      <c r="W18" s="265"/>
      <c r="X18" s="265"/>
      <c r="Y18" s="265"/>
      <c r="Z18" s="265"/>
      <c r="AA18" s="265"/>
      <c r="AB18" s="265"/>
      <c r="AC18" s="265"/>
    </row>
    <row r="19" spans="12:29">
      <c r="L19" s="226"/>
      <c r="M19" s="239"/>
      <c r="N19" s="239"/>
      <c r="O19" s="240"/>
      <c r="Q19" s="241"/>
      <c r="R19" s="242"/>
      <c r="S19" s="242"/>
      <c r="T19" s="243"/>
      <c r="V19" s="265"/>
      <c r="W19" s="265"/>
      <c r="X19" s="265"/>
      <c r="Y19" s="265"/>
      <c r="Z19" s="265"/>
      <c r="AA19" s="265"/>
      <c r="AB19" s="265"/>
      <c r="AC19" s="265"/>
    </row>
    <row r="20" spans="12:29">
      <c r="L20" s="227" t="s">
        <v>99</v>
      </c>
      <c r="M20" s="244"/>
      <c r="N20" s="245"/>
      <c r="O20" s="245">
        <f>COUNTIF(AA7:AA14,"BJP")</f>
        <v>6</v>
      </c>
      <c r="Q20" s="246" t="s">
        <v>100</v>
      </c>
      <c r="R20" s="247"/>
      <c r="S20" s="247"/>
      <c r="T20" s="248">
        <f>COUNTIF(Y7:Y14,"NARROW")</f>
        <v>0</v>
      </c>
      <c r="V20" s="265" t="s">
        <v>101</v>
      </c>
      <c r="W20" s="265"/>
      <c r="X20" s="265"/>
      <c r="Y20" s="265">
        <f>'KANKANADY-18'!E8</f>
        <v>48.9882869358538</v>
      </c>
      <c r="Z20" s="265" t="s">
        <v>102</v>
      </c>
      <c r="AA20" s="265"/>
      <c r="AB20" s="265"/>
      <c r="AC20" s="265">
        <f>Q15</f>
        <v>61.7066911428644</v>
      </c>
    </row>
    <row r="21" spans="12:29">
      <c r="L21" s="227"/>
      <c r="M21" s="244"/>
      <c r="N21" s="245"/>
      <c r="O21" s="245"/>
      <c r="Q21" s="249"/>
      <c r="R21" s="250"/>
      <c r="S21" s="250"/>
      <c r="T21" s="251"/>
      <c r="V21" s="265"/>
      <c r="W21" s="265"/>
      <c r="X21" s="265"/>
      <c r="Y21" s="265"/>
      <c r="Z21" s="265"/>
      <c r="AA21" s="265"/>
      <c r="AB21" s="265"/>
      <c r="AC21" s="265"/>
    </row>
    <row r="22" spans="12:29">
      <c r="L22" s="227"/>
      <c r="M22" s="244"/>
      <c r="N22" s="245"/>
      <c r="O22" s="245"/>
      <c r="Q22" s="252" t="s">
        <v>103</v>
      </c>
      <c r="R22" s="253"/>
      <c r="S22" s="253"/>
      <c r="T22" s="248">
        <f>COUNTIF(Y7:Y14,"MEDIUM")</f>
        <v>3</v>
      </c>
      <c r="V22" s="265" t="s">
        <v>104</v>
      </c>
      <c r="W22" s="265"/>
      <c r="X22" s="265"/>
      <c r="Y22" s="265">
        <f>'KANKANADY-18'!G8</f>
        <v>46.1469943650776</v>
      </c>
      <c r="Z22" s="265" t="s">
        <v>105</v>
      </c>
      <c r="AA22" s="265"/>
      <c r="AB22" s="265"/>
      <c r="AC22" s="265">
        <f>R15</f>
        <v>36.5148116518492</v>
      </c>
    </row>
    <row r="23" spans="12:29">
      <c r="L23" s="228" t="s">
        <v>106</v>
      </c>
      <c r="M23" s="254"/>
      <c r="N23" s="255"/>
      <c r="O23" s="255">
        <f>COUNTIF(AA7:AA14,"CONGRESS")</f>
        <v>2</v>
      </c>
      <c r="Q23" s="252"/>
      <c r="R23" s="253"/>
      <c r="S23" s="253"/>
      <c r="T23" s="251"/>
      <c r="V23" s="265"/>
      <c r="W23" s="265"/>
      <c r="X23" s="265"/>
      <c r="Y23" s="265"/>
      <c r="Z23" s="265"/>
      <c r="AA23" s="265"/>
      <c r="AB23" s="265"/>
      <c r="AC23" s="265"/>
    </row>
    <row r="24" spans="12:29">
      <c r="L24" s="229"/>
      <c r="M24" s="256"/>
      <c r="N24" s="257"/>
      <c r="O24" s="257"/>
      <c r="Q24" s="258" t="s">
        <v>107</v>
      </c>
      <c r="R24" s="259"/>
      <c r="S24" s="259"/>
      <c r="T24" s="248">
        <f>COUNTIF(Y7:Y14,"STRONG")</f>
        <v>3</v>
      </c>
      <c r="V24" s="265" t="s">
        <v>108</v>
      </c>
      <c r="W24" s="265"/>
      <c r="X24" s="265"/>
      <c r="Y24" s="265">
        <f>'KANKANADY-18'!C8</f>
        <v>3890</v>
      </c>
      <c r="Z24" s="265" t="s">
        <v>109</v>
      </c>
      <c r="AA24" s="265"/>
      <c r="AB24" s="265"/>
      <c r="AC24" s="265">
        <f>O15</f>
        <v>5343</v>
      </c>
    </row>
    <row r="25" spans="12:29">
      <c r="L25" s="230"/>
      <c r="M25" s="260"/>
      <c r="N25" s="261"/>
      <c r="O25" s="261"/>
      <c r="Q25" s="262"/>
      <c r="R25" s="263"/>
      <c r="S25" s="263"/>
      <c r="T25" s="251"/>
      <c r="V25" s="265"/>
      <c r="W25" s="265"/>
      <c r="X25" s="265"/>
      <c r="Y25" s="265"/>
      <c r="Z25" s="265"/>
      <c r="AA25" s="265"/>
      <c r="AB25" s="265"/>
      <c r="AC25" s="265"/>
    </row>
    <row r="26" spans="17:29">
      <c r="Q26" s="229" t="s">
        <v>110</v>
      </c>
      <c r="R26" s="256"/>
      <c r="S26" s="256"/>
      <c r="T26" s="248">
        <f>COUNTIF(Y7:Y14,"LOST")</f>
        <v>2</v>
      </c>
      <c r="V26" s="265" t="s">
        <v>111</v>
      </c>
      <c r="W26" s="265"/>
      <c r="X26" s="265"/>
      <c r="Y26" s="265">
        <f>Y20-Y22</f>
        <v>2.84129257077619</v>
      </c>
      <c r="Z26" s="265" t="s">
        <v>111</v>
      </c>
      <c r="AA26" s="265"/>
      <c r="AB26" s="265"/>
      <c r="AC26" s="265">
        <f>AC20-AC22</f>
        <v>25.1918794910151</v>
      </c>
    </row>
    <row r="27" spans="17:29">
      <c r="Q27" s="230"/>
      <c r="R27" s="260"/>
      <c r="S27" s="260"/>
      <c r="T27" s="251"/>
      <c r="V27" s="265"/>
      <c r="W27" s="265"/>
      <c r="X27" s="265"/>
      <c r="Y27" s="265"/>
      <c r="Z27" s="265"/>
      <c r="AA27" s="265"/>
      <c r="AB27" s="265"/>
      <c r="AC27" s="265"/>
    </row>
    <row r="28" spans="22:28">
      <c r="V28" s="265" t="s">
        <v>112</v>
      </c>
      <c r="W28" s="265"/>
      <c r="X28" s="265"/>
      <c r="Y28" s="265">
        <f>AC20-Y20</f>
        <v>12.7184042070106</v>
      </c>
      <c r="Z28" s="265"/>
      <c r="AA28" s="265"/>
      <c r="AB28" s="265"/>
    </row>
    <row r="29" spans="22:28">
      <c r="V29" s="265"/>
      <c r="W29" s="265"/>
      <c r="X29" s="265"/>
      <c r="Y29" s="265"/>
      <c r="Z29" s="265"/>
      <c r="AA29" s="265"/>
      <c r="AB29" s="265"/>
    </row>
    <row r="30" spans="22:28">
      <c r="V30" s="265" t="s">
        <v>113</v>
      </c>
      <c r="W30" s="265"/>
      <c r="X30" s="265"/>
      <c r="Y30" s="265">
        <f>AC22-Y22</f>
        <v>-9.63218271322837</v>
      </c>
      <c r="Z30" s="265"/>
      <c r="AA30" s="265"/>
      <c r="AB30" s="265"/>
    </row>
    <row r="31" spans="22:28">
      <c r="V31" s="265"/>
      <c r="W31" s="265"/>
      <c r="X31" s="265"/>
      <c r="Y31" s="265"/>
      <c r="Z31" s="265"/>
      <c r="AA31" s="265"/>
      <c r="AB31" s="265"/>
    </row>
    <row r="32" spans="22:28">
      <c r="V32" s="265" t="s">
        <v>114</v>
      </c>
      <c r="W32" s="265"/>
      <c r="X32" s="265"/>
      <c r="Y32" s="265" t="str">
        <f>IF(Y28&gt;Y30,"INCREASE","DECREASE")</f>
        <v>INCREASE</v>
      </c>
      <c r="Z32" s="265"/>
      <c r="AA32" s="265"/>
      <c r="AB32" s="265"/>
    </row>
    <row r="33" spans="22:28">
      <c r="V33" s="265"/>
      <c r="W33" s="265"/>
      <c r="X33" s="265"/>
      <c r="Y33" s="265"/>
      <c r="Z33" s="265"/>
      <c r="AA33" s="265"/>
      <c r="AB33" s="265"/>
    </row>
    <row r="34" spans="22:29">
      <c r="V34" s="265">
        <v>0</v>
      </c>
      <c r="W34" s="265"/>
      <c r="X34" s="265"/>
      <c r="Y34" s="265"/>
      <c r="Z34" s="265"/>
      <c r="AA34" s="265"/>
      <c r="AB34" s="265"/>
      <c r="AC34" s="265"/>
    </row>
    <row r="35" spans="22:29">
      <c r="V35" s="265"/>
      <c r="W35" s="265"/>
      <c r="X35" s="265"/>
      <c r="Y35" s="265"/>
      <c r="Z35" s="265"/>
      <c r="AA35" s="265"/>
      <c r="AB35" s="265"/>
      <c r="AC35" s="265"/>
    </row>
    <row r="36" spans="22:29">
      <c r="V36" s="265"/>
      <c r="W36" s="265"/>
      <c r="X36" s="265"/>
      <c r="Y36" s="265"/>
      <c r="Z36" s="265"/>
      <c r="AA36" s="265"/>
      <c r="AB36" s="265"/>
      <c r="AC36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O1:O6"/>
    <mergeCell ref="O20:O22"/>
    <mergeCell ref="O23:O25"/>
    <mergeCell ref="P1:P6"/>
    <mergeCell ref="Q1:Q6"/>
    <mergeCell ref="R1:R6"/>
    <mergeCell ref="S1:S6"/>
    <mergeCell ref="T1:T6"/>
    <mergeCell ref="T20:T21"/>
    <mergeCell ref="T22:T23"/>
    <mergeCell ref="T24:T25"/>
    <mergeCell ref="T26:T27"/>
    <mergeCell ref="U1:U6"/>
    <mergeCell ref="V1:V6"/>
    <mergeCell ref="W1:W6"/>
    <mergeCell ref="X1:X6"/>
    <mergeCell ref="Y1:Y6"/>
    <mergeCell ref="Y20:Y21"/>
    <mergeCell ref="Y22:Y23"/>
    <mergeCell ref="Y24:Y25"/>
    <mergeCell ref="Y26:Y27"/>
    <mergeCell ref="Z1:Z6"/>
    <mergeCell ref="AA1:AA6"/>
    <mergeCell ref="AB1:AB6"/>
    <mergeCell ref="AC1:AC6"/>
    <mergeCell ref="AC20:AC21"/>
    <mergeCell ref="AC22:AC23"/>
    <mergeCell ref="AC24:AC25"/>
    <mergeCell ref="AC26:AC27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Q26:S27"/>
    <mergeCell ref="Z26:AB27"/>
    <mergeCell ref="L18:O19"/>
    <mergeCell ref="Q18:T19"/>
    <mergeCell ref="L20:N22"/>
    <mergeCell ref="Q20:S21"/>
    <mergeCell ref="Z20:AB21"/>
    <mergeCell ref="Q22:S23"/>
    <mergeCell ref="Z22:AB23"/>
    <mergeCell ref="L23:N25"/>
    <mergeCell ref="Q24:S25"/>
    <mergeCell ref="Z24:AB25"/>
    <mergeCell ref="D1:K2"/>
    <mergeCell ref="V18:AC19"/>
    <mergeCell ref="V20:X21"/>
    <mergeCell ref="V22:X23"/>
    <mergeCell ref="V24:X25"/>
    <mergeCell ref="V26:X27"/>
    <mergeCell ref="V28:X29"/>
    <mergeCell ref="Y28:AB29"/>
    <mergeCell ref="V34:AC36"/>
    <mergeCell ref="V30:X31"/>
    <mergeCell ref="Y30:AB31"/>
    <mergeCell ref="V32:X33"/>
    <mergeCell ref="Y32:Z33"/>
    <mergeCell ref="AA32:AB33"/>
  </mergeCells>
  <conditionalFormatting sqref="AR7:AR13">
    <cfRule type="containsText" dxfId="6" priority="1" operator="between" text="FEMALE DOM">
      <formula>NOT(ISERROR(SEARCH("FEMALE DOM",AR7)))</formula>
    </cfRule>
  </conditionalFormatting>
  <conditionalFormatting sqref="AZ7:AZ13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3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workbookViewId="0">
      <selection activeCell="A1" sqref="A1:AJ1"/>
    </sheetView>
  </sheetViews>
  <sheetFormatPr defaultColWidth="9" defaultRowHeight="14.5" outlineLevelRow="7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157</v>
      </c>
      <c r="B2" s="185" t="s">
        <v>301</v>
      </c>
      <c r="C2" s="184">
        <v>425</v>
      </c>
      <c r="D2" s="184">
        <v>128</v>
      </c>
      <c r="E2" s="184">
        <f t="shared" ref="E2:E7" si="0">(D2/C2)*100</f>
        <v>30.1176470588235</v>
      </c>
      <c r="F2" s="184">
        <v>289</v>
      </c>
      <c r="G2" s="184">
        <f t="shared" ref="G2:G7" si="1">(F2/C2)*100</f>
        <v>68</v>
      </c>
      <c r="H2" s="184">
        <v>2</v>
      </c>
      <c r="I2" s="184">
        <f t="shared" ref="I2:I7" si="2">(H2/C2)*100</f>
        <v>0.470588235294118</v>
      </c>
      <c r="J2" s="184">
        <v>2</v>
      </c>
      <c r="K2" s="184">
        <f t="shared" ref="K2:K7" si="3">(J2/C2)*100</f>
        <v>0.470588235294118</v>
      </c>
      <c r="L2" s="189">
        <v>318</v>
      </c>
      <c r="M2" s="189">
        <v>377</v>
      </c>
      <c r="N2" s="189">
        <f t="shared" ref="N2:N7" si="4">L2+M2</f>
        <v>695</v>
      </c>
      <c r="O2" s="184">
        <v>425</v>
      </c>
      <c r="P2" s="190">
        <f t="shared" ref="P2:P7" si="5">O2/N2*100</f>
        <v>61.1510791366906</v>
      </c>
      <c r="Q2" s="184">
        <v>784</v>
      </c>
      <c r="R2" s="184">
        <f t="shared" ref="R2:R7" si="6">(Q2/N2)*100</f>
        <v>112.805755395683</v>
      </c>
      <c r="S2" s="184">
        <f t="shared" ref="S2:S7" si="7">Q2-U2</f>
        <v>484</v>
      </c>
      <c r="T2" s="184">
        <f t="shared" ref="T2:T7" si="8">(S2/Q2)*100</f>
        <v>61.734693877551</v>
      </c>
      <c r="U2" s="184">
        <v>300</v>
      </c>
      <c r="V2" s="191">
        <f t="shared" ref="V2:V7" si="9">IFERROR(U2/Q2*100,0)</f>
        <v>38.265306122449</v>
      </c>
      <c r="W2" s="184">
        <v>223</v>
      </c>
      <c r="X2" s="184">
        <f t="shared" ref="X2:X7" si="10">100-R2</f>
        <v>-12.8057553956834</v>
      </c>
      <c r="Y2" s="196">
        <f t="shared" ref="Y2:Y7" si="11">W2-AA2</f>
        <v>118</v>
      </c>
      <c r="Z2" s="193">
        <f t="shared" ref="Z2:Z7" si="12">(Y2/W2)*100</f>
        <v>52.914798206278</v>
      </c>
      <c r="AA2" s="193">
        <v>105</v>
      </c>
      <c r="AB2" s="194">
        <f t="shared" ref="AB2:AB7" si="13">IFERROR(AA2/W2*100,0)</f>
        <v>47.085201793722</v>
      </c>
      <c r="AC2" s="193">
        <f t="shared" ref="AC2:AC7" si="14">U2+AA2</f>
        <v>405</v>
      </c>
      <c r="AD2" s="193" t="str">
        <f t="shared" ref="AD2:AD7" si="15">IF(P2&gt;80,"EXCELLENT",IF(P2&gt;70,"STRONG",IF(P2&gt;60,"AVG",IF(P2&gt;50,"WEAK",IF(P2&lt;50,"VLOW")))))</f>
        <v>AVG</v>
      </c>
      <c r="AE2" s="195" t="str">
        <f t="shared" ref="AE2:AE7" si="16">IF(R2&gt;80,"EXCELLENT",IF(R2&gt;70,"STRONG",IF(R2&gt;60,"AVG",IF(R2&gt;50,"WEAK",IF(R2&lt;50,"VLOW")))))</f>
        <v>EXCELLENT</v>
      </c>
      <c r="AF2" s="193" t="str">
        <f t="shared" ref="AF2:AF7" si="17">IF(X2&gt;80,"EXCELLENT",IF(X2&gt;70,"STRONG",IF(X2&gt;60,"AVG",IF(X2&gt;50,"WEAK",IF(X2&lt;50,"VLOW")))))</f>
        <v>VLOW</v>
      </c>
      <c r="AG2" s="193" t="str">
        <f t="shared" ref="AG2:AG7" si="18">IF(M2&gt;L2,"FEMALE DOM","MEN")</f>
        <v>FEMALE DOM</v>
      </c>
      <c r="AH2" s="193" t="str">
        <f t="shared" ref="AH2:AH7" si="19">IF(T2&gt;Z2,"H","O")</f>
        <v>H</v>
      </c>
      <c r="AI2" s="197">
        <f>G2-E2</f>
        <v>37.8823529411765</v>
      </c>
      <c r="AJ2" s="198" t="str">
        <f t="shared" ref="AJ2:AJ7" si="20">IF(E2&gt;G2,"BJP GAIN","CONGRESSGAIN")</f>
        <v>CONGRESSGAIN</v>
      </c>
    </row>
    <row r="3" spans="1:36">
      <c r="A3" s="184">
        <v>160</v>
      </c>
      <c r="B3" s="185" t="s">
        <v>302</v>
      </c>
      <c r="C3" s="184">
        <v>974</v>
      </c>
      <c r="D3" s="184">
        <v>565</v>
      </c>
      <c r="E3" s="184">
        <f t="shared" si="0"/>
        <v>58.0082135523614</v>
      </c>
      <c r="F3" s="184">
        <v>387</v>
      </c>
      <c r="G3" s="184">
        <f t="shared" si="1"/>
        <v>39.7330595482546</v>
      </c>
      <c r="H3" s="184">
        <v>9</v>
      </c>
      <c r="I3" s="184">
        <f t="shared" si="2"/>
        <v>0.924024640657084</v>
      </c>
      <c r="J3" s="184">
        <v>7</v>
      </c>
      <c r="K3" s="184">
        <f t="shared" si="3"/>
        <v>0.718685831622177</v>
      </c>
      <c r="L3" s="189">
        <v>651</v>
      </c>
      <c r="M3" s="189">
        <v>703</v>
      </c>
      <c r="N3" s="189">
        <f t="shared" si="4"/>
        <v>1354</v>
      </c>
      <c r="O3" s="184">
        <v>974</v>
      </c>
      <c r="P3" s="190">
        <f t="shared" si="5"/>
        <v>71.9350073855244</v>
      </c>
      <c r="Q3" s="184"/>
      <c r="R3" s="184">
        <f t="shared" si="6"/>
        <v>0</v>
      </c>
      <c r="S3" s="192">
        <f t="shared" si="7"/>
        <v>0</v>
      </c>
      <c r="T3" s="184" t="e">
        <f t="shared" si="8"/>
        <v>#DIV/0!</v>
      </c>
      <c r="U3" s="184"/>
      <c r="V3" s="191">
        <f t="shared" si="9"/>
        <v>0</v>
      </c>
      <c r="W3" s="184"/>
      <c r="X3" s="184">
        <f t="shared" si="10"/>
        <v>100</v>
      </c>
      <c r="Y3" s="196">
        <f t="shared" si="11"/>
        <v>0</v>
      </c>
      <c r="Z3" s="193" t="e">
        <f t="shared" si="12"/>
        <v>#DIV/0!</v>
      </c>
      <c r="AA3" s="193"/>
      <c r="AB3" s="194">
        <f t="shared" si="13"/>
        <v>0</v>
      </c>
      <c r="AC3" s="193">
        <f t="shared" si="14"/>
        <v>0</v>
      </c>
      <c r="AD3" s="193" t="str">
        <f t="shared" si="15"/>
        <v>STRONG</v>
      </c>
      <c r="AE3" s="195" t="str">
        <f t="shared" si="16"/>
        <v>VLOW</v>
      </c>
      <c r="AF3" s="193" t="str">
        <f t="shared" si="17"/>
        <v>EXCELLENT</v>
      </c>
      <c r="AG3" s="193" t="str">
        <f t="shared" si="18"/>
        <v>FEMALE DOM</v>
      </c>
      <c r="AH3" s="193" t="e">
        <f t="shared" si="19"/>
        <v>#DIV/0!</v>
      </c>
      <c r="AI3" s="197">
        <f>E3-G3</f>
        <v>18.2751540041068</v>
      </c>
      <c r="AJ3" s="199" t="str">
        <f t="shared" si="20"/>
        <v>BJP GAIN</v>
      </c>
    </row>
    <row r="4" spans="1:36">
      <c r="A4" s="184">
        <v>161</v>
      </c>
      <c r="B4" s="185" t="s">
        <v>303</v>
      </c>
      <c r="C4" s="184">
        <v>544</v>
      </c>
      <c r="D4" s="184">
        <v>199</v>
      </c>
      <c r="E4" s="184">
        <f t="shared" si="0"/>
        <v>36.5808823529412</v>
      </c>
      <c r="F4" s="184">
        <v>334</v>
      </c>
      <c r="G4" s="184">
        <f t="shared" si="1"/>
        <v>61.3970588235294</v>
      </c>
      <c r="H4" s="184">
        <v>0</v>
      </c>
      <c r="I4" s="184">
        <f t="shared" si="2"/>
        <v>0</v>
      </c>
      <c r="J4" s="184">
        <v>7</v>
      </c>
      <c r="K4" s="184">
        <f t="shared" si="3"/>
        <v>1.28676470588235</v>
      </c>
      <c r="L4" s="189">
        <v>402</v>
      </c>
      <c r="M4" s="189">
        <v>410</v>
      </c>
      <c r="N4" s="189">
        <f t="shared" si="4"/>
        <v>812</v>
      </c>
      <c r="O4" s="184">
        <v>544</v>
      </c>
      <c r="P4" s="190">
        <f t="shared" si="5"/>
        <v>66.9950738916256</v>
      </c>
      <c r="Q4" s="184">
        <v>369</v>
      </c>
      <c r="R4" s="184">
        <f t="shared" si="6"/>
        <v>45.4433497536946</v>
      </c>
      <c r="S4" s="184">
        <f t="shared" si="7"/>
        <v>125</v>
      </c>
      <c r="T4" s="184">
        <f t="shared" si="8"/>
        <v>33.8753387533875</v>
      </c>
      <c r="U4" s="184">
        <v>244</v>
      </c>
      <c r="V4" s="191">
        <f t="shared" si="9"/>
        <v>66.1246612466125</v>
      </c>
      <c r="W4" s="184">
        <v>443</v>
      </c>
      <c r="X4" s="184">
        <f t="shared" si="10"/>
        <v>54.5566502463054</v>
      </c>
      <c r="Y4" s="184">
        <f t="shared" si="11"/>
        <v>148</v>
      </c>
      <c r="Z4" s="193">
        <f t="shared" si="12"/>
        <v>33.4085778781038</v>
      </c>
      <c r="AA4" s="193">
        <v>295</v>
      </c>
      <c r="AB4" s="194">
        <f t="shared" si="13"/>
        <v>66.5914221218962</v>
      </c>
      <c r="AC4" s="193">
        <f t="shared" si="14"/>
        <v>539</v>
      </c>
      <c r="AD4" s="193" t="str">
        <f t="shared" si="15"/>
        <v>AVG</v>
      </c>
      <c r="AE4" s="195" t="str">
        <f t="shared" si="16"/>
        <v>VLOW</v>
      </c>
      <c r="AF4" s="193" t="str">
        <f t="shared" si="17"/>
        <v>WEAK</v>
      </c>
      <c r="AG4" s="193" t="str">
        <f t="shared" si="18"/>
        <v>FEMALE DOM</v>
      </c>
      <c r="AH4" s="193" t="str">
        <f t="shared" si="19"/>
        <v>H</v>
      </c>
      <c r="AI4" s="197">
        <f>G4-E4</f>
        <v>24.8161764705882</v>
      </c>
      <c r="AJ4" s="198" t="str">
        <f t="shared" si="20"/>
        <v>CONGRESSGAIN</v>
      </c>
    </row>
    <row r="5" spans="1:36">
      <c r="A5" s="325">
        <v>167</v>
      </c>
      <c r="B5" s="326" t="s">
        <v>162</v>
      </c>
      <c r="C5" s="325">
        <v>669</v>
      </c>
      <c r="D5" s="325">
        <v>477</v>
      </c>
      <c r="E5" s="325">
        <f t="shared" si="0"/>
        <v>71.3004484304933</v>
      </c>
      <c r="F5" s="325">
        <v>172</v>
      </c>
      <c r="G5" s="325">
        <f t="shared" si="1"/>
        <v>25.7100149476831</v>
      </c>
      <c r="H5" s="325">
        <v>0</v>
      </c>
      <c r="I5" s="325">
        <f t="shared" si="2"/>
        <v>0</v>
      </c>
      <c r="J5" s="325">
        <v>6</v>
      </c>
      <c r="K5" s="325">
        <f t="shared" si="3"/>
        <v>0.896860986547085</v>
      </c>
      <c r="L5" s="327">
        <v>453</v>
      </c>
      <c r="M5" s="327">
        <v>483</v>
      </c>
      <c r="N5" s="327">
        <f t="shared" si="4"/>
        <v>936</v>
      </c>
      <c r="O5" s="325">
        <v>669</v>
      </c>
      <c r="P5" s="328">
        <f t="shared" si="5"/>
        <v>71.474358974359</v>
      </c>
      <c r="Q5" s="325">
        <v>786</v>
      </c>
      <c r="R5" s="325">
        <f t="shared" si="6"/>
        <v>83.974358974359</v>
      </c>
      <c r="S5" s="325">
        <f t="shared" si="7"/>
        <v>245</v>
      </c>
      <c r="T5" s="325">
        <f t="shared" si="8"/>
        <v>31.1704834605598</v>
      </c>
      <c r="U5" s="325">
        <v>541</v>
      </c>
      <c r="V5" s="194">
        <f t="shared" si="9"/>
        <v>68.8295165394402</v>
      </c>
      <c r="W5" s="325">
        <v>150</v>
      </c>
      <c r="X5" s="325">
        <f t="shared" si="10"/>
        <v>16.025641025641</v>
      </c>
      <c r="Y5" s="325">
        <f t="shared" si="11"/>
        <v>59</v>
      </c>
      <c r="Z5" s="325">
        <f t="shared" si="12"/>
        <v>39.3333333333333</v>
      </c>
      <c r="AA5" s="325">
        <v>91</v>
      </c>
      <c r="AB5" s="194">
        <f t="shared" si="13"/>
        <v>60.6666666666667</v>
      </c>
      <c r="AC5" s="325">
        <f t="shared" si="14"/>
        <v>632</v>
      </c>
      <c r="AD5" s="325" t="str">
        <f t="shared" si="15"/>
        <v>STRONG</v>
      </c>
      <c r="AE5" s="325" t="str">
        <f t="shared" si="16"/>
        <v>EXCELLENT</v>
      </c>
      <c r="AF5" s="325" t="str">
        <f t="shared" si="17"/>
        <v>VLOW</v>
      </c>
      <c r="AG5" s="325" t="str">
        <f t="shared" si="18"/>
        <v>FEMALE DOM</v>
      </c>
      <c r="AH5" s="325" t="str">
        <f t="shared" si="19"/>
        <v>O</v>
      </c>
      <c r="AI5" s="325">
        <f t="shared" ref="AI5" si="21">E5-G5</f>
        <v>45.5904334828102</v>
      </c>
      <c r="AJ5" s="325" t="str">
        <f t="shared" si="20"/>
        <v>BJP GAIN</v>
      </c>
    </row>
    <row r="6" spans="1:36">
      <c r="A6" s="184">
        <v>163</v>
      </c>
      <c r="B6" s="185" t="s">
        <v>304</v>
      </c>
      <c r="C6" s="184">
        <v>754</v>
      </c>
      <c r="D6" s="184">
        <v>275</v>
      </c>
      <c r="E6" s="184">
        <f t="shared" si="0"/>
        <v>36.4721485411141</v>
      </c>
      <c r="F6" s="184">
        <v>397</v>
      </c>
      <c r="G6" s="184">
        <f t="shared" si="1"/>
        <v>52.6525198938992</v>
      </c>
      <c r="H6" s="184">
        <v>2</v>
      </c>
      <c r="I6" s="184">
        <f t="shared" si="2"/>
        <v>0.26525198938992</v>
      </c>
      <c r="J6" s="184">
        <v>70</v>
      </c>
      <c r="K6" s="184">
        <f t="shared" si="3"/>
        <v>9.28381962864722</v>
      </c>
      <c r="L6" s="189">
        <v>493</v>
      </c>
      <c r="M6" s="189">
        <v>505</v>
      </c>
      <c r="N6" s="189">
        <f t="shared" si="4"/>
        <v>998</v>
      </c>
      <c r="O6" s="184">
        <v>754</v>
      </c>
      <c r="P6" s="190">
        <f t="shared" si="5"/>
        <v>75.5511022044088</v>
      </c>
      <c r="Q6" s="184">
        <v>607</v>
      </c>
      <c r="R6" s="184">
        <f t="shared" si="6"/>
        <v>60.8216432865731</v>
      </c>
      <c r="S6" s="184">
        <f t="shared" si="7"/>
        <v>187</v>
      </c>
      <c r="T6" s="184">
        <f t="shared" si="8"/>
        <v>30.8072487644152</v>
      </c>
      <c r="U6" s="184">
        <v>420</v>
      </c>
      <c r="V6" s="191">
        <f t="shared" si="9"/>
        <v>69.1927512355849</v>
      </c>
      <c r="W6" s="184">
        <v>391</v>
      </c>
      <c r="X6" s="184">
        <f t="shared" si="10"/>
        <v>39.1783567134269</v>
      </c>
      <c r="Y6" s="196">
        <f t="shared" si="11"/>
        <v>63</v>
      </c>
      <c r="Z6" s="193">
        <f t="shared" si="12"/>
        <v>16.1125319693095</v>
      </c>
      <c r="AA6" s="193">
        <v>328</v>
      </c>
      <c r="AB6" s="194">
        <f t="shared" si="13"/>
        <v>83.8874680306905</v>
      </c>
      <c r="AC6" s="193">
        <f t="shared" si="14"/>
        <v>748</v>
      </c>
      <c r="AD6" s="193" t="str">
        <f t="shared" si="15"/>
        <v>STRONG</v>
      </c>
      <c r="AE6" s="195" t="str">
        <f t="shared" si="16"/>
        <v>AVG</v>
      </c>
      <c r="AF6" s="193" t="str">
        <f t="shared" si="17"/>
        <v>VLOW</v>
      </c>
      <c r="AG6" s="193" t="str">
        <f t="shared" si="18"/>
        <v>FEMALE DOM</v>
      </c>
      <c r="AH6" s="193" t="str">
        <f t="shared" si="19"/>
        <v>H</v>
      </c>
      <c r="AI6" s="197">
        <f>G6-E6</f>
        <v>16.1803713527852</v>
      </c>
      <c r="AJ6" s="198" t="str">
        <f t="shared" si="20"/>
        <v>CONGRESSGAIN</v>
      </c>
    </row>
    <row r="7" spans="1:36">
      <c r="A7" s="184">
        <v>164</v>
      </c>
      <c r="B7" s="185" t="s">
        <v>305</v>
      </c>
      <c r="C7" s="184">
        <v>524</v>
      </c>
      <c r="D7" s="184">
        <v>322</v>
      </c>
      <c r="E7" s="184">
        <f t="shared" si="0"/>
        <v>61.4503816793893</v>
      </c>
      <c r="F7" s="184">
        <v>154</v>
      </c>
      <c r="G7" s="184">
        <f t="shared" si="1"/>
        <v>29.3893129770992</v>
      </c>
      <c r="H7" s="184">
        <v>4</v>
      </c>
      <c r="I7" s="184">
        <f t="shared" si="2"/>
        <v>0.763358778625954</v>
      </c>
      <c r="J7" s="184">
        <v>30</v>
      </c>
      <c r="K7" s="184">
        <f t="shared" si="3"/>
        <v>5.72519083969466</v>
      </c>
      <c r="L7" s="189">
        <v>327</v>
      </c>
      <c r="M7" s="189">
        <v>393</v>
      </c>
      <c r="N7" s="189">
        <f t="shared" si="4"/>
        <v>720</v>
      </c>
      <c r="O7" s="184">
        <v>524</v>
      </c>
      <c r="P7" s="190">
        <f t="shared" si="5"/>
        <v>72.7777777777778</v>
      </c>
      <c r="Q7" s="184">
        <v>523</v>
      </c>
      <c r="R7" s="184">
        <f t="shared" si="6"/>
        <v>72.6388888888889</v>
      </c>
      <c r="S7" s="192">
        <f t="shared" si="7"/>
        <v>120</v>
      </c>
      <c r="T7" s="184">
        <f t="shared" si="8"/>
        <v>22.9445506692161</v>
      </c>
      <c r="U7" s="184">
        <v>403</v>
      </c>
      <c r="V7" s="191">
        <f t="shared" si="9"/>
        <v>77.0554493307839</v>
      </c>
      <c r="W7" s="184">
        <f>23+76</f>
        <v>99</v>
      </c>
      <c r="X7" s="184">
        <f t="shared" si="10"/>
        <v>27.3611111111111</v>
      </c>
      <c r="Y7" s="184">
        <f t="shared" si="11"/>
        <v>54</v>
      </c>
      <c r="Z7" s="193">
        <f t="shared" si="12"/>
        <v>54.5454545454545</v>
      </c>
      <c r="AA7" s="193">
        <f>12+33</f>
        <v>45</v>
      </c>
      <c r="AB7" s="194">
        <f t="shared" si="13"/>
        <v>45.4545454545455</v>
      </c>
      <c r="AC7" s="193">
        <f t="shared" si="14"/>
        <v>448</v>
      </c>
      <c r="AD7" s="193" t="str">
        <f t="shared" si="15"/>
        <v>STRONG</v>
      </c>
      <c r="AE7" s="195" t="str">
        <f t="shared" si="16"/>
        <v>STRONG</v>
      </c>
      <c r="AF7" s="193" t="str">
        <f t="shared" si="17"/>
        <v>VLOW</v>
      </c>
      <c r="AG7" s="193" t="str">
        <f t="shared" si="18"/>
        <v>FEMALE DOM</v>
      </c>
      <c r="AH7" s="193" t="str">
        <f t="shared" si="19"/>
        <v>O</v>
      </c>
      <c r="AI7" s="197">
        <f t="shared" ref="AI7" si="22">E7-G7</f>
        <v>32.0610687022901</v>
      </c>
      <c r="AJ7" s="199" t="str">
        <f t="shared" si="20"/>
        <v>BJP GAIN</v>
      </c>
    </row>
    <row r="8" spans="3:11">
      <c r="C8">
        <f>SUM(C2:C7)</f>
        <v>3890</v>
      </c>
      <c r="D8">
        <f>SUM(D2:D7)</f>
        <v>1966</v>
      </c>
      <c r="E8" s="186">
        <f>AVERAGE(E2:E7)</f>
        <v>48.9882869358538</v>
      </c>
      <c r="F8">
        <f>SUM(F2:F7)</f>
        <v>1733</v>
      </c>
      <c r="G8" s="186">
        <f>AVERAGE(G2:G7)</f>
        <v>46.1469943650776</v>
      </c>
      <c r="H8">
        <f>SUM(H2:H7)</f>
        <v>17</v>
      </c>
      <c r="I8" s="186">
        <f>AVERAGE(I2:I7)</f>
        <v>0.403870607327846</v>
      </c>
      <c r="J8">
        <f>SUM(J2:J7)</f>
        <v>122</v>
      </c>
      <c r="K8" s="186">
        <f>AVERAGE(K2:K7)</f>
        <v>3.0636517046146</v>
      </c>
    </row>
  </sheetData>
  <conditionalFormatting sqref="AD2">
    <cfRule type="containsText" dxfId="8" priority="60" operator="between" text="AVG">
      <formula>NOT(ISERROR(SEARCH("AVG",AD2)))</formula>
    </cfRule>
    <cfRule type="cellIs" dxfId="9" priority="59" operator="equal">
      <formula>"STRONG"</formula>
    </cfRule>
    <cfRule type="containsText" dxfId="3" priority="58" operator="between" text="VSTRONG">
      <formula>NOT(ISERROR(SEARCH("VSTRONG",AD2)))</formula>
    </cfRule>
    <cfRule type="containsText" dxfId="10" priority="50" operator="between" text="AVG">
      <formula>NOT(ISERROR(SEARCH("AVG",AD2)))</formula>
    </cfRule>
  </conditionalFormatting>
  <conditionalFormatting sqref="AE2">
    <cfRule type="containsText" dxfId="3" priority="54" operator="between" text="STRONG">
      <formula>NOT(ISERROR(SEARCH("STRONG",AE2)))</formula>
    </cfRule>
    <cfRule type="containsText" dxfId="1" priority="52" operator="between" text="VSTRONG">
      <formula>NOT(ISERROR(SEARCH("VSTRONG",AE2)))</formula>
    </cfRule>
  </conditionalFormatting>
  <conditionalFormatting sqref="AE2:AF2">
    <cfRule type="containsText" dxfId="2" priority="53" operator="between" text="AVG">
      <formula>NOT(ISERROR(SEARCH("AVG",AE2)))</formula>
    </cfRule>
  </conditionalFormatting>
  <conditionalFormatting sqref="AF2">
    <cfRule type="cellIs" dxfId="11" priority="48" operator="equal">
      <formula>"VWEAK"</formula>
    </cfRule>
    <cfRule type="containsText" dxfId="0" priority="47" operator="between" text="VSTRONG">
      <formula>NOT(ISERROR(SEARCH("VSTRONG",AF2)))</formula>
    </cfRule>
  </conditionalFormatting>
  <conditionalFormatting sqref="AG2">
    <cfRule type="containsText" dxfId="12" priority="51" operator="between" text="FEMALE DOM">
      <formula>NOT(ISERROR(SEARCH("FEMALE DOM",AG2)))</formula>
    </cfRule>
    <cfRule type="containsText" dxfId="10" priority="46" operator="between" text="MEN">
      <formula>NOT(ISERROR(SEARCH("MEN",AG2)))</formula>
    </cfRule>
  </conditionalFormatting>
  <conditionalFormatting sqref="AH2">
    <cfRule type="containsText" dxfId="0" priority="57" operator="between" text="O">
      <formula>NOT(ISERROR(SEARCH("O",AH2)))</formula>
    </cfRule>
    <cfRule type="containsText" dxfId="3" priority="55" operator="between" text="H">
      <formula>NOT(ISERROR(SEARCH("H",AH2)))</formula>
    </cfRule>
    <cfRule type="containsText" dxfId="13" priority="56" operator="between" text="H">
      <formula>NOT(ISERROR(SEARCH("H",AH2)))</formula>
    </cfRule>
    <cfRule type="containsText" dxfId="1" priority="49" operator="between" text="H">
      <formula>NOT(ISERROR(SEARCH("H",AH2)))</formula>
    </cfRule>
  </conditionalFormatting>
  <conditionalFormatting sqref="AD5">
    <cfRule type="containsText" dxfId="8" priority="30" operator="between" text="AVG">
      <formula>NOT(ISERROR(SEARCH("AVG",AD5)))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NOT(ISERROR(SEARCH("VSTRONG",AD5)))</formula>
    </cfRule>
    <cfRule type="containsText" dxfId="10" priority="20" operator="between" text="AVG">
      <formula>NOT(ISERROR(SEARCH("AVG",AD5)))</formula>
    </cfRule>
  </conditionalFormatting>
  <conditionalFormatting sqref="AE5">
    <cfRule type="containsText" dxfId="3" priority="24" operator="between" text="STRONG">
      <formula>NOT(ISERROR(SEARCH("STRONG",AE5)))</formula>
    </cfRule>
    <cfRule type="containsText" dxfId="1" priority="22" operator="between" text="VSTRONG">
      <formula>NOT(ISERROR(SEARCH("VSTRONG",AE5)))</formula>
    </cfRule>
  </conditionalFormatting>
  <conditionalFormatting sqref="AE5:AF5">
    <cfRule type="containsText" dxfId="2" priority="23" operator="between" text="AVG">
      <formula>NOT(ISERROR(SEARCH("AVG",AE5)))</formula>
    </cfRule>
  </conditionalFormatting>
  <conditionalFormatting sqref="AF5">
    <cfRule type="cellIs" dxfId="11" priority="18" operator="equal">
      <formula>"VWEAK"</formula>
    </cfRule>
    <cfRule type="containsText" dxfId="0" priority="17" operator="between" text="VSTRONG">
      <formula>NOT(ISERROR(SEARCH("VSTRONG",AF5)))</formula>
    </cfRule>
  </conditionalFormatting>
  <conditionalFormatting sqref="AG5">
    <cfRule type="containsText" dxfId="12" priority="21" operator="between" text="FEMALE DOM">
      <formula>NOT(ISERROR(SEARCH("FEMALE DOM",AG5)))</formula>
    </cfRule>
    <cfRule type="containsText" dxfId="10" priority="16" operator="between" text="MEN">
      <formula>NOT(ISERROR(SEARCH("MEN",AG5)))</formula>
    </cfRule>
  </conditionalFormatting>
  <conditionalFormatting sqref="AH5">
    <cfRule type="containsText" dxfId="0" priority="27" operator="between" text="O">
      <formula>NOT(ISERROR(SEARCH("O",AH5)))</formula>
    </cfRule>
    <cfRule type="containsText" dxfId="3" priority="25" operator="between" text="H">
      <formula>NOT(ISERROR(SEARCH("H",AH5)))</formula>
    </cfRule>
    <cfRule type="containsText" dxfId="13" priority="26" operator="between" text="H">
      <formula>NOT(ISERROR(SEARCH("H",AH5)))</formula>
    </cfRule>
    <cfRule type="containsText" dxfId="1" priority="19" operator="between" text="H">
      <formula>NOT(ISERROR(SEARCH("H",AH5)))</formula>
    </cfRule>
  </conditionalFormatting>
  <conditionalFormatting sqref="AD3:AD4">
    <cfRule type="containsText" dxfId="8" priority="45" operator="between" text="AVG">
      <formula>NOT(ISERROR(SEARCH("AVG",AD3)))</formula>
    </cfRule>
    <cfRule type="cellIs" dxfId="9" priority="44" operator="equal">
      <formula>"STRONG"</formula>
    </cfRule>
    <cfRule type="containsText" dxfId="3" priority="43" operator="between" text="VSTRONG">
      <formula>NOT(ISERROR(SEARCH("VSTRONG",AD3)))</formula>
    </cfRule>
    <cfRule type="containsText" dxfId="10" priority="35" operator="between" text="AVG">
      <formula>NOT(ISERROR(SEARCH("AVG",AD3)))</formula>
    </cfRule>
  </conditionalFormatting>
  <conditionalFormatting sqref="AD6:AD7">
    <cfRule type="containsText" dxfId="8" priority="15" operator="between" text="AVG">
      <formula>NOT(ISERROR(SEARCH("AVG",AD6)))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NOT(ISERROR(SEARCH("VSTRONG",AD6)))</formula>
    </cfRule>
    <cfRule type="containsText" dxfId="10" priority="5" operator="between" text="AVG">
      <formula>NOT(ISERROR(SEARCH("AVG",AD6)))</formula>
    </cfRule>
  </conditionalFormatting>
  <conditionalFormatting sqref="AE3:AE4">
    <cfRule type="containsText" dxfId="3" priority="39" operator="between" text="STRONG">
      <formula>NOT(ISERROR(SEARCH("STRONG",AE3)))</formula>
    </cfRule>
    <cfRule type="containsText" dxfId="1" priority="37" operator="between" text="VSTRONG">
      <formula>NOT(ISERROR(SEARCH("VSTRONG",AE3)))</formula>
    </cfRule>
  </conditionalFormatting>
  <conditionalFormatting sqref="AE6:AE7">
    <cfRule type="containsText" dxfId="3" priority="9" operator="between" text="STRONG">
      <formula>NOT(ISERROR(SEARCH("STRONG",AE6)))</formula>
    </cfRule>
    <cfRule type="containsText" dxfId="1" priority="7" operator="between" text="VSTRONG">
      <formula>NOT(ISERROR(SEARCH("VSTRONG",AE6)))</formula>
    </cfRule>
  </conditionalFormatting>
  <conditionalFormatting sqref="AF3:AF4">
    <cfRule type="cellIs" dxfId="11" priority="33" operator="equal">
      <formula>"VWEAK"</formula>
    </cfRule>
    <cfRule type="containsText" dxfId="0" priority="32" operator="between" text="VSTRONG">
      <formula>NOT(ISERROR(SEARCH("VSTRONG",AF3)))</formula>
    </cfRule>
  </conditionalFormatting>
  <conditionalFormatting sqref="AF6:AF7">
    <cfRule type="cellIs" dxfId="11" priority="3" operator="equal">
      <formula>"VWEAK"</formula>
    </cfRule>
    <cfRule type="containsText" dxfId="0" priority="2" operator="between" text="VSTRONG">
      <formula>NOT(ISERROR(SEARCH("VSTRONG",AF6)))</formula>
    </cfRule>
  </conditionalFormatting>
  <conditionalFormatting sqref="AG3:AG4">
    <cfRule type="containsText" dxfId="12" priority="36" operator="between" text="FEMALE DOM">
      <formula>NOT(ISERROR(SEARCH("FEMALE DOM",AG3)))</formula>
    </cfRule>
    <cfRule type="containsText" dxfId="10" priority="31" operator="between" text="MEN">
      <formula>NOT(ISERROR(SEARCH("MEN",AG3)))</formula>
    </cfRule>
  </conditionalFormatting>
  <conditionalFormatting sqref="AG6:AG7">
    <cfRule type="containsText" dxfId="12" priority="6" operator="between" text="FEMALE DOM">
      <formula>NOT(ISERROR(SEARCH("FEMALE DOM",AG6)))</formula>
    </cfRule>
    <cfRule type="containsText" dxfId="10" priority="1" operator="between" text="MEN">
      <formula>NOT(ISERROR(SEARCH("MEN",AG6)))</formula>
    </cfRule>
  </conditionalFormatting>
  <conditionalFormatting sqref="AH3:AH4">
    <cfRule type="containsText" dxfId="0" priority="42" operator="between" text="O">
      <formula>NOT(ISERROR(SEARCH("O",AH3)))</formula>
    </cfRule>
    <cfRule type="containsText" dxfId="3" priority="40" operator="between" text="H">
      <formula>NOT(ISERROR(SEARCH("H",AH3)))</formula>
    </cfRule>
    <cfRule type="containsText" dxfId="13" priority="41" operator="between" text="H">
      <formula>NOT(ISERROR(SEARCH("H",AH3)))</formula>
    </cfRule>
    <cfRule type="containsText" dxfId="1" priority="34" operator="between" text="H">
      <formula>NOT(ISERROR(SEARCH("H",AH3)))</formula>
    </cfRule>
  </conditionalFormatting>
  <conditionalFormatting sqref="AH6:AH7">
    <cfRule type="containsText" dxfId="0" priority="12" operator="between" text="O">
      <formula>NOT(ISERROR(SEARCH("O",AH6)))</formula>
    </cfRule>
    <cfRule type="containsText" dxfId="3" priority="10" operator="between" text="H">
      <formula>NOT(ISERROR(SEARCH("H",AH6)))</formula>
    </cfRule>
    <cfRule type="containsText" dxfId="13" priority="11" operator="between" text="H">
      <formula>NOT(ISERROR(SEARCH("H",AH6)))</formula>
    </cfRule>
    <cfRule type="containsText" dxfId="1" priority="4" operator="between" text="H">
      <formula>NOT(ISERROR(SEARCH("H",AH6)))</formula>
    </cfRule>
  </conditionalFormatting>
  <conditionalFormatting sqref="AE3:AF4">
    <cfRule type="containsText" dxfId="2" priority="38" operator="between" text="AVG">
      <formula>NOT(ISERROR(SEARCH("AVG",AE3)))</formula>
    </cfRule>
  </conditionalFormatting>
  <conditionalFormatting sqref="AE6:AF7">
    <cfRule type="containsText" dxfId="2" priority="8" operator="between" text="AVG">
      <formula>NOT(ISERROR(SEARCH("AVG",AE6)))</formula>
    </cfRule>
  </conditionalFormatting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4"/>
  <sheetViews>
    <sheetView topLeftCell="V10" workbookViewId="0">
      <selection activeCell="AC24" sqref="AC24:AC25"/>
    </sheetView>
  </sheetViews>
  <sheetFormatPr defaultColWidth="9" defaultRowHeight="14.5"/>
  <sheetData>
    <row r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215" t="s">
        <v>52</v>
      </c>
      <c r="B7" s="337">
        <v>193</v>
      </c>
      <c r="C7" s="337">
        <v>866</v>
      </c>
      <c r="D7" s="337">
        <v>108</v>
      </c>
      <c r="E7" s="337">
        <v>477</v>
      </c>
      <c r="F7" s="337">
        <v>2</v>
      </c>
      <c r="G7" s="337">
        <v>0</v>
      </c>
      <c r="H7" s="337">
        <v>1</v>
      </c>
      <c r="I7" s="337">
        <v>1</v>
      </c>
      <c r="J7" s="337">
        <v>3</v>
      </c>
      <c r="K7" s="337">
        <v>3</v>
      </c>
      <c r="L7" s="337">
        <v>595</v>
      </c>
      <c r="M7" s="337">
        <v>0</v>
      </c>
      <c r="N7" s="337">
        <v>7</v>
      </c>
      <c r="O7" s="337">
        <f t="shared" ref="O7:O13" si="0">D7+E7+F7+G7+H7+I7+J7+K7+N7</f>
        <v>602</v>
      </c>
      <c r="P7" s="337">
        <f t="shared" ref="P7:P13" si="1">(O7/C7)*100</f>
        <v>69.5150115473441</v>
      </c>
      <c r="Q7" s="337">
        <f t="shared" ref="Q7:Q13" si="2">(E7/O7)*100</f>
        <v>79.2358803986711</v>
      </c>
      <c r="R7" s="337">
        <f t="shared" ref="R7:R13" si="3">(D7/O7)*100</f>
        <v>17.9401993355482</v>
      </c>
      <c r="S7" s="337">
        <f t="shared" ref="S7:S13" si="4">(F7/O7)*100</f>
        <v>0.332225913621262</v>
      </c>
      <c r="T7" s="337">
        <f t="shared" ref="T7:T13" si="5">(G7/O7)*100</f>
        <v>0</v>
      </c>
      <c r="U7" s="337">
        <f t="shared" ref="U7:U13" si="6">((H7+I7+J7+K7)/O7)*100</f>
        <v>1.32890365448505</v>
      </c>
      <c r="V7" s="337">
        <f t="shared" ref="V7:V13" si="7">(N7/O7)*100</f>
        <v>1.16279069767442</v>
      </c>
      <c r="W7" s="337">
        <f>Q7-R7</f>
        <v>61.2956810631229</v>
      </c>
      <c r="X7" s="337">
        <f>Q7-(R7+S7+T7+U7)</f>
        <v>59.6345514950166</v>
      </c>
      <c r="Y7" s="337" t="str">
        <f>IF(AND(W7&lt;0,W7&lt;=1),"LOST",IF(AND(W7&gt;1,W7&lt;=10),"NARROW",IF(AND(W7&gt;10,W7&lt;=40),"MEDIUM",IF(AND(W7&gt;40,W7&lt;=90),"STRONG",""))))</f>
        <v>STRONG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866</v>
      </c>
      <c r="AD7">
        <v>406</v>
      </c>
      <c r="AF7">
        <v>460</v>
      </c>
      <c r="AH7">
        <v>761</v>
      </c>
      <c r="AJ7">
        <v>14</v>
      </c>
      <c r="AL7">
        <v>91</v>
      </c>
      <c r="AN7" s="248">
        <f>(AD7/AB7)*100</f>
        <v>46.8822170900693</v>
      </c>
      <c r="AO7" s="316" t="e">
        <f>(AE7/AC7)*100</f>
        <v>#DIV/0!</v>
      </c>
      <c r="AP7" s="317">
        <f>(AF7/AB7)*100</f>
        <v>53.1177829099307</v>
      </c>
      <c r="AQ7" s="318" t="e">
        <f>(AG7/AC7)*100</f>
        <v>#DIV/0!</v>
      </c>
      <c r="AR7" s="318" t="str">
        <f>IF(AN7&gt;AP7,"MALE DOM","FEMALE DOM")</f>
        <v>FEMALE DOM</v>
      </c>
      <c r="AS7" s="319" t="e">
        <f>IF(AO7&gt;AP7,"MALE","FEMALE")</f>
        <v>#DIV/0!</v>
      </c>
      <c r="AT7" s="317">
        <f>(AH7/AB7)*100</f>
        <v>87.8752886836028</v>
      </c>
      <c r="AU7" s="317" t="e">
        <f>(AI7/AC7)*100</f>
        <v>#DIV/0!</v>
      </c>
      <c r="AV7" s="248">
        <f>(AJ7/AB7)*100</f>
        <v>1.61662817551963</v>
      </c>
      <c r="AW7" s="317" t="e">
        <f>(AK7/AC7)*100</f>
        <v>#DIV/0!</v>
      </c>
      <c r="AX7" s="248">
        <f>(AL7/AB7)*100</f>
        <v>10.5080831408776</v>
      </c>
      <c r="AY7" s="317" t="e">
        <f>(AM7/AC7)*100</f>
        <v>#DIV/0!</v>
      </c>
      <c r="AZ7" s="248" t="str">
        <f>IF(AT7&gt;(AV7+AX7),"HINDU","MINORITY")</f>
        <v>HINDU</v>
      </c>
      <c r="BA7" s="318" t="e">
        <f>IF(AU7&gt;(AW7+AY7),"HIND","MINORITY")</f>
        <v>#DIV/0!</v>
      </c>
    </row>
    <row r="8" spans="2:53">
      <c r="B8" s="215">
        <v>198</v>
      </c>
      <c r="C8" s="215">
        <v>917</v>
      </c>
      <c r="D8" s="215">
        <v>554</v>
      </c>
      <c r="E8" s="215">
        <v>16</v>
      </c>
      <c r="F8" s="215">
        <v>16</v>
      </c>
      <c r="G8" s="215">
        <v>0</v>
      </c>
      <c r="H8" s="215">
        <v>0</v>
      </c>
      <c r="I8" s="215">
        <v>0</v>
      </c>
      <c r="J8" s="215">
        <v>1</v>
      </c>
      <c r="K8" s="215">
        <v>1</v>
      </c>
      <c r="L8" s="215">
        <v>588</v>
      </c>
      <c r="M8" s="215">
        <v>0</v>
      </c>
      <c r="N8" s="215">
        <v>2</v>
      </c>
      <c r="O8" s="215">
        <f t="shared" si="0"/>
        <v>590</v>
      </c>
      <c r="P8" s="215">
        <f t="shared" si="1"/>
        <v>64.340239912759</v>
      </c>
      <c r="Q8" s="215">
        <f t="shared" si="2"/>
        <v>2.71186440677966</v>
      </c>
      <c r="R8" s="215">
        <f t="shared" si="3"/>
        <v>93.8983050847458</v>
      </c>
      <c r="S8" s="215">
        <f t="shared" si="4"/>
        <v>2.71186440677966</v>
      </c>
      <c r="T8" s="215">
        <f t="shared" si="5"/>
        <v>0</v>
      </c>
      <c r="U8" s="215">
        <f t="shared" si="6"/>
        <v>0.338983050847458</v>
      </c>
      <c r="V8" s="215">
        <f t="shared" si="7"/>
        <v>0.338983050847458</v>
      </c>
      <c r="W8" s="215">
        <f t="shared" ref="W8:W13" si="8">Q8-R8</f>
        <v>-91.1864406779661</v>
      </c>
      <c r="X8" s="215">
        <f t="shared" ref="X8:X13" si="9">Q8-(R8+S8+T8+U8)</f>
        <v>-94.2372881355932</v>
      </c>
      <c r="Y8" s="215" t="str">
        <f t="shared" ref="Y8:Y14" si="10">IF(AND(W8&lt;0,W8&lt;=1),"LOST",IF(AND(W8&gt;1,W8&lt;=10),"NARROW",IF(AND(W8&gt;10,W8&lt;=40),"MEDIUM",IF(AND(W8&gt;40,W8&lt;=90),"STRONG",""))))</f>
        <v>LOST</v>
      </c>
      <c r="Z8" s="285" t="str">
        <f t="shared" ref="Z8:Z14" si="11">IF(AND(P8&lt;0,P8&lt;=10),"WEAK",IF(AND(P8&gt;10,P8&lt;20),"BELOW AVG",IF(AND(P8&gt;20,P8&lt;=60),"MEDIUM",IF(AND(P8&gt;60,P8&lt;=90),"STRONG",""))))</f>
        <v>STRONG</v>
      </c>
      <c r="AA8" s="286" t="str">
        <f t="shared" ref="AA8:AA14" si="12">IF(Q8&gt;R8,"BJP","CONGRESS")</f>
        <v>CONGRESS</v>
      </c>
      <c r="AB8">
        <v>912</v>
      </c>
      <c r="AC8">
        <v>585</v>
      </c>
      <c r="AD8">
        <v>462</v>
      </c>
      <c r="AE8">
        <v>304</v>
      </c>
      <c r="AF8">
        <v>450</v>
      </c>
      <c r="AG8">
        <v>281</v>
      </c>
      <c r="AH8">
        <v>4</v>
      </c>
      <c r="AI8">
        <v>1</v>
      </c>
      <c r="AJ8">
        <v>904</v>
      </c>
      <c r="AK8">
        <v>582</v>
      </c>
      <c r="AL8">
        <v>4</v>
      </c>
      <c r="AM8">
        <v>2</v>
      </c>
      <c r="AN8" s="248">
        <f t="shared" ref="AN8:AO10" si="13">(AD8/AB8)*100</f>
        <v>50.6578947368421</v>
      </c>
      <c r="AO8" s="316">
        <f t="shared" si="13"/>
        <v>51.965811965812</v>
      </c>
      <c r="AP8" s="317">
        <f t="shared" ref="AP8:AQ10" si="14">(AF8/AB8)*100</f>
        <v>49.3421052631579</v>
      </c>
      <c r="AQ8" s="318">
        <f t="shared" si="14"/>
        <v>48.034188034188</v>
      </c>
      <c r="AR8" s="318" t="str">
        <f t="shared" ref="AR8:AR12" si="15">IF(AN8&gt;AP8,"MALE DOM","FEMALE DOM")</f>
        <v>MALE DOM</v>
      </c>
      <c r="AS8" s="319" t="str">
        <f t="shared" ref="AS8:AS12" si="16">IF(AO8&gt;AP8,"MALE","FEMALE")</f>
        <v>MALE</v>
      </c>
      <c r="AT8" s="317">
        <f t="shared" ref="AT8:AU10" si="17">(AH8/AB8)*100</f>
        <v>0.43859649122807</v>
      </c>
      <c r="AU8" s="317">
        <f t="shared" si="17"/>
        <v>0.170940170940171</v>
      </c>
      <c r="AV8" s="248">
        <f t="shared" ref="AV8:AW10" si="18">(AJ8/AB8)*100</f>
        <v>99.1228070175439</v>
      </c>
      <c r="AW8" s="317">
        <f t="shared" si="18"/>
        <v>99.4871794871795</v>
      </c>
      <c r="AX8" s="248">
        <f t="shared" ref="AX8:AY10" si="19">(AL8/AB8)*100</f>
        <v>0.43859649122807</v>
      </c>
      <c r="AY8" s="317">
        <f t="shared" si="19"/>
        <v>0.341880341880342</v>
      </c>
      <c r="AZ8" s="248" t="str">
        <f t="shared" ref="AZ8:AZ12" si="20">IF(AT8&gt;(AV8+AX8),"HINDU","MINORITY")</f>
        <v>MINORITY</v>
      </c>
      <c r="BA8" s="318" t="str">
        <f t="shared" ref="BA8:BA12" si="21">IF(AU8&gt;(AW8+AY8),"HIND","MINORITY")</f>
        <v>MINORITY</v>
      </c>
    </row>
    <row r="9" spans="2:53">
      <c r="B9" s="339">
        <v>195</v>
      </c>
      <c r="C9" s="339">
        <v>1209</v>
      </c>
      <c r="D9" s="339">
        <v>399</v>
      </c>
      <c r="E9" s="339">
        <v>460</v>
      </c>
      <c r="F9" s="339">
        <v>5</v>
      </c>
      <c r="G9" s="339">
        <v>0</v>
      </c>
      <c r="H9" s="339">
        <v>1</v>
      </c>
      <c r="I9" s="339">
        <v>0</v>
      </c>
      <c r="J9" s="339">
        <v>2</v>
      </c>
      <c r="K9" s="339">
        <v>2</v>
      </c>
      <c r="L9" s="339">
        <v>869</v>
      </c>
      <c r="M9" s="339">
        <v>0</v>
      </c>
      <c r="N9" s="339">
        <v>9</v>
      </c>
      <c r="O9" s="339">
        <f t="shared" si="0"/>
        <v>878</v>
      </c>
      <c r="P9" s="339">
        <f t="shared" si="1"/>
        <v>72.6220016542597</v>
      </c>
      <c r="Q9" s="339">
        <f t="shared" si="2"/>
        <v>52.3917995444191</v>
      </c>
      <c r="R9" s="339">
        <f t="shared" si="3"/>
        <v>45.4441913439636</v>
      </c>
      <c r="S9" s="339">
        <f t="shared" si="4"/>
        <v>0.569476082004556</v>
      </c>
      <c r="T9" s="339">
        <f t="shared" si="5"/>
        <v>0</v>
      </c>
      <c r="U9" s="339">
        <f t="shared" si="6"/>
        <v>0.569476082004556</v>
      </c>
      <c r="V9" s="339">
        <f t="shared" si="7"/>
        <v>1.0250569476082</v>
      </c>
      <c r="W9" s="339">
        <f t="shared" si="8"/>
        <v>6.94760820045558</v>
      </c>
      <c r="X9" s="339">
        <f t="shared" si="9"/>
        <v>5.80865603644647</v>
      </c>
      <c r="Y9" s="339" t="str">
        <f t="shared" si="10"/>
        <v>NARROW</v>
      </c>
      <c r="Z9" s="283" t="str">
        <f t="shared" si="11"/>
        <v>STRONG</v>
      </c>
      <c r="AA9" s="289" t="str">
        <f t="shared" si="12"/>
        <v>BJP</v>
      </c>
      <c r="AB9">
        <v>1190</v>
      </c>
      <c r="AD9">
        <v>588</v>
      </c>
      <c r="AF9">
        <v>602</v>
      </c>
      <c r="AH9">
        <v>658</v>
      </c>
      <c r="AJ9">
        <v>504</v>
      </c>
      <c r="AL9">
        <v>28</v>
      </c>
      <c r="AN9" s="248">
        <f t="shared" si="13"/>
        <v>49.4117647058824</v>
      </c>
      <c r="AO9" s="316" t="e">
        <f t="shared" si="13"/>
        <v>#DIV/0!</v>
      </c>
      <c r="AP9" s="317">
        <f t="shared" si="14"/>
        <v>50.5882352941176</v>
      </c>
      <c r="AQ9" s="318" t="e">
        <f t="shared" si="14"/>
        <v>#DIV/0!</v>
      </c>
      <c r="AR9" s="318" t="str">
        <f t="shared" si="15"/>
        <v>FEMALE DOM</v>
      </c>
      <c r="AS9" s="319" t="e">
        <f t="shared" si="16"/>
        <v>#DIV/0!</v>
      </c>
      <c r="AT9" s="317">
        <f t="shared" si="17"/>
        <v>55.2941176470588</v>
      </c>
      <c r="AU9" s="317" t="e">
        <f t="shared" si="17"/>
        <v>#DIV/0!</v>
      </c>
      <c r="AV9" s="248">
        <f t="shared" si="18"/>
        <v>42.3529411764706</v>
      </c>
      <c r="AW9" s="317" t="e">
        <f t="shared" si="18"/>
        <v>#DIV/0!</v>
      </c>
      <c r="AX9" s="248">
        <f t="shared" si="19"/>
        <v>2.35294117647059</v>
      </c>
      <c r="AY9" s="317" t="e">
        <f t="shared" si="19"/>
        <v>#DIV/0!</v>
      </c>
      <c r="AZ9" s="248" t="str">
        <f t="shared" si="20"/>
        <v>HINDU</v>
      </c>
      <c r="BA9" s="318" t="e">
        <f t="shared" si="21"/>
        <v>#DIV/0!</v>
      </c>
    </row>
    <row r="10" spans="2:53">
      <c r="B10" s="215">
        <v>199</v>
      </c>
      <c r="C10" s="215">
        <v>737</v>
      </c>
      <c r="D10" s="215">
        <v>435</v>
      </c>
      <c r="E10" s="215">
        <v>30</v>
      </c>
      <c r="F10" s="215">
        <v>7</v>
      </c>
      <c r="G10" s="215">
        <v>0</v>
      </c>
      <c r="H10" s="215">
        <v>0</v>
      </c>
      <c r="I10" s="215">
        <v>0</v>
      </c>
      <c r="J10" s="215">
        <v>2</v>
      </c>
      <c r="K10" s="215">
        <v>0</v>
      </c>
      <c r="L10" s="215">
        <v>474</v>
      </c>
      <c r="M10" s="215">
        <v>0</v>
      </c>
      <c r="N10" s="215">
        <v>4</v>
      </c>
      <c r="O10" s="215">
        <f t="shared" si="0"/>
        <v>478</v>
      </c>
      <c r="P10" s="215">
        <f t="shared" si="1"/>
        <v>64.8575305291723</v>
      </c>
      <c r="Q10" s="215">
        <f t="shared" si="2"/>
        <v>6.27615062761506</v>
      </c>
      <c r="R10" s="215">
        <f t="shared" si="3"/>
        <v>91.0041841004184</v>
      </c>
      <c r="S10" s="215">
        <f t="shared" si="4"/>
        <v>1.46443514644351</v>
      </c>
      <c r="T10" s="215">
        <f t="shared" si="5"/>
        <v>0</v>
      </c>
      <c r="U10" s="215">
        <f t="shared" si="6"/>
        <v>0.418410041841004</v>
      </c>
      <c r="V10" s="215">
        <f t="shared" si="7"/>
        <v>0.836820083682008</v>
      </c>
      <c r="W10" s="215">
        <f t="shared" si="8"/>
        <v>-84.7280334728033</v>
      </c>
      <c r="X10" s="215">
        <f t="shared" si="9"/>
        <v>-86.6108786610879</v>
      </c>
      <c r="Y10" s="215" t="str">
        <f t="shared" si="10"/>
        <v>LOST</v>
      </c>
      <c r="Z10" s="285" t="str">
        <f t="shared" si="11"/>
        <v>STRONG</v>
      </c>
      <c r="AA10" s="284" t="str">
        <f t="shared" si="12"/>
        <v>CONGRESS</v>
      </c>
      <c r="AB10">
        <v>723</v>
      </c>
      <c r="AC10">
        <v>456</v>
      </c>
      <c r="AD10">
        <v>378</v>
      </c>
      <c r="AE10">
        <v>245</v>
      </c>
      <c r="AF10">
        <v>345</v>
      </c>
      <c r="AG10">
        <v>211</v>
      </c>
      <c r="AH10">
        <v>52</v>
      </c>
      <c r="AI10">
        <v>40</v>
      </c>
      <c r="AJ10">
        <v>670</v>
      </c>
      <c r="AK10">
        <v>415</v>
      </c>
      <c r="AL10">
        <v>1</v>
      </c>
      <c r="AM10">
        <v>1</v>
      </c>
      <c r="AN10" s="248">
        <f t="shared" si="13"/>
        <v>52.2821576763486</v>
      </c>
      <c r="AO10" s="316">
        <f t="shared" si="13"/>
        <v>53.7280701754386</v>
      </c>
      <c r="AP10" s="317">
        <f t="shared" si="14"/>
        <v>47.7178423236515</v>
      </c>
      <c r="AQ10" s="318">
        <f t="shared" si="14"/>
        <v>46.2719298245614</v>
      </c>
      <c r="AR10" s="318" t="str">
        <f t="shared" si="15"/>
        <v>MALE DOM</v>
      </c>
      <c r="AS10" s="319" t="str">
        <f t="shared" si="16"/>
        <v>MALE</v>
      </c>
      <c r="AT10" s="317">
        <f t="shared" si="17"/>
        <v>7.19225449515906</v>
      </c>
      <c r="AU10" s="317">
        <f t="shared" si="17"/>
        <v>8.7719298245614</v>
      </c>
      <c r="AV10" s="248">
        <f t="shared" si="18"/>
        <v>92.6694329183956</v>
      </c>
      <c r="AW10" s="317">
        <f t="shared" si="18"/>
        <v>91.0087719298246</v>
      </c>
      <c r="AX10" s="248">
        <f t="shared" si="19"/>
        <v>0.138312586445367</v>
      </c>
      <c r="AY10" s="317">
        <f t="shared" si="19"/>
        <v>0.219298245614035</v>
      </c>
      <c r="AZ10" s="248" t="str">
        <f t="shared" si="20"/>
        <v>MINORITY</v>
      </c>
      <c r="BA10" s="318" t="str">
        <f t="shared" si="21"/>
        <v>MINORITY</v>
      </c>
    </row>
    <row r="11" spans="2:53">
      <c r="B11" s="215">
        <v>196</v>
      </c>
      <c r="C11" s="215">
        <v>1546</v>
      </c>
      <c r="D11" s="215">
        <v>932</v>
      </c>
      <c r="E11" s="215">
        <v>58</v>
      </c>
      <c r="F11" s="215">
        <v>11</v>
      </c>
      <c r="G11" s="215">
        <v>1</v>
      </c>
      <c r="H11" s="215">
        <v>1</v>
      </c>
      <c r="I11" s="215">
        <v>0</v>
      </c>
      <c r="J11" s="215">
        <v>1</v>
      </c>
      <c r="K11" s="215">
        <v>0</v>
      </c>
      <c r="L11" s="215">
        <v>1004</v>
      </c>
      <c r="M11" s="215">
        <v>0</v>
      </c>
      <c r="N11" s="215">
        <v>3</v>
      </c>
      <c r="O11" s="215">
        <f t="shared" si="0"/>
        <v>1007</v>
      </c>
      <c r="P11" s="215">
        <f t="shared" si="1"/>
        <v>65.1358344113842</v>
      </c>
      <c r="Q11" s="215">
        <f t="shared" si="2"/>
        <v>5.759682224429</v>
      </c>
      <c r="R11" s="215">
        <f t="shared" si="3"/>
        <v>92.5521350546177</v>
      </c>
      <c r="S11" s="215">
        <f t="shared" si="4"/>
        <v>1.09235352532274</v>
      </c>
      <c r="T11" s="215">
        <f t="shared" si="5"/>
        <v>0.099304865938431</v>
      </c>
      <c r="U11" s="215">
        <f t="shared" si="6"/>
        <v>0.198609731876862</v>
      </c>
      <c r="V11" s="215">
        <f t="shared" si="7"/>
        <v>0.297914597815293</v>
      </c>
      <c r="W11" s="215">
        <f t="shared" si="8"/>
        <v>-86.7924528301887</v>
      </c>
      <c r="X11" s="215">
        <f t="shared" si="9"/>
        <v>-88.1827209533267</v>
      </c>
      <c r="Y11" s="215" t="str">
        <f t="shared" si="10"/>
        <v>LOST</v>
      </c>
      <c r="Z11" s="341" t="str">
        <f t="shared" si="11"/>
        <v>STRONG</v>
      </c>
      <c r="AA11" s="284" t="str">
        <f t="shared" si="12"/>
        <v>CONGRESS</v>
      </c>
      <c r="AB11">
        <v>1508</v>
      </c>
      <c r="AC11">
        <v>1005</v>
      </c>
      <c r="AD11">
        <v>767</v>
      </c>
      <c r="AE11">
        <v>499</v>
      </c>
      <c r="AF11">
        <v>741</v>
      </c>
      <c r="AG11">
        <v>506</v>
      </c>
      <c r="AH11">
        <v>75</v>
      </c>
      <c r="AI11">
        <v>43</v>
      </c>
      <c r="AJ11">
        <v>1431</v>
      </c>
      <c r="AK11">
        <v>961</v>
      </c>
      <c r="AL11">
        <v>2</v>
      </c>
      <c r="AM11">
        <v>1</v>
      </c>
      <c r="AN11" s="248">
        <f>(AD11/AB11)*100</f>
        <v>50.8620689655172</v>
      </c>
      <c r="AO11" s="316">
        <f>(AE11/AC11)*100</f>
        <v>49.6517412935323</v>
      </c>
      <c r="AP11" s="317">
        <f>(AF11/AB11)*100</f>
        <v>49.1379310344828</v>
      </c>
      <c r="AQ11" s="318">
        <f>(AG11/AC11)*100</f>
        <v>50.3482587064677</v>
      </c>
      <c r="AR11" s="318" t="str">
        <f t="shared" si="15"/>
        <v>MALE DOM</v>
      </c>
      <c r="AS11" s="319" t="str">
        <f t="shared" si="16"/>
        <v>MALE</v>
      </c>
      <c r="AT11" s="317">
        <f>(AH11/AB11)*100</f>
        <v>4.97347480106101</v>
      </c>
      <c r="AU11" s="317">
        <f>(AI11/AC11)*100</f>
        <v>4.27860696517413</v>
      </c>
      <c r="AV11" s="248">
        <f>(AJ11/AB11)*100</f>
        <v>94.893899204244</v>
      </c>
      <c r="AW11" s="317">
        <f>(AK11/AC11)*100</f>
        <v>95.6218905472637</v>
      </c>
      <c r="AX11" s="248">
        <f>(AL11/AB11)*100</f>
        <v>0.13262599469496</v>
      </c>
      <c r="AY11" s="317">
        <f>(AM11/AC11)*100</f>
        <v>0.099502487562189</v>
      </c>
      <c r="AZ11" s="248" t="str">
        <f t="shared" si="20"/>
        <v>MINORITY</v>
      </c>
      <c r="BA11" s="318" t="str">
        <f t="shared" si="21"/>
        <v>MINORITY</v>
      </c>
    </row>
    <row r="12" spans="2:53">
      <c r="B12" s="219">
        <v>200</v>
      </c>
      <c r="C12" s="219">
        <v>967</v>
      </c>
      <c r="D12" s="219">
        <v>245</v>
      </c>
      <c r="E12" s="219">
        <v>361</v>
      </c>
      <c r="F12" s="219">
        <v>7</v>
      </c>
      <c r="G12" s="219">
        <v>1</v>
      </c>
      <c r="H12" s="219">
        <v>0</v>
      </c>
      <c r="I12" s="219">
        <v>0</v>
      </c>
      <c r="J12" s="219">
        <v>1</v>
      </c>
      <c r="K12" s="219">
        <v>1</v>
      </c>
      <c r="L12" s="219">
        <v>616</v>
      </c>
      <c r="M12" s="219">
        <v>0</v>
      </c>
      <c r="N12" s="219">
        <v>3</v>
      </c>
      <c r="O12" s="219">
        <f t="shared" si="0"/>
        <v>619</v>
      </c>
      <c r="P12" s="219">
        <f t="shared" si="1"/>
        <v>64.0124095139607</v>
      </c>
      <c r="Q12" s="219">
        <f t="shared" si="2"/>
        <v>58.3198707592892</v>
      </c>
      <c r="R12" s="219">
        <f t="shared" si="3"/>
        <v>39.5799676898223</v>
      </c>
      <c r="S12" s="219">
        <f t="shared" si="4"/>
        <v>1.13085621970921</v>
      </c>
      <c r="T12" s="219">
        <f t="shared" si="5"/>
        <v>0.161550888529887</v>
      </c>
      <c r="U12" s="219">
        <f t="shared" si="6"/>
        <v>0.323101777059774</v>
      </c>
      <c r="V12" s="219">
        <f t="shared" si="7"/>
        <v>0.484652665589661</v>
      </c>
      <c r="W12" s="219">
        <f t="shared" si="8"/>
        <v>18.7399030694669</v>
      </c>
      <c r="X12" s="219">
        <f t="shared" si="9"/>
        <v>17.124394184168</v>
      </c>
      <c r="Y12" s="219" t="str">
        <f t="shared" si="10"/>
        <v>MEDIUM</v>
      </c>
      <c r="Z12" s="341" t="str">
        <f t="shared" si="11"/>
        <v>STRONG</v>
      </c>
      <c r="AA12" s="289" t="str">
        <f t="shared" si="12"/>
        <v>BJP</v>
      </c>
      <c r="AB12">
        <v>956</v>
      </c>
      <c r="AD12">
        <v>457</v>
      </c>
      <c r="AF12">
        <v>499</v>
      </c>
      <c r="AH12">
        <v>602</v>
      </c>
      <c r="AJ12">
        <v>321</v>
      </c>
      <c r="AL12">
        <v>33</v>
      </c>
      <c r="AN12" s="248">
        <f>(AD12/AB12)*100</f>
        <v>47.8033472803347</v>
      </c>
      <c r="AO12" s="316" t="e">
        <f>(AE12/AC12)*100</f>
        <v>#DIV/0!</v>
      </c>
      <c r="AP12" s="317">
        <f>(AF12/AB12)*100</f>
        <v>52.1966527196653</v>
      </c>
      <c r="AQ12" s="318" t="e">
        <f>(AG12/AC12)*100</f>
        <v>#DIV/0!</v>
      </c>
      <c r="AR12" s="318" t="str">
        <f t="shared" si="15"/>
        <v>FEMALE DOM</v>
      </c>
      <c r="AS12" s="319" t="e">
        <f t="shared" si="16"/>
        <v>#DIV/0!</v>
      </c>
      <c r="AT12" s="317">
        <f>(AH12/AB12)*100</f>
        <v>62.9707112970711</v>
      </c>
      <c r="AU12" s="317" t="e">
        <f>(AI12/AC12)*100</f>
        <v>#DIV/0!</v>
      </c>
      <c r="AV12" s="248">
        <f>(AJ12/AB12)*100</f>
        <v>33.5774058577406</v>
      </c>
      <c r="AW12" s="317" t="e">
        <f>(AK12/AC12)*100</f>
        <v>#DIV/0!</v>
      </c>
      <c r="AX12" s="248">
        <f>(AL12/AB12)*100</f>
        <v>3.45188284518828</v>
      </c>
      <c r="AY12" s="317" t="e">
        <f>(AM12/AC12)*100</f>
        <v>#DIV/0!</v>
      </c>
      <c r="AZ12" s="248" t="str">
        <f t="shared" si="20"/>
        <v>HINDU</v>
      </c>
      <c r="BA12" s="318" t="e">
        <f t="shared" si="21"/>
        <v>#DIV/0!</v>
      </c>
    </row>
    <row r="13" spans="2:53">
      <c r="B13" s="337">
        <v>194</v>
      </c>
      <c r="C13" s="337">
        <v>687</v>
      </c>
      <c r="D13" s="337">
        <v>95</v>
      </c>
      <c r="E13" s="337">
        <v>405</v>
      </c>
      <c r="F13" s="337">
        <v>4</v>
      </c>
      <c r="G13" s="337">
        <v>0</v>
      </c>
      <c r="H13" s="337">
        <v>0</v>
      </c>
      <c r="I13" s="337">
        <v>1</v>
      </c>
      <c r="J13" s="337">
        <v>1</v>
      </c>
      <c r="K13" s="337">
        <v>1</v>
      </c>
      <c r="L13" s="337">
        <v>507</v>
      </c>
      <c r="M13" s="337">
        <v>0</v>
      </c>
      <c r="N13" s="337">
        <v>1</v>
      </c>
      <c r="O13" s="337">
        <f t="shared" si="0"/>
        <v>508</v>
      </c>
      <c r="P13" s="337">
        <f t="shared" si="1"/>
        <v>73.9446870451237</v>
      </c>
      <c r="Q13" s="337">
        <f t="shared" si="2"/>
        <v>79.7244094488189</v>
      </c>
      <c r="R13" s="337">
        <f t="shared" si="3"/>
        <v>18.7007874015748</v>
      </c>
      <c r="S13" s="337">
        <f t="shared" si="4"/>
        <v>0.78740157480315</v>
      </c>
      <c r="T13" s="337">
        <f t="shared" si="5"/>
        <v>0</v>
      </c>
      <c r="U13" s="337">
        <f t="shared" si="6"/>
        <v>0.590551181102362</v>
      </c>
      <c r="V13" s="337">
        <f t="shared" si="7"/>
        <v>0.196850393700787</v>
      </c>
      <c r="W13" s="337">
        <f t="shared" si="8"/>
        <v>61.0236220472441</v>
      </c>
      <c r="X13" s="337">
        <f t="shared" si="9"/>
        <v>59.6456692913386</v>
      </c>
      <c r="Y13" s="337" t="str">
        <f t="shared" si="10"/>
        <v>STRONG</v>
      </c>
      <c r="Z13" s="341" t="str">
        <f t="shared" si="11"/>
        <v>STRONG</v>
      </c>
      <c r="AA13" s="289" t="str">
        <f t="shared" si="12"/>
        <v>BJP</v>
      </c>
      <c r="AB13">
        <v>686</v>
      </c>
      <c r="AD13">
        <v>317</v>
      </c>
      <c r="AF13">
        <v>369</v>
      </c>
      <c r="AH13">
        <v>615</v>
      </c>
      <c r="AJ13">
        <v>25</v>
      </c>
      <c r="AL13">
        <v>46</v>
      </c>
      <c r="AN13" s="248">
        <f t="shared" ref="AN13:AO13" si="22">(AD13/AB13)*100</f>
        <v>46.2099125364431</v>
      </c>
      <c r="AO13" s="316" t="e">
        <f t="shared" si="22"/>
        <v>#DIV/0!</v>
      </c>
      <c r="AP13" s="317">
        <f t="shared" ref="AP13:AQ13" si="23">(AF13/AB13)*100</f>
        <v>53.7900874635568</v>
      </c>
      <c r="AQ13" s="318" t="e">
        <f t="shared" si="23"/>
        <v>#DIV/0!</v>
      </c>
      <c r="AR13" s="318" t="str">
        <f t="shared" ref="AR13" si="24">IF(AN13&gt;AP13,"MALE DOM","FEMALE DOM")</f>
        <v>FEMALE DOM</v>
      </c>
      <c r="AS13" s="319" t="e">
        <f t="shared" ref="AS13" si="25">IF(AO13&gt;AP13,"MALE","FEMALE")</f>
        <v>#DIV/0!</v>
      </c>
      <c r="AT13" s="317">
        <f t="shared" ref="AT13:AU13" si="26">(AH13/AB13)*100</f>
        <v>89.6501457725947</v>
      </c>
      <c r="AU13" s="317" t="e">
        <f t="shared" si="26"/>
        <v>#DIV/0!</v>
      </c>
      <c r="AV13" s="248">
        <f t="shared" ref="AV13:AW13" si="27">(AJ13/AB13)*100</f>
        <v>3.64431486880466</v>
      </c>
      <c r="AW13" s="317" t="e">
        <f t="shared" si="27"/>
        <v>#DIV/0!</v>
      </c>
      <c r="AX13" s="248">
        <f t="shared" ref="AX13:AY13" si="28">(AL13/AB13)*100</f>
        <v>6.70553935860058</v>
      </c>
      <c r="AY13" s="317" t="e">
        <f t="shared" si="28"/>
        <v>#DIV/0!</v>
      </c>
      <c r="AZ13" s="248" t="str">
        <f t="shared" ref="AZ13" si="29">IF(AT13&gt;(AV13+AX13),"HINDU","MINORITY")</f>
        <v>HINDU</v>
      </c>
      <c r="BA13" s="318" t="e">
        <f t="shared" ref="BA13" si="30">IF(AU13&gt;(AW13+AY13),"HIND","MINORITY")</f>
        <v>#DIV/0!</v>
      </c>
    </row>
    <row r="14" spans="2:27">
      <c r="B14" s="334"/>
      <c r="C14" s="215">
        <f t="shared" ref="C14:O14" si="31">SUM(C7:C13)</f>
        <v>6929</v>
      </c>
      <c r="D14" s="215">
        <f t="shared" si="31"/>
        <v>2768</v>
      </c>
      <c r="E14" s="215">
        <f t="shared" si="31"/>
        <v>1807</v>
      </c>
      <c r="F14" s="215">
        <f t="shared" si="31"/>
        <v>52</v>
      </c>
      <c r="G14" s="215">
        <f t="shared" si="31"/>
        <v>2</v>
      </c>
      <c r="H14" s="215">
        <f t="shared" si="31"/>
        <v>3</v>
      </c>
      <c r="I14" s="215">
        <f t="shared" si="31"/>
        <v>2</v>
      </c>
      <c r="J14" s="215">
        <f t="shared" si="31"/>
        <v>11</v>
      </c>
      <c r="K14" s="215">
        <f t="shared" si="31"/>
        <v>8</v>
      </c>
      <c r="L14" s="215">
        <f t="shared" si="31"/>
        <v>4653</v>
      </c>
      <c r="M14" s="215">
        <f t="shared" si="31"/>
        <v>0</v>
      </c>
      <c r="N14" s="215">
        <f t="shared" si="31"/>
        <v>29</v>
      </c>
      <c r="O14" s="215">
        <f t="shared" si="31"/>
        <v>4682</v>
      </c>
      <c r="P14" s="215">
        <f t="shared" ref="P14:X14" si="32">AVERAGE(P7:P13)</f>
        <v>67.7753878020005</v>
      </c>
      <c r="Q14" s="215">
        <f t="shared" si="32"/>
        <v>40.6313796300031</v>
      </c>
      <c r="R14" s="215">
        <f t="shared" si="32"/>
        <v>57.0171100015272</v>
      </c>
      <c r="S14" s="215">
        <f t="shared" si="32"/>
        <v>1.15551612409773</v>
      </c>
      <c r="T14" s="215">
        <f t="shared" si="32"/>
        <v>0.0372651077811883</v>
      </c>
      <c r="U14" s="215">
        <f t="shared" si="32"/>
        <v>0.538290788459581</v>
      </c>
      <c r="V14" s="215">
        <f t="shared" si="32"/>
        <v>0.620438348131118</v>
      </c>
      <c r="W14" s="215">
        <f t="shared" si="32"/>
        <v>-16.3857303715241</v>
      </c>
      <c r="X14" s="215">
        <f t="shared" si="32"/>
        <v>-18.1168023918626</v>
      </c>
      <c r="Y14" s="215" t="str">
        <f t="shared" si="10"/>
        <v>LOST</v>
      </c>
      <c r="Z14" s="341" t="str">
        <f t="shared" si="11"/>
        <v>STRONG</v>
      </c>
      <c r="AA14" s="284" t="str">
        <f t="shared" si="12"/>
        <v>CONGRESS</v>
      </c>
    </row>
    <row r="16" spans="16:33">
      <c r="P16" s="225" t="s">
        <v>205</v>
      </c>
      <c r="Q16" s="237"/>
      <c r="R16" s="237"/>
      <c r="S16" s="238"/>
      <c r="U16" s="225" t="s">
        <v>97</v>
      </c>
      <c r="V16" s="237"/>
      <c r="W16" s="237"/>
      <c r="X16" s="238"/>
      <c r="Z16" s="265" t="s">
        <v>98</v>
      </c>
      <c r="AA16" s="265"/>
      <c r="AB16" s="265"/>
      <c r="AC16" s="265"/>
      <c r="AD16" s="265"/>
      <c r="AE16" s="265"/>
      <c r="AF16" s="265"/>
      <c r="AG16" s="265"/>
    </row>
    <row r="17" spans="16:33">
      <c r="P17" s="226"/>
      <c r="Q17" s="239"/>
      <c r="R17" s="239"/>
      <c r="S17" s="240"/>
      <c r="U17" s="241"/>
      <c r="V17" s="242"/>
      <c r="W17" s="242"/>
      <c r="X17" s="243"/>
      <c r="Z17" s="265"/>
      <c r="AA17" s="265"/>
      <c r="AB17" s="265"/>
      <c r="AC17" s="265"/>
      <c r="AD17" s="265"/>
      <c r="AE17" s="265"/>
      <c r="AF17" s="265"/>
      <c r="AG17" s="265"/>
    </row>
    <row r="18" spans="16:33">
      <c r="P18" s="227" t="s">
        <v>99</v>
      </c>
      <c r="Q18" s="244"/>
      <c r="R18" s="245"/>
      <c r="S18" s="245">
        <f>COUNTIF(AA7:AA13,"BJP")</f>
        <v>4</v>
      </c>
      <c r="U18" s="246" t="s">
        <v>100</v>
      </c>
      <c r="V18" s="247"/>
      <c r="W18" s="247"/>
      <c r="X18" s="248">
        <f>COUNTIF(Y7:Y13,"NARROW")</f>
        <v>1</v>
      </c>
      <c r="Z18" s="265" t="s">
        <v>101</v>
      </c>
      <c r="AA18" s="265"/>
      <c r="AB18" s="265"/>
      <c r="AC18" s="265">
        <f>'KANNUR-18'!E8</f>
        <v>52.4903785834211</v>
      </c>
      <c r="AD18" s="265" t="s">
        <v>102</v>
      </c>
      <c r="AE18" s="265"/>
      <c r="AF18" s="265"/>
      <c r="AG18" s="265">
        <f>KANNUR!Q14</f>
        <v>40.6313796300031</v>
      </c>
    </row>
    <row r="19" spans="16:33">
      <c r="P19" s="227"/>
      <c r="Q19" s="244"/>
      <c r="R19" s="245"/>
      <c r="S19" s="245"/>
      <c r="U19" s="249"/>
      <c r="V19" s="250"/>
      <c r="W19" s="250"/>
      <c r="X19" s="251"/>
      <c r="Z19" s="265"/>
      <c r="AA19" s="265"/>
      <c r="AB19" s="265"/>
      <c r="AC19" s="265"/>
      <c r="AD19" s="265"/>
      <c r="AE19" s="265"/>
      <c r="AF19" s="265"/>
      <c r="AG19" s="265"/>
    </row>
    <row r="20" spans="16:33">
      <c r="P20" s="227"/>
      <c r="Q20" s="244"/>
      <c r="R20" s="245"/>
      <c r="S20" s="245"/>
      <c r="U20" s="252" t="s">
        <v>103</v>
      </c>
      <c r="V20" s="253"/>
      <c r="W20" s="253"/>
      <c r="X20" s="248">
        <f>COUNTIF(Y7:Y13,"MEDIUM")</f>
        <v>1</v>
      </c>
      <c r="Z20" s="265" t="s">
        <v>104</v>
      </c>
      <c r="AA20" s="265"/>
      <c r="AB20" s="265"/>
      <c r="AC20" s="265">
        <f>'KANNUR-18'!G8</f>
        <v>43.7571312824388</v>
      </c>
      <c r="AD20" s="265" t="s">
        <v>105</v>
      </c>
      <c r="AE20" s="265"/>
      <c r="AF20" s="265"/>
      <c r="AG20" s="265">
        <f>R14</f>
        <v>57.0171100015272</v>
      </c>
    </row>
    <row r="21" spans="16:33">
      <c r="P21" s="228" t="s">
        <v>106</v>
      </c>
      <c r="Q21" s="254"/>
      <c r="R21" s="255"/>
      <c r="S21" s="255">
        <f>COUNTIF(AA7:AA13,"CONGRESS")</f>
        <v>3</v>
      </c>
      <c r="U21" s="252"/>
      <c r="V21" s="253"/>
      <c r="W21" s="253"/>
      <c r="X21" s="251"/>
      <c r="Z21" s="265"/>
      <c r="AA21" s="265"/>
      <c r="AB21" s="265"/>
      <c r="AC21" s="265"/>
      <c r="AD21" s="265"/>
      <c r="AE21" s="265"/>
      <c r="AF21" s="265"/>
      <c r="AG21" s="265"/>
    </row>
    <row r="22" spans="16:33">
      <c r="P22" s="229"/>
      <c r="Q22" s="256"/>
      <c r="R22" s="257"/>
      <c r="S22" s="257"/>
      <c r="U22" s="258" t="s">
        <v>107</v>
      </c>
      <c r="V22" s="259"/>
      <c r="W22" s="259"/>
      <c r="X22" s="248">
        <f>COUNTIF(Y7:Y13,"STRONG")</f>
        <v>2</v>
      </c>
      <c r="Z22" s="265" t="s">
        <v>108</v>
      </c>
      <c r="AA22" s="265"/>
      <c r="AB22" s="265"/>
      <c r="AC22" s="265">
        <f>'KANNUR-18'!C8</f>
        <v>4571</v>
      </c>
      <c r="AD22" s="265" t="s">
        <v>109</v>
      </c>
      <c r="AE22" s="265"/>
      <c r="AF22" s="265"/>
      <c r="AG22" s="265">
        <f>O14</f>
        <v>4682</v>
      </c>
    </row>
    <row r="23" spans="16:33">
      <c r="P23" s="230"/>
      <c r="Q23" s="260"/>
      <c r="R23" s="261"/>
      <c r="S23" s="261"/>
      <c r="U23" s="262"/>
      <c r="V23" s="263"/>
      <c r="W23" s="263"/>
      <c r="X23" s="251"/>
      <c r="Z23" s="265"/>
      <c r="AA23" s="265"/>
      <c r="AB23" s="265"/>
      <c r="AC23" s="265"/>
      <c r="AD23" s="265"/>
      <c r="AE23" s="265"/>
      <c r="AF23" s="265"/>
      <c r="AG23" s="265"/>
    </row>
    <row r="24" spans="21:33">
      <c r="U24" s="229" t="s">
        <v>110</v>
      </c>
      <c r="V24" s="256"/>
      <c r="W24" s="256"/>
      <c r="X24" s="248">
        <f>COUNTIF(Y7:Y13,"LOST")</f>
        <v>3</v>
      </c>
      <c r="Z24" s="265" t="s">
        <v>111</v>
      </c>
      <c r="AA24" s="265"/>
      <c r="AB24" s="265"/>
      <c r="AC24" s="265">
        <f>AC18-AC20</f>
        <v>8.73324730098232</v>
      </c>
      <c r="AD24" s="265" t="s">
        <v>111</v>
      </c>
      <c r="AE24" s="265"/>
      <c r="AF24" s="265"/>
      <c r="AG24" s="265">
        <f>AG18-AG20</f>
        <v>-16.3857303715241</v>
      </c>
    </row>
    <row r="25" spans="21:33">
      <c r="U25" s="230"/>
      <c r="V25" s="260"/>
      <c r="W25" s="260"/>
      <c r="X25" s="251"/>
      <c r="Z25" s="265"/>
      <c r="AA25" s="265"/>
      <c r="AB25" s="265"/>
      <c r="AC25" s="265"/>
      <c r="AD25" s="265"/>
      <c r="AE25" s="265"/>
      <c r="AF25" s="265"/>
      <c r="AG25" s="265"/>
    </row>
    <row r="26" spans="26:32">
      <c r="Z26" s="265" t="s">
        <v>112</v>
      </c>
      <c r="AA26" s="265"/>
      <c r="AB26" s="265"/>
      <c r="AC26" s="265">
        <f>AG18-AC18</f>
        <v>-11.858998953418</v>
      </c>
      <c r="AD26" s="265"/>
      <c r="AE26" s="265"/>
      <c r="AF26" s="265"/>
    </row>
    <row r="27" spans="26:32">
      <c r="Z27" s="265"/>
      <c r="AA27" s="265"/>
      <c r="AB27" s="265"/>
      <c r="AC27" s="265"/>
      <c r="AD27" s="265"/>
      <c r="AE27" s="265"/>
      <c r="AF27" s="265"/>
    </row>
    <row r="28" spans="26:32">
      <c r="Z28" s="265" t="s">
        <v>113</v>
      </c>
      <c r="AA28" s="265"/>
      <c r="AB28" s="265"/>
      <c r="AC28" s="265">
        <f>AG20-AC20</f>
        <v>13.2599787190884</v>
      </c>
      <c r="AD28" s="265"/>
      <c r="AE28" s="265"/>
      <c r="AF28" s="265"/>
    </row>
    <row r="29" spans="26:32">
      <c r="Z29" s="265"/>
      <c r="AA29" s="265"/>
      <c r="AB29" s="265"/>
      <c r="AC29" s="265"/>
      <c r="AD29" s="265"/>
      <c r="AE29" s="265"/>
      <c r="AF29" s="265"/>
    </row>
    <row r="30" spans="26:32">
      <c r="Z30" s="265" t="s">
        <v>114</v>
      </c>
      <c r="AA30" s="265"/>
      <c r="AB30" s="265"/>
      <c r="AC30" s="265" t="str">
        <f>IF(AC26&gt;AC28,"INCREASE","DECREASE")</f>
        <v>DECREASE</v>
      </c>
      <c r="AD30" s="265"/>
      <c r="AE30" s="265"/>
      <c r="AF30" s="265"/>
    </row>
    <row r="31" spans="26:32">
      <c r="Z31" s="265"/>
      <c r="AA31" s="265"/>
      <c r="AB31" s="265"/>
      <c r="AC31" s="265"/>
      <c r="AD31" s="265"/>
      <c r="AE31" s="265"/>
      <c r="AF31" s="265"/>
    </row>
    <row r="32" spans="26:33">
      <c r="Z32" s="265">
        <v>0</v>
      </c>
      <c r="AA32" s="265"/>
      <c r="AB32" s="265"/>
      <c r="AC32" s="265"/>
      <c r="AD32" s="265"/>
      <c r="AE32" s="265"/>
      <c r="AF32" s="265"/>
      <c r="AG32" s="265"/>
    </row>
    <row r="33" spans="26:33">
      <c r="Z33" s="265"/>
      <c r="AA33" s="265"/>
      <c r="AB33" s="265"/>
      <c r="AC33" s="265"/>
      <c r="AD33" s="265"/>
      <c r="AE33" s="265"/>
      <c r="AF33" s="265"/>
      <c r="AG33" s="265"/>
    </row>
    <row r="34" spans="26:33">
      <c r="Z34" s="265"/>
      <c r="AA34" s="265"/>
      <c r="AB34" s="265"/>
      <c r="AC34" s="265"/>
      <c r="AD34" s="265"/>
      <c r="AE34" s="265"/>
      <c r="AF34" s="265"/>
      <c r="AG34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O1:O6"/>
    <mergeCell ref="P1:P6"/>
    <mergeCell ref="Q1:Q6"/>
    <mergeCell ref="R1:R6"/>
    <mergeCell ref="S1:S6"/>
    <mergeCell ref="S18:S20"/>
    <mergeCell ref="S21:S23"/>
    <mergeCell ref="T1:T6"/>
    <mergeCell ref="U1:U6"/>
    <mergeCell ref="V1:V6"/>
    <mergeCell ref="W1:W6"/>
    <mergeCell ref="X1:X6"/>
    <mergeCell ref="X18:X19"/>
    <mergeCell ref="X20:X21"/>
    <mergeCell ref="X22:X23"/>
    <mergeCell ref="X24:X25"/>
    <mergeCell ref="Y1:Y6"/>
    <mergeCell ref="Z1:Z6"/>
    <mergeCell ref="AA1:AA6"/>
    <mergeCell ref="AB1:AB6"/>
    <mergeCell ref="AC1:AC6"/>
    <mergeCell ref="AC18:AC19"/>
    <mergeCell ref="AC20:AC21"/>
    <mergeCell ref="AC22:AC23"/>
    <mergeCell ref="AC24:AC25"/>
    <mergeCell ref="AD1:AD6"/>
    <mergeCell ref="AE1:AE6"/>
    <mergeCell ref="AF1:AF6"/>
    <mergeCell ref="AG1:AG6"/>
    <mergeCell ref="AG18:AG19"/>
    <mergeCell ref="AG20:AG21"/>
    <mergeCell ref="AG22:AG23"/>
    <mergeCell ref="AG24:AG25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U24:W25"/>
    <mergeCell ref="AD24:AF25"/>
    <mergeCell ref="P16:S17"/>
    <mergeCell ref="U16:X17"/>
    <mergeCell ref="P18:R20"/>
    <mergeCell ref="U18:W19"/>
    <mergeCell ref="AD18:AF19"/>
    <mergeCell ref="U20:W21"/>
    <mergeCell ref="AD20:AF21"/>
    <mergeCell ref="P21:R23"/>
    <mergeCell ref="U22:W23"/>
    <mergeCell ref="AD22:AF23"/>
    <mergeCell ref="D1:K2"/>
    <mergeCell ref="Z16:AG17"/>
    <mergeCell ref="Z18:AB19"/>
    <mergeCell ref="Z20:AB21"/>
    <mergeCell ref="Z22:AB23"/>
    <mergeCell ref="Z24:AB25"/>
    <mergeCell ref="Z26:AB27"/>
    <mergeCell ref="AC26:AF27"/>
    <mergeCell ref="Z32:AG34"/>
    <mergeCell ref="Z28:AB29"/>
    <mergeCell ref="AC28:AF29"/>
    <mergeCell ref="Z30:AB31"/>
    <mergeCell ref="AC30:AD31"/>
    <mergeCell ref="AE30:AF31"/>
  </mergeCells>
  <conditionalFormatting sqref="AR7:AR13">
    <cfRule type="containsText" dxfId="6" priority="1" operator="between" text="FEMALE DOM">
      <formula>NOT(ISERROR(SEARCH("FEMALE DOM",AR7)))</formula>
    </cfRule>
  </conditionalFormatting>
  <conditionalFormatting sqref="AZ7:AZ13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3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workbookViewId="0">
      <selection activeCell="A1" sqref="A1:AJ1"/>
    </sheetView>
  </sheetViews>
  <sheetFormatPr defaultColWidth="9" defaultRowHeight="14.5" outlineLevelRow="7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175</v>
      </c>
      <c r="B2" s="185" t="s">
        <v>306</v>
      </c>
      <c r="C2" s="184">
        <v>637</v>
      </c>
      <c r="D2" s="184">
        <v>298</v>
      </c>
      <c r="E2" s="184">
        <f t="shared" ref="E2:E7" si="0">(D2/C2)*100</f>
        <v>46.7817896389325</v>
      </c>
      <c r="F2" s="184">
        <v>303</v>
      </c>
      <c r="G2" s="184">
        <f t="shared" ref="G2:G7" si="1">(F2/C2)*100</f>
        <v>47.5667189952904</v>
      </c>
      <c r="H2" s="184">
        <v>2</v>
      </c>
      <c r="I2" s="184">
        <f t="shared" ref="I2:I7" si="2">(H2/C2)*100</f>
        <v>0.313971742543171</v>
      </c>
      <c r="J2" s="184">
        <v>11</v>
      </c>
      <c r="K2" s="184">
        <f t="shared" ref="K2:K7" si="3">(J2/C2)*100</f>
        <v>1.72684458398744</v>
      </c>
      <c r="L2" s="189">
        <v>463</v>
      </c>
      <c r="M2" s="189">
        <v>514</v>
      </c>
      <c r="N2" s="189">
        <f t="shared" ref="N2:N7" si="4">L2+M2</f>
        <v>977</v>
      </c>
      <c r="O2" s="184">
        <v>637</v>
      </c>
      <c r="P2" s="190">
        <f t="shared" ref="P2:P7" si="5">O2/N2*100</f>
        <v>65.1995905834186</v>
      </c>
      <c r="Q2" s="184">
        <v>530</v>
      </c>
      <c r="R2" s="184">
        <f t="shared" ref="R2:R7" si="6">(Q2/N2)*100</f>
        <v>54.2476970317298</v>
      </c>
      <c r="S2" s="184">
        <f t="shared" ref="S2:S7" si="7">Q2-U2</f>
        <v>178</v>
      </c>
      <c r="T2" s="184">
        <f t="shared" ref="T2:T7" si="8">(S2/Q2)*100</f>
        <v>33.5849056603774</v>
      </c>
      <c r="U2" s="184">
        <v>352</v>
      </c>
      <c r="V2" s="191">
        <f t="shared" ref="V2:V7" si="9">IFERROR(U2/Q2*100,0)</f>
        <v>66.4150943396226</v>
      </c>
      <c r="W2" s="184">
        <v>424</v>
      </c>
      <c r="X2" s="184">
        <f t="shared" ref="X2:X7" si="10">100-R2</f>
        <v>45.7523029682702</v>
      </c>
      <c r="Y2" s="196">
        <f t="shared" ref="Y2:Y7" si="11">W2-AA2</f>
        <v>169</v>
      </c>
      <c r="Z2" s="193">
        <f t="shared" ref="Z2:Z7" si="12">(Y2/W2)*100</f>
        <v>39.8584905660377</v>
      </c>
      <c r="AA2" s="193">
        <v>255</v>
      </c>
      <c r="AB2" s="194">
        <f t="shared" ref="AB2:AB7" si="13">IFERROR(AA2/W2*100,0)</f>
        <v>60.1415094339623</v>
      </c>
      <c r="AC2" s="193">
        <f t="shared" ref="AC2:AC7" si="14">U2+AA2</f>
        <v>607</v>
      </c>
      <c r="AD2" s="193" t="str">
        <f t="shared" ref="AD2:AD7" si="15">IF(P2&gt;80,"EXCELLENT",IF(P2&gt;70,"STRONG",IF(P2&gt;60,"AVG",IF(P2&gt;50,"WEAK",IF(P2&lt;50,"VLOW")))))</f>
        <v>AVG</v>
      </c>
      <c r="AE2" s="195" t="str">
        <f t="shared" ref="AE2:AE7" si="16">IF(R2&gt;80,"EXCELLENT",IF(R2&gt;70,"STRONG",IF(R2&gt;60,"AVG",IF(R2&gt;50,"WEAK",IF(R2&lt;50,"VLOW")))))</f>
        <v>WEAK</v>
      </c>
      <c r="AF2" s="193" t="str">
        <f t="shared" ref="AF2:AF7" si="17">IF(X2&gt;80,"EXCELLENT",IF(X2&gt;70,"STRONG",IF(X2&gt;60,"AVG",IF(X2&gt;50,"WEAK",IF(X2&lt;50,"VLOW")))))</f>
        <v>VLOW</v>
      </c>
      <c r="AG2" s="193" t="str">
        <f t="shared" ref="AG2:AG7" si="18">IF(M2&gt;L2,"FEMALE DOM","MEN")</f>
        <v>FEMALE DOM</v>
      </c>
      <c r="AH2" s="193" t="str">
        <f t="shared" ref="AH2:AH7" si="19">IF(T2&gt;Z2,"H","O")</f>
        <v>O</v>
      </c>
      <c r="AI2" s="197">
        <f>G2-E2</f>
        <v>0.784929356357928</v>
      </c>
      <c r="AJ2" s="198" t="str">
        <f t="shared" ref="AJ2:AJ8" si="20">IF(E2&gt;G2,"BJP GAIN","CONGRESSGAIN")</f>
        <v>CONGRESSGAIN</v>
      </c>
    </row>
    <row r="3" spans="1:36">
      <c r="A3" s="184">
        <v>176</v>
      </c>
      <c r="B3" s="185" t="s">
        <v>307</v>
      </c>
      <c r="C3" s="184">
        <v>640</v>
      </c>
      <c r="D3" s="184">
        <v>493</v>
      </c>
      <c r="E3" s="184">
        <f t="shared" si="0"/>
        <v>77.03125</v>
      </c>
      <c r="F3" s="184">
        <v>125</v>
      </c>
      <c r="G3" s="184">
        <f t="shared" si="1"/>
        <v>19.53125</v>
      </c>
      <c r="H3" s="184">
        <v>3</v>
      </c>
      <c r="I3" s="184">
        <f t="shared" si="2"/>
        <v>0.46875</v>
      </c>
      <c r="J3" s="184">
        <v>5</v>
      </c>
      <c r="K3" s="184">
        <f t="shared" si="3"/>
        <v>0.78125</v>
      </c>
      <c r="L3" s="189">
        <v>391</v>
      </c>
      <c r="M3" s="189">
        <v>463</v>
      </c>
      <c r="N3" s="189">
        <f t="shared" si="4"/>
        <v>854</v>
      </c>
      <c r="O3" s="184">
        <v>640</v>
      </c>
      <c r="P3" s="190">
        <f t="shared" si="5"/>
        <v>74.9414519906323</v>
      </c>
      <c r="Q3" s="184">
        <v>742</v>
      </c>
      <c r="R3" s="184">
        <f t="shared" si="6"/>
        <v>86.8852459016393</v>
      </c>
      <c r="S3" s="192">
        <f t="shared" si="7"/>
        <v>172</v>
      </c>
      <c r="T3" s="184">
        <f t="shared" si="8"/>
        <v>23.1805929919137</v>
      </c>
      <c r="U3" s="184">
        <v>570</v>
      </c>
      <c r="V3" s="191">
        <f t="shared" si="9"/>
        <v>76.8194070080862</v>
      </c>
      <c r="W3" s="184">
        <v>112</v>
      </c>
      <c r="X3" s="184">
        <f t="shared" si="10"/>
        <v>13.1147540983607</v>
      </c>
      <c r="Y3" s="184">
        <f t="shared" si="11"/>
        <v>44</v>
      </c>
      <c r="Z3" s="193">
        <f t="shared" si="12"/>
        <v>39.2857142857143</v>
      </c>
      <c r="AA3" s="193">
        <v>68</v>
      </c>
      <c r="AB3" s="194">
        <f t="shared" si="13"/>
        <v>60.7142857142857</v>
      </c>
      <c r="AC3" s="193">
        <f t="shared" si="14"/>
        <v>638</v>
      </c>
      <c r="AD3" s="193" t="str">
        <f t="shared" si="15"/>
        <v>STRONG</v>
      </c>
      <c r="AE3" s="195" t="str">
        <f t="shared" si="16"/>
        <v>EXCELLENT</v>
      </c>
      <c r="AF3" s="193" t="str">
        <f t="shared" si="17"/>
        <v>VLOW</v>
      </c>
      <c r="AG3" s="193" t="str">
        <f t="shared" si="18"/>
        <v>FEMALE DOM</v>
      </c>
      <c r="AH3" s="193" t="str">
        <f t="shared" si="19"/>
        <v>O</v>
      </c>
      <c r="AI3" s="197">
        <f>E3-G3</f>
        <v>57.5</v>
      </c>
      <c r="AJ3" s="199" t="str">
        <f t="shared" si="20"/>
        <v>BJP GAIN</v>
      </c>
    </row>
    <row r="4" spans="1:36">
      <c r="A4" s="184">
        <v>177</v>
      </c>
      <c r="B4" s="185" t="s">
        <v>308</v>
      </c>
      <c r="C4" s="184">
        <v>542</v>
      </c>
      <c r="D4" s="184">
        <v>412</v>
      </c>
      <c r="E4" s="184">
        <f t="shared" si="0"/>
        <v>76.0147601476015</v>
      </c>
      <c r="F4" s="184">
        <v>108</v>
      </c>
      <c r="G4" s="184">
        <f t="shared" si="1"/>
        <v>19.9261992619926</v>
      </c>
      <c r="H4" s="184">
        <v>3</v>
      </c>
      <c r="I4" s="184">
        <f t="shared" si="2"/>
        <v>0.55350553505535</v>
      </c>
      <c r="J4" s="184">
        <v>12</v>
      </c>
      <c r="K4" s="184">
        <f t="shared" si="3"/>
        <v>2.2140221402214</v>
      </c>
      <c r="L4" s="189">
        <v>320</v>
      </c>
      <c r="M4" s="189">
        <v>364</v>
      </c>
      <c r="N4" s="189">
        <f t="shared" si="4"/>
        <v>684</v>
      </c>
      <c r="O4" s="184">
        <v>542</v>
      </c>
      <c r="P4" s="190">
        <f t="shared" si="5"/>
        <v>79.2397660818713</v>
      </c>
      <c r="Q4" s="184">
        <v>587</v>
      </c>
      <c r="R4" s="184">
        <f t="shared" si="6"/>
        <v>85.8187134502924</v>
      </c>
      <c r="S4" s="184">
        <f t="shared" si="7"/>
        <v>128</v>
      </c>
      <c r="T4" s="184">
        <f t="shared" si="8"/>
        <v>21.8057921635434</v>
      </c>
      <c r="U4" s="184">
        <v>459</v>
      </c>
      <c r="V4" s="191">
        <f t="shared" si="9"/>
        <v>78.1942078364566</v>
      </c>
      <c r="W4" s="184">
        <v>83</v>
      </c>
      <c r="X4" s="184">
        <f t="shared" si="10"/>
        <v>14.1812865497076</v>
      </c>
      <c r="Y4" s="184">
        <f t="shared" si="11"/>
        <v>18</v>
      </c>
      <c r="Z4" s="193">
        <f t="shared" si="12"/>
        <v>21.6867469879518</v>
      </c>
      <c r="AA4" s="193">
        <v>65</v>
      </c>
      <c r="AB4" s="194">
        <f t="shared" si="13"/>
        <v>78.3132530120482</v>
      </c>
      <c r="AC4" s="193">
        <f t="shared" si="14"/>
        <v>524</v>
      </c>
      <c r="AD4" s="193" t="str">
        <f t="shared" si="15"/>
        <v>STRONG</v>
      </c>
      <c r="AE4" s="195" t="str">
        <f t="shared" si="16"/>
        <v>EXCELLENT</v>
      </c>
      <c r="AF4" s="193" t="str">
        <f t="shared" si="17"/>
        <v>VLOW</v>
      </c>
      <c r="AG4" s="193" t="str">
        <f t="shared" si="18"/>
        <v>FEMALE DOM</v>
      </c>
      <c r="AH4" s="193" t="str">
        <f t="shared" si="19"/>
        <v>H</v>
      </c>
      <c r="AI4" s="197">
        <f>E4-G4</f>
        <v>56.0885608856089</v>
      </c>
      <c r="AJ4" s="199" t="str">
        <f t="shared" si="20"/>
        <v>BJP GAIN</v>
      </c>
    </row>
    <row r="5" spans="1:36">
      <c r="A5" s="184">
        <v>178</v>
      </c>
      <c r="B5" s="185" t="s">
        <v>309</v>
      </c>
      <c r="C5" s="184">
        <v>880</v>
      </c>
      <c r="D5" s="184">
        <v>477</v>
      </c>
      <c r="E5" s="184">
        <f t="shared" si="0"/>
        <v>54.2045454545455</v>
      </c>
      <c r="F5" s="184">
        <v>379</v>
      </c>
      <c r="G5" s="184">
        <f t="shared" si="1"/>
        <v>43.0681818181818</v>
      </c>
      <c r="H5" s="184">
        <v>1</v>
      </c>
      <c r="I5" s="184">
        <f t="shared" si="2"/>
        <v>0.113636363636364</v>
      </c>
      <c r="J5" s="184">
        <v>12</v>
      </c>
      <c r="K5" s="184">
        <f t="shared" si="3"/>
        <v>1.36363636363636</v>
      </c>
      <c r="L5" s="189">
        <v>556</v>
      </c>
      <c r="M5" s="189">
        <v>561</v>
      </c>
      <c r="N5" s="189">
        <f t="shared" si="4"/>
        <v>1117</v>
      </c>
      <c r="O5" s="184">
        <v>880</v>
      </c>
      <c r="P5" s="190">
        <f t="shared" si="5"/>
        <v>78.7824529991047</v>
      </c>
      <c r="Q5" s="184">
        <v>641</v>
      </c>
      <c r="R5" s="184">
        <f t="shared" si="6"/>
        <v>57.3858549686661</v>
      </c>
      <c r="S5" s="184">
        <f t="shared" si="7"/>
        <v>130</v>
      </c>
      <c r="T5" s="184">
        <f t="shared" si="8"/>
        <v>20.2808112324493</v>
      </c>
      <c r="U5" s="184">
        <v>511</v>
      </c>
      <c r="V5" s="191">
        <f t="shared" si="9"/>
        <v>79.7191887675507</v>
      </c>
      <c r="W5" s="184">
        <f>1117-641</f>
        <v>476</v>
      </c>
      <c r="X5" s="184">
        <f t="shared" si="10"/>
        <v>42.6141450313339</v>
      </c>
      <c r="Y5" s="196">
        <f t="shared" si="11"/>
        <v>107</v>
      </c>
      <c r="Z5" s="193">
        <f t="shared" si="12"/>
        <v>22.4789915966387</v>
      </c>
      <c r="AA5" s="193">
        <f>880-511</f>
        <v>369</v>
      </c>
      <c r="AB5" s="194">
        <f t="shared" si="13"/>
        <v>77.5210084033613</v>
      </c>
      <c r="AC5" s="193">
        <f t="shared" si="14"/>
        <v>880</v>
      </c>
      <c r="AD5" s="193" t="str">
        <f t="shared" si="15"/>
        <v>STRONG</v>
      </c>
      <c r="AE5" s="195" t="str">
        <f t="shared" si="16"/>
        <v>WEAK</v>
      </c>
      <c r="AF5" s="193" t="str">
        <f t="shared" si="17"/>
        <v>VLOW</v>
      </c>
      <c r="AG5" s="193" t="str">
        <f t="shared" si="18"/>
        <v>FEMALE DOM</v>
      </c>
      <c r="AH5" s="193" t="str">
        <f t="shared" si="19"/>
        <v>O</v>
      </c>
      <c r="AI5" s="197">
        <f>E5-G5</f>
        <v>11.1363636363636</v>
      </c>
      <c r="AJ5" s="199" t="str">
        <f t="shared" si="20"/>
        <v>BJP GAIN</v>
      </c>
    </row>
    <row r="6" spans="1:36">
      <c r="A6" s="184">
        <v>180</v>
      </c>
      <c r="B6" s="185" t="s">
        <v>310</v>
      </c>
      <c r="C6" s="184">
        <v>862</v>
      </c>
      <c r="D6" s="184">
        <v>502</v>
      </c>
      <c r="E6" s="184">
        <f t="shared" si="0"/>
        <v>58.2366589327146</v>
      </c>
      <c r="F6" s="184">
        <v>348</v>
      </c>
      <c r="G6" s="184">
        <f t="shared" si="1"/>
        <v>40.3712296983759</v>
      </c>
      <c r="H6" s="184">
        <v>0</v>
      </c>
      <c r="I6" s="184">
        <f t="shared" si="2"/>
        <v>0</v>
      </c>
      <c r="J6" s="184">
        <v>7</v>
      </c>
      <c r="K6" s="184">
        <f t="shared" si="3"/>
        <v>0.812064965197216</v>
      </c>
      <c r="L6" s="189">
        <v>566</v>
      </c>
      <c r="M6" s="189">
        <v>641</v>
      </c>
      <c r="N6" s="189">
        <f t="shared" si="4"/>
        <v>1207</v>
      </c>
      <c r="O6" s="184">
        <v>862</v>
      </c>
      <c r="P6" s="190">
        <f t="shared" si="5"/>
        <v>71.4167357083679</v>
      </c>
      <c r="Q6" s="184">
        <v>845</v>
      </c>
      <c r="R6" s="184">
        <f t="shared" si="6"/>
        <v>70.0082850041425</v>
      </c>
      <c r="S6" s="192">
        <f t="shared" si="7"/>
        <v>530</v>
      </c>
      <c r="T6" s="184">
        <f t="shared" si="8"/>
        <v>62.7218934911243</v>
      </c>
      <c r="U6" s="184">
        <v>315</v>
      </c>
      <c r="V6" s="191">
        <f t="shared" si="9"/>
        <v>37.2781065088757</v>
      </c>
      <c r="W6" s="184">
        <v>362</v>
      </c>
      <c r="X6" s="184">
        <f t="shared" si="10"/>
        <v>29.9917149958575</v>
      </c>
      <c r="Y6" s="184">
        <f t="shared" si="11"/>
        <v>230</v>
      </c>
      <c r="Z6" s="193">
        <f t="shared" si="12"/>
        <v>63.5359116022099</v>
      </c>
      <c r="AA6" s="193">
        <v>132</v>
      </c>
      <c r="AB6" s="194">
        <f t="shared" si="13"/>
        <v>36.4640883977901</v>
      </c>
      <c r="AC6" s="193">
        <f t="shared" si="14"/>
        <v>447</v>
      </c>
      <c r="AD6" s="193" t="str">
        <f t="shared" si="15"/>
        <v>STRONG</v>
      </c>
      <c r="AE6" s="195" t="str">
        <f t="shared" si="16"/>
        <v>STRONG</v>
      </c>
      <c r="AF6" s="193" t="str">
        <f t="shared" si="17"/>
        <v>VLOW</v>
      </c>
      <c r="AG6" s="193" t="str">
        <f t="shared" si="18"/>
        <v>FEMALE DOM</v>
      </c>
      <c r="AH6" s="193" t="str">
        <f t="shared" si="19"/>
        <v>O</v>
      </c>
      <c r="AI6" s="197">
        <f>E6-G6</f>
        <v>17.8654292343387</v>
      </c>
      <c r="AJ6" s="199" t="str">
        <f t="shared" si="20"/>
        <v>BJP GAIN</v>
      </c>
    </row>
    <row r="7" spans="1:36">
      <c r="A7" s="184">
        <v>181</v>
      </c>
      <c r="B7" s="185" t="s">
        <v>311</v>
      </c>
      <c r="C7" s="184">
        <v>1010</v>
      </c>
      <c r="D7" s="184">
        <v>27</v>
      </c>
      <c r="E7" s="184">
        <f t="shared" si="0"/>
        <v>2.67326732673267</v>
      </c>
      <c r="F7" s="184">
        <v>930</v>
      </c>
      <c r="G7" s="184">
        <f t="shared" si="1"/>
        <v>92.0792079207921</v>
      </c>
      <c r="H7" s="184">
        <v>5</v>
      </c>
      <c r="I7" s="184">
        <f t="shared" si="2"/>
        <v>0.495049504950495</v>
      </c>
      <c r="J7" s="184">
        <v>22</v>
      </c>
      <c r="K7" s="184">
        <f t="shared" si="3"/>
        <v>2.17821782178218</v>
      </c>
      <c r="L7" s="189">
        <v>817</v>
      </c>
      <c r="M7" s="189">
        <v>696</v>
      </c>
      <c r="N7" s="189">
        <f t="shared" si="4"/>
        <v>1513</v>
      </c>
      <c r="O7" s="184">
        <v>1010</v>
      </c>
      <c r="P7" s="190">
        <f t="shared" si="5"/>
        <v>66.7547918043622</v>
      </c>
      <c r="Q7" s="184">
        <v>53</v>
      </c>
      <c r="R7" s="184">
        <f t="shared" si="6"/>
        <v>3.50297422339722</v>
      </c>
      <c r="S7" s="184">
        <f t="shared" si="7"/>
        <v>27</v>
      </c>
      <c r="T7" s="184">
        <f t="shared" si="8"/>
        <v>50.9433962264151</v>
      </c>
      <c r="U7" s="184">
        <v>26</v>
      </c>
      <c r="V7" s="191">
        <f t="shared" si="9"/>
        <v>49.0566037735849</v>
      </c>
      <c r="W7" s="184">
        <v>1460</v>
      </c>
      <c r="X7" s="184">
        <f t="shared" si="10"/>
        <v>96.4970257766028</v>
      </c>
      <c r="Y7" s="196">
        <f t="shared" si="11"/>
        <v>477</v>
      </c>
      <c r="Z7" s="193">
        <f t="shared" si="12"/>
        <v>32.6712328767123</v>
      </c>
      <c r="AA7" s="193">
        <v>983</v>
      </c>
      <c r="AB7" s="194">
        <f t="shared" si="13"/>
        <v>67.3287671232877</v>
      </c>
      <c r="AC7" s="193">
        <f t="shared" si="14"/>
        <v>1009</v>
      </c>
      <c r="AD7" s="193" t="str">
        <f t="shared" si="15"/>
        <v>AVG</v>
      </c>
      <c r="AE7" s="195" t="str">
        <f t="shared" si="16"/>
        <v>VLOW</v>
      </c>
      <c r="AF7" s="193" t="str">
        <f t="shared" si="17"/>
        <v>EXCELLENT</v>
      </c>
      <c r="AG7" s="193" t="str">
        <f t="shared" si="18"/>
        <v>MEN</v>
      </c>
      <c r="AH7" s="193" t="str">
        <f t="shared" si="19"/>
        <v>H</v>
      </c>
      <c r="AI7" s="197">
        <f>G7-E7</f>
        <v>89.4059405940594</v>
      </c>
      <c r="AJ7" s="198" t="str">
        <f t="shared" si="20"/>
        <v>CONGRESSGAIN</v>
      </c>
    </row>
    <row r="8" spans="3:36">
      <c r="C8">
        <f>SUM(C2:C7)</f>
        <v>4571</v>
      </c>
      <c r="D8">
        <f>SUM(D2:D7)</f>
        <v>2209</v>
      </c>
      <c r="E8" s="186">
        <f>AVERAGE(E2:E7)</f>
        <v>52.4903785834211</v>
      </c>
      <c r="F8">
        <f>SUM(F2:F7)</f>
        <v>2193</v>
      </c>
      <c r="G8" s="186">
        <f>AVERAGE(G2:G7)</f>
        <v>43.7571312824388</v>
      </c>
      <c r="H8">
        <f>SUM(H2:H7)</f>
        <v>14</v>
      </c>
      <c r="I8">
        <f>AVERAGE(I2:I7)</f>
        <v>0.324152191030897</v>
      </c>
      <c r="J8">
        <f>SUM(J2:J7)</f>
        <v>69</v>
      </c>
      <c r="K8" s="186">
        <f>AVERAGE(K2:K7)</f>
        <v>1.5126726458041</v>
      </c>
      <c r="AI8" s="329">
        <f>G8-E8</f>
        <v>-8.73324730098232</v>
      </c>
      <c r="AJ8" s="335" t="str">
        <f t="shared" si="20"/>
        <v>BJP GAIN</v>
      </c>
    </row>
  </sheetData>
  <conditionalFormatting sqref="AD2:AD5">
    <cfRule type="containsText" dxfId="8" priority="30" operator="between" text="AVG">
      <formula>NOT(ISERROR(SEARCH("AVG",AD2)))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NOT(ISERROR(SEARCH("VSTRONG",AD2)))</formula>
    </cfRule>
    <cfRule type="containsText" dxfId="10" priority="20" operator="between" text="AVG">
      <formula>NOT(ISERROR(SEARCH("AVG",AD2)))</formula>
    </cfRule>
  </conditionalFormatting>
  <conditionalFormatting sqref="AD6:AD7">
    <cfRule type="containsText" dxfId="8" priority="15" operator="between" text="AVG">
      <formula>NOT(ISERROR(SEARCH("AVG",AD6)))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NOT(ISERROR(SEARCH("VSTRONG",AD6)))</formula>
    </cfRule>
    <cfRule type="containsText" dxfId="10" priority="5" operator="between" text="AVG">
      <formula>NOT(ISERROR(SEARCH("AVG",AD6)))</formula>
    </cfRule>
  </conditionalFormatting>
  <conditionalFormatting sqref="AE2:AE5">
    <cfRule type="containsText" dxfId="3" priority="24" operator="between" text="STRONG">
      <formula>NOT(ISERROR(SEARCH("STRONG",AE2)))</formula>
    </cfRule>
    <cfRule type="containsText" dxfId="1" priority="22" operator="between" text="VSTRONG">
      <formula>NOT(ISERROR(SEARCH("VSTRONG",AE2)))</formula>
    </cfRule>
  </conditionalFormatting>
  <conditionalFormatting sqref="AE6:AE7">
    <cfRule type="containsText" dxfId="3" priority="9" operator="between" text="STRONG">
      <formula>NOT(ISERROR(SEARCH("STRONG",AE6)))</formula>
    </cfRule>
    <cfRule type="containsText" dxfId="1" priority="7" operator="between" text="VSTRONG">
      <formula>NOT(ISERROR(SEARCH("VSTRONG",AE6)))</formula>
    </cfRule>
  </conditionalFormatting>
  <conditionalFormatting sqref="AF2:AF5">
    <cfRule type="cellIs" dxfId="11" priority="18" operator="equal">
      <formula>"VWEAK"</formula>
    </cfRule>
    <cfRule type="containsText" dxfId="0" priority="17" operator="between" text="VSTRONG">
      <formula>NOT(ISERROR(SEARCH("VSTRONG",AF2)))</formula>
    </cfRule>
  </conditionalFormatting>
  <conditionalFormatting sqref="AF6:AF7">
    <cfRule type="cellIs" dxfId="11" priority="3" operator="equal">
      <formula>"VWEAK"</formula>
    </cfRule>
    <cfRule type="containsText" dxfId="0" priority="2" operator="between" text="VSTRONG">
      <formula>NOT(ISERROR(SEARCH("VSTRONG",AF6)))</formula>
    </cfRule>
  </conditionalFormatting>
  <conditionalFormatting sqref="AG2:AG5">
    <cfRule type="containsText" dxfId="12" priority="21" operator="between" text="FEMALE DOM">
      <formula>NOT(ISERROR(SEARCH("FEMALE DOM",AG2)))</formula>
    </cfRule>
    <cfRule type="containsText" dxfId="10" priority="16" operator="between" text="MEN">
      <formula>NOT(ISERROR(SEARCH("MEN",AG2)))</formula>
    </cfRule>
  </conditionalFormatting>
  <conditionalFormatting sqref="AG6:AG7">
    <cfRule type="containsText" dxfId="12" priority="6" operator="between" text="FEMALE DOM">
      <formula>NOT(ISERROR(SEARCH("FEMALE DOM",AG6)))</formula>
    </cfRule>
    <cfRule type="containsText" dxfId="10" priority="1" operator="between" text="MEN">
      <formula>NOT(ISERROR(SEARCH("MEN",AG6)))</formula>
    </cfRule>
  </conditionalFormatting>
  <conditionalFormatting sqref="AH2:AH5">
    <cfRule type="containsText" dxfId="0" priority="27" operator="between" text="O">
      <formula>NOT(ISERROR(SEARCH("O",AH2)))</formula>
    </cfRule>
    <cfRule type="containsText" dxfId="3" priority="25" operator="between" text="H">
      <formula>NOT(ISERROR(SEARCH("H",AH2)))</formula>
    </cfRule>
    <cfRule type="containsText" dxfId="13" priority="26" operator="between" text="H">
      <formula>NOT(ISERROR(SEARCH("H",AH2)))</formula>
    </cfRule>
    <cfRule type="containsText" dxfId="1" priority="19" operator="between" text="H">
      <formula>NOT(ISERROR(SEARCH("H",AH2)))</formula>
    </cfRule>
  </conditionalFormatting>
  <conditionalFormatting sqref="AH6:AH7">
    <cfRule type="containsText" dxfId="0" priority="12" operator="between" text="O">
      <formula>NOT(ISERROR(SEARCH("O",AH6)))</formula>
    </cfRule>
    <cfRule type="containsText" dxfId="3" priority="10" operator="between" text="H">
      <formula>NOT(ISERROR(SEARCH("H",AH6)))</formula>
    </cfRule>
    <cfRule type="containsText" dxfId="13" priority="11" operator="between" text="H">
      <formula>NOT(ISERROR(SEARCH("H",AH6)))</formula>
    </cfRule>
    <cfRule type="containsText" dxfId="1" priority="4" operator="between" text="H">
      <formula>NOT(ISERROR(SEARCH("H",AH6)))</formula>
    </cfRule>
  </conditionalFormatting>
  <conditionalFormatting sqref="AE2:AF5">
    <cfRule type="containsText" dxfId="2" priority="23" operator="between" text="AVG">
      <formula>NOT(ISERROR(SEARCH("AVG",AE2)))</formula>
    </cfRule>
  </conditionalFormatting>
  <conditionalFormatting sqref="AE6:AF7">
    <cfRule type="containsText" dxfId="2" priority="8" operator="between" text="AVG">
      <formula>NOT(ISERROR(SEARCH("AVG",AE6)))</formula>
    </cfRule>
  </conditionalFormatting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4"/>
  <sheetViews>
    <sheetView topLeftCell="O15" workbookViewId="0">
      <selection activeCell="W26" sqref="W26:Z27"/>
    </sheetView>
  </sheetViews>
  <sheetFormatPr defaultColWidth="9" defaultRowHeight="14.5"/>
  <sheetData>
    <row r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340" t="s">
        <v>53</v>
      </c>
      <c r="B7" s="337">
        <v>65</v>
      </c>
      <c r="C7" s="337">
        <v>1254</v>
      </c>
      <c r="D7" s="337">
        <v>158</v>
      </c>
      <c r="E7" s="337">
        <v>596</v>
      </c>
      <c r="F7" s="337">
        <v>3</v>
      </c>
      <c r="G7" s="337">
        <v>2</v>
      </c>
      <c r="H7" s="337">
        <v>0</v>
      </c>
      <c r="I7" s="337">
        <v>0</v>
      </c>
      <c r="J7" s="337">
        <v>1</v>
      </c>
      <c r="K7" s="337">
        <v>1</v>
      </c>
      <c r="L7" s="337">
        <v>761</v>
      </c>
      <c r="M7" s="337">
        <v>0</v>
      </c>
      <c r="N7" s="337">
        <v>12</v>
      </c>
      <c r="O7" s="337">
        <f t="shared" ref="O7:O12" si="0">D7+E7+F7+G7+H7+I7+J7+K7+N7</f>
        <v>773</v>
      </c>
      <c r="P7" s="337">
        <f t="shared" ref="P7:P12" si="1">(O7/C7)*100</f>
        <v>61.6427432216906</v>
      </c>
      <c r="Q7" s="337">
        <f t="shared" ref="Q7:Q12" si="2">(E7/O7)*100</f>
        <v>77.1021992238034</v>
      </c>
      <c r="R7" s="337">
        <f t="shared" ref="R7:R12" si="3">(D7/O7)*100</f>
        <v>20.4398447606727</v>
      </c>
      <c r="S7" s="337">
        <f t="shared" ref="S7:S12" si="4">(F7/O7)*100</f>
        <v>0.388098318240621</v>
      </c>
      <c r="T7" s="337">
        <f t="shared" ref="T7:T12" si="5">(G7/O7)*100</f>
        <v>0.258732212160414</v>
      </c>
      <c r="U7" s="337">
        <f t="shared" ref="U7:U12" si="6">((H7+I7+J7+K7)/O7)*100</f>
        <v>0.258732212160414</v>
      </c>
      <c r="V7" s="337">
        <f t="shared" ref="V7:V12" si="7">(N7/O7)*100</f>
        <v>1.55239327296248</v>
      </c>
      <c r="W7" s="337">
        <f>Q7-R7</f>
        <v>56.6623544631307</v>
      </c>
      <c r="X7" s="337">
        <f>Q7-(R7+S7+T7+U7)</f>
        <v>55.7567917205692</v>
      </c>
      <c r="Y7" s="337" t="str">
        <f>IF(AND(W7&lt;0,W7&lt;=1),"LOST",IF(AND(W7&gt;1,W7&lt;=10),"NARROW",IF(AND(W7&gt;10,W7&lt;=40),"MEDIUM",IF(AND(W7&gt;40,W7&lt;=90),"STRONG",""))))</f>
        <v>STRONG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1244</v>
      </c>
      <c r="AD7">
        <v>598</v>
      </c>
      <c r="AF7">
        <v>646</v>
      </c>
      <c r="AH7">
        <v>1084</v>
      </c>
      <c r="AJ7">
        <v>18</v>
      </c>
      <c r="AL7">
        <v>142</v>
      </c>
      <c r="AN7" s="248">
        <f>(AD7/AB7)*100</f>
        <v>48.0707395498392</v>
      </c>
      <c r="AO7" s="316" t="e">
        <f>(AE7/AC7)*100</f>
        <v>#DIV/0!</v>
      </c>
      <c r="AP7" s="317">
        <f>(AF7/AB7)*100</f>
        <v>51.9292604501608</v>
      </c>
      <c r="AQ7" s="318" t="e">
        <f>(AG7/AC7)*100</f>
        <v>#DIV/0!</v>
      </c>
      <c r="AR7" s="318" t="str">
        <f>IF(AN7&gt;AP7,"MALE DOM","FEMALE DOM")</f>
        <v>FEMALE DOM</v>
      </c>
      <c r="AS7" s="319" t="e">
        <f>IF(AO7&gt;AP7,"MALE","FEMALE")</f>
        <v>#DIV/0!</v>
      </c>
      <c r="AT7" s="317">
        <f>(AH7/AB7)*100</f>
        <v>87.1382636655948</v>
      </c>
      <c r="AU7" s="317" t="e">
        <f>(AI7/AC7)*100</f>
        <v>#DIV/0!</v>
      </c>
      <c r="AV7" s="248">
        <f>(AJ7/AB7)*100</f>
        <v>1.44694533762058</v>
      </c>
      <c r="AW7" s="317" t="e">
        <f>(AK7/AC7)*100</f>
        <v>#DIV/0!</v>
      </c>
      <c r="AX7" s="248">
        <f>(AL7/AB7)*100</f>
        <v>11.4147909967846</v>
      </c>
      <c r="AY7" s="317" t="e">
        <f>(AM7/AC7)*100</f>
        <v>#DIV/0!</v>
      </c>
      <c r="AZ7" s="248" t="str">
        <f>IF(AT7&gt;(AV7+AX7),"HINDU","MINORITY")</f>
        <v>HINDU</v>
      </c>
      <c r="BA7" s="318" t="e">
        <f>IF(AU7&gt;(AW7+AY7),"HIND","MINORITY")</f>
        <v>#DIV/0!</v>
      </c>
    </row>
    <row r="8" spans="2:53">
      <c r="B8" s="219">
        <v>64</v>
      </c>
      <c r="C8" s="219">
        <v>1092</v>
      </c>
      <c r="D8" s="219">
        <v>239</v>
      </c>
      <c r="E8" s="219">
        <v>512</v>
      </c>
      <c r="F8" s="219">
        <v>6</v>
      </c>
      <c r="G8" s="219">
        <v>4</v>
      </c>
      <c r="H8" s="219">
        <v>0</v>
      </c>
      <c r="I8" s="219">
        <v>0</v>
      </c>
      <c r="J8" s="219">
        <v>1</v>
      </c>
      <c r="K8" s="219">
        <v>0</v>
      </c>
      <c r="L8" s="219">
        <v>762</v>
      </c>
      <c r="M8" s="219">
        <v>0</v>
      </c>
      <c r="N8" s="219">
        <v>7</v>
      </c>
      <c r="O8" s="219">
        <f t="shared" si="0"/>
        <v>769</v>
      </c>
      <c r="P8" s="219">
        <f t="shared" si="1"/>
        <v>70.4212454212454</v>
      </c>
      <c r="Q8" s="219">
        <f t="shared" si="2"/>
        <v>66.5799739921977</v>
      </c>
      <c r="R8" s="219">
        <f t="shared" si="3"/>
        <v>31.0793237971391</v>
      </c>
      <c r="S8" s="219">
        <f t="shared" si="4"/>
        <v>0.780234070221066</v>
      </c>
      <c r="T8" s="219">
        <f t="shared" si="5"/>
        <v>0.520156046814044</v>
      </c>
      <c r="U8" s="219">
        <f t="shared" si="6"/>
        <v>0.130039011703511</v>
      </c>
      <c r="V8" s="219">
        <f t="shared" si="7"/>
        <v>0.910273081924577</v>
      </c>
      <c r="W8" s="219">
        <f t="shared" ref="W8:W12" si="8">Q8-R8</f>
        <v>35.5006501950585</v>
      </c>
      <c r="X8" s="219">
        <f t="shared" ref="X8:X12" si="9">Q8-(R8+S8+T8+U8)</f>
        <v>34.0702210663199</v>
      </c>
      <c r="Y8" s="219" t="str">
        <f>IF(AND(W8&lt;0,W8&lt;=1),"LOST",IF(AND(W8&gt;1,W8&lt;=10),"NARROW",IF(AND(W8&gt;10,W8&lt;=40),"MEDIUM",IF(AND(W8&gt;40,W8&lt;=90),"STRONG",""))))</f>
        <v>MEDIUM</v>
      </c>
      <c r="Z8" s="285" t="str">
        <f t="shared" ref="Z8:Z13" si="10">IF(AND(P8&lt;0,P8&lt;=10),"WEAK",IF(AND(P8&gt;10,P8&lt;20),"BELOW AVG",IF(AND(P8&gt;20,P8&lt;=60),"MEDIUM",IF(AND(P8&gt;60,P8&lt;=90),"STRONG",""))))</f>
        <v>STRONG</v>
      </c>
      <c r="AA8" s="333" t="str">
        <f t="shared" ref="AA8:AA13" si="11">IF(Q8&gt;R8,"BJP","CONGRESS")</f>
        <v>BJP</v>
      </c>
      <c r="AB8">
        <v>1089</v>
      </c>
      <c r="AD8">
        <v>506</v>
      </c>
      <c r="AF8">
        <v>583</v>
      </c>
      <c r="AH8">
        <v>1004</v>
      </c>
      <c r="AJ8">
        <v>0</v>
      </c>
      <c r="AL8">
        <v>85</v>
      </c>
      <c r="AN8" s="248">
        <f t="shared" ref="AN8:AO10" si="12">(AD8/AB8)*100</f>
        <v>46.4646464646465</v>
      </c>
      <c r="AO8" s="316" t="e">
        <f t="shared" si="12"/>
        <v>#DIV/0!</v>
      </c>
      <c r="AP8" s="317">
        <f t="shared" ref="AP8:AQ10" si="13">(AF8/AB8)*100</f>
        <v>53.5353535353535</v>
      </c>
      <c r="AQ8" s="318" t="e">
        <f t="shared" si="13"/>
        <v>#DIV/0!</v>
      </c>
      <c r="AR8" s="318" t="str">
        <f t="shared" ref="AR8:AR12" si="14">IF(AN8&gt;AP8,"MALE DOM","FEMALE DOM")</f>
        <v>FEMALE DOM</v>
      </c>
      <c r="AS8" s="319" t="e">
        <f t="shared" ref="AS8:AS12" si="15">IF(AO8&gt;AP8,"MALE","FEMALE")</f>
        <v>#DIV/0!</v>
      </c>
      <c r="AT8" s="317">
        <f t="shared" ref="AT8:AU10" si="16">(AH8/AB8)*100</f>
        <v>92.1946740128558</v>
      </c>
      <c r="AU8" s="317" t="e">
        <f t="shared" si="16"/>
        <v>#DIV/0!</v>
      </c>
      <c r="AV8" s="248">
        <f t="shared" ref="AV8:AW10" si="17">(AJ8/AB8)*100</f>
        <v>0</v>
      </c>
      <c r="AW8" s="317" t="e">
        <f t="shared" si="17"/>
        <v>#DIV/0!</v>
      </c>
      <c r="AX8" s="248">
        <f t="shared" ref="AX8:AY10" si="18">(AL8/AB8)*100</f>
        <v>7.80532598714417</v>
      </c>
      <c r="AY8" s="317" t="e">
        <f t="shared" si="18"/>
        <v>#DIV/0!</v>
      </c>
      <c r="AZ8" s="248" t="str">
        <f t="shared" ref="AZ8:AZ12" si="19">IF(AT8&gt;(AV8+AX8),"HINDU","MINORITY")</f>
        <v>HINDU</v>
      </c>
      <c r="BA8" s="318" t="e">
        <f t="shared" ref="BA8:BA12" si="20">IF(AU8&gt;(AW8+AY8),"HIND","MINORITY")</f>
        <v>#DIV/0!</v>
      </c>
    </row>
    <row r="9" spans="2:53">
      <c r="B9" s="337">
        <v>26</v>
      </c>
      <c r="C9" s="337">
        <v>1012</v>
      </c>
      <c r="D9" s="337">
        <v>157</v>
      </c>
      <c r="E9" s="337">
        <v>445</v>
      </c>
      <c r="F9" s="337">
        <v>1</v>
      </c>
      <c r="G9" s="337">
        <v>7</v>
      </c>
      <c r="H9" s="337">
        <v>0</v>
      </c>
      <c r="I9" s="337">
        <v>0</v>
      </c>
      <c r="J9" s="337">
        <v>0</v>
      </c>
      <c r="K9" s="337">
        <v>1</v>
      </c>
      <c r="L9" s="337">
        <v>611</v>
      </c>
      <c r="M9" s="337">
        <v>0</v>
      </c>
      <c r="N9" s="337">
        <v>8</v>
      </c>
      <c r="O9" s="337">
        <f t="shared" si="0"/>
        <v>619</v>
      </c>
      <c r="P9" s="337">
        <f t="shared" si="1"/>
        <v>61.1660079051383</v>
      </c>
      <c r="Q9" s="337">
        <f t="shared" si="2"/>
        <v>71.8901453957997</v>
      </c>
      <c r="R9" s="337">
        <f t="shared" si="3"/>
        <v>25.3634894991922</v>
      </c>
      <c r="S9" s="337">
        <f t="shared" si="4"/>
        <v>0.161550888529887</v>
      </c>
      <c r="T9" s="337">
        <f t="shared" si="5"/>
        <v>1.13085621970921</v>
      </c>
      <c r="U9" s="337">
        <f t="shared" si="6"/>
        <v>0.161550888529887</v>
      </c>
      <c r="V9" s="337">
        <f t="shared" si="7"/>
        <v>1.2924071082391</v>
      </c>
      <c r="W9" s="337">
        <f t="shared" si="8"/>
        <v>46.5266558966074</v>
      </c>
      <c r="X9" s="337">
        <f t="shared" si="9"/>
        <v>45.0726978998384</v>
      </c>
      <c r="Y9" s="337" t="str">
        <f t="shared" ref="Y9:Y13" si="21">IF(AND(W9&lt;0,W9&lt;=1),"LOST",IF(AND(W9&gt;1,W9&lt;=10),"NARROW",IF(AND(W9&gt;10,W9&lt;=40),"MEDIUM",IF(AND(W9&gt;40,W9&lt;=90),"STRONG",""))))</f>
        <v>STRONG</v>
      </c>
      <c r="Z9" s="283" t="str">
        <f t="shared" si="10"/>
        <v>STRONG</v>
      </c>
      <c r="AA9" s="289" t="str">
        <f t="shared" si="11"/>
        <v>BJP</v>
      </c>
      <c r="AB9">
        <v>1008</v>
      </c>
      <c r="AD9">
        <v>483</v>
      </c>
      <c r="AF9">
        <v>525</v>
      </c>
      <c r="AH9">
        <v>831</v>
      </c>
      <c r="AJ9">
        <v>33</v>
      </c>
      <c r="AL9">
        <v>144</v>
      </c>
      <c r="AN9" s="248">
        <f t="shared" si="12"/>
        <v>47.9166666666667</v>
      </c>
      <c r="AO9" s="316" t="e">
        <f t="shared" si="12"/>
        <v>#DIV/0!</v>
      </c>
      <c r="AP9" s="317">
        <f t="shared" si="13"/>
        <v>52.0833333333333</v>
      </c>
      <c r="AQ9" s="318" t="e">
        <f t="shared" si="13"/>
        <v>#DIV/0!</v>
      </c>
      <c r="AR9" s="318" t="str">
        <f t="shared" si="14"/>
        <v>FEMALE DOM</v>
      </c>
      <c r="AS9" s="319" t="e">
        <f t="shared" si="15"/>
        <v>#DIV/0!</v>
      </c>
      <c r="AT9" s="317">
        <f t="shared" si="16"/>
        <v>82.4404761904762</v>
      </c>
      <c r="AU9" s="317" t="e">
        <f t="shared" si="16"/>
        <v>#DIV/0!</v>
      </c>
      <c r="AV9" s="248">
        <f t="shared" si="17"/>
        <v>3.27380952380952</v>
      </c>
      <c r="AW9" s="317" t="e">
        <f t="shared" si="17"/>
        <v>#DIV/0!</v>
      </c>
      <c r="AX9" s="248">
        <f t="shared" si="18"/>
        <v>14.2857142857143</v>
      </c>
      <c r="AY9" s="317" t="e">
        <f t="shared" si="18"/>
        <v>#DIV/0!</v>
      </c>
      <c r="AZ9" s="248" t="str">
        <f t="shared" si="19"/>
        <v>HINDU</v>
      </c>
      <c r="BA9" s="318" t="e">
        <f t="shared" si="20"/>
        <v>#DIV/0!</v>
      </c>
    </row>
    <row r="10" spans="2:53">
      <c r="B10" s="219">
        <v>24</v>
      </c>
      <c r="C10" s="219">
        <v>980</v>
      </c>
      <c r="D10" s="219">
        <v>271</v>
      </c>
      <c r="E10" s="219">
        <v>346</v>
      </c>
      <c r="F10" s="219">
        <v>1</v>
      </c>
      <c r="G10" s="219">
        <v>1</v>
      </c>
      <c r="H10" s="219">
        <v>0</v>
      </c>
      <c r="I10" s="219">
        <v>0</v>
      </c>
      <c r="J10" s="219">
        <v>2</v>
      </c>
      <c r="K10" s="219">
        <v>2</v>
      </c>
      <c r="L10" s="219">
        <v>623</v>
      </c>
      <c r="M10" s="219">
        <v>0</v>
      </c>
      <c r="N10" s="219">
        <v>3</v>
      </c>
      <c r="O10" s="219">
        <f t="shared" si="0"/>
        <v>626</v>
      </c>
      <c r="P10" s="219">
        <f t="shared" si="1"/>
        <v>63.8775510204082</v>
      </c>
      <c r="Q10" s="219">
        <f t="shared" si="2"/>
        <v>55.2715654952077</v>
      </c>
      <c r="R10" s="219">
        <f t="shared" si="3"/>
        <v>43.2907348242812</v>
      </c>
      <c r="S10" s="219">
        <f t="shared" si="4"/>
        <v>0.159744408945687</v>
      </c>
      <c r="T10" s="219">
        <f t="shared" si="5"/>
        <v>0.159744408945687</v>
      </c>
      <c r="U10" s="219">
        <f t="shared" si="6"/>
        <v>0.638977635782748</v>
      </c>
      <c r="V10" s="219">
        <f t="shared" si="7"/>
        <v>0.479233226837061</v>
      </c>
      <c r="W10" s="219">
        <f t="shared" si="8"/>
        <v>11.9808306709265</v>
      </c>
      <c r="X10" s="219">
        <f t="shared" si="9"/>
        <v>11.0223642172524</v>
      </c>
      <c r="Y10" s="219" t="str">
        <f t="shared" si="21"/>
        <v>MEDIUM</v>
      </c>
      <c r="Z10" s="285" t="str">
        <f t="shared" si="10"/>
        <v>STRONG</v>
      </c>
      <c r="AA10" s="289" t="str">
        <f t="shared" si="11"/>
        <v>BJP</v>
      </c>
      <c r="AB10">
        <v>976</v>
      </c>
      <c r="AD10">
        <v>463</v>
      </c>
      <c r="AF10">
        <v>513</v>
      </c>
      <c r="AH10">
        <v>636</v>
      </c>
      <c r="AJ10">
        <v>7</v>
      </c>
      <c r="AL10">
        <v>333</v>
      </c>
      <c r="AN10" s="248">
        <f t="shared" si="12"/>
        <v>47.4385245901639</v>
      </c>
      <c r="AO10" s="316" t="e">
        <f t="shared" si="12"/>
        <v>#DIV/0!</v>
      </c>
      <c r="AP10" s="317">
        <f t="shared" si="13"/>
        <v>52.5614754098361</v>
      </c>
      <c r="AQ10" s="318" t="e">
        <f t="shared" si="13"/>
        <v>#DIV/0!</v>
      </c>
      <c r="AR10" s="318" t="str">
        <f t="shared" si="14"/>
        <v>FEMALE DOM</v>
      </c>
      <c r="AS10" s="319" t="e">
        <f t="shared" si="15"/>
        <v>#DIV/0!</v>
      </c>
      <c r="AT10" s="317">
        <f t="shared" si="16"/>
        <v>65.1639344262295</v>
      </c>
      <c r="AU10" s="317" t="e">
        <f t="shared" si="16"/>
        <v>#DIV/0!</v>
      </c>
      <c r="AV10" s="248">
        <f t="shared" si="17"/>
        <v>0.717213114754098</v>
      </c>
      <c r="AW10" s="317" t="e">
        <f t="shared" si="17"/>
        <v>#DIV/0!</v>
      </c>
      <c r="AX10" s="248">
        <f t="shared" si="18"/>
        <v>34.1188524590164</v>
      </c>
      <c r="AY10" s="317" t="e">
        <f t="shared" si="18"/>
        <v>#DIV/0!</v>
      </c>
      <c r="AZ10" s="248" t="str">
        <f t="shared" si="19"/>
        <v>HINDU</v>
      </c>
      <c r="BA10" s="318" t="e">
        <f t="shared" si="20"/>
        <v>#DIV/0!</v>
      </c>
    </row>
    <row r="11" spans="2:53">
      <c r="B11" s="337">
        <v>25</v>
      </c>
      <c r="C11" s="337">
        <v>599</v>
      </c>
      <c r="D11" s="337">
        <v>130</v>
      </c>
      <c r="E11" s="337">
        <v>309</v>
      </c>
      <c r="F11" s="337">
        <v>2</v>
      </c>
      <c r="G11" s="337">
        <v>1</v>
      </c>
      <c r="H11" s="337">
        <v>0</v>
      </c>
      <c r="I11" s="337">
        <v>0</v>
      </c>
      <c r="J11" s="337">
        <v>0</v>
      </c>
      <c r="K11" s="337">
        <v>0</v>
      </c>
      <c r="L11" s="337">
        <v>442</v>
      </c>
      <c r="M11" s="337">
        <v>0</v>
      </c>
      <c r="N11" s="337">
        <v>3</v>
      </c>
      <c r="O11" s="337">
        <f t="shared" si="0"/>
        <v>445</v>
      </c>
      <c r="P11" s="337">
        <f t="shared" si="1"/>
        <v>74.2904841402337</v>
      </c>
      <c r="Q11" s="337">
        <f t="shared" si="2"/>
        <v>69.438202247191</v>
      </c>
      <c r="R11" s="337">
        <f t="shared" si="3"/>
        <v>29.2134831460674</v>
      </c>
      <c r="S11" s="337">
        <f t="shared" si="4"/>
        <v>0.449438202247191</v>
      </c>
      <c r="T11" s="337">
        <f t="shared" si="5"/>
        <v>0.224719101123596</v>
      </c>
      <c r="U11" s="337">
        <f t="shared" si="6"/>
        <v>0</v>
      </c>
      <c r="V11" s="337">
        <f t="shared" si="7"/>
        <v>0.674157303370786</v>
      </c>
      <c r="W11" s="337">
        <f t="shared" si="8"/>
        <v>40.2247191011236</v>
      </c>
      <c r="X11" s="337">
        <f t="shared" si="9"/>
        <v>39.5505617977528</v>
      </c>
      <c r="Y11" s="337" t="str">
        <f t="shared" si="21"/>
        <v>STRONG</v>
      </c>
      <c r="Z11" s="341" t="str">
        <f t="shared" si="10"/>
        <v>STRONG</v>
      </c>
      <c r="AA11" s="289" t="str">
        <f t="shared" si="11"/>
        <v>BJP</v>
      </c>
      <c r="AB11">
        <v>591</v>
      </c>
      <c r="AD11">
        <v>286</v>
      </c>
      <c r="AF11">
        <v>305</v>
      </c>
      <c r="AH11">
        <v>518</v>
      </c>
      <c r="AJ11">
        <v>8</v>
      </c>
      <c r="AL11">
        <v>65</v>
      </c>
      <c r="AN11" s="248">
        <f>(AD11/AB11)*100</f>
        <v>48.3925549915398</v>
      </c>
      <c r="AO11" s="316" t="e">
        <f>(AE11/AC11)*100</f>
        <v>#DIV/0!</v>
      </c>
      <c r="AP11" s="317">
        <f>(AF11/AB11)*100</f>
        <v>51.6074450084602</v>
      </c>
      <c r="AQ11" s="318" t="e">
        <f>(AG11/AC11)*100</f>
        <v>#DIV/0!</v>
      </c>
      <c r="AR11" s="318" t="str">
        <f t="shared" si="14"/>
        <v>FEMALE DOM</v>
      </c>
      <c r="AS11" s="319" t="e">
        <f t="shared" si="15"/>
        <v>#DIV/0!</v>
      </c>
      <c r="AT11" s="317">
        <f>(AH11/AB11)*100</f>
        <v>87.6480541455161</v>
      </c>
      <c r="AU11" s="317" t="e">
        <f>(AI11/AC11)*100</f>
        <v>#DIV/0!</v>
      </c>
      <c r="AV11" s="248">
        <f>(AJ11/AB11)*100</f>
        <v>1.35363790186125</v>
      </c>
      <c r="AW11" s="317" t="e">
        <f>(AK11/AC11)*100</f>
        <v>#DIV/0!</v>
      </c>
      <c r="AX11" s="248">
        <f>(AL11/AB11)*100</f>
        <v>10.9983079526227</v>
      </c>
      <c r="AY11" s="317" t="e">
        <f>(AM11/AC11)*100</f>
        <v>#DIV/0!</v>
      </c>
      <c r="AZ11" s="248" t="str">
        <f t="shared" si="19"/>
        <v>HINDU</v>
      </c>
      <c r="BA11" s="318" t="e">
        <f t="shared" si="20"/>
        <v>#DIV/0!</v>
      </c>
    </row>
    <row r="12" spans="2:53">
      <c r="B12" s="219">
        <v>22</v>
      </c>
      <c r="C12" s="219">
        <v>971</v>
      </c>
      <c r="D12" s="219">
        <v>233</v>
      </c>
      <c r="E12" s="219">
        <v>335</v>
      </c>
      <c r="F12" s="219">
        <v>1</v>
      </c>
      <c r="G12" s="219">
        <v>3</v>
      </c>
      <c r="H12" s="219">
        <v>0</v>
      </c>
      <c r="I12" s="219">
        <v>0</v>
      </c>
      <c r="J12" s="219">
        <v>1</v>
      </c>
      <c r="K12" s="219">
        <v>0</v>
      </c>
      <c r="L12" s="219">
        <v>573</v>
      </c>
      <c r="M12" s="219">
        <v>0</v>
      </c>
      <c r="N12" s="219">
        <v>3</v>
      </c>
      <c r="O12" s="219">
        <f t="shared" si="0"/>
        <v>576</v>
      </c>
      <c r="P12" s="219">
        <f t="shared" si="1"/>
        <v>59.3202883625129</v>
      </c>
      <c r="Q12" s="219">
        <f t="shared" si="2"/>
        <v>58.1597222222222</v>
      </c>
      <c r="R12" s="219">
        <f t="shared" si="3"/>
        <v>40.4513888888889</v>
      </c>
      <c r="S12" s="219">
        <f t="shared" si="4"/>
        <v>0.173611111111111</v>
      </c>
      <c r="T12" s="219">
        <f t="shared" si="5"/>
        <v>0.520833333333333</v>
      </c>
      <c r="U12" s="219">
        <f t="shared" si="6"/>
        <v>0.173611111111111</v>
      </c>
      <c r="V12" s="219">
        <f t="shared" si="7"/>
        <v>0.520833333333333</v>
      </c>
      <c r="W12" s="219">
        <f t="shared" si="8"/>
        <v>17.7083333333333</v>
      </c>
      <c r="X12" s="219">
        <f t="shared" si="9"/>
        <v>16.8402777777778</v>
      </c>
      <c r="Y12" s="219" t="str">
        <f t="shared" si="21"/>
        <v>MEDIUM</v>
      </c>
      <c r="Z12" s="342" t="str">
        <f t="shared" si="10"/>
        <v>MEDIUM</v>
      </c>
      <c r="AA12" s="289" t="str">
        <f t="shared" si="11"/>
        <v>BJP</v>
      </c>
      <c r="AB12">
        <v>962</v>
      </c>
      <c r="AD12">
        <v>466</v>
      </c>
      <c r="AF12">
        <v>496</v>
      </c>
      <c r="AH12">
        <v>678</v>
      </c>
      <c r="AJ12">
        <v>4</v>
      </c>
      <c r="AL12">
        <v>280</v>
      </c>
      <c r="AN12" s="248">
        <f>(AD12/AB12)*100</f>
        <v>48.4407484407484</v>
      </c>
      <c r="AO12" s="316" t="e">
        <f>(AE12/AC12)*100</f>
        <v>#DIV/0!</v>
      </c>
      <c r="AP12" s="317">
        <f>(AF12/AB12)*100</f>
        <v>51.5592515592516</v>
      </c>
      <c r="AQ12" s="318" t="e">
        <f>(AG12/AC12)*100</f>
        <v>#DIV/0!</v>
      </c>
      <c r="AR12" s="318" t="str">
        <f t="shared" si="14"/>
        <v>FEMALE DOM</v>
      </c>
      <c r="AS12" s="319" t="e">
        <f t="shared" si="15"/>
        <v>#DIV/0!</v>
      </c>
      <c r="AT12" s="317">
        <f>(AH12/AB12)*100</f>
        <v>70.4781704781705</v>
      </c>
      <c r="AU12" s="317" t="e">
        <f>(AI12/AC12)*100</f>
        <v>#DIV/0!</v>
      </c>
      <c r="AV12" s="248">
        <f>(AJ12/AB12)*100</f>
        <v>0.415800415800416</v>
      </c>
      <c r="AW12" s="317" t="e">
        <f>(AK12/AC12)*100</f>
        <v>#DIV/0!</v>
      </c>
      <c r="AX12" s="248">
        <f>(AL12/AB12)*100</f>
        <v>29.1060291060291</v>
      </c>
      <c r="AY12" s="317" t="e">
        <f>(AM12/AC12)*100</f>
        <v>#DIV/0!</v>
      </c>
      <c r="AZ12" s="248" t="str">
        <f t="shared" si="19"/>
        <v>HINDU</v>
      </c>
      <c r="BA12" s="318" t="e">
        <f t="shared" si="20"/>
        <v>#DIV/0!</v>
      </c>
    </row>
    <row r="13" spans="2:27">
      <c r="B13" s="334"/>
      <c r="C13" s="219">
        <f t="shared" ref="C13:O13" si="22">SUM(C7:C12)</f>
        <v>5908</v>
      </c>
      <c r="D13" s="219">
        <f t="shared" si="22"/>
        <v>1188</v>
      </c>
      <c r="E13" s="219">
        <f t="shared" si="22"/>
        <v>2543</v>
      </c>
      <c r="F13" s="219">
        <f t="shared" si="22"/>
        <v>14</v>
      </c>
      <c r="G13" s="219">
        <f t="shared" si="22"/>
        <v>18</v>
      </c>
      <c r="H13" s="219">
        <f t="shared" si="22"/>
        <v>0</v>
      </c>
      <c r="I13" s="219">
        <f t="shared" si="22"/>
        <v>0</v>
      </c>
      <c r="J13" s="219">
        <f t="shared" si="22"/>
        <v>5</v>
      </c>
      <c r="K13" s="219">
        <f t="shared" si="22"/>
        <v>4</v>
      </c>
      <c r="L13" s="219">
        <f t="shared" si="22"/>
        <v>3772</v>
      </c>
      <c r="M13" s="219">
        <f t="shared" si="22"/>
        <v>0</v>
      </c>
      <c r="N13" s="219">
        <f t="shared" si="22"/>
        <v>36</v>
      </c>
      <c r="O13" s="219">
        <f t="shared" si="22"/>
        <v>3808</v>
      </c>
      <c r="P13" s="219">
        <f>AVERAGE(P7:P12)</f>
        <v>65.1197200118715</v>
      </c>
      <c r="Q13" s="219">
        <f>AVERAGE(Q7:Q12)</f>
        <v>66.4069680960703</v>
      </c>
      <c r="R13" s="219">
        <f>AVERAGE(R7:R12)</f>
        <v>31.6397108193736</v>
      </c>
      <c r="S13" s="219">
        <f>AVERAGE(S7:S12)</f>
        <v>0.352112833215927</v>
      </c>
      <c r="T13" s="219">
        <f>SUM(T7:T12)</f>
        <v>2.81504132208628</v>
      </c>
      <c r="U13" s="219">
        <f>AVERAGE(U7:U12)</f>
        <v>0.227151809881278</v>
      </c>
      <c r="V13" s="219">
        <f>AVERAGE(V7:V12)</f>
        <v>0.904882887777889</v>
      </c>
      <c r="W13" s="219">
        <f>AVERAGE(W7:W12)</f>
        <v>34.7672572766967</v>
      </c>
      <c r="X13" s="219">
        <f>AVERAGE(X7:X12)</f>
        <v>33.7188190799184</v>
      </c>
      <c r="Y13" s="219" t="str">
        <f t="shared" si="21"/>
        <v>MEDIUM</v>
      </c>
      <c r="Z13" s="341" t="str">
        <f t="shared" si="10"/>
        <v>STRONG</v>
      </c>
      <c r="AA13" s="289" t="str">
        <f t="shared" si="11"/>
        <v>BJP</v>
      </c>
    </row>
    <row r="16" spans="10:27">
      <c r="J16" s="225" t="s">
        <v>205</v>
      </c>
      <c r="K16" s="237"/>
      <c r="L16" s="237"/>
      <c r="M16" s="238"/>
      <c r="O16" s="225" t="s">
        <v>97</v>
      </c>
      <c r="P16" s="237"/>
      <c r="Q16" s="237"/>
      <c r="R16" s="238"/>
      <c r="T16" s="265" t="s">
        <v>98</v>
      </c>
      <c r="U16" s="265"/>
      <c r="V16" s="265"/>
      <c r="W16" s="265"/>
      <c r="X16" s="265"/>
      <c r="Y16" s="265"/>
      <c r="Z16" s="265"/>
      <c r="AA16" s="265"/>
    </row>
    <row r="17" spans="10:27">
      <c r="J17" s="226"/>
      <c r="K17" s="239"/>
      <c r="L17" s="239"/>
      <c r="M17" s="240"/>
      <c r="O17" s="241"/>
      <c r="P17" s="242"/>
      <c r="Q17" s="242"/>
      <c r="R17" s="243"/>
      <c r="T17" s="265"/>
      <c r="U17" s="265"/>
      <c r="V17" s="265"/>
      <c r="W17" s="265"/>
      <c r="X17" s="265"/>
      <c r="Y17" s="265"/>
      <c r="Z17" s="265"/>
      <c r="AA17" s="265"/>
    </row>
    <row r="18" spans="10:27">
      <c r="J18" s="227" t="s">
        <v>99</v>
      </c>
      <c r="K18" s="244"/>
      <c r="L18" s="245"/>
      <c r="M18" s="245">
        <f>COUNTIF(AA7:AA12,"BJP")</f>
        <v>6</v>
      </c>
      <c r="O18" s="246" t="s">
        <v>100</v>
      </c>
      <c r="P18" s="247"/>
      <c r="Q18" s="247"/>
      <c r="R18" s="248">
        <f>COUNTIF(Y7:Y12,"NARROW")</f>
        <v>0</v>
      </c>
      <c r="T18" s="265" t="s">
        <v>101</v>
      </c>
      <c r="U18" s="265"/>
      <c r="V18" s="265"/>
      <c r="W18" s="265">
        <f>'KODIALBAIL-18'!E7</f>
        <v>61.6445096420835</v>
      </c>
      <c r="X18" s="265" t="s">
        <v>102</v>
      </c>
      <c r="Y18" s="265"/>
      <c r="Z18" s="265"/>
      <c r="AA18" s="265">
        <f>Q13</f>
        <v>66.4069680960703</v>
      </c>
    </row>
    <row r="19" spans="10:27">
      <c r="J19" s="227"/>
      <c r="K19" s="244"/>
      <c r="L19" s="245"/>
      <c r="M19" s="245"/>
      <c r="O19" s="249"/>
      <c r="P19" s="250"/>
      <c r="Q19" s="250"/>
      <c r="R19" s="251"/>
      <c r="T19" s="265"/>
      <c r="U19" s="265"/>
      <c r="V19" s="265"/>
      <c r="W19" s="265"/>
      <c r="X19" s="265"/>
      <c r="Y19" s="265"/>
      <c r="Z19" s="265"/>
      <c r="AA19" s="265"/>
    </row>
    <row r="20" spans="10:27">
      <c r="J20" s="227"/>
      <c r="K20" s="244"/>
      <c r="L20" s="245"/>
      <c r="M20" s="245"/>
      <c r="O20" s="252" t="s">
        <v>103</v>
      </c>
      <c r="P20" s="253"/>
      <c r="Q20" s="253"/>
      <c r="R20" s="248">
        <f>COUNTIF(Y7:Y12,"MEDIUM")</f>
        <v>3</v>
      </c>
      <c r="T20" s="265" t="s">
        <v>104</v>
      </c>
      <c r="U20" s="265"/>
      <c r="V20" s="265"/>
      <c r="W20" s="265">
        <f>'KODIALBAIL-18'!G7</f>
        <v>34.7282197668052</v>
      </c>
      <c r="X20" s="265" t="s">
        <v>105</v>
      </c>
      <c r="Y20" s="265"/>
      <c r="Z20" s="265"/>
      <c r="AA20" s="265">
        <f>R13</f>
        <v>31.6397108193736</v>
      </c>
    </row>
    <row r="21" spans="10:27">
      <c r="J21" s="228" t="s">
        <v>106</v>
      </c>
      <c r="K21" s="254"/>
      <c r="L21" s="255"/>
      <c r="M21" s="255">
        <f>COUNTIF(AA7:AA12,"CONGRESS")</f>
        <v>0</v>
      </c>
      <c r="O21" s="252"/>
      <c r="P21" s="253"/>
      <c r="Q21" s="253"/>
      <c r="R21" s="251"/>
      <c r="T21" s="265"/>
      <c r="U21" s="265"/>
      <c r="V21" s="265"/>
      <c r="W21" s="265"/>
      <c r="X21" s="265"/>
      <c r="Y21" s="265"/>
      <c r="Z21" s="265"/>
      <c r="AA21" s="265"/>
    </row>
    <row r="22" spans="10:27">
      <c r="J22" s="229"/>
      <c r="K22" s="256"/>
      <c r="L22" s="257"/>
      <c r="M22" s="257"/>
      <c r="O22" s="258" t="s">
        <v>107</v>
      </c>
      <c r="P22" s="259"/>
      <c r="Q22" s="259"/>
      <c r="R22" s="248">
        <f>COUNTIF(Y7:Y12,"STRONG")</f>
        <v>3</v>
      </c>
      <c r="T22" s="265" t="s">
        <v>108</v>
      </c>
      <c r="U22" s="265"/>
      <c r="V22" s="265"/>
      <c r="W22" s="265">
        <f>'KODIALBAIL-18'!C7</f>
        <v>3628</v>
      </c>
      <c r="X22" s="265" t="s">
        <v>109</v>
      </c>
      <c r="Y22" s="265"/>
      <c r="Z22" s="265"/>
      <c r="AA22" s="265">
        <f>O13</f>
        <v>3808</v>
      </c>
    </row>
    <row r="23" spans="10:27">
      <c r="J23" s="230"/>
      <c r="K23" s="260"/>
      <c r="L23" s="261"/>
      <c r="M23" s="261"/>
      <c r="O23" s="262"/>
      <c r="P23" s="263"/>
      <c r="Q23" s="263"/>
      <c r="R23" s="251"/>
      <c r="T23" s="265"/>
      <c r="U23" s="265"/>
      <c r="V23" s="265"/>
      <c r="W23" s="265"/>
      <c r="X23" s="265"/>
      <c r="Y23" s="265"/>
      <c r="Z23" s="265"/>
      <c r="AA23" s="265"/>
    </row>
    <row r="24" spans="15:27">
      <c r="O24" s="229" t="s">
        <v>110</v>
      </c>
      <c r="P24" s="256"/>
      <c r="Q24" s="256"/>
      <c r="R24" s="248">
        <f>COUNTIF(Y7:Y12,"LOST")</f>
        <v>0</v>
      </c>
      <c r="T24" s="265" t="s">
        <v>111</v>
      </c>
      <c r="U24" s="265"/>
      <c r="V24" s="265"/>
      <c r="W24" s="265">
        <f>W18-W20</f>
        <v>26.9162898752783</v>
      </c>
      <c r="X24" s="265" t="s">
        <v>111</v>
      </c>
      <c r="Y24" s="265"/>
      <c r="Z24" s="265"/>
      <c r="AA24" s="265">
        <f>AA18-AA20</f>
        <v>34.7672572766967</v>
      </c>
    </row>
    <row r="25" spans="15:27">
      <c r="O25" s="230"/>
      <c r="P25" s="260"/>
      <c r="Q25" s="260"/>
      <c r="R25" s="251"/>
      <c r="T25" s="265"/>
      <c r="U25" s="265"/>
      <c r="V25" s="265"/>
      <c r="W25" s="265"/>
      <c r="X25" s="265"/>
      <c r="Y25" s="265"/>
      <c r="Z25" s="265"/>
      <c r="AA25" s="265"/>
    </row>
    <row r="26" spans="20:26">
      <c r="T26" s="265" t="s">
        <v>112</v>
      </c>
      <c r="U26" s="265"/>
      <c r="V26" s="265"/>
      <c r="W26" s="265">
        <f>AA18-W18</f>
        <v>4.76245845398679</v>
      </c>
      <c r="X26" s="265"/>
      <c r="Y26" s="265"/>
      <c r="Z26" s="265"/>
    </row>
    <row r="27" spans="20:26">
      <c r="T27" s="265"/>
      <c r="U27" s="265"/>
      <c r="V27" s="265"/>
      <c r="W27" s="265"/>
      <c r="X27" s="265"/>
      <c r="Y27" s="265"/>
      <c r="Z27" s="265"/>
    </row>
    <row r="28" spans="20:26">
      <c r="T28" s="265" t="s">
        <v>113</v>
      </c>
      <c r="U28" s="265"/>
      <c r="V28" s="265"/>
      <c r="W28" s="265">
        <f>AA20-W20</f>
        <v>-3.0885089474316</v>
      </c>
      <c r="X28" s="265"/>
      <c r="Y28" s="265"/>
      <c r="Z28" s="265"/>
    </row>
    <row r="29" spans="20:26">
      <c r="T29" s="265"/>
      <c r="U29" s="265"/>
      <c r="V29" s="265"/>
      <c r="W29" s="265"/>
      <c r="X29" s="265"/>
      <c r="Y29" s="265"/>
      <c r="Z29" s="265"/>
    </row>
    <row r="30" spans="20:26">
      <c r="T30" s="265" t="s">
        <v>114</v>
      </c>
      <c r="U30" s="265"/>
      <c r="V30" s="265"/>
      <c r="W30" s="265" t="str">
        <f>IF(W26&gt;W28,"INCREASE","DECREASE")</f>
        <v>INCREASE</v>
      </c>
      <c r="X30" s="265"/>
      <c r="Y30" s="265"/>
      <c r="Z30" s="265"/>
    </row>
    <row r="31" spans="20:26">
      <c r="T31" s="265"/>
      <c r="U31" s="265"/>
      <c r="V31" s="265"/>
      <c r="W31" s="265"/>
      <c r="X31" s="265"/>
      <c r="Y31" s="265"/>
      <c r="Z31" s="265"/>
    </row>
    <row r="32" spans="20:27">
      <c r="T32" s="265">
        <v>0</v>
      </c>
      <c r="U32" s="265"/>
      <c r="V32" s="265"/>
      <c r="W32" s="265"/>
      <c r="X32" s="265"/>
      <c r="Y32" s="265"/>
      <c r="Z32" s="265"/>
      <c r="AA32" s="265"/>
    </row>
    <row r="33" spans="20:27">
      <c r="T33" s="265"/>
      <c r="U33" s="265"/>
      <c r="V33" s="265"/>
      <c r="W33" s="265"/>
      <c r="X33" s="265"/>
      <c r="Y33" s="265"/>
      <c r="Z33" s="265"/>
      <c r="AA33" s="265"/>
    </row>
    <row r="34" spans="20:27">
      <c r="T34" s="265"/>
      <c r="U34" s="265"/>
      <c r="V34" s="265"/>
      <c r="W34" s="265"/>
      <c r="X34" s="265"/>
      <c r="Y34" s="265"/>
      <c r="Z34" s="265"/>
      <c r="AA34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M18:M20"/>
    <mergeCell ref="M21:M23"/>
    <mergeCell ref="N1:N6"/>
    <mergeCell ref="O1:O6"/>
    <mergeCell ref="P1:P6"/>
    <mergeCell ref="Q1:Q6"/>
    <mergeCell ref="R1:R6"/>
    <mergeCell ref="R18:R19"/>
    <mergeCell ref="R20:R21"/>
    <mergeCell ref="R22:R23"/>
    <mergeCell ref="R24:R25"/>
    <mergeCell ref="S1:S6"/>
    <mergeCell ref="T1:T6"/>
    <mergeCell ref="U1:U6"/>
    <mergeCell ref="V1:V6"/>
    <mergeCell ref="W1:W6"/>
    <mergeCell ref="W18:W19"/>
    <mergeCell ref="W20:W21"/>
    <mergeCell ref="W22:W23"/>
    <mergeCell ref="W24:W25"/>
    <mergeCell ref="X1:X6"/>
    <mergeCell ref="Y1:Y6"/>
    <mergeCell ref="Z1:Z6"/>
    <mergeCell ref="AA1:AA6"/>
    <mergeCell ref="AA18:AA19"/>
    <mergeCell ref="AA20:AA21"/>
    <mergeCell ref="AA22:AA23"/>
    <mergeCell ref="AA24:AA25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O24:Q25"/>
    <mergeCell ref="X24:Z25"/>
    <mergeCell ref="J16:M17"/>
    <mergeCell ref="O16:R17"/>
    <mergeCell ref="J18:L20"/>
    <mergeCell ref="O18:Q19"/>
    <mergeCell ref="X18:Z19"/>
    <mergeCell ref="O20:Q21"/>
    <mergeCell ref="X20:Z21"/>
    <mergeCell ref="J21:L23"/>
    <mergeCell ref="O22:Q23"/>
    <mergeCell ref="X22:Z23"/>
    <mergeCell ref="D1:K2"/>
    <mergeCell ref="T16:AA17"/>
    <mergeCell ref="T18:V19"/>
    <mergeCell ref="T20:V21"/>
    <mergeCell ref="T22:V23"/>
    <mergeCell ref="T24:V25"/>
    <mergeCell ref="T26:V27"/>
    <mergeCell ref="W26:Z27"/>
    <mergeCell ref="T32:AA34"/>
    <mergeCell ref="T28:V29"/>
    <mergeCell ref="W28:Z29"/>
    <mergeCell ref="T30:V31"/>
    <mergeCell ref="W30:X31"/>
    <mergeCell ref="Y30:Z31"/>
  </mergeCells>
  <conditionalFormatting sqref="AR7:AR12">
    <cfRule type="containsText" dxfId="6" priority="1" operator="between" text="FEMALE DOM">
      <formula>NOT(ISERROR(SEARCH("FEMALE DOM",AR7)))</formula>
    </cfRule>
  </conditionalFormatting>
  <conditionalFormatting sqref="AZ7:AZ12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2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"/>
  <sheetViews>
    <sheetView workbookViewId="0">
      <selection activeCell="A1" sqref="A1:AJ1"/>
    </sheetView>
  </sheetViews>
  <sheetFormatPr defaultColWidth="9" defaultRowHeight="14.5" outlineLevelRow="6"/>
  <cols>
    <col min="1" max="1" width="11.7090909090909" customWidth="1"/>
  </cols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325">
        <v>20</v>
      </c>
      <c r="B2" s="185" t="s">
        <v>312</v>
      </c>
      <c r="C2" s="184">
        <v>633</v>
      </c>
      <c r="D2" s="184">
        <v>361</v>
      </c>
      <c r="E2" s="184">
        <f t="shared" ref="E2:E6" si="0">(D2/C2)*100</f>
        <v>57.0300157977883</v>
      </c>
      <c r="F2" s="184">
        <v>251</v>
      </c>
      <c r="G2" s="184">
        <f t="shared" ref="G2:G6" si="1">(F2/C2)*100</f>
        <v>39.652448657188</v>
      </c>
      <c r="H2" s="184">
        <v>1</v>
      </c>
      <c r="I2" s="184">
        <f t="shared" ref="I2:I6" si="2">(H2/C2)*100</f>
        <v>0.157977883096367</v>
      </c>
      <c r="J2" s="184">
        <v>5</v>
      </c>
      <c r="K2" s="184">
        <f t="shared" ref="K2:K6" si="3">(J2/C2)*100</f>
        <v>0.789889415481832</v>
      </c>
      <c r="L2" s="189">
        <v>437</v>
      </c>
      <c r="M2" s="189">
        <v>489</v>
      </c>
      <c r="N2" s="189">
        <f t="shared" ref="N2:N6" si="4">L2+M2</f>
        <v>926</v>
      </c>
      <c r="O2" s="184">
        <v>633</v>
      </c>
      <c r="P2" s="190">
        <f t="shared" ref="P2:P6" si="5">O2/N2*100</f>
        <v>68.3585313174946</v>
      </c>
      <c r="Q2" s="184"/>
      <c r="R2" s="184">
        <f t="shared" ref="R2:R6" si="6">(Q2/N2)*100</f>
        <v>0</v>
      </c>
      <c r="S2" s="184">
        <f t="shared" ref="S2:S6" si="7">Q2-U2</f>
        <v>0</v>
      </c>
      <c r="T2" s="184" t="e">
        <f t="shared" ref="T2:T6" si="8">(S2/Q2)*100</f>
        <v>#DIV/0!</v>
      </c>
      <c r="U2" s="184"/>
      <c r="V2" s="191">
        <f t="shared" ref="V2:V6" si="9">IFERROR(U2/Q2*100,0)</f>
        <v>0</v>
      </c>
      <c r="W2" s="184"/>
      <c r="X2" s="184">
        <f t="shared" ref="X2:X6" si="10">100-R2</f>
        <v>100</v>
      </c>
      <c r="Y2" s="184">
        <f t="shared" ref="Y2:Y6" si="11">W2-AA2</f>
        <v>0</v>
      </c>
      <c r="Z2" s="193" t="e">
        <f t="shared" ref="Z2:Z6" si="12">(Y2/W2)*100</f>
        <v>#DIV/0!</v>
      </c>
      <c r="AA2" s="193"/>
      <c r="AB2" s="194">
        <f t="shared" ref="AB2:AB6" si="13">IFERROR(AA2/W2*100,0)</f>
        <v>0</v>
      </c>
      <c r="AC2" s="193">
        <f t="shared" ref="AC2:AC6" si="14">U2+AA2</f>
        <v>0</v>
      </c>
      <c r="AD2" s="193" t="str">
        <f t="shared" ref="AD2:AD6" si="15">IF(P2&gt;80,"EXCELLENT",IF(P2&gt;70,"STRONG",IF(P2&gt;60,"AVG",IF(P2&gt;50,"WEAK",IF(P2&lt;50,"VLOW")))))</f>
        <v>AVG</v>
      </c>
      <c r="AE2" s="195" t="str">
        <f t="shared" ref="AE2:AE6" si="16">IF(R2&gt;80,"EXCELLENT",IF(R2&gt;70,"STRONG",IF(R2&gt;60,"AVG",IF(R2&gt;50,"WEAK",IF(R2&lt;50,"VLOW")))))</f>
        <v>VLOW</v>
      </c>
      <c r="AF2" s="193" t="str">
        <f t="shared" ref="AF2:AF6" si="17">IF(X2&gt;80,"EXCELLENT",IF(X2&gt;70,"STRONG",IF(X2&gt;60,"AVG",IF(X2&gt;50,"WEAK",IF(X2&lt;50,"VLOW")))))</f>
        <v>EXCELLENT</v>
      </c>
      <c r="AG2" s="193" t="str">
        <f t="shared" ref="AG2:AG6" si="18">IF(M2&gt;L2,"FEMALE DOM","MEN")</f>
        <v>FEMALE DOM</v>
      </c>
      <c r="AH2" s="193" t="e">
        <f t="shared" ref="AH2:AH6" si="19">IF(T2&gt;Z2,"H","O")</f>
        <v>#DIV/0!</v>
      </c>
      <c r="AI2" s="197">
        <f t="shared" ref="AI2:AI7" si="20">E2-G2</f>
        <v>17.3775671406003</v>
      </c>
      <c r="AJ2" s="199" t="str">
        <f t="shared" ref="AJ2:AJ7" si="21">IF(E2&gt;G2,"BJP GAIN","CONGRESSGAIN")</f>
        <v>BJP GAIN</v>
      </c>
    </row>
    <row r="3" spans="1:36">
      <c r="A3" s="184">
        <v>22</v>
      </c>
      <c r="B3" s="185" t="s">
        <v>313</v>
      </c>
      <c r="C3" s="184">
        <v>572</v>
      </c>
      <c r="D3" s="184">
        <v>304</v>
      </c>
      <c r="E3" s="184">
        <f t="shared" si="0"/>
        <v>53.1468531468531</v>
      </c>
      <c r="F3" s="184">
        <v>247</v>
      </c>
      <c r="G3" s="184">
        <f t="shared" si="1"/>
        <v>43.1818181818182</v>
      </c>
      <c r="H3" s="184">
        <v>1</v>
      </c>
      <c r="I3" s="184">
        <f t="shared" si="2"/>
        <v>0.174825174825175</v>
      </c>
      <c r="J3" s="184">
        <v>4</v>
      </c>
      <c r="K3" s="184">
        <f t="shared" si="3"/>
        <v>0.699300699300699</v>
      </c>
      <c r="L3" s="189">
        <v>405</v>
      </c>
      <c r="M3" s="189">
        <v>447</v>
      </c>
      <c r="N3" s="189">
        <f t="shared" si="4"/>
        <v>852</v>
      </c>
      <c r="O3" s="184">
        <v>572</v>
      </c>
      <c r="P3" s="190">
        <f t="shared" si="5"/>
        <v>67.1361502347418</v>
      </c>
      <c r="Q3" s="184"/>
      <c r="R3" s="184">
        <f t="shared" si="6"/>
        <v>0</v>
      </c>
      <c r="S3" s="192">
        <f t="shared" si="7"/>
        <v>0</v>
      </c>
      <c r="T3" s="184" t="e">
        <f t="shared" si="8"/>
        <v>#DIV/0!</v>
      </c>
      <c r="U3" s="184"/>
      <c r="V3" s="191">
        <f t="shared" si="9"/>
        <v>0</v>
      </c>
      <c r="W3" s="184"/>
      <c r="X3" s="184">
        <f t="shared" si="10"/>
        <v>100</v>
      </c>
      <c r="Y3" s="196">
        <f t="shared" si="11"/>
        <v>0</v>
      </c>
      <c r="Z3" s="193" t="e">
        <f t="shared" si="12"/>
        <v>#DIV/0!</v>
      </c>
      <c r="AA3" s="193"/>
      <c r="AB3" s="194">
        <f t="shared" si="13"/>
        <v>0</v>
      </c>
      <c r="AC3" s="193">
        <f t="shared" si="14"/>
        <v>0</v>
      </c>
      <c r="AD3" s="193" t="str">
        <f t="shared" si="15"/>
        <v>AVG</v>
      </c>
      <c r="AE3" s="195" t="str">
        <f t="shared" si="16"/>
        <v>VLOW</v>
      </c>
      <c r="AF3" s="193" t="str">
        <f t="shared" si="17"/>
        <v>EXCELLENT</v>
      </c>
      <c r="AG3" s="193" t="str">
        <f t="shared" si="18"/>
        <v>FEMALE DOM</v>
      </c>
      <c r="AH3" s="193" t="e">
        <f t="shared" si="19"/>
        <v>#DIV/0!</v>
      </c>
      <c r="AI3" s="197">
        <f t="shared" si="20"/>
        <v>9.96503496503497</v>
      </c>
      <c r="AJ3" s="199" t="str">
        <f t="shared" si="21"/>
        <v>BJP GAIN</v>
      </c>
    </row>
    <row r="4" spans="1:36">
      <c r="A4" s="184">
        <v>23</v>
      </c>
      <c r="B4" s="185" t="s">
        <v>314</v>
      </c>
      <c r="C4" s="184">
        <v>933</v>
      </c>
      <c r="D4" s="184">
        <v>642</v>
      </c>
      <c r="E4" s="184">
        <f t="shared" si="0"/>
        <v>68.8102893890675</v>
      </c>
      <c r="F4" s="184">
        <v>270</v>
      </c>
      <c r="G4" s="184">
        <f t="shared" si="1"/>
        <v>28.9389067524116</v>
      </c>
      <c r="H4" s="184">
        <v>3</v>
      </c>
      <c r="I4" s="184">
        <f t="shared" si="2"/>
        <v>0.321543408360129</v>
      </c>
      <c r="J4" s="184">
        <v>1</v>
      </c>
      <c r="K4" s="184">
        <f t="shared" si="3"/>
        <v>0.107181136120043</v>
      </c>
      <c r="L4" s="189">
        <v>716</v>
      </c>
      <c r="M4" s="189">
        <v>774</v>
      </c>
      <c r="N4" s="189">
        <f t="shared" si="4"/>
        <v>1490</v>
      </c>
      <c r="O4" s="184">
        <v>933</v>
      </c>
      <c r="P4" s="190">
        <f t="shared" si="5"/>
        <v>62.6174496644295</v>
      </c>
      <c r="Q4" s="184"/>
      <c r="R4" s="184">
        <f t="shared" si="6"/>
        <v>0</v>
      </c>
      <c r="S4" s="184">
        <f t="shared" si="7"/>
        <v>0</v>
      </c>
      <c r="T4" s="184" t="e">
        <f t="shared" si="8"/>
        <v>#DIV/0!</v>
      </c>
      <c r="U4" s="184"/>
      <c r="V4" s="191">
        <f t="shared" si="9"/>
        <v>0</v>
      </c>
      <c r="W4" s="184"/>
      <c r="X4" s="184">
        <f t="shared" si="10"/>
        <v>100</v>
      </c>
      <c r="Y4" s="184">
        <f t="shared" si="11"/>
        <v>0</v>
      </c>
      <c r="Z4" s="193" t="e">
        <f t="shared" si="12"/>
        <v>#DIV/0!</v>
      </c>
      <c r="AA4" s="193"/>
      <c r="AB4" s="194">
        <f t="shared" si="13"/>
        <v>0</v>
      </c>
      <c r="AC4" s="193">
        <f t="shared" si="14"/>
        <v>0</v>
      </c>
      <c r="AD4" s="193" t="str">
        <f t="shared" si="15"/>
        <v>AVG</v>
      </c>
      <c r="AE4" s="195" t="str">
        <f t="shared" si="16"/>
        <v>VLOW</v>
      </c>
      <c r="AF4" s="193" t="str">
        <f t="shared" si="17"/>
        <v>EXCELLENT</v>
      </c>
      <c r="AG4" s="193" t="str">
        <f t="shared" si="18"/>
        <v>FEMALE DOM</v>
      </c>
      <c r="AH4" s="193" t="e">
        <f t="shared" si="19"/>
        <v>#DIV/0!</v>
      </c>
      <c r="AI4" s="197">
        <f t="shared" si="20"/>
        <v>39.8713826366559</v>
      </c>
      <c r="AJ4" s="199" t="str">
        <f t="shared" si="21"/>
        <v>BJP GAIN</v>
      </c>
    </row>
    <row r="5" spans="1:36">
      <c r="A5" s="184">
        <v>59</v>
      </c>
      <c r="B5" s="185" t="s">
        <v>315</v>
      </c>
      <c r="C5" s="184">
        <v>763</v>
      </c>
      <c r="D5" s="184">
        <v>476</v>
      </c>
      <c r="E5" s="184">
        <f t="shared" si="0"/>
        <v>62.3853211009174</v>
      </c>
      <c r="F5" s="184">
        <v>259</v>
      </c>
      <c r="G5" s="184">
        <f t="shared" si="1"/>
        <v>33.9449541284404</v>
      </c>
      <c r="H5" s="184">
        <v>4</v>
      </c>
      <c r="I5" s="184">
        <f t="shared" si="2"/>
        <v>0.524246395806029</v>
      </c>
      <c r="J5" s="184">
        <v>7</v>
      </c>
      <c r="K5" s="184">
        <f t="shared" si="3"/>
        <v>0.917431192660551</v>
      </c>
      <c r="L5" s="189">
        <v>521</v>
      </c>
      <c r="M5" s="189">
        <v>595</v>
      </c>
      <c r="N5" s="189">
        <f t="shared" si="4"/>
        <v>1116</v>
      </c>
      <c r="O5" s="184">
        <v>763</v>
      </c>
      <c r="P5" s="190">
        <f t="shared" si="5"/>
        <v>68.3691756272401</v>
      </c>
      <c r="Q5" s="184"/>
      <c r="R5" s="184">
        <f t="shared" si="6"/>
        <v>0</v>
      </c>
      <c r="S5" s="184">
        <f t="shared" si="7"/>
        <v>0</v>
      </c>
      <c r="T5" s="184" t="e">
        <f t="shared" si="8"/>
        <v>#DIV/0!</v>
      </c>
      <c r="U5" s="184"/>
      <c r="V5" s="191">
        <f t="shared" si="9"/>
        <v>0</v>
      </c>
      <c r="W5" s="184"/>
      <c r="X5" s="184">
        <f t="shared" si="10"/>
        <v>100</v>
      </c>
      <c r="Y5" s="184">
        <f t="shared" si="11"/>
        <v>0</v>
      </c>
      <c r="Z5" s="193" t="e">
        <f t="shared" si="12"/>
        <v>#DIV/0!</v>
      </c>
      <c r="AA5" s="193"/>
      <c r="AB5" s="194">
        <f t="shared" si="13"/>
        <v>0</v>
      </c>
      <c r="AC5" s="193">
        <f t="shared" si="14"/>
        <v>0</v>
      </c>
      <c r="AD5" s="193" t="str">
        <f t="shared" si="15"/>
        <v>AVG</v>
      </c>
      <c r="AE5" s="195" t="str">
        <f t="shared" si="16"/>
        <v>VLOW</v>
      </c>
      <c r="AF5" s="193" t="str">
        <f t="shared" si="17"/>
        <v>EXCELLENT</v>
      </c>
      <c r="AG5" s="193" t="str">
        <f t="shared" si="18"/>
        <v>FEMALE DOM</v>
      </c>
      <c r="AH5" s="193" t="e">
        <f t="shared" si="19"/>
        <v>#DIV/0!</v>
      </c>
      <c r="AI5" s="197">
        <f t="shared" si="20"/>
        <v>28.4403669724771</v>
      </c>
      <c r="AJ5" s="199" t="str">
        <f t="shared" si="21"/>
        <v>BJP GAIN</v>
      </c>
    </row>
    <row r="6" spans="1:36">
      <c r="A6" s="184">
        <v>60</v>
      </c>
      <c r="B6" s="185" t="s">
        <v>316</v>
      </c>
      <c r="C6" s="184">
        <v>727</v>
      </c>
      <c r="D6" s="184">
        <v>486</v>
      </c>
      <c r="E6" s="184">
        <f t="shared" si="0"/>
        <v>66.8500687757909</v>
      </c>
      <c r="F6" s="184">
        <v>203</v>
      </c>
      <c r="G6" s="184">
        <f t="shared" si="1"/>
        <v>27.9229711141678</v>
      </c>
      <c r="H6" s="184">
        <v>0</v>
      </c>
      <c r="I6" s="184">
        <f t="shared" si="2"/>
        <v>0</v>
      </c>
      <c r="J6" s="184">
        <v>5</v>
      </c>
      <c r="K6" s="184">
        <f t="shared" si="3"/>
        <v>0.687757909215956</v>
      </c>
      <c r="L6" s="189">
        <v>595</v>
      </c>
      <c r="M6" s="189">
        <v>618</v>
      </c>
      <c r="N6" s="189">
        <f t="shared" si="4"/>
        <v>1213</v>
      </c>
      <c r="O6" s="184">
        <v>727</v>
      </c>
      <c r="P6" s="190">
        <f t="shared" si="5"/>
        <v>59.9340478153339</v>
      </c>
      <c r="Q6" s="184">
        <f>1244-167</f>
        <v>1077</v>
      </c>
      <c r="R6" s="184">
        <f t="shared" si="6"/>
        <v>88.7881286067601</v>
      </c>
      <c r="S6" s="184">
        <f t="shared" si="7"/>
        <v>454</v>
      </c>
      <c r="T6" s="184">
        <f t="shared" si="8"/>
        <v>42.1541318477252</v>
      </c>
      <c r="U6" s="184">
        <v>623</v>
      </c>
      <c r="V6" s="191">
        <f t="shared" si="9"/>
        <v>57.8458681522748</v>
      </c>
      <c r="W6" s="184">
        <f>1213-1077</f>
        <v>136</v>
      </c>
      <c r="X6" s="184">
        <f t="shared" si="10"/>
        <v>11.2118713932399</v>
      </c>
      <c r="Y6" s="184">
        <f t="shared" si="11"/>
        <v>32</v>
      </c>
      <c r="Z6" s="193">
        <f t="shared" si="12"/>
        <v>23.5294117647059</v>
      </c>
      <c r="AA6" s="193">
        <f>727-623</f>
        <v>104</v>
      </c>
      <c r="AB6" s="194">
        <f t="shared" si="13"/>
        <v>76.4705882352941</v>
      </c>
      <c r="AC6" s="193">
        <f t="shared" si="14"/>
        <v>727</v>
      </c>
      <c r="AD6" s="193" t="str">
        <f t="shared" si="15"/>
        <v>WEAK</v>
      </c>
      <c r="AE6" s="195" t="str">
        <f t="shared" si="16"/>
        <v>EXCELLENT</v>
      </c>
      <c r="AF6" s="193" t="str">
        <f t="shared" si="17"/>
        <v>VLOW</v>
      </c>
      <c r="AG6" s="193" t="str">
        <f t="shared" si="18"/>
        <v>FEMALE DOM</v>
      </c>
      <c r="AH6" s="193" t="str">
        <f t="shared" si="19"/>
        <v>H</v>
      </c>
      <c r="AI6" s="197">
        <f t="shared" si="20"/>
        <v>38.9270976616231</v>
      </c>
      <c r="AJ6" s="199" t="str">
        <f t="shared" si="21"/>
        <v>BJP GAIN</v>
      </c>
    </row>
    <row r="7" spans="3:36">
      <c r="C7">
        <f>SUM(C2:C6)</f>
        <v>3628</v>
      </c>
      <c r="D7">
        <f>SUM(D2:D6)</f>
        <v>2269</v>
      </c>
      <c r="E7" s="186">
        <f>AVERAGE(E2:E6)</f>
        <v>61.6445096420835</v>
      </c>
      <c r="F7">
        <f>SUM(F2:F6)</f>
        <v>1230</v>
      </c>
      <c r="G7" s="186">
        <f>AVERAGE(G2:G6)</f>
        <v>34.7282197668052</v>
      </c>
      <c r="H7">
        <f>SUM(H2:H6)</f>
        <v>9</v>
      </c>
      <c r="I7" s="186">
        <f>AVERAGE(I2:I6)</f>
        <v>0.23571857241754</v>
      </c>
      <c r="J7">
        <f>SUM(J2:J6)</f>
        <v>22</v>
      </c>
      <c r="K7" s="186">
        <f>AVERAGE(K2:K6)</f>
        <v>0.640312070555816</v>
      </c>
      <c r="AI7" s="329">
        <f t="shared" si="20"/>
        <v>26.9162898752783</v>
      </c>
      <c r="AJ7" s="335" t="str">
        <f t="shared" si="21"/>
        <v>BJP GAIN</v>
      </c>
    </row>
  </sheetData>
  <conditionalFormatting sqref="AD2">
    <cfRule type="containsText" dxfId="8" priority="45" operator="between" text="AVG">
      <formula>NOT(ISERROR(SEARCH("AVG",AD2)))</formula>
    </cfRule>
    <cfRule type="cellIs" dxfId="9" priority="44" operator="equal">
      <formula>"STRONG"</formula>
    </cfRule>
    <cfRule type="containsText" dxfId="3" priority="43" operator="between" text="VSTRONG">
      <formula>NOT(ISERROR(SEARCH("VSTRONG",AD2)))</formula>
    </cfRule>
    <cfRule type="containsText" dxfId="10" priority="35" operator="between" text="AVG">
      <formula>NOT(ISERROR(SEARCH("AVG",AD2)))</formula>
    </cfRule>
  </conditionalFormatting>
  <conditionalFormatting sqref="AE2">
    <cfRule type="containsText" dxfId="3" priority="39" operator="between" text="STRONG">
      <formula>NOT(ISERROR(SEARCH("STRONG",AE2)))</formula>
    </cfRule>
    <cfRule type="containsText" dxfId="1" priority="37" operator="between" text="VSTRONG">
      <formula>NOT(ISERROR(SEARCH("VSTRONG",AE2)))</formula>
    </cfRule>
  </conditionalFormatting>
  <conditionalFormatting sqref="AE2:AF2">
    <cfRule type="containsText" dxfId="2" priority="38" operator="between" text="AVG">
      <formula>NOT(ISERROR(SEARCH("AVG",AE2)))</formula>
    </cfRule>
  </conditionalFormatting>
  <conditionalFormatting sqref="AF2">
    <cfRule type="cellIs" dxfId="11" priority="33" operator="equal">
      <formula>"VWEAK"</formula>
    </cfRule>
    <cfRule type="containsText" dxfId="0" priority="32" operator="between" text="VSTRONG">
      <formula>NOT(ISERROR(SEARCH("VSTRONG",AF2)))</formula>
    </cfRule>
  </conditionalFormatting>
  <conditionalFormatting sqref="AG2">
    <cfRule type="containsText" dxfId="12" priority="36" operator="between" text="FEMALE DOM">
      <formula>NOT(ISERROR(SEARCH("FEMALE DOM",AG2)))</formula>
    </cfRule>
    <cfRule type="containsText" dxfId="10" priority="31" operator="between" text="MEN">
      <formula>NOT(ISERROR(SEARCH("MEN",AG2)))</formula>
    </cfRule>
  </conditionalFormatting>
  <conditionalFormatting sqref="AH2">
    <cfRule type="containsText" dxfId="0" priority="42" operator="between" text="O">
      <formula>NOT(ISERROR(SEARCH("O",AH2)))</formula>
    </cfRule>
    <cfRule type="containsText" dxfId="3" priority="40" operator="between" text="H">
      <formula>NOT(ISERROR(SEARCH("H",AH2)))</formula>
    </cfRule>
    <cfRule type="containsText" dxfId="13" priority="41" operator="between" text="H">
      <formula>NOT(ISERROR(SEARCH("H",AH2)))</formula>
    </cfRule>
    <cfRule type="containsText" dxfId="1" priority="34" operator="between" text="H">
      <formula>NOT(ISERROR(SEARCH("H",AH2)))</formula>
    </cfRule>
  </conditionalFormatting>
  <conditionalFormatting sqref="AD3:AD4">
    <cfRule type="containsText" dxfId="8" priority="30" operator="between" text="AVG">
      <formula>NOT(ISERROR(SEARCH("AVG",AD3)))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NOT(ISERROR(SEARCH("VSTRONG",AD3)))</formula>
    </cfRule>
    <cfRule type="containsText" dxfId="10" priority="20" operator="between" text="AVG">
      <formula>NOT(ISERROR(SEARCH("AVG",AD3)))</formula>
    </cfRule>
  </conditionalFormatting>
  <conditionalFormatting sqref="AD5:AD6">
    <cfRule type="containsText" dxfId="8" priority="15" operator="between" text="AVG">
      <formula>NOT(ISERROR(SEARCH("AVG",AD5)))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NOT(ISERROR(SEARCH("VSTRONG",AD5)))</formula>
    </cfRule>
    <cfRule type="containsText" dxfId="10" priority="5" operator="between" text="AVG">
      <formula>NOT(ISERROR(SEARCH("AVG",AD5)))</formula>
    </cfRule>
  </conditionalFormatting>
  <conditionalFormatting sqref="AE3:AE4">
    <cfRule type="containsText" dxfId="3" priority="24" operator="between" text="STRONG">
      <formula>NOT(ISERROR(SEARCH("STRONG",AE3)))</formula>
    </cfRule>
    <cfRule type="containsText" dxfId="1" priority="22" operator="between" text="VSTRONG">
      <formula>NOT(ISERROR(SEARCH("VSTRONG",AE3)))</formula>
    </cfRule>
  </conditionalFormatting>
  <conditionalFormatting sqref="AE5:AE6">
    <cfRule type="containsText" dxfId="3" priority="9" operator="between" text="STRONG">
      <formula>NOT(ISERROR(SEARCH("STRONG",AE5)))</formula>
    </cfRule>
    <cfRule type="containsText" dxfId="1" priority="7" operator="between" text="VSTRONG">
      <formula>NOT(ISERROR(SEARCH("VSTRONG",AE5)))</formula>
    </cfRule>
  </conditionalFormatting>
  <conditionalFormatting sqref="AF3:AF4">
    <cfRule type="cellIs" dxfId="11" priority="18" operator="equal">
      <formula>"VWEAK"</formula>
    </cfRule>
    <cfRule type="containsText" dxfId="0" priority="17" operator="between" text="VSTRONG">
      <formula>NOT(ISERROR(SEARCH("VSTRONG",AF3)))</formula>
    </cfRule>
  </conditionalFormatting>
  <conditionalFormatting sqref="AF5:AF6">
    <cfRule type="cellIs" dxfId="11" priority="3" operator="equal">
      <formula>"VWEAK"</formula>
    </cfRule>
    <cfRule type="containsText" dxfId="0" priority="2" operator="between" text="VSTRONG">
      <formula>NOT(ISERROR(SEARCH("VSTRONG",AF5)))</formula>
    </cfRule>
  </conditionalFormatting>
  <conditionalFormatting sqref="AG3:AG4">
    <cfRule type="containsText" dxfId="12" priority="21" operator="between" text="FEMALE DOM">
      <formula>NOT(ISERROR(SEARCH("FEMALE DOM",AG3)))</formula>
    </cfRule>
    <cfRule type="containsText" dxfId="10" priority="16" operator="between" text="MEN">
      <formula>NOT(ISERROR(SEARCH("MEN",AG3)))</formula>
    </cfRule>
  </conditionalFormatting>
  <conditionalFormatting sqref="AG5:AG6">
    <cfRule type="containsText" dxfId="12" priority="6" operator="between" text="FEMALE DOM">
      <formula>NOT(ISERROR(SEARCH("FEMALE DOM",AG5)))</formula>
    </cfRule>
    <cfRule type="containsText" dxfId="10" priority="1" operator="between" text="MEN">
      <formula>NOT(ISERROR(SEARCH("MEN",AG5)))</formula>
    </cfRule>
  </conditionalFormatting>
  <conditionalFormatting sqref="AH3:AH4">
    <cfRule type="containsText" dxfId="0" priority="27" operator="between" text="O">
      <formula>NOT(ISERROR(SEARCH("O",AH3)))</formula>
    </cfRule>
    <cfRule type="containsText" dxfId="3" priority="25" operator="between" text="H">
      <formula>NOT(ISERROR(SEARCH("H",AH3)))</formula>
    </cfRule>
    <cfRule type="containsText" dxfId="13" priority="26" operator="between" text="H">
      <formula>NOT(ISERROR(SEARCH("H",AH3)))</formula>
    </cfRule>
    <cfRule type="containsText" dxfId="1" priority="19" operator="between" text="H">
      <formula>NOT(ISERROR(SEARCH("H",AH3)))</formula>
    </cfRule>
  </conditionalFormatting>
  <conditionalFormatting sqref="AH5:AH6">
    <cfRule type="containsText" dxfId="0" priority="12" operator="between" text="O">
      <formula>NOT(ISERROR(SEARCH("O",AH5)))</formula>
    </cfRule>
    <cfRule type="containsText" dxfId="3" priority="10" operator="between" text="H">
      <formula>NOT(ISERROR(SEARCH("H",AH5)))</formula>
    </cfRule>
    <cfRule type="containsText" dxfId="13" priority="11" operator="between" text="H">
      <formula>NOT(ISERROR(SEARCH("H",AH5)))</formula>
    </cfRule>
    <cfRule type="containsText" dxfId="1" priority="4" operator="between" text="H">
      <formula>NOT(ISERROR(SEARCH("H",AH5)))</formula>
    </cfRule>
  </conditionalFormatting>
  <conditionalFormatting sqref="AE3:AF4">
    <cfRule type="containsText" dxfId="2" priority="23" operator="between" text="AVG">
      <formula>NOT(ISERROR(SEARCH("AVG",AE3)))</formula>
    </cfRule>
  </conditionalFormatting>
  <conditionalFormatting sqref="AE5:AF6">
    <cfRule type="containsText" dxfId="2" priority="8" operator="between" text="AVG">
      <formula>NOT(ISERROR(SEARCH("AVG",AE5)))</formula>
    </cfRule>
  </conditionalFormatting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4"/>
  <sheetViews>
    <sheetView topLeftCell="S13" workbookViewId="0">
      <selection activeCell="U26" sqref="U26:X27"/>
    </sheetView>
  </sheetViews>
  <sheetFormatPr defaultColWidth="9" defaultRowHeight="14.5"/>
  <sheetData>
    <row r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343" t="s">
        <v>54</v>
      </c>
      <c r="B7" s="343">
        <v>107</v>
      </c>
      <c r="C7" s="343">
        <v>961</v>
      </c>
      <c r="D7" s="343">
        <v>364</v>
      </c>
      <c r="E7" s="343">
        <v>279</v>
      </c>
      <c r="F7" s="343">
        <v>0</v>
      </c>
      <c r="G7" s="343">
        <v>1</v>
      </c>
      <c r="H7" s="343">
        <v>0</v>
      </c>
      <c r="I7" s="343">
        <v>0</v>
      </c>
      <c r="J7" s="343">
        <v>2</v>
      </c>
      <c r="K7" s="343">
        <v>0</v>
      </c>
      <c r="L7" s="343">
        <v>646</v>
      </c>
      <c r="M7" s="343">
        <v>0</v>
      </c>
      <c r="N7" s="343">
        <v>4</v>
      </c>
      <c r="O7" s="343">
        <f t="shared" ref="O7:O12" si="0">D7+E7+F7+G7+H7+I7+J7+K7+N7</f>
        <v>650</v>
      </c>
      <c r="P7" s="343">
        <f t="shared" ref="P7:P12" si="1">(O7/C7)*100</f>
        <v>67.6378772112383</v>
      </c>
      <c r="Q7" s="343">
        <f t="shared" ref="Q7:Q12" si="2">(E7/O7)*100</f>
        <v>42.9230769230769</v>
      </c>
      <c r="R7" s="343">
        <f t="shared" ref="R7:R12" si="3">(D7/O7)*100</f>
        <v>56</v>
      </c>
      <c r="S7" s="343">
        <f t="shared" ref="S7:S12" si="4">(F7/O7)*100</f>
        <v>0</v>
      </c>
      <c r="T7" s="343">
        <f t="shared" ref="T7:T12" si="5">(G7/O7)*100</f>
        <v>0.153846153846154</v>
      </c>
      <c r="U7" s="343">
        <f t="shared" ref="U7:U12" si="6">((H7+I7+J7+K7)/O7)*100</f>
        <v>0.307692307692308</v>
      </c>
      <c r="V7" s="343">
        <f t="shared" ref="V7:V12" si="7">(N7/O7)*100</f>
        <v>0.615384615384615</v>
      </c>
      <c r="W7" s="343">
        <f>Q7-R7</f>
        <v>-13.0769230769231</v>
      </c>
      <c r="X7" s="343">
        <f>Q7-(R7+S7+T7+U7)</f>
        <v>-13.5384615384615</v>
      </c>
      <c r="Y7" s="343" t="str">
        <f>IF(AND(W7&lt;0,W7&lt;=1),"LOST",IF(AND(W7&gt;1,W7&lt;=10),"NARROW",IF(AND(W7&gt;10,W7&lt;=40),"MEDIUM",IF(AND(W7&gt;40,W7&lt;=90),"STRONG",""))))</f>
        <v>LOST</v>
      </c>
      <c r="Z7" s="283" t="str">
        <f>IF(AND(P7&lt;0,P7&lt;=10),"WEAK",IF(AND(P7&gt;10,P7&lt;20),"BELOW AVG",IF(AND(P7&gt;20,P7&lt;=60),"MEDIUM",IF(AND(P7&gt;60,P7&lt;=90),"STRONG",""))))</f>
        <v>STRONG</v>
      </c>
      <c r="AA7" s="284" t="str">
        <f>IF(Q7&gt;R7,"BJP","CONGRESS")</f>
        <v>CONGRESS</v>
      </c>
      <c r="AB7" s="334">
        <v>958</v>
      </c>
      <c r="AC7" s="334">
        <v>661</v>
      </c>
      <c r="AD7" s="334">
        <v>472</v>
      </c>
      <c r="AE7" s="334">
        <v>322</v>
      </c>
      <c r="AF7" s="334">
        <v>486</v>
      </c>
      <c r="AG7" s="334">
        <v>339</v>
      </c>
      <c r="AH7" s="334">
        <v>411</v>
      </c>
      <c r="AI7" s="334">
        <v>290</v>
      </c>
      <c r="AJ7" s="334">
        <v>530</v>
      </c>
      <c r="AK7" s="334">
        <v>357</v>
      </c>
      <c r="AL7" s="334">
        <v>17</v>
      </c>
      <c r="AM7" s="334">
        <v>14</v>
      </c>
      <c r="AN7" s="248">
        <f>(AD7/AB7)*100</f>
        <v>49.2693110647182</v>
      </c>
      <c r="AO7" s="316">
        <f>(AE7/AC7)*100</f>
        <v>48.714069591528</v>
      </c>
      <c r="AP7" s="317">
        <f>(AF7/AB7)*100</f>
        <v>50.7306889352818</v>
      </c>
      <c r="AQ7" s="318">
        <f>(AG7/AC7)*100</f>
        <v>51.285930408472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42.901878914405</v>
      </c>
      <c r="AU7" s="317">
        <f>(AI7/AC7)*100</f>
        <v>43.8729198184569</v>
      </c>
      <c r="AV7" s="248">
        <f>(AJ7/AB7)*100</f>
        <v>55.3235908141962</v>
      </c>
      <c r="AW7" s="317">
        <f>(AK7/AC7)*100</f>
        <v>54.0090771558245</v>
      </c>
      <c r="AX7" s="248">
        <f>(AL7/AB7)*100</f>
        <v>1.77453027139875</v>
      </c>
      <c r="AY7" s="317">
        <f>(AM7/AC7)*100</f>
        <v>2.11800302571861</v>
      </c>
      <c r="AZ7" s="248" t="str">
        <f>IF(AT7&gt;(AV7+AX7),"HINDU","MINORITY")</f>
        <v>MINORITY</v>
      </c>
      <c r="BA7" s="318" t="str">
        <f>IF(AU7&gt;(AW7+AY7),"HIND","MINORITY")</f>
        <v>MINORITY</v>
      </c>
    </row>
    <row r="8" spans="2:53">
      <c r="B8" s="343">
        <v>106</v>
      </c>
      <c r="C8" s="343">
        <v>911</v>
      </c>
      <c r="D8" s="343">
        <v>517</v>
      </c>
      <c r="E8" s="343">
        <v>86</v>
      </c>
      <c r="F8" s="343">
        <v>0</v>
      </c>
      <c r="G8" s="343">
        <v>0</v>
      </c>
      <c r="H8" s="343">
        <v>0</v>
      </c>
      <c r="I8" s="343">
        <v>0</v>
      </c>
      <c r="J8" s="343">
        <v>0</v>
      </c>
      <c r="K8" s="343">
        <v>0</v>
      </c>
      <c r="L8" s="343">
        <v>603</v>
      </c>
      <c r="M8" s="343">
        <v>0</v>
      </c>
      <c r="N8" s="343">
        <v>1</v>
      </c>
      <c r="O8" s="343">
        <f t="shared" si="0"/>
        <v>604</v>
      </c>
      <c r="P8" s="343">
        <f t="shared" si="1"/>
        <v>66.3007683863886</v>
      </c>
      <c r="Q8" s="343">
        <f t="shared" si="2"/>
        <v>14.2384105960265</v>
      </c>
      <c r="R8" s="343">
        <f t="shared" si="3"/>
        <v>85.5960264900662</v>
      </c>
      <c r="S8" s="343">
        <f t="shared" si="4"/>
        <v>0</v>
      </c>
      <c r="T8" s="343">
        <f t="shared" si="5"/>
        <v>0</v>
      </c>
      <c r="U8" s="343">
        <f t="shared" si="6"/>
        <v>0</v>
      </c>
      <c r="V8" s="343">
        <f t="shared" si="7"/>
        <v>0.165562913907285</v>
      </c>
      <c r="W8" s="343">
        <f t="shared" ref="W8:W12" si="8">Q8-R8</f>
        <v>-71.3576158940397</v>
      </c>
      <c r="X8" s="343">
        <f t="shared" ref="X8:X12" si="9">Q8-(R8+S8+T8+U8)</f>
        <v>-71.3576158940397</v>
      </c>
      <c r="Y8" s="343" t="str">
        <f t="shared" ref="Y8:Y13" si="10">IF(AND(W8&lt;0,W8&lt;=1),"LOST",IF(AND(W8&gt;1,W8&lt;=10),"NARROW",IF(AND(W8&gt;10,W8&lt;=40),"MEDIUM",IF(AND(W8&gt;40,W8&lt;=90),"STRONG",""))))</f>
        <v>LOST</v>
      </c>
      <c r="Z8" s="285" t="str">
        <f t="shared" ref="Z8:Z13" si="11">IF(AND(P8&lt;0,P8&lt;=10),"WEAK",IF(AND(P8&gt;10,P8&lt;20),"BELOW AVG",IF(AND(P8&gt;20,P8&lt;=60),"MEDIUM",IF(AND(P8&gt;60,P8&lt;=90),"STRONG",""))))</f>
        <v>STRONG</v>
      </c>
      <c r="AA8" s="286" t="str">
        <f t="shared" ref="AA8:AA13" si="12">IF(Q8&gt;R8,"BJP","CONGRESS")</f>
        <v>CONGRESS</v>
      </c>
      <c r="AB8">
        <v>900</v>
      </c>
      <c r="AC8">
        <v>595</v>
      </c>
      <c r="AD8">
        <v>438</v>
      </c>
      <c r="AE8">
        <v>282</v>
      </c>
      <c r="AF8">
        <v>462</v>
      </c>
      <c r="AG8">
        <v>313</v>
      </c>
      <c r="AH8">
        <v>121</v>
      </c>
      <c r="AI8">
        <v>80</v>
      </c>
      <c r="AJ8">
        <v>778</v>
      </c>
      <c r="AK8">
        <v>514</v>
      </c>
      <c r="AL8">
        <v>1</v>
      </c>
      <c r="AM8">
        <v>1</v>
      </c>
      <c r="AN8" s="248">
        <f t="shared" ref="AN8:AO10" si="13">(AD8/AB8)*100</f>
        <v>48.6666666666667</v>
      </c>
      <c r="AO8" s="316">
        <f t="shared" si="13"/>
        <v>47.3949579831933</v>
      </c>
      <c r="AP8" s="317">
        <f t="shared" ref="AP8:AQ10" si="14">(AF8/AB8)*100</f>
        <v>51.3333333333333</v>
      </c>
      <c r="AQ8" s="318">
        <f t="shared" si="14"/>
        <v>52.6050420168067</v>
      </c>
      <c r="AR8" s="318" t="str">
        <f t="shared" ref="AR8:AR12" si="15">IF(AN8&gt;AP8,"MALE DOM","FEMALE DOM")</f>
        <v>FEMALE DOM</v>
      </c>
      <c r="AS8" s="319" t="str">
        <f t="shared" ref="AS8:AS12" si="16">IF(AO8&gt;AP8,"MALE","FEMALE")</f>
        <v>FEMALE</v>
      </c>
      <c r="AT8" s="317">
        <f t="shared" ref="AT8:AU10" si="17">(AH8/AB8)*100</f>
        <v>13.4444444444444</v>
      </c>
      <c r="AU8" s="317">
        <f t="shared" si="17"/>
        <v>13.4453781512605</v>
      </c>
      <c r="AV8" s="248">
        <f t="shared" ref="AV8:AW10" si="18">(AJ8/AB8)*100</f>
        <v>86.4444444444444</v>
      </c>
      <c r="AW8" s="317">
        <f t="shared" si="18"/>
        <v>86.3865546218487</v>
      </c>
      <c r="AX8" s="248">
        <f t="shared" ref="AX8:AY10" si="19">(AL8/AB8)*100</f>
        <v>0.111111111111111</v>
      </c>
      <c r="AY8" s="317">
        <f t="shared" si="19"/>
        <v>0.168067226890756</v>
      </c>
      <c r="AZ8" s="248" t="str">
        <f t="shared" ref="AZ8:AZ12" si="20">IF(AT8&gt;(AV8+AX8),"HINDU","MINORITY")</f>
        <v>MINORITY</v>
      </c>
      <c r="BA8" s="318" t="str">
        <f t="shared" ref="BA8:BA12" si="21">IF(AU8&gt;(AW8+AY8),"HIND","MINORITY")</f>
        <v>MINORITY</v>
      </c>
    </row>
    <row r="9" spans="2:53">
      <c r="B9" s="343">
        <v>109</v>
      </c>
      <c r="C9" s="343">
        <v>1012</v>
      </c>
      <c r="D9" s="343">
        <v>656</v>
      </c>
      <c r="E9" s="343">
        <v>15</v>
      </c>
      <c r="F9" s="343">
        <v>6</v>
      </c>
      <c r="G9" s="343">
        <v>0</v>
      </c>
      <c r="H9" s="343">
        <v>0</v>
      </c>
      <c r="I9" s="343">
        <v>0</v>
      </c>
      <c r="J9" s="343">
        <v>2</v>
      </c>
      <c r="K9" s="343">
        <v>0</v>
      </c>
      <c r="L9" s="343">
        <v>679</v>
      </c>
      <c r="M9" s="343">
        <v>0</v>
      </c>
      <c r="N9" s="343">
        <v>1</v>
      </c>
      <c r="O9" s="343">
        <f t="shared" si="0"/>
        <v>680</v>
      </c>
      <c r="P9" s="343">
        <f t="shared" si="1"/>
        <v>67.1936758893281</v>
      </c>
      <c r="Q9" s="343">
        <f t="shared" si="2"/>
        <v>2.20588235294118</v>
      </c>
      <c r="R9" s="343">
        <f t="shared" si="3"/>
        <v>96.4705882352941</v>
      </c>
      <c r="S9" s="343">
        <f t="shared" si="4"/>
        <v>0.882352941176471</v>
      </c>
      <c r="T9" s="343">
        <f t="shared" si="5"/>
        <v>0</v>
      </c>
      <c r="U9" s="343">
        <f t="shared" si="6"/>
        <v>0.294117647058824</v>
      </c>
      <c r="V9" s="343">
        <f t="shared" si="7"/>
        <v>0.147058823529412</v>
      </c>
      <c r="W9" s="343">
        <f t="shared" si="8"/>
        <v>-94.2647058823529</v>
      </c>
      <c r="X9" s="343">
        <f t="shared" si="9"/>
        <v>-95.4411764705882</v>
      </c>
      <c r="Y9" s="343" t="str">
        <f t="shared" si="10"/>
        <v>LOST</v>
      </c>
      <c r="Z9" s="283" t="str">
        <f t="shared" si="11"/>
        <v>STRONG</v>
      </c>
      <c r="AA9" s="284" t="str">
        <f t="shared" si="12"/>
        <v>CONGRESS</v>
      </c>
      <c r="AB9">
        <v>1004</v>
      </c>
      <c r="AC9">
        <v>643</v>
      </c>
      <c r="AD9">
        <v>528</v>
      </c>
      <c r="AE9">
        <v>331</v>
      </c>
      <c r="AF9">
        <v>476</v>
      </c>
      <c r="AG9">
        <v>312</v>
      </c>
      <c r="AH9">
        <v>25</v>
      </c>
      <c r="AI9">
        <v>12</v>
      </c>
      <c r="AJ9">
        <v>978</v>
      </c>
      <c r="AK9">
        <v>631</v>
      </c>
      <c r="AL9">
        <v>1</v>
      </c>
      <c r="AM9">
        <v>0</v>
      </c>
      <c r="AN9" s="248">
        <f t="shared" si="13"/>
        <v>52.5896414342629</v>
      </c>
      <c r="AO9" s="316">
        <f t="shared" si="13"/>
        <v>51.4774494556765</v>
      </c>
      <c r="AP9" s="317">
        <f t="shared" si="14"/>
        <v>47.4103585657371</v>
      </c>
      <c r="AQ9" s="318">
        <f t="shared" si="14"/>
        <v>48.5225505443235</v>
      </c>
      <c r="AR9" s="318" t="str">
        <f t="shared" si="15"/>
        <v>MALE DOM</v>
      </c>
      <c r="AS9" s="319" t="str">
        <f t="shared" si="16"/>
        <v>MALE</v>
      </c>
      <c r="AT9" s="317">
        <f t="shared" si="17"/>
        <v>2.49003984063745</v>
      </c>
      <c r="AU9" s="317">
        <f t="shared" si="17"/>
        <v>1.86625194401244</v>
      </c>
      <c r="AV9" s="248">
        <f t="shared" si="18"/>
        <v>97.4103585657371</v>
      </c>
      <c r="AW9" s="317">
        <f t="shared" si="18"/>
        <v>98.1337480559876</v>
      </c>
      <c r="AX9" s="248">
        <f t="shared" si="19"/>
        <v>0.099601593625498</v>
      </c>
      <c r="AY9" s="317">
        <f t="shared" si="19"/>
        <v>0</v>
      </c>
      <c r="AZ9" s="248" t="str">
        <f t="shared" si="20"/>
        <v>MINORITY</v>
      </c>
      <c r="BA9" s="318" t="str">
        <f t="shared" si="21"/>
        <v>MINORITY</v>
      </c>
    </row>
    <row r="10" spans="2:53">
      <c r="B10" s="343">
        <v>110</v>
      </c>
      <c r="C10" s="343">
        <v>590</v>
      </c>
      <c r="D10" s="343">
        <v>206</v>
      </c>
      <c r="E10" s="343">
        <v>193</v>
      </c>
      <c r="F10" s="343">
        <v>1</v>
      </c>
      <c r="G10" s="343">
        <v>0</v>
      </c>
      <c r="H10" s="343">
        <v>0</v>
      </c>
      <c r="I10" s="343">
        <v>0</v>
      </c>
      <c r="J10" s="343">
        <v>1</v>
      </c>
      <c r="K10" s="343">
        <v>0</v>
      </c>
      <c r="L10" s="343">
        <v>401</v>
      </c>
      <c r="M10" s="343">
        <v>0</v>
      </c>
      <c r="N10" s="343">
        <v>0</v>
      </c>
      <c r="O10" s="343">
        <f t="shared" si="0"/>
        <v>401</v>
      </c>
      <c r="P10" s="343">
        <f t="shared" si="1"/>
        <v>67.9661016949153</v>
      </c>
      <c r="Q10" s="343">
        <f t="shared" si="2"/>
        <v>48.1296758104738</v>
      </c>
      <c r="R10" s="343">
        <f t="shared" si="3"/>
        <v>51.3715710723192</v>
      </c>
      <c r="S10" s="343">
        <f t="shared" si="4"/>
        <v>0.249376558603491</v>
      </c>
      <c r="T10" s="343">
        <f t="shared" si="5"/>
        <v>0</v>
      </c>
      <c r="U10" s="343">
        <f t="shared" si="6"/>
        <v>0.249376558603491</v>
      </c>
      <c r="V10" s="343">
        <f t="shared" si="7"/>
        <v>0</v>
      </c>
      <c r="W10" s="343">
        <f t="shared" si="8"/>
        <v>-3.24189526184539</v>
      </c>
      <c r="X10" s="343">
        <f t="shared" si="9"/>
        <v>-3.74064837905237</v>
      </c>
      <c r="Y10" s="343" t="str">
        <f t="shared" si="10"/>
        <v>LOST</v>
      </c>
      <c r="Z10" s="285" t="str">
        <f t="shared" si="11"/>
        <v>STRONG</v>
      </c>
      <c r="AA10" s="284" t="str">
        <f t="shared" si="12"/>
        <v>CONGRESS</v>
      </c>
      <c r="AB10">
        <v>584</v>
      </c>
      <c r="AC10">
        <v>380</v>
      </c>
      <c r="AD10">
        <v>273</v>
      </c>
      <c r="AE10">
        <v>170</v>
      </c>
      <c r="AF10">
        <v>311</v>
      </c>
      <c r="AG10">
        <v>210</v>
      </c>
      <c r="AH10">
        <v>289</v>
      </c>
      <c r="AI10">
        <v>202</v>
      </c>
      <c r="AJ10">
        <v>262</v>
      </c>
      <c r="AK10">
        <v>157</v>
      </c>
      <c r="AL10">
        <v>33</v>
      </c>
      <c r="AM10">
        <v>21</v>
      </c>
      <c r="AN10" s="248">
        <f t="shared" si="13"/>
        <v>46.7465753424658</v>
      </c>
      <c r="AO10" s="316">
        <f t="shared" si="13"/>
        <v>44.7368421052632</v>
      </c>
      <c r="AP10" s="317">
        <f t="shared" si="14"/>
        <v>53.2534246575342</v>
      </c>
      <c r="AQ10" s="318">
        <f t="shared" si="14"/>
        <v>55.2631578947368</v>
      </c>
      <c r="AR10" s="318" t="str">
        <f t="shared" si="15"/>
        <v>FEMALE DOM</v>
      </c>
      <c r="AS10" s="319" t="str">
        <f t="shared" si="16"/>
        <v>FEMALE</v>
      </c>
      <c r="AT10" s="317">
        <f t="shared" si="17"/>
        <v>49.486301369863</v>
      </c>
      <c r="AU10" s="317">
        <f t="shared" si="17"/>
        <v>53.1578947368421</v>
      </c>
      <c r="AV10" s="248">
        <f t="shared" si="18"/>
        <v>44.8630136986301</v>
      </c>
      <c r="AW10" s="317">
        <f t="shared" si="18"/>
        <v>41.3157894736842</v>
      </c>
      <c r="AX10" s="248">
        <f t="shared" si="19"/>
        <v>5.65068493150685</v>
      </c>
      <c r="AY10" s="317">
        <f t="shared" si="19"/>
        <v>5.52631578947368</v>
      </c>
      <c r="AZ10" s="248" t="str">
        <f t="shared" si="20"/>
        <v>MINORITY</v>
      </c>
      <c r="BA10" s="318" t="str">
        <f t="shared" si="21"/>
        <v>HIND</v>
      </c>
    </row>
    <row r="11" spans="2:53">
      <c r="B11" s="343">
        <v>104</v>
      </c>
      <c r="C11" s="343">
        <v>958</v>
      </c>
      <c r="D11" s="343">
        <v>340</v>
      </c>
      <c r="E11" s="343">
        <v>310</v>
      </c>
      <c r="F11" s="343">
        <v>2</v>
      </c>
      <c r="G11" s="343">
        <v>1</v>
      </c>
      <c r="H11" s="343">
        <v>1</v>
      </c>
      <c r="I11" s="343">
        <v>0</v>
      </c>
      <c r="J11" s="343">
        <v>0</v>
      </c>
      <c r="K11" s="343">
        <v>0</v>
      </c>
      <c r="L11" s="343">
        <v>654</v>
      </c>
      <c r="M11" s="343">
        <v>0</v>
      </c>
      <c r="N11" s="343">
        <v>6</v>
      </c>
      <c r="O11" s="343">
        <f t="shared" si="0"/>
        <v>660</v>
      </c>
      <c r="P11" s="343">
        <f t="shared" si="1"/>
        <v>68.8935281837161</v>
      </c>
      <c r="Q11" s="343">
        <f t="shared" si="2"/>
        <v>46.969696969697</v>
      </c>
      <c r="R11" s="343">
        <f t="shared" si="3"/>
        <v>51.5151515151515</v>
      </c>
      <c r="S11" s="343">
        <f t="shared" si="4"/>
        <v>0.303030303030303</v>
      </c>
      <c r="T11" s="343">
        <f t="shared" si="5"/>
        <v>0.151515151515152</v>
      </c>
      <c r="U11" s="343">
        <f t="shared" si="6"/>
        <v>0.151515151515152</v>
      </c>
      <c r="V11" s="343">
        <f t="shared" si="7"/>
        <v>0.909090909090909</v>
      </c>
      <c r="W11" s="343">
        <f t="shared" si="8"/>
        <v>-4.54545454545455</v>
      </c>
      <c r="X11" s="343">
        <f t="shared" si="9"/>
        <v>-5.15151515151515</v>
      </c>
      <c r="Y11" s="343" t="str">
        <f t="shared" si="10"/>
        <v>LOST</v>
      </c>
      <c r="Z11" s="341" t="str">
        <f t="shared" si="11"/>
        <v>STRONG</v>
      </c>
      <c r="AA11" s="284" t="str">
        <f t="shared" si="12"/>
        <v>CONGRESS</v>
      </c>
      <c r="AB11">
        <v>953</v>
      </c>
      <c r="AC11">
        <v>502</v>
      </c>
      <c r="AD11">
        <v>436</v>
      </c>
      <c r="AE11">
        <v>235</v>
      </c>
      <c r="AF11">
        <v>517</v>
      </c>
      <c r="AG11">
        <v>267</v>
      </c>
      <c r="AH11">
        <v>534</v>
      </c>
      <c r="AI11">
        <v>319</v>
      </c>
      <c r="AJ11">
        <v>318</v>
      </c>
      <c r="AK11">
        <v>142</v>
      </c>
      <c r="AL11">
        <v>101</v>
      </c>
      <c r="AM11">
        <v>41</v>
      </c>
      <c r="AN11" s="248">
        <f>(AD11/AB11)*100</f>
        <v>45.7502623294858</v>
      </c>
      <c r="AO11" s="316">
        <f>(AE11/AC11)*100</f>
        <v>46.8127490039841</v>
      </c>
      <c r="AP11" s="317">
        <f>(AF11/AB11)*100</f>
        <v>54.2497376705142</v>
      </c>
      <c r="AQ11" s="318">
        <f>(AG11/AC11)*100</f>
        <v>53.1872509960159</v>
      </c>
      <c r="AR11" s="318" t="str">
        <f t="shared" si="15"/>
        <v>FEMALE DOM</v>
      </c>
      <c r="AS11" s="319" t="str">
        <f t="shared" si="16"/>
        <v>FEMALE</v>
      </c>
      <c r="AT11" s="317">
        <f>(AH11/AB11)*100</f>
        <v>56.0335781741868</v>
      </c>
      <c r="AU11" s="317">
        <f>(AI11/AC11)*100</f>
        <v>63.5458167330677</v>
      </c>
      <c r="AV11" s="248">
        <f>(AJ11/AB11)*100</f>
        <v>33.3683105981112</v>
      </c>
      <c r="AW11" s="317">
        <f>(AK11/AC11)*100</f>
        <v>28.2868525896414</v>
      </c>
      <c r="AX11" s="248">
        <f>(AL11/AB11)*100</f>
        <v>10.598111227702</v>
      </c>
      <c r="AY11" s="317">
        <f>(AM11/AC11)*100</f>
        <v>8.16733067729084</v>
      </c>
      <c r="AZ11" s="248" t="str">
        <f t="shared" si="20"/>
        <v>HINDU</v>
      </c>
      <c r="BA11" s="318" t="str">
        <f t="shared" si="21"/>
        <v>HIND</v>
      </c>
    </row>
    <row r="12" spans="2:53">
      <c r="B12" s="343">
        <v>105</v>
      </c>
      <c r="C12" s="343">
        <v>1120</v>
      </c>
      <c r="D12" s="343">
        <v>586</v>
      </c>
      <c r="E12" s="343">
        <v>141</v>
      </c>
      <c r="F12" s="343">
        <v>1</v>
      </c>
      <c r="G12" s="343">
        <v>3</v>
      </c>
      <c r="H12" s="343">
        <v>0</v>
      </c>
      <c r="I12" s="343">
        <v>0</v>
      </c>
      <c r="J12" s="343">
        <v>1</v>
      </c>
      <c r="K12" s="343">
        <v>0</v>
      </c>
      <c r="L12" s="343">
        <v>732</v>
      </c>
      <c r="M12" s="343">
        <v>0</v>
      </c>
      <c r="N12" s="343">
        <v>0</v>
      </c>
      <c r="O12" s="343">
        <f t="shared" si="0"/>
        <v>732</v>
      </c>
      <c r="P12" s="343">
        <f t="shared" si="1"/>
        <v>65.3571428571429</v>
      </c>
      <c r="Q12" s="343">
        <f t="shared" si="2"/>
        <v>19.2622950819672</v>
      </c>
      <c r="R12" s="343">
        <f t="shared" si="3"/>
        <v>80.0546448087432</v>
      </c>
      <c r="S12" s="343">
        <f t="shared" si="4"/>
        <v>0.136612021857924</v>
      </c>
      <c r="T12" s="343">
        <f t="shared" si="5"/>
        <v>0.409836065573771</v>
      </c>
      <c r="U12" s="343">
        <f t="shared" si="6"/>
        <v>0.136612021857924</v>
      </c>
      <c r="V12" s="343">
        <f t="shared" si="7"/>
        <v>0</v>
      </c>
      <c r="W12" s="343">
        <f t="shared" si="8"/>
        <v>-60.792349726776</v>
      </c>
      <c r="X12" s="343">
        <f t="shared" si="9"/>
        <v>-61.4754098360656</v>
      </c>
      <c r="Y12" s="343" t="str">
        <f t="shared" si="10"/>
        <v>LOST</v>
      </c>
      <c r="Z12" s="341" t="str">
        <f t="shared" si="11"/>
        <v>STRONG</v>
      </c>
      <c r="AA12" s="284" t="str">
        <f t="shared" si="12"/>
        <v>CONGRESS</v>
      </c>
      <c r="AB12">
        <v>1111</v>
      </c>
      <c r="AC12">
        <v>261</v>
      </c>
      <c r="AD12">
        <v>563</v>
      </c>
      <c r="AE12">
        <v>126</v>
      </c>
      <c r="AF12">
        <v>548</v>
      </c>
      <c r="AG12">
        <v>135</v>
      </c>
      <c r="AH12">
        <v>216</v>
      </c>
      <c r="AI12">
        <v>91</v>
      </c>
      <c r="AJ12">
        <v>885</v>
      </c>
      <c r="AK12">
        <v>165</v>
      </c>
      <c r="AL12">
        <v>10</v>
      </c>
      <c r="AM12">
        <v>5</v>
      </c>
      <c r="AN12" s="248">
        <f>(AD12/AB12)*100</f>
        <v>50.6750675067507</v>
      </c>
      <c r="AO12" s="316">
        <f>(AE12/AC12)*100</f>
        <v>48.2758620689655</v>
      </c>
      <c r="AP12" s="317">
        <f>(AF12/AB12)*100</f>
        <v>49.3249324932493</v>
      </c>
      <c r="AQ12" s="318">
        <f>(AG12/AC12)*100</f>
        <v>51.7241379310345</v>
      </c>
      <c r="AR12" s="318" t="str">
        <f t="shared" si="15"/>
        <v>MALE DOM</v>
      </c>
      <c r="AS12" s="319" t="str">
        <f t="shared" si="16"/>
        <v>FEMALE</v>
      </c>
      <c r="AT12" s="317">
        <f>(AH12/AB12)*100</f>
        <v>19.4419441944194</v>
      </c>
      <c r="AU12" s="317">
        <f>(AI12/AC12)*100</f>
        <v>34.8659003831418</v>
      </c>
      <c r="AV12" s="248">
        <f>(AJ12/AB12)*100</f>
        <v>79.6579657965797</v>
      </c>
      <c r="AW12" s="317">
        <f>(AK12/AC12)*100</f>
        <v>63.2183908045977</v>
      </c>
      <c r="AX12" s="248">
        <f>(AL12/AB12)*100</f>
        <v>0.9000900090009</v>
      </c>
      <c r="AY12" s="317">
        <f>(AM12/AC12)*100</f>
        <v>1.91570881226054</v>
      </c>
      <c r="AZ12" s="248" t="str">
        <f t="shared" si="20"/>
        <v>MINORITY</v>
      </c>
      <c r="BA12" s="318" t="str">
        <f t="shared" si="21"/>
        <v>MINORITY</v>
      </c>
    </row>
    <row r="13" spans="2:27">
      <c r="B13" s="334"/>
      <c r="C13" s="343">
        <f t="shared" ref="C13:O13" si="22">SUM(C7:C12)</f>
        <v>5552</v>
      </c>
      <c r="D13" s="343">
        <f t="shared" si="22"/>
        <v>2669</v>
      </c>
      <c r="E13" s="343">
        <f t="shared" si="22"/>
        <v>1024</v>
      </c>
      <c r="F13" s="343">
        <f t="shared" si="22"/>
        <v>10</v>
      </c>
      <c r="G13" s="343">
        <f t="shared" si="22"/>
        <v>5</v>
      </c>
      <c r="H13" s="343">
        <f t="shared" si="22"/>
        <v>1</v>
      </c>
      <c r="I13" s="343">
        <f t="shared" si="22"/>
        <v>0</v>
      </c>
      <c r="J13" s="343">
        <f t="shared" si="22"/>
        <v>6</v>
      </c>
      <c r="K13" s="343">
        <f t="shared" si="22"/>
        <v>0</v>
      </c>
      <c r="L13" s="343">
        <f t="shared" si="22"/>
        <v>3715</v>
      </c>
      <c r="M13" s="343">
        <f t="shared" si="22"/>
        <v>0</v>
      </c>
      <c r="N13" s="343">
        <f t="shared" si="22"/>
        <v>12</v>
      </c>
      <c r="O13" s="343">
        <f t="shared" si="22"/>
        <v>3727</v>
      </c>
      <c r="P13" s="343">
        <f t="shared" ref="P13:X13" si="23">AVERAGE(P7:P12)</f>
        <v>67.2248490371215</v>
      </c>
      <c r="Q13" s="343">
        <f t="shared" si="23"/>
        <v>28.9548396223638</v>
      </c>
      <c r="R13" s="343">
        <f t="shared" si="23"/>
        <v>70.1679970202624</v>
      </c>
      <c r="S13" s="343">
        <f t="shared" si="23"/>
        <v>0.261895304111365</v>
      </c>
      <c r="T13" s="343">
        <f t="shared" si="23"/>
        <v>0.119199561822513</v>
      </c>
      <c r="U13" s="343">
        <f t="shared" si="23"/>
        <v>0.189885614454616</v>
      </c>
      <c r="V13" s="343">
        <f t="shared" si="23"/>
        <v>0.30618287698537</v>
      </c>
      <c r="W13" s="343">
        <f t="shared" si="23"/>
        <v>-41.2131573978986</v>
      </c>
      <c r="X13" s="343">
        <f t="shared" si="23"/>
        <v>-41.7841378782871</v>
      </c>
      <c r="Y13" s="343" t="str">
        <f t="shared" si="10"/>
        <v>LOST</v>
      </c>
      <c r="Z13" s="341" t="str">
        <f t="shared" si="11"/>
        <v>STRONG</v>
      </c>
      <c r="AA13" s="284" t="str">
        <f t="shared" si="12"/>
        <v>CONGRESS</v>
      </c>
    </row>
    <row r="16" spans="8:25">
      <c r="H16" s="225" t="s">
        <v>205</v>
      </c>
      <c r="I16" s="237"/>
      <c r="J16" s="237"/>
      <c r="K16" s="238"/>
      <c r="M16" s="225" t="s">
        <v>97</v>
      </c>
      <c r="N16" s="237"/>
      <c r="O16" s="237"/>
      <c r="P16" s="238"/>
      <c r="R16" s="265" t="s">
        <v>98</v>
      </c>
      <c r="S16" s="265"/>
      <c r="T16" s="265"/>
      <c r="U16" s="265"/>
      <c r="V16" s="265"/>
      <c r="W16" s="265"/>
      <c r="X16" s="265"/>
      <c r="Y16" s="265"/>
    </row>
    <row r="17" spans="8:25">
      <c r="H17" s="226"/>
      <c r="I17" s="239"/>
      <c r="J17" s="239"/>
      <c r="K17" s="240"/>
      <c r="M17" s="241"/>
      <c r="N17" s="242"/>
      <c r="O17" s="242"/>
      <c r="P17" s="243"/>
      <c r="R17" s="265"/>
      <c r="S17" s="265"/>
      <c r="T17" s="265"/>
      <c r="U17" s="265"/>
      <c r="V17" s="265"/>
      <c r="W17" s="265"/>
      <c r="X17" s="265"/>
      <c r="Y17" s="265"/>
    </row>
    <row r="18" spans="8:25">
      <c r="H18" s="227" t="s">
        <v>99</v>
      </c>
      <c r="I18" s="244"/>
      <c r="J18" s="245"/>
      <c r="K18" s="245">
        <f>COUNTIF(AA7:AA12,"BJP")</f>
        <v>0</v>
      </c>
      <c r="M18" s="246" t="s">
        <v>100</v>
      </c>
      <c r="N18" s="247"/>
      <c r="O18" s="247"/>
      <c r="P18" s="248">
        <f>COUNTIF(Y7:Y12,"NARROW")</f>
        <v>0</v>
      </c>
      <c r="R18" s="265" t="s">
        <v>101</v>
      </c>
      <c r="S18" s="265"/>
      <c r="T18" s="265"/>
      <c r="U18" s="265">
        <f>'KUDROLI-18'!E7</f>
        <v>27.6971969076694</v>
      </c>
      <c r="V18" s="265" t="s">
        <v>102</v>
      </c>
      <c r="W18" s="265"/>
      <c r="X18" s="265"/>
      <c r="Y18" s="265">
        <f>Q13</f>
        <v>28.9548396223638</v>
      </c>
    </row>
    <row r="19" spans="8:25">
      <c r="H19" s="227"/>
      <c r="I19" s="244"/>
      <c r="J19" s="245"/>
      <c r="K19" s="245"/>
      <c r="M19" s="249"/>
      <c r="N19" s="250"/>
      <c r="O19" s="250"/>
      <c r="P19" s="251"/>
      <c r="R19" s="265"/>
      <c r="S19" s="265"/>
      <c r="T19" s="265"/>
      <c r="U19" s="265"/>
      <c r="V19" s="265"/>
      <c r="W19" s="265"/>
      <c r="X19" s="265"/>
      <c r="Y19" s="265"/>
    </row>
    <row r="20" spans="8:25">
      <c r="H20" s="227"/>
      <c r="I20" s="244"/>
      <c r="J20" s="245"/>
      <c r="K20" s="245"/>
      <c r="M20" s="252" t="s">
        <v>103</v>
      </c>
      <c r="N20" s="253"/>
      <c r="O20" s="253"/>
      <c r="P20" s="248">
        <f>COUNTIF(Y7:Y12,"MEDIUM")</f>
        <v>0</v>
      </c>
      <c r="R20" s="265" t="s">
        <v>104</v>
      </c>
      <c r="S20" s="265"/>
      <c r="T20" s="265"/>
      <c r="U20" s="265">
        <f>'KUDROLI-18'!G7</f>
        <v>70.1740789593358</v>
      </c>
      <c r="V20" s="265" t="s">
        <v>105</v>
      </c>
      <c r="W20" s="265"/>
      <c r="X20" s="265"/>
      <c r="Y20" s="265">
        <f>R13</f>
        <v>70.1679970202624</v>
      </c>
    </row>
    <row r="21" spans="8:25">
      <c r="H21" s="228" t="s">
        <v>106</v>
      </c>
      <c r="I21" s="254"/>
      <c r="J21" s="255"/>
      <c r="K21" s="255">
        <f>COUNTIF(AA7:AA12,"CONGRESS")</f>
        <v>6</v>
      </c>
      <c r="M21" s="252"/>
      <c r="N21" s="253"/>
      <c r="O21" s="253"/>
      <c r="P21" s="251"/>
      <c r="R21" s="265"/>
      <c r="S21" s="265"/>
      <c r="T21" s="265"/>
      <c r="U21" s="265"/>
      <c r="V21" s="265"/>
      <c r="W21" s="265"/>
      <c r="X21" s="265"/>
      <c r="Y21" s="265"/>
    </row>
    <row r="22" spans="8:25">
      <c r="H22" s="229"/>
      <c r="I22" s="256"/>
      <c r="J22" s="257"/>
      <c r="K22" s="257"/>
      <c r="M22" s="258" t="s">
        <v>107</v>
      </c>
      <c r="N22" s="259"/>
      <c r="O22" s="259"/>
      <c r="P22" s="248">
        <f>COUNTIF(Y7:Y12,"STRONG")</f>
        <v>0</v>
      </c>
      <c r="R22" s="265" t="s">
        <v>108</v>
      </c>
      <c r="S22" s="265"/>
      <c r="T22" s="265"/>
      <c r="U22" s="265">
        <f>'KUDROLI-18'!C7</f>
        <v>3745</v>
      </c>
      <c r="V22" s="265" t="s">
        <v>109</v>
      </c>
      <c r="W22" s="265"/>
      <c r="X22" s="265"/>
      <c r="Y22" s="265">
        <f>O13</f>
        <v>3727</v>
      </c>
    </row>
    <row r="23" spans="8:25">
      <c r="H23" s="230"/>
      <c r="I23" s="260"/>
      <c r="J23" s="261"/>
      <c r="K23" s="261"/>
      <c r="M23" s="262"/>
      <c r="N23" s="263"/>
      <c r="O23" s="263"/>
      <c r="P23" s="251"/>
      <c r="R23" s="265"/>
      <c r="S23" s="265"/>
      <c r="T23" s="265"/>
      <c r="U23" s="265"/>
      <c r="V23" s="265"/>
      <c r="W23" s="265"/>
      <c r="X23" s="265"/>
      <c r="Y23" s="265"/>
    </row>
    <row r="24" spans="13:25">
      <c r="M24" s="229" t="s">
        <v>110</v>
      </c>
      <c r="N24" s="256"/>
      <c r="O24" s="256"/>
      <c r="P24" s="248">
        <f>COUNTIF(Y7:Y12,"LOST")</f>
        <v>6</v>
      </c>
      <c r="R24" s="265" t="s">
        <v>111</v>
      </c>
      <c r="S24" s="265"/>
      <c r="T24" s="265"/>
      <c r="U24" s="265">
        <f>U18-U20</f>
        <v>-42.4768820516664</v>
      </c>
      <c r="V24" s="265" t="s">
        <v>111</v>
      </c>
      <c r="W24" s="265"/>
      <c r="X24" s="265"/>
      <c r="Y24" s="265">
        <f>Y18-Y20</f>
        <v>-41.2131573978986</v>
      </c>
    </row>
    <row r="25" spans="13:25">
      <c r="M25" s="230"/>
      <c r="N25" s="260"/>
      <c r="O25" s="260"/>
      <c r="P25" s="251"/>
      <c r="R25" s="265"/>
      <c r="S25" s="265"/>
      <c r="T25" s="265"/>
      <c r="U25" s="265"/>
      <c r="V25" s="265"/>
      <c r="W25" s="265"/>
      <c r="X25" s="265"/>
      <c r="Y25" s="265"/>
    </row>
    <row r="26" spans="18:24">
      <c r="R26" s="265" t="s">
        <v>112</v>
      </c>
      <c r="S26" s="265"/>
      <c r="T26" s="265"/>
      <c r="U26" s="265">
        <f>Y18-U18</f>
        <v>1.25764271469437</v>
      </c>
      <c r="V26" s="265"/>
      <c r="W26" s="265"/>
      <c r="X26" s="265"/>
    </row>
    <row r="27" spans="18:24">
      <c r="R27" s="265"/>
      <c r="S27" s="265"/>
      <c r="T27" s="265"/>
      <c r="U27" s="265"/>
      <c r="V27" s="265"/>
      <c r="W27" s="265"/>
      <c r="X27" s="265"/>
    </row>
    <row r="28" spans="18:24">
      <c r="R28" s="265" t="s">
        <v>113</v>
      </c>
      <c r="S28" s="265"/>
      <c r="T28" s="265"/>
      <c r="U28" s="265">
        <f>Y20-U20</f>
        <v>-0.00608193907341104</v>
      </c>
      <c r="V28" s="265"/>
      <c r="W28" s="265"/>
      <c r="X28" s="265"/>
    </row>
    <row r="29" spans="18:24">
      <c r="R29" s="265"/>
      <c r="S29" s="265"/>
      <c r="T29" s="265"/>
      <c r="U29" s="265"/>
      <c r="V29" s="265"/>
      <c r="W29" s="265"/>
      <c r="X29" s="265"/>
    </row>
    <row r="30" spans="18:24">
      <c r="R30" s="265" t="s">
        <v>114</v>
      </c>
      <c r="S30" s="265"/>
      <c r="T30" s="265"/>
      <c r="U30" s="265" t="str">
        <f>IF(U26&gt;U28,"INCREASE","DECREASE")</f>
        <v>INCREASE</v>
      </c>
      <c r="V30" s="265"/>
      <c r="W30" s="265"/>
      <c r="X30" s="265"/>
    </row>
    <row r="31" spans="18:24">
      <c r="R31" s="265"/>
      <c r="S31" s="265"/>
      <c r="T31" s="265"/>
      <c r="U31" s="265"/>
      <c r="V31" s="265"/>
      <c r="W31" s="265"/>
      <c r="X31" s="265"/>
    </row>
    <row r="32" spans="18:25">
      <c r="R32" s="265">
        <v>0</v>
      </c>
      <c r="S32" s="265"/>
      <c r="T32" s="265"/>
      <c r="U32" s="265"/>
      <c r="V32" s="265"/>
      <c r="W32" s="265"/>
      <c r="X32" s="265"/>
      <c r="Y32" s="265"/>
    </row>
    <row r="33" spans="18:25">
      <c r="R33" s="265"/>
      <c r="S33" s="265"/>
      <c r="T33" s="265"/>
      <c r="U33" s="265"/>
      <c r="V33" s="265"/>
      <c r="W33" s="265"/>
      <c r="X33" s="265"/>
      <c r="Y33" s="265"/>
    </row>
    <row r="34" spans="18:25">
      <c r="R34" s="265"/>
      <c r="S34" s="265"/>
      <c r="T34" s="265"/>
      <c r="U34" s="265"/>
      <c r="V34" s="265"/>
      <c r="W34" s="265"/>
      <c r="X34" s="265"/>
      <c r="Y34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K18:K20"/>
    <mergeCell ref="K21:K23"/>
    <mergeCell ref="L1:L6"/>
    <mergeCell ref="M1:M6"/>
    <mergeCell ref="N1:N6"/>
    <mergeCell ref="O1:O6"/>
    <mergeCell ref="P1:P6"/>
    <mergeCell ref="P18:P19"/>
    <mergeCell ref="P20:P21"/>
    <mergeCell ref="P22:P23"/>
    <mergeCell ref="P24:P25"/>
    <mergeCell ref="Q1:Q6"/>
    <mergeCell ref="R1:R6"/>
    <mergeCell ref="S1:S6"/>
    <mergeCell ref="T1:T6"/>
    <mergeCell ref="U1:U6"/>
    <mergeCell ref="U18:U19"/>
    <mergeCell ref="U20:U21"/>
    <mergeCell ref="U22:U23"/>
    <mergeCell ref="U24:U25"/>
    <mergeCell ref="V1:V6"/>
    <mergeCell ref="W1:W6"/>
    <mergeCell ref="X1:X6"/>
    <mergeCell ref="Y1:Y6"/>
    <mergeCell ref="Y18:Y19"/>
    <mergeCell ref="Y20:Y21"/>
    <mergeCell ref="Y22:Y23"/>
    <mergeCell ref="Y24:Y25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M24:O25"/>
    <mergeCell ref="V24:X25"/>
    <mergeCell ref="H16:K17"/>
    <mergeCell ref="M16:P17"/>
    <mergeCell ref="H18:J20"/>
    <mergeCell ref="M18:O19"/>
    <mergeCell ref="V18:X19"/>
    <mergeCell ref="M20:O21"/>
    <mergeCell ref="V20:X21"/>
    <mergeCell ref="H21:J23"/>
    <mergeCell ref="M22:O23"/>
    <mergeCell ref="V22:X23"/>
    <mergeCell ref="D1:K2"/>
    <mergeCell ref="R16:Y17"/>
    <mergeCell ref="R18:T19"/>
    <mergeCell ref="R20:T21"/>
    <mergeCell ref="R22:T23"/>
    <mergeCell ref="R24:T25"/>
    <mergeCell ref="R26:T27"/>
    <mergeCell ref="U26:X27"/>
    <mergeCell ref="R32:Y34"/>
    <mergeCell ref="R28:T29"/>
    <mergeCell ref="U28:X29"/>
    <mergeCell ref="R30:T31"/>
    <mergeCell ref="U30:V31"/>
    <mergeCell ref="W30:X31"/>
  </mergeCells>
  <conditionalFormatting sqref="AR7:AR12">
    <cfRule type="containsText" dxfId="6" priority="1" operator="between" text="FEMALE DOM">
      <formula>NOT(ISERROR(SEARCH("FEMALE DOM",AR7)))</formula>
    </cfRule>
  </conditionalFormatting>
  <conditionalFormatting sqref="AZ7:AZ12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2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"/>
  <sheetViews>
    <sheetView workbookViewId="0">
      <selection activeCell="A1" sqref="A1:AJ1"/>
    </sheetView>
  </sheetViews>
  <sheetFormatPr defaultColWidth="9" defaultRowHeight="14.5" outlineLevelRow="6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94</v>
      </c>
      <c r="B2" s="185" t="s">
        <v>317</v>
      </c>
      <c r="C2" s="184">
        <v>672</v>
      </c>
      <c r="D2" s="184">
        <v>296</v>
      </c>
      <c r="E2" s="184">
        <f t="shared" ref="E2:E6" si="0">(D2/C2)*100</f>
        <v>44.047619047619</v>
      </c>
      <c r="F2" s="184">
        <v>361</v>
      </c>
      <c r="G2" s="184">
        <f t="shared" ref="G2:G6" si="1">(F2/C2)*100</f>
        <v>53.7202380952381</v>
      </c>
      <c r="H2" s="184">
        <v>1</v>
      </c>
      <c r="I2" s="184">
        <f t="shared" ref="I2:I6" si="2">(H2/C2)*100</f>
        <v>0.148809523809524</v>
      </c>
      <c r="J2" s="184">
        <v>2</v>
      </c>
      <c r="K2" s="184">
        <f t="shared" ref="K2:K6" si="3">(J2/C2)*100</f>
        <v>0.297619047619048</v>
      </c>
      <c r="L2" s="189">
        <v>461</v>
      </c>
      <c r="M2" s="189">
        <v>513</v>
      </c>
      <c r="N2" s="189">
        <f t="shared" ref="N2:N6" si="4">L2+M2</f>
        <v>974</v>
      </c>
      <c r="O2" s="184">
        <v>672</v>
      </c>
      <c r="P2" s="190">
        <f t="shared" ref="P2:P6" si="5">O2/N2*100</f>
        <v>68.9938398357289</v>
      </c>
      <c r="Q2" s="184">
        <v>510</v>
      </c>
      <c r="R2" s="184">
        <f t="shared" ref="R2:R6" si="6">(Q2/N2)*100</f>
        <v>52.3613963039014</v>
      </c>
      <c r="S2" s="184">
        <f t="shared" ref="S2:S6" si="7">Q2-U2</f>
        <v>229</v>
      </c>
      <c r="T2" s="184">
        <f t="shared" ref="T2:T6" si="8">(S2/Q2)*100</f>
        <v>44.9019607843137</v>
      </c>
      <c r="U2" s="184">
        <v>281</v>
      </c>
      <c r="V2" s="191">
        <f t="shared" ref="V2:V6" si="9">IFERROR(U2/Q2*100,0)</f>
        <v>55.0980392156863</v>
      </c>
      <c r="W2" s="184">
        <f>348+132-16</f>
        <v>464</v>
      </c>
      <c r="X2" s="184">
        <f t="shared" ref="X2:X6" si="10">100-R2</f>
        <v>47.6386036960986</v>
      </c>
      <c r="Y2" s="196">
        <f t="shared" ref="Y2:Y6" si="11">W2-AA2</f>
        <v>73</v>
      </c>
      <c r="Z2" s="193">
        <f t="shared" ref="Z2:Z6" si="12">(Y2/W2)*100</f>
        <v>15.7327586206897</v>
      </c>
      <c r="AA2" s="193">
        <f>672-281</f>
        <v>391</v>
      </c>
      <c r="AB2" s="194">
        <f t="shared" ref="AB2:AB6" si="13">IFERROR(AA2/W2*100,0)</f>
        <v>84.2672413793103</v>
      </c>
      <c r="AC2" s="193">
        <f t="shared" ref="AC2:AC6" si="14">U2+AA2</f>
        <v>672</v>
      </c>
      <c r="AD2" s="193" t="str">
        <f t="shared" ref="AD2:AD6" si="15">IF(P2&gt;80,"EXCELLENT",IF(P2&gt;70,"STRONG",IF(P2&gt;60,"AVG",IF(P2&gt;50,"WEAK",IF(P2&lt;50,"VLOW")))))</f>
        <v>AVG</v>
      </c>
      <c r="AE2" s="195" t="str">
        <f t="shared" ref="AE2:AE6" si="16">IF(R2&gt;80,"EXCELLENT",IF(R2&gt;70,"STRONG",IF(R2&gt;60,"AVG",IF(R2&gt;50,"WEAK",IF(R2&lt;50,"VLOW")))))</f>
        <v>WEAK</v>
      </c>
      <c r="AF2" s="193" t="str">
        <f t="shared" ref="AF2:AF6" si="17">IF(X2&gt;80,"EXCELLENT",IF(X2&gt;70,"STRONG",IF(X2&gt;60,"AVG",IF(X2&gt;50,"WEAK",IF(X2&lt;50,"VLOW")))))</f>
        <v>VLOW</v>
      </c>
      <c r="AG2" s="193" t="str">
        <f t="shared" ref="AG2:AG6" si="18">IF(M2&gt;L2,"FEMALE DOM","MEN")</f>
        <v>FEMALE DOM</v>
      </c>
      <c r="AH2" s="193" t="str">
        <f t="shared" ref="AH2:AH6" si="19">IF(T2&gt;Z2,"H","O")</f>
        <v>H</v>
      </c>
      <c r="AI2" s="197">
        <f>G2-E2</f>
        <v>9.67261904761905</v>
      </c>
      <c r="AJ2" s="198" t="str">
        <f t="shared" ref="AJ2:AJ7" si="20">IF(E2&gt;G2,"BJP GAIN","CONGRESSGAIN")</f>
        <v>CONGRESSGAIN</v>
      </c>
    </row>
    <row r="3" spans="1:36">
      <c r="A3" s="184">
        <v>95</v>
      </c>
      <c r="B3" s="185" t="s">
        <v>318</v>
      </c>
      <c r="C3" s="184">
        <v>777</v>
      </c>
      <c r="D3" s="184">
        <v>145</v>
      </c>
      <c r="E3" s="184">
        <f t="shared" si="0"/>
        <v>18.6615186615187</v>
      </c>
      <c r="F3" s="184">
        <v>610</v>
      </c>
      <c r="G3" s="184">
        <f t="shared" si="1"/>
        <v>78.5070785070785</v>
      </c>
      <c r="H3" s="184">
        <v>8</v>
      </c>
      <c r="I3" s="184">
        <f t="shared" si="2"/>
        <v>1.02960102960103</v>
      </c>
      <c r="J3" s="184">
        <v>2</v>
      </c>
      <c r="K3" s="184">
        <f t="shared" si="3"/>
        <v>0.257400257400257</v>
      </c>
      <c r="L3" s="189">
        <v>549</v>
      </c>
      <c r="M3" s="189">
        <v>539</v>
      </c>
      <c r="N3" s="189">
        <f t="shared" si="4"/>
        <v>1088</v>
      </c>
      <c r="O3" s="184">
        <v>778</v>
      </c>
      <c r="P3" s="190">
        <f t="shared" si="5"/>
        <v>71.5073529411765</v>
      </c>
      <c r="Q3" s="184">
        <v>196</v>
      </c>
      <c r="R3" s="184">
        <f t="shared" si="6"/>
        <v>18.0147058823529</v>
      </c>
      <c r="S3" s="192">
        <f t="shared" si="7"/>
        <v>23</v>
      </c>
      <c r="T3" s="184">
        <f t="shared" si="8"/>
        <v>11.734693877551</v>
      </c>
      <c r="U3" s="184">
        <v>173</v>
      </c>
      <c r="V3" s="191">
        <f t="shared" si="9"/>
        <v>88.265306122449</v>
      </c>
      <c r="W3" s="184">
        <v>840</v>
      </c>
      <c r="X3" s="184">
        <f t="shared" si="10"/>
        <v>81.9852941176471</v>
      </c>
      <c r="Y3" s="184">
        <f t="shared" si="11"/>
        <v>302</v>
      </c>
      <c r="Z3" s="193">
        <f t="shared" si="12"/>
        <v>35.9523809523809</v>
      </c>
      <c r="AA3" s="193">
        <v>538</v>
      </c>
      <c r="AB3" s="194">
        <f t="shared" si="13"/>
        <v>64.047619047619</v>
      </c>
      <c r="AC3" s="193">
        <f t="shared" si="14"/>
        <v>711</v>
      </c>
      <c r="AD3" s="193" t="str">
        <f t="shared" si="15"/>
        <v>STRONG</v>
      </c>
      <c r="AE3" s="195" t="str">
        <f t="shared" si="16"/>
        <v>VLOW</v>
      </c>
      <c r="AF3" s="193" t="str">
        <f t="shared" si="17"/>
        <v>EXCELLENT</v>
      </c>
      <c r="AG3" s="193" t="str">
        <f t="shared" si="18"/>
        <v>MEN</v>
      </c>
      <c r="AH3" s="193" t="str">
        <f t="shared" si="19"/>
        <v>O</v>
      </c>
      <c r="AI3" s="197">
        <f t="shared" ref="AI3:AI7" si="21">G3-E3</f>
        <v>59.8455598455598</v>
      </c>
      <c r="AJ3" s="198" t="str">
        <f t="shared" si="20"/>
        <v>CONGRESSGAIN</v>
      </c>
    </row>
    <row r="4" spans="1:36">
      <c r="A4" s="184">
        <v>96</v>
      </c>
      <c r="B4" s="185" t="s">
        <v>319</v>
      </c>
      <c r="C4" s="184">
        <v>607</v>
      </c>
      <c r="D4" s="184">
        <v>89</v>
      </c>
      <c r="E4" s="184">
        <f t="shared" si="0"/>
        <v>14.662273476112</v>
      </c>
      <c r="F4" s="184">
        <v>505</v>
      </c>
      <c r="G4" s="184">
        <f t="shared" si="1"/>
        <v>83.1960461285008</v>
      </c>
      <c r="H4" s="184">
        <v>6</v>
      </c>
      <c r="I4" s="184">
        <f t="shared" si="2"/>
        <v>0.988467874794069</v>
      </c>
      <c r="J4" s="184">
        <v>4</v>
      </c>
      <c r="K4" s="184">
        <f t="shared" si="3"/>
        <v>0.658978583196046</v>
      </c>
      <c r="L4" s="189">
        <v>446</v>
      </c>
      <c r="M4" s="189">
        <v>444</v>
      </c>
      <c r="N4" s="189">
        <f t="shared" si="4"/>
        <v>890</v>
      </c>
      <c r="O4" s="184">
        <v>607</v>
      </c>
      <c r="P4" s="190">
        <f t="shared" si="5"/>
        <v>68.2022471910112</v>
      </c>
      <c r="Q4" s="184">
        <v>94</v>
      </c>
      <c r="R4" s="184">
        <f t="shared" si="6"/>
        <v>10.561797752809</v>
      </c>
      <c r="S4" s="184">
        <f t="shared" si="7"/>
        <v>32</v>
      </c>
      <c r="T4" s="184">
        <f t="shared" si="8"/>
        <v>34.0425531914894</v>
      </c>
      <c r="U4" s="184">
        <v>62</v>
      </c>
      <c r="V4" s="191">
        <f t="shared" si="9"/>
        <v>65.9574468085106</v>
      </c>
      <c r="W4" s="184">
        <v>740</v>
      </c>
      <c r="X4" s="184">
        <f t="shared" si="10"/>
        <v>89.438202247191</v>
      </c>
      <c r="Y4" s="184">
        <f t="shared" si="11"/>
        <v>246</v>
      </c>
      <c r="Z4" s="193">
        <f t="shared" si="12"/>
        <v>33.2432432432432</v>
      </c>
      <c r="AA4" s="193">
        <v>494</v>
      </c>
      <c r="AB4" s="194">
        <f t="shared" si="13"/>
        <v>66.7567567567568</v>
      </c>
      <c r="AC4" s="193">
        <f t="shared" si="14"/>
        <v>556</v>
      </c>
      <c r="AD4" s="193" t="str">
        <f t="shared" si="15"/>
        <v>AVG</v>
      </c>
      <c r="AE4" s="195" t="str">
        <f t="shared" si="16"/>
        <v>VLOW</v>
      </c>
      <c r="AF4" s="193" t="str">
        <f t="shared" si="17"/>
        <v>EXCELLENT</v>
      </c>
      <c r="AG4" s="193" t="str">
        <f t="shared" si="18"/>
        <v>MEN</v>
      </c>
      <c r="AH4" s="193" t="str">
        <f t="shared" si="19"/>
        <v>H</v>
      </c>
      <c r="AI4" s="197">
        <f t="shared" si="21"/>
        <v>68.5337726523888</v>
      </c>
      <c r="AJ4" s="198" t="str">
        <f t="shared" si="20"/>
        <v>CONGRESSGAIN</v>
      </c>
    </row>
    <row r="5" spans="1:36">
      <c r="A5" s="184">
        <v>97</v>
      </c>
      <c r="B5" s="185" t="s">
        <v>320</v>
      </c>
      <c r="C5" s="184">
        <v>682</v>
      </c>
      <c r="D5" s="184">
        <v>259</v>
      </c>
      <c r="E5" s="184">
        <f t="shared" si="0"/>
        <v>37.9765395894428</v>
      </c>
      <c r="F5" s="184">
        <v>407</v>
      </c>
      <c r="G5" s="184">
        <f t="shared" si="1"/>
        <v>59.6774193548387</v>
      </c>
      <c r="H5" s="184">
        <v>4</v>
      </c>
      <c r="I5" s="184">
        <f t="shared" si="2"/>
        <v>0.586510263929619</v>
      </c>
      <c r="J5" s="184">
        <v>4</v>
      </c>
      <c r="K5" s="184">
        <f t="shared" si="3"/>
        <v>0.586510263929619</v>
      </c>
      <c r="L5" s="189">
        <v>488</v>
      </c>
      <c r="M5" s="189">
        <v>505</v>
      </c>
      <c r="N5" s="189">
        <f t="shared" si="4"/>
        <v>993</v>
      </c>
      <c r="O5" s="184">
        <v>682</v>
      </c>
      <c r="P5" s="190">
        <f t="shared" si="5"/>
        <v>68.6807653575025</v>
      </c>
      <c r="Q5" s="184">
        <v>439</v>
      </c>
      <c r="R5" s="184">
        <f t="shared" si="6"/>
        <v>44.2094662638469</v>
      </c>
      <c r="S5" s="184">
        <f t="shared" si="7"/>
        <v>143</v>
      </c>
      <c r="T5" s="184">
        <f t="shared" si="8"/>
        <v>32.5740318906606</v>
      </c>
      <c r="U5" s="184">
        <v>296</v>
      </c>
      <c r="V5" s="191">
        <f t="shared" si="9"/>
        <v>67.4259681093394</v>
      </c>
      <c r="W5" s="184">
        <f>486+8</f>
        <v>494</v>
      </c>
      <c r="X5" s="184">
        <f t="shared" si="10"/>
        <v>55.7905337361531</v>
      </c>
      <c r="Y5" s="196">
        <f t="shared" si="11"/>
        <v>133</v>
      </c>
      <c r="Z5" s="193">
        <f t="shared" si="12"/>
        <v>26.9230769230769</v>
      </c>
      <c r="AA5" s="193">
        <f>359+2</f>
        <v>361</v>
      </c>
      <c r="AB5" s="194">
        <f t="shared" si="13"/>
        <v>73.0769230769231</v>
      </c>
      <c r="AC5" s="193">
        <f t="shared" si="14"/>
        <v>657</v>
      </c>
      <c r="AD5" s="193" t="str">
        <f t="shared" si="15"/>
        <v>AVG</v>
      </c>
      <c r="AE5" s="195" t="str">
        <f t="shared" si="16"/>
        <v>VLOW</v>
      </c>
      <c r="AF5" s="193" t="str">
        <f t="shared" si="17"/>
        <v>WEAK</v>
      </c>
      <c r="AG5" s="193" t="str">
        <f t="shared" si="18"/>
        <v>FEMALE DOM</v>
      </c>
      <c r="AH5" s="193" t="str">
        <f t="shared" si="19"/>
        <v>H</v>
      </c>
      <c r="AI5" s="197">
        <f t="shared" si="21"/>
        <v>21.7008797653959</v>
      </c>
      <c r="AJ5" s="198" t="str">
        <f t="shared" si="20"/>
        <v>CONGRESSGAIN</v>
      </c>
    </row>
    <row r="6" spans="1:36">
      <c r="A6" s="184">
        <v>99</v>
      </c>
      <c r="B6" s="185" t="s">
        <v>321</v>
      </c>
      <c r="C6" s="184">
        <v>1007</v>
      </c>
      <c r="D6" s="184">
        <v>233</v>
      </c>
      <c r="E6" s="184">
        <f t="shared" si="0"/>
        <v>23.1380337636544</v>
      </c>
      <c r="F6" s="184">
        <v>763</v>
      </c>
      <c r="G6" s="184">
        <f t="shared" si="1"/>
        <v>75.7696127110228</v>
      </c>
      <c r="H6" s="184">
        <v>1</v>
      </c>
      <c r="I6" s="184">
        <f t="shared" si="2"/>
        <v>0.099304865938431</v>
      </c>
      <c r="J6" s="184">
        <v>0</v>
      </c>
      <c r="K6" s="184">
        <f t="shared" si="3"/>
        <v>0</v>
      </c>
      <c r="L6" s="189">
        <v>766</v>
      </c>
      <c r="M6" s="189">
        <v>721</v>
      </c>
      <c r="N6" s="189">
        <f t="shared" si="4"/>
        <v>1487</v>
      </c>
      <c r="O6" s="184">
        <v>1007</v>
      </c>
      <c r="P6" s="190">
        <f t="shared" si="5"/>
        <v>67.7202420981843</v>
      </c>
      <c r="Q6" s="184">
        <v>314</v>
      </c>
      <c r="R6" s="184">
        <f t="shared" si="6"/>
        <v>21.1163416274378</v>
      </c>
      <c r="S6" s="192">
        <f t="shared" si="7"/>
        <v>144</v>
      </c>
      <c r="T6" s="184">
        <f t="shared" si="8"/>
        <v>45.859872611465</v>
      </c>
      <c r="U6" s="184">
        <v>170</v>
      </c>
      <c r="V6" s="191">
        <f t="shared" si="9"/>
        <v>54.140127388535</v>
      </c>
      <c r="W6" s="184">
        <v>749</v>
      </c>
      <c r="X6" s="184">
        <f t="shared" si="10"/>
        <v>78.8836583725622</v>
      </c>
      <c r="Y6" s="184">
        <f t="shared" si="11"/>
        <v>149</v>
      </c>
      <c r="Z6" s="193">
        <f t="shared" si="12"/>
        <v>19.8931909212283</v>
      </c>
      <c r="AA6" s="193">
        <v>600</v>
      </c>
      <c r="AB6" s="194">
        <f t="shared" si="13"/>
        <v>80.1068090787717</v>
      </c>
      <c r="AC6" s="193">
        <f t="shared" si="14"/>
        <v>770</v>
      </c>
      <c r="AD6" s="193" t="str">
        <f t="shared" si="15"/>
        <v>AVG</v>
      </c>
      <c r="AE6" s="195" t="str">
        <f t="shared" si="16"/>
        <v>VLOW</v>
      </c>
      <c r="AF6" s="193" t="str">
        <f t="shared" si="17"/>
        <v>STRONG</v>
      </c>
      <c r="AG6" s="193" t="str">
        <f t="shared" si="18"/>
        <v>MEN</v>
      </c>
      <c r="AH6" s="193" t="str">
        <f t="shared" si="19"/>
        <v>H</v>
      </c>
      <c r="AI6" s="197">
        <f t="shared" si="21"/>
        <v>52.6315789473684</v>
      </c>
      <c r="AJ6" s="198" t="str">
        <f t="shared" si="20"/>
        <v>CONGRESSGAIN</v>
      </c>
    </row>
    <row r="7" spans="3:36">
      <c r="C7">
        <f>SUM(C2:C6)</f>
        <v>3745</v>
      </c>
      <c r="D7">
        <f>SUM(D2:D6)</f>
        <v>1022</v>
      </c>
      <c r="E7" s="186">
        <f>AVERAGE(E2:E6)</f>
        <v>27.6971969076694</v>
      </c>
      <c r="F7">
        <f>SUM(F2:F6)</f>
        <v>2646</v>
      </c>
      <c r="G7" s="186">
        <f>AVERAGE(G2:G6)</f>
        <v>70.1740789593358</v>
      </c>
      <c r="H7">
        <f>SUM(H2:H6)</f>
        <v>20</v>
      </c>
      <c r="I7" s="186">
        <f>AVERAGE(I2:I6)</f>
        <v>0.570538711614534</v>
      </c>
      <c r="J7">
        <f>SUM(J2:J6)</f>
        <v>12</v>
      </c>
      <c r="K7" s="186">
        <f>AVERAGE(K2:K6)</f>
        <v>0.360101630428994</v>
      </c>
      <c r="AI7" s="329">
        <f t="shared" si="21"/>
        <v>42.4768820516664</v>
      </c>
      <c r="AJ7" s="200" t="str">
        <f t="shared" si="20"/>
        <v>CONGRESSGAIN</v>
      </c>
    </row>
  </sheetData>
  <conditionalFormatting sqref="AD6">
    <cfRule type="containsText" dxfId="8" priority="15" operator="between" text="AVG">
      <formula>NOT(ISERROR(SEARCH("AVG",AD6)))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NOT(ISERROR(SEARCH("VSTRONG",AD6)))</formula>
    </cfRule>
    <cfRule type="containsText" dxfId="10" priority="5" operator="between" text="AVG">
      <formula>NOT(ISERROR(SEARCH("AVG",AD6)))</formula>
    </cfRule>
  </conditionalFormatting>
  <conditionalFormatting sqref="AE6">
    <cfRule type="containsText" dxfId="3" priority="9" operator="between" text="STRONG">
      <formula>NOT(ISERROR(SEARCH("STRONG",AE6)))</formula>
    </cfRule>
    <cfRule type="containsText" dxfId="1" priority="7" operator="between" text="VSTRONG">
      <formula>NOT(ISERROR(SEARCH("VSTRONG",AE6)))</formula>
    </cfRule>
  </conditionalFormatting>
  <conditionalFormatting sqref="AE6:AF6">
    <cfRule type="containsText" dxfId="2" priority="8" operator="between" text="AVG">
      <formula>NOT(ISERROR(SEARCH("AVG",AE6)))</formula>
    </cfRule>
  </conditionalFormatting>
  <conditionalFormatting sqref="AF6">
    <cfRule type="cellIs" dxfId="11" priority="3" operator="equal">
      <formula>"VWEAK"</formula>
    </cfRule>
    <cfRule type="containsText" dxfId="0" priority="2" operator="between" text="VSTRONG">
      <formula>NOT(ISERROR(SEARCH("VSTRONG",AF6)))</formula>
    </cfRule>
  </conditionalFormatting>
  <conditionalFormatting sqref="AG6">
    <cfRule type="containsText" dxfId="12" priority="6" operator="between" text="FEMALE DOM">
      <formula>NOT(ISERROR(SEARCH("FEMALE DOM",AG6)))</formula>
    </cfRule>
    <cfRule type="containsText" dxfId="10" priority="1" operator="between" text="MEN">
      <formula>NOT(ISERROR(SEARCH("MEN",AG6)))</formula>
    </cfRule>
  </conditionalFormatting>
  <conditionalFormatting sqref="AH6">
    <cfRule type="containsText" dxfId="0" priority="12" operator="between" text="O">
      <formula>NOT(ISERROR(SEARCH("O",AH6)))</formula>
    </cfRule>
    <cfRule type="containsText" dxfId="3" priority="10" operator="between" text="H">
      <formula>NOT(ISERROR(SEARCH("H",AH6)))</formula>
    </cfRule>
    <cfRule type="containsText" dxfId="13" priority="11" operator="between" text="H">
      <formula>NOT(ISERROR(SEARCH("H",AH6)))</formula>
    </cfRule>
    <cfRule type="containsText" dxfId="1" priority="4" operator="between" text="H">
      <formula>NOT(ISERROR(SEARCH("H",AH6)))</formula>
    </cfRule>
  </conditionalFormatting>
  <conditionalFormatting sqref="AD2:AD5">
    <cfRule type="containsText" dxfId="8" priority="30" operator="between" text="AVG">
      <formula>NOT(ISERROR(SEARCH("AVG",AD2)))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NOT(ISERROR(SEARCH("VSTRONG",AD2)))</formula>
    </cfRule>
    <cfRule type="containsText" dxfId="10" priority="20" operator="between" text="AVG">
      <formula>NOT(ISERROR(SEARCH("AVG",AD2)))</formula>
    </cfRule>
  </conditionalFormatting>
  <conditionalFormatting sqref="AE2:AE5">
    <cfRule type="containsText" dxfId="3" priority="24" operator="between" text="STRONG">
      <formula>NOT(ISERROR(SEARCH("STRONG",AE2)))</formula>
    </cfRule>
    <cfRule type="containsText" dxfId="1" priority="22" operator="between" text="VSTRONG">
      <formula>NOT(ISERROR(SEARCH("VSTRONG",AE2)))</formula>
    </cfRule>
  </conditionalFormatting>
  <conditionalFormatting sqref="AF2:AF5">
    <cfRule type="cellIs" dxfId="11" priority="18" operator="equal">
      <formula>"VWEAK"</formula>
    </cfRule>
    <cfRule type="containsText" dxfId="0" priority="17" operator="between" text="VSTRONG">
      <formula>NOT(ISERROR(SEARCH("VSTRONG",AF2)))</formula>
    </cfRule>
  </conditionalFormatting>
  <conditionalFormatting sqref="AG2:AG5">
    <cfRule type="containsText" dxfId="12" priority="21" operator="between" text="FEMALE DOM">
      <formula>NOT(ISERROR(SEARCH("FEMALE DOM",AG2)))</formula>
    </cfRule>
    <cfRule type="containsText" dxfId="10" priority="16" operator="between" text="MEN">
      <formula>NOT(ISERROR(SEARCH("MEN",AG2)))</formula>
    </cfRule>
  </conditionalFormatting>
  <conditionalFormatting sqref="AH2:AH5">
    <cfRule type="containsText" dxfId="0" priority="27" operator="between" text="O">
      <formula>NOT(ISERROR(SEARCH("O",AH2)))</formula>
    </cfRule>
    <cfRule type="containsText" dxfId="3" priority="25" operator="between" text="H">
      <formula>NOT(ISERROR(SEARCH("H",AH2)))</formula>
    </cfRule>
    <cfRule type="containsText" dxfId="13" priority="26" operator="between" text="H">
      <formula>NOT(ISERROR(SEARCH("H",AH2)))</formula>
    </cfRule>
    <cfRule type="containsText" dxfId="1" priority="19" operator="between" text="H">
      <formula>NOT(ISERROR(SEARCH("H",AH2)))</formula>
    </cfRule>
  </conditionalFormatting>
  <conditionalFormatting sqref="AE2:AF5">
    <cfRule type="containsText" dxfId="2" priority="23" operator="between" text="AVG">
      <formula>NOT(ISERROR(SEARCH("AVG",AE2)))</formula>
    </cfRule>
  </conditionalFormatting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6"/>
  <sheetViews>
    <sheetView topLeftCell="S13" workbookViewId="0">
      <selection activeCell="W28" sqref="W28:Z29"/>
    </sheetView>
  </sheetViews>
  <sheetFormatPr defaultColWidth="9" defaultRowHeight="14.5"/>
  <sheetData>
    <row r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336" t="s">
        <v>56</v>
      </c>
      <c r="B7" s="337">
        <v>77</v>
      </c>
      <c r="C7" s="337">
        <v>1327</v>
      </c>
      <c r="D7" s="337">
        <v>120</v>
      </c>
      <c r="E7" s="337">
        <v>695</v>
      </c>
      <c r="F7" s="337">
        <v>1</v>
      </c>
      <c r="G7" s="337">
        <v>1</v>
      </c>
      <c r="H7" s="337">
        <v>0</v>
      </c>
      <c r="I7" s="337">
        <v>1</v>
      </c>
      <c r="J7" s="337">
        <v>0</v>
      </c>
      <c r="K7" s="337">
        <v>3</v>
      </c>
      <c r="L7" s="337">
        <v>821</v>
      </c>
      <c r="M7" s="337">
        <v>0</v>
      </c>
      <c r="N7" s="337">
        <v>7</v>
      </c>
      <c r="O7" s="337">
        <f t="shared" ref="O7:O14" si="0">D7+E7+F7+G7+H7+I7+J7+K7+N7</f>
        <v>828</v>
      </c>
      <c r="P7" s="337">
        <f t="shared" ref="P7:P14" si="1">(O7/C7)*100</f>
        <v>62.3963828183873</v>
      </c>
      <c r="Q7" s="337">
        <f t="shared" ref="Q7:Q14" si="2">(E7/O7)*100</f>
        <v>83.9371980676328</v>
      </c>
      <c r="R7" s="337">
        <f t="shared" ref="R7:R14" si="3">(D7/O7)*100</f>
        <v>14.4927536231884</v>
      </c>
      <c r="S7" s="337">
        <f t="shared" ref="S7:S14" si="4">(F7/O7)*100</f>
        <v>0.120772946859903</v>
      </c>
      <c r="T7" s="337">
        <f t="shared" ref="T7:T14" si="5">(G7/O7)*100</f>
        <v>0.120772946859903</v>
      </c>
      <c r="U7" s="337">
        <f t="shared" ref="U7:U14" si="6">((H7+I7+J7+K7)/O7)*100</f>
        <v>0.483091787439614</v>
      </c>
      <c r="V7" s="337">
        <f t="shared" ref="V7:V14" si="7">(N7/O7)*100</f>
        <v>0.845410628019324</v>
      </c>
      <c r="W7" s="337">
        <f>Q7-R7</f>
        <v>69.4444444444444</v>
      </c>
      <c r="X7" s="337">
        <f>Q7-(R7+S7+T7+U7)</f>
        <v>68.719806763285</v>
      </c>
      <c r="Y7" s="337" t="str">
        <f>IF(AND(W7&lt;0,W7&lt;=1),"LOST",IF(AND(W7&gt;1,W7&lt;=10),"NARROW",IF(AND(W7&gt;10,W7&lt;=40),"MEDIUM",IF(AND(W7&gt;40,W7&lt;=90),"STRONG",""))))</f>
        <v>STRONG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1321</v>
      </c>
      <c r="AC7">
        <v>828</v>
      </c>
      <c r="AD7">
        <v>646</v>
      </c>
      <c r="AE7">
        <v>410</v>
      </c>
      <c r="AF7">
        <v>675</v>
      </c>
      <c r="AG7">
        <v>418</v>
      </c>
      <c r="AH7">
        <v>1292</v>
      </c>
      <c r="AI7">
        <v>815</v>
      </c>
      <c r="AJ7">
        <v>4</v>
      </c>
      <c r="AK7">
        <v>0</v>
      </c>
      <c r="AL7">
        <v>25</v>
      </c>
      <c r="AM7">
        <v>13</v>
      </c>
      <c r="AN7" s="248">
        <f>(AD7/AB7)*100</f>
        <v>48.9023467070401</v>
      </c>
      <c r="AO7" s="316">
        <f>(AE7/AC7)*100</f>
        <v>49.5169082125604</v>
      </c>
      <c r="AP7" s="317">
        <f>(AF7/AB7)*100</f>
        <v>51.0976532929599</v>
      </c>
      <c r="AQ7" s="318">
        <f>(AG7/AC7)*100</f>
        <v>50.4830917874396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97.8046934140802</v>
      </c>
      <c r="AU7" s="317">
        <f>(AI7/AC7)*100</f>
        <v>98.4299516908213</v>
      </c>
      <c r="AV7" s="248">
        <f>(AJ7/AB7)*100</f>
        <v>0.302800908402725</v>
      </c>
      <c r="AW7" s="317">
        <f>(AK7/AC7)*100</f>
        <v>0</v>
      </c>
      <c r="AX7" s="248">
        <f>(AL7/AB7)*100</f>
        <v>1.89250567751703</v>
      </c>
      <c r="AY7" s="317">
        <f>(AM7/AC7)*100</f>
        <v>1.57004830917874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2:53">
      <c r="B8" s="337">
        <v>76</v>
      </c>
      <c r="C8" s="337">
        <v>1085</v>
      </c>
      <c r="D8" s="337">
        <v>144</v>
      </c>
      <c r="E8" s="337">
        <v>576</v>
      </c>
      <c r="F8" s="337">
        <v>1</v>
      </c>
      <c r="G8" s="337">
        <v>7</v>
      </c>
      <c r="H8" s="337">
        <v>0</v>
      </c>
      <c r="I8" s="337">
        <v>0</v>
      </c>
      <c r="J8" s="337">
        <v>0</v>
      </c>
      <c r="K8" s="337">
        <v>1</v>
      </c>
      <c r="L8" s="337">
        <v>729</v>
      </c>
      <c r="M8" s="337">
        <v>0</v>
      </c>
      <c r="N8" s="337">
        <v>13</v>
      </c>
      <c r="O8" s="337">
        <f t="shared" si="0"/>
        <v>742</v>
      </c>
      <c r="P8" s="337">
        <f t="shared" si="1"/>
        <v>68.3870967741936</v>
      </c>
      <c r="Q8" s="337">
        <f t="shared" si="2"/>
        <v>77.6280323450135</v>
      </c>
      <c r="R8" s="337">
        <f t="shared" si="3"/>
        <v>19.4070080862534</v>
      </c>
      <c r="S8" s="337">
        <f t="shared" si="4"/>
        <v>0.134770889487871</v>
      </c>
      <c r="T8" s="337">
        <f t="shared" si="5"/>
        <v>0.943396226415094</v>
      </c>
      <c r="U8" s="337">
        <f t="shared" si="6"/>
        <v>0.134770889487871</v>
      </c>
      <c r="V8" s="337">
        <f t="shared" si="7"/>
        <v>1.75202156334232</v>
      </c>
      <c r="W8" s="337">
        <f t="shared" ref="W8:W14" si="8">Q8-R8</f>
        <v>58.2210242587601</v>
      </c>
      <c r="X8" s="337">
        <f t="shared" ref="X8:X14" si="9">Q8-(R8+S8+T8+U8)</f>
        <v>57.0080862533693</v>
      </c>
      <c r="Y8" s="337" t="str">
        <f t="shared" ref="Y8:Y15" si="10">IF(AND(W8&lt;0,W8&lt;=1),"LOST",IF(AND(W8&gt;1,W8&lt;=10),"NARROW",IF(AND(W8&gt;10,W8&lt;=40),"MEDIUM",IF(AND(W8&gt;40,W8&lt;=90),"STRONG",""))))</f>
        <v>STRONG</v>
      </c>
      <c r="Z8" s="285" t="str">
        <f t="shared" ref="Z8:Z15" si="11">IF(AND(P8&lt;0,P8&lt;=10),"WEAK",IF(AND(P8&gt;10,P8&lt;20),"BELOW AVG",IF(AND(P8&gt;20,P8&lt;=60),"MEDIUM",IF(AND(P8&gt;60,P8&lt;=90),"STRONG",""))))</f>
        <v>STRONG</v>
      </c>
      <c r="AA8" s="333" t="str">
        <f t="shared" ref="AA8:AA15" si="12">IF(Q8&gt;R8,"BJP","CONGRESS")</f>
        <v>BJP</v>
      </c>
      <c r="AB8">
        <v>1083</v>
      </c>
      <c r="AC8">
        <v>734</v>
      </c>
      <c r="AD8">
        <v>532</v>
      </c>
      <c r="AE8">
        <v>364</v>
      </c>
      <c r="AF8">
        <v>551</v>
      </c>
      <c r="AG8">
        <v>370</v>
      </c>
      <c r="AH8">
        <v>974</v>
      </c>
      <c r="AI8">
        <v>668</v>
      </c>
      <c r="AJ8">
        <v>26</v>
      </c>
      <c r="AK8">
        <v>10</v>
      </c>
      <c r="AL8">
        <v>83</v>
      </c>
      <c r="AM8">
        <v>56</v>
      </c>
      <c r="AN8" s="248">
        <f t="shared" ref="AN8:AO10" si="13">(AD8/AB8)*100</f>
        <v>49.1228070175439</v>
      </c>
      <c r="AO8" s="316">
        <f t="shared" si="13"/>
        <v>49.591280653951</v>
      </c>
      <c r="AP8" s="317">
        <f t="shared" ref="AP8:AQ10" si="14">(AF8/AB8)*100</f>
        <v>50.8771929824561</v>
      </c>
      <c r="AQ8" s="318">
        <f t="shared" si="14"/>
        <v>50.408719346049</v>
      </c>
      <c r="AR8" s="318" t="str">
        <f t="shared" ref="AR8:AR13" si="15">IF(AN8&gt;AP8,"MALE DOM","FEMALE DOM")</f>
        <v>FEMALE DOM</v>
      </c>
      <c r="AS8" s="319" t="str">
        <f t="shared" ref="AS8:AS13" si="16">IF(AO8&gt;AP8,"MALE","FEMALE")</f>
        <v>FEMALE</v>
      </c>
      <c r="AT8" s="317">
        <f t="shared" ref="AT8:AU10" si="17">(AH8/AB8)*100</f>
        <v>89.9353647276085</v>
      </c>
      <c r="AU8" s="317">
        <f t="shared" si="17"/>
        <v>91.008174386921</v>
      </c>
      <c r="AV8" s="248">
        <f t="shared" ref="AV8:AW10" si="18">(AJ8/AB8)*100</f>
        <v>2.40073868882733</v>
      </c>
      <c r="AW8" s="317">
        <f t="shared" si="18"/>
        <v>1.36239782016349</v>
      </c>
      <c r="AX8" s="248">
        <f t="shared" ref="AX8:AY10" si="19">(AL8/AB8)*100</f>
        <v>7.66389658356417</v>
      </c>
      <c r="AY8" s="317">
        <f t="shared" si="19"/>
        <v>7.62942779291553</v>
      </c>
      <c r="AZ8" s="248" t="str">
        <f t="shared" ref="AZ8:AZ13" si="20">IF(AT8&gt;(AV8+AX8),"HINDU","MINORITY")</f>
        <v>HINDU</v>
      </c>
      <c r="BA8" s="318" t="str">
        <f t="shared" ref="BA8:BA13" si="21">IF(AU8&gt;(AW8+AY8),"HIND","MINORITY")</f>
        <v>HIND</v>
      </c>
    </row>
    <row r="9" spans="2:53">
      <c r="B9" s="337">
        <v>80</v>
      </c>
      <c r="C9" s="337">
        <v>1028</v>
      </c>
      <c r="D9" s="337">
        <v>156</v>
      </c>
      <c r="E9" s="337">
        <v>513</v>
      </c>
      <c r="F9" s="337">
        <v>0</v>
      </c>
      <c r="G9" s="337">
        <v>6</v>
      </c>
      <c r="H9" s="337">
        <v>0</v>
      </c>
      <c r="I9" s="337">
        <v>0</v>
      </c>
      <c r="J9" s="337">
        <v>0</v>
      </c>
      <c r="K9" s="337">
        <v>0</v>
      </c>
      <c r="L9" s="337">
        <v>675</v>
      </c>
      <c r="M9" s="337">
        <v>0</v>
      </c>
      <c r="N9" s="337">
        <v>6</v>
      </c>
      <c r="O9" s="337">
        <f t="shared" si="0"/>
        <v>681</v>
      </c>
      <c r="P9" s="337">
        <f t="shared" si="1"/>
        <v>66.2451361867704</v>
      </c>
      <c r="Q9" s="337">
        <f t="shared" si="2"/>
        <v>75.3303964757709</v>
      </c>
      <c r="R9" s="337">
        <f t="shared" si="3"/>
        <v>22.9074889867841</v>
      </c>
      <c r="S9" s="337">
        <f t="shared" si="4"/>
        <v>0</v>
      </c>
      <c r="T9" s="337">
        <f t="shared" si="5"/>
        <v>0.881057268722467</v>
      </c>
      <c r="U9" s="337">
        <f t="shared" si="6"/>
        <v>0</v>
      </c>
      <c r="V9" s="337">
        <f t="shared" si="7"/>
        <v>0.881057268722467</v>
      </c>
      <c r="W9" s="337">
        <f t="shared" si="8"/>
        <v>52.4229074889868</v>
      </c>
      <c r="X9" s="337">
        <f t="shared" si="9"/>
        <v>51.5418502202643</v>
      </c>
      <c r="Y9" s="337" t="str">
        <f t="shared" si="10"/>
        <v>STRONG</v>
      </c>
      <c r="Z9" s="283" t="str">
        <f t="shared" si="11"/>
        <v>STRONG</v>
      </c>
      <c r="AA9" s="289" t="str">
        <f t="shared" si="12"/>
        <v>BJP</v>
      </c>
      <c r="AB9">
        <v>1021</v>
      </c>
      <c r="AC9">
        <v>672</v>
      </c>
      <c r="AD9">
        <v>494</v>
      </c>
      <c r="AE9">
        <v>327</v>
      </c>
      <c r="AF9">
        <v>527</v>
      </c>
      <c r="AG9">
        <v>345</v>
      </c>
      <c r="AH9">
        <v>940</v>
      </c>
      <c r="AI9">
        <v>616</v>
      </c>
      <c r="AJ9">
        <v>15</v>
      </c>
      <c r="AK9">
        <v>9</v>
      </c>
      <c r="AL9">
        <v>66</v>
      </c>
      <c r="AM9">
        <v>47</v>
      </c>
      <c r="AN9" s="248">
        <f t="shared" si="13"/>
        <v>48.3839373163565</v>
      </c>
      <c r="AO9" s="316">
        <f t="shared" si="13"/>
        <v>48.6607142857143</v>
      </c>
      <c r="AP9" s="317">
        <f t="shared" si="14"/>
        <v>51.6160626836435</v>
      </c>
      <c r="AQ9" s="318">
        <f t="shared" si="14"/>
        <v>51.3392857142857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92.0666013712047</v>
      </c>
      <c r="AU9" s="317">
        <f t="shared" si="17"/>
        <v>91.6666666666667</v>
      </c>
      <c r="AV9" s="248">
        <f t="shared" si="18"/>
        <v>1.46914789422135</v>
      </c>
      <c r="AW9" s="317">
        <f t="shared" si="18"/>
        <v>1.33928571428571</v>
      </c>
      <c r="AX9" s="248">
        <f t="shared" si="19"/>
        <v>6.46425073457395</v>
      </c>
      <c r="AY9" s="317">
        <f t="shared" si="19"/>
        <v>6.99404761904762</v>
      </c>
      <c r="AZ9" s="248" t="str">
        <f t="shared" si="20"/>
        <v>HINDU</v>
      </c>
      <c r="BA9" s="318" t="str">
        <f t="shared" si="21"/>
        <v>HIND</v>
      </c>
    </row>
    <row r="10" spans="2:53">
      <c r="B10" s="337">
        <v>81</v>
      </c>
      <c r="C10" s="337">
        <v>667</v>
      </c>
      <c r="D10" s="337">
        <v>62</v>
      </c>
      <c r="E10" s="337">
        <v>335</v>
      </c>
      <c r="F10" s="337">
        <v>0</v>
      </c>
      <c r="G10" s="337">
        <v>1</v>
      </c>
      <c r="H10" s="337">
        <v>1</v>
      </c>
      <c r="I10" s="337">
        <v>0</v>
      </c>
      <c r="J10" s="337">
        <v>0</v>
      </c>
      <c r="K10" s="337">
        <v>0</v>
      </c>
      <c r="L10" s="337">
        <v>399</v>
      </c>
      <c r="M10" s="337">
        <v>0</v>
      </c>
      <c r="N10" s="337">
        <v>8</v>
      </c>
      <c r="O10" s="337">
        <f t="shared" si="0"/>
        <v>407</v>
      </c>
      <c r="P10" s="337">
        <f t="shared" si="1"/>
        <v>61.0194902548726</v>
      </c>
      <c r="Q10" s="337">
        <f t="shared" si="2"/>
        <v>82.3095823095823</v>
      </c>
      <c r="R10" s="337">
        <f t="shared" si="3"/>
        <v>15.2334152334152</v>
      </c>
      <c r="S10" s="337">
        <f t="shared" si="4"/>
        <v>0</v>
      </c>
      <c r="T10" s="337">
        <f t="shared" si="5"/>
        <v>0.245700245700246</v>
      </c>
      <c r="U10" s="337">
        <f t="shared" si="6"/>
        <v>0.245700245700246</v>
      </c>
      <c r="V10" s="337">
        <f t="shared" si="7"/>
        <v>1.96560196560197</v>
      </c>
      <c r="W10" s="337">
        <f t="shared" si="8"/>
        <v>67.0761670761671</v>
      </c>
      <c r="X10" s="337">
        <f t="shared" si="9"/>
        <v>66.5847665847666</v>
      </c>
      <c r="Y10" s="337" t="str">
        <f t="shared" si="10"/>
        <v>STRONG</v>
      </c>
      <c r="Z10" s="285" t="str">
        <f t="shared" si="11"/>
        <v>STRONG</v>
      </c>
      <c r="AA10" s="289" t="str">
        <f t="shared" si="12"/>
        <v>BJP</v>
      </c>
      <c r="AB10">
        <v>666</v>
      </c>
      <c r="AC10">
        <v>408</v>
      </c>
      <c r="AD10">
        <v>331</v>
      </c>
      <c r="AE10">
        <v>209</v>
      </c>
      <c r="AF10">
        <v>335</v>
      </c>
      <c r="AG10">
        <v>199</v>
      </c>
      <c r="AH10">
        <v>613</v>
      </c>
      <c r="AI10">
        <v>375</v>
      </c>
      <c r="AJ10">
        <v>5</v>
      </c>
      <c r="AK10">
        <v>3</v>
      </c>
      <c r="AL10">
        <v>48</v>
      </c>
      <c r="AM10">
        <v>30</v>
      </c>
      <c r="AN10" s="248">
        <f t="shared" si="13"/>
        <v>49.6996996996997</v>
      </c>
      <c r="AO10" s="316">
        <f t="shared" si="13"/>
        <v>51.2254901960784</v>
      </c>
      <c r="AP10" s="317">
        <f t="shared" si="14"/>
        <v>50.3003003003003</v>
      </c>
      <c r="AQ10" s="318">
        <f t="shared" si="14"/>
        <v>48.7745098039216</v>
      </c>
      <c r="AR10" s="318" t="str">
        <f t="shared" si="15"/>
        <v>FEMALE DOM</v>
      </c>
      <c r="AS10" s="319" t="str">
        <f t="shared" si="16"/>
        <v>MALE</v>
      </c>
      <c r="AT10" s="317">
        <f t="shared" si="17"/>
        <v>92.042042042042</v>
      </c>
      <c r="AU10" s="317">
        <f t="shared" si="17"/>
        <v>91.9117647058823</v>
      </c>
      <c r="AV10" s="248">
        <f t="shared" si="18"/>
        <v>0.750750750750751</v>
      </c>
      <c r="AW10" s="317">
        <f t="shared" si="18"/>
        <v>0.735294117647059</v>
      </c>
      <c r="AX10" s="248">
        <f t="shared" si="19"/>
        <v>7.20720720720721</v>
      </c>
      <c r="AY10" s="317">
        <f t="shared" si="19"/>
        <v>7.35294117647059</v>
      </c>
      <c r="AZ10" s="248" t="str">
        <f t="shared" si="20"/>
        <v>HINDU</v>
      </c>
      <c r="BA10" s="318" t="str">
        <f t="shared" si="21"/>
        <v>HIND</v>
      </c>
    </row>
    <row r="11" spans="2:53">
      <c r="B11" s="337">
        <v>83</v>
      </c>
      <c r="C11" s="337">
        <v>497</v>
      </c>
      <c r="D11" s="337">
        <v>35</v>
      </c>
      <c r="E11" s="337">
        <v>239</v>
      </c>
      <c r="F11" s="337">
        <v>0</v>
      </c>
      <c r="G11" s="337">
        <v>0</v>
      </c>
      <c r="H11" s="337">
        <v>0</v>
      </c>
      <c r="I11" s="337">
        <v>0</v>
      </c>
      <c r="J11" s="337">
        <v>0</v>
      </c>
      <c r="K11" s="337">
        <v>0</v>
      </c>
      <c r="L11" s="337">
        <v>274</v>
      </c>
      <c r="M11" s="337">
        <v>0</v>
      </c>
      <c r="N11" s="337">
        <v>2</v>
      </c>
      <c r="O11" s="337">
        <f t="shared" si="0"/>
        <v>276</v>
      </c>
      <c r="P11" s="337">
        <f t="shared" si="1"/>
        <v>55.533199195171</v>
      </c>
      <c r="Q11" s="337">
        <f t="shared" si="2"/>
        <v>86.5942028985507</v>
      </c>
      <c r="R11" s="337">
        <f t="shared" si="3"/>
        <v>12.6811594202899</v>
      </c>
      <c r="S11" s="337">
        <f t="shared" si="4"/>
        <v>0</v>
      </c>
      <c r="T11" s="337">
        <f t="shared" si="5"/>
        <v>0</v>
      </c>
      <c r="U11" s="337">
        <f t="shared" si="6"/>
        <v>0</v>
      </c>
      <c r="V11" s="337">
        <f t="shared" si="7"/>
        <v>0.72463768115942</v>
      </c>
      <c r="W11" s="337">
        <f t="shared" si="8"/>
        <v>73.9130434782609</v>
      </c>
      <c r="X11" s="337">
        <f t="shared" si="9"/>
        <v>73.9130434782609</v>
      </c>
      <c r="Y11" s="337" t="str">
        <f t="shared" si="10"/>
        <v>STRONG</v>
      </c>
      <c r="Z11" s="342" t="str">
        <f t="shared" si="11"/>
        <v>MEDIUM</v>
      </c>
      <c r="AA11" s="289" t="str">
        <f t="shared" si="12"/>
        <v>BJP</v>
      </c>
      <c r="AB11">
        <v>497</v>
      </c>
      <c r="AC11">
        <v>279</v>
      </c>
      <c r="AD11">
        <v>246</v>
      </c>
      <c r="AE11">
        <v>137</v>
      </c>
      <c r="AF11">
        <v>251</v>
      </c>
      <c r="AG11">
        <v>142</v>
      </c>
      <c r="AH11">
        <v>480</v>
      </c>
      <c r="AI11">
        <v>273</v>
      </c>
      <c r="AJ11">
        <v>2</v>
      </c>
      <c r="AK11">
        <v>0</v>
      </c>
      <c r="AL11">
        <v>15</v>
      </c>
      <c r="AM11">
        <v>6</v>
      </c>
      <c r="AN11" s="248">
        <f t="shared" ref="AN11:AO13" si="22">(AD11/AB11)*100</f>
        <v>49.4969818913481</v>
      </c>
      <c r="AO11" s="316">
        <f t="shared" si="22"/>
        <v>49.1039426523297</v>
      </c>
      <c r="AP11" s="317">
        <f t="shared" ref="AP11:AQ13" si="23">(AF11/AB11)*100</f>
        <v>50.5030181086519</v>
      </c>
      <c r="AQ11" s="318">
        <f t="shared" si="23"/>
        <v>50.8960573476703</v>
      </c>
      <c r="AR11" s="318" t="str">
        <f t="shared" si="15"/>
        <v>FEMALE DOM</v>
      </c>
      <c r="AS11" s="319" t="str">
        <f t="shared" si="16"/>
        <v>FEMALE</v>
      </c>
      <c r="AT11" s="317">
        <f t="shared" ref="AT11:AU13" si="24">(AH11/AB11)*100</f>
        <v>96.579476861167</v>
      </c>
      <c r="AU11" s="317">
        <f t="shared" si="24"/>
        <v>97.8494623655914</v>
      </c>
      <c r="AV11" s="248">
        <f t="shared" ref="AV11:AW13" si="25">(AJ11/AB11)*100</f>
        <v>0.402414486921529</v>
      </c>
      <c r="AW11" s="317">
        <f t="shared" si="25"/>
        <v>0</v>
      </c>
      <c r="AX11" s="248">
        <f t="shared" ref="AX11:AY13" si="26">(AL11/AB11)*100</f>
        <v>3.01810865191147</v>
      </c>
      <c r="AY11" s="317">
        <f t="shared" si="26"/>
        <v>2.1505376344086</v>
      </c>
      <c r="AZ11" s="248" t="str">
        <f t="shared" si="20"/>
        <v>HINDU</v>
      </c>
      <c r="BA11" s="318" t="str">
        <f t="shared" si="21"/>
        <v>HIND</v>
      </c>
    </row>
    <row r="12" spans="2:53">
      <c r="B12" s="337">
        <v>84</v>
      </c>
      <c r="C12" s="337">
        <v>977</v>
      </c>
      <c r="D12" s="337">
        <v>144</v>
      </c>
      <c r="E12" s="337">
        <v>460</v>
      </c>
      <c r="F12" s="337">
        <v>3</v>
      </c>
      <c r="G12" s="337">
        <v>4</v>
      </c>
      <c r="H12" s="337">
        <v>0</v>
      </c>
      <c r="I12" s="337">
        <v>0</v>
      </c>
      <c r="J12" s="337">
        <v>3</v>
      </c>
      <c r="K12" s="337">
        <v>1</v>
      </c>
      <c r="L12" s="337">
        <v>615</v>
      </c>
      <c r="M12" s="337">
        <v>0</v>
      </c>
      <c r="N12" s="337">
        <v>7</v>
      </c>
      <c r="O12" s="337">
        <f t="shared" si="0"/>
        <v>622</v>
      </c>
      <c r="P12" s="337">
        <f t="shared" si="1"/>
        <v>63.6642784032753</v>
      </c>
      <c r="Q12" s="337">
        <f t="shared" si="2"/>
        <v>73.9549839228296</v>
      </c>
      <c r="R12" s="337">
        <f t="shared" si="3"/>
        <v>23.1511254019293</v>
      </c>
      <c r="S12" s="337">
        <f t="shared" si="4"/>
        <v>0.482315112540193</v>
      </c>
      <c r="T12" s="337">
        <f t="shared" si="5"/>
        <v>0.643086816720257</v>
      </c>
      <c r="U12" s="337">
        <f t="shared" si="6"/>
        <v>0.643086816720257</v>
      </c>
      <c r="V12" s="337">
        <f t="shared" si="7"/>
        <v>1.12540192926045</v>
      </c>
      <c r="W12" s="337">
        <f t="shared" si="8"/>
        <v>50.8038585209003</v>
      </c>
      <c r="X12" s="337">
        <f t="shared" si="9"/>
        <v>49.0353697749196</v>
      </c>
      <c r="Y12" s="337" t="str">
        <f t="shared" si="10"/>
        <v>STRONG</v>
      </c>
      <c r="Z12" s="341" t="str">
        <f t="shared" si="11"/>
        <v>STRONG</v>
      </c>
      <c r="AA12" s="289" t="str">
        <f t="shared" si="12"/>
        <v>BJP</v>
      </c>
      <c r="AB12">
        <v>976</v>
      </c>
      <c r="AC12">
        <v>617</v>
      </c>
      <c r="AD12">
        <v>460</v>
      </c>
      <c r="AE12">
        <v>299</v>
      </c>
      <c r="AF12">
        <v>516</v>
      </c>
      <c r="AG12">
        <v>318</v>
      </c>
      <c r="AH12">
        <v>900</v>
      </c>
      <c r="AI12">
        <v>576</v>
      </c>
      <c r="AJ12">
        <v>2</v>
      </c>
      <c r="AK12">
        <v>0</v>
      </c>
      <c r="AL12">
        <v>74</v>
      </c>
      <c r="AM12">
        <v>41</v>
      </c>
      <c r="AN12" s="248">
        <f t="shared" si="22"/>
        <v>47.1311475409836</v>
      </c>
      <c r="AO12" s="316">
        <f t="shared" si="22"/>
        <v>48.4602917341977</v>
      </c>
      <c r="AP12" s="317">
        <f t="shared" si="23"/>
        <v>52.8688524590164</v>
      </c>
      <c r="AQ12" s="318">
        <f t="shared" si="23"/>
        <v>51.5397082658023</v>
      </c>
      <c r="AR12" s="318" t="str">
        <f t="shared" si="15"/>
        <v>FEMALE DOM</v>
      </c>
      <c r="AS12" s="319" t="str">
        <f t="shared" si="16"/>
        <v>FEMALE</v>
      </c>
      <c r="AT12" s="317">
        <f t="shared" si="24"/>
        <v>92.2131147540984</v>
      </c>
      <c r="AU12" s="317">
        <f t="shared" si="24"/>
        <v>93.354943273906</v>
      </c>
      <c r="AV12" s="248">
        <f t="shared" si="25"/>
        <v>0.204918032786885</v>
      </c>
      <c r="AW12" s="317">
        <f t="shared" si="25"/>
        <v>0</v>
      </c>
      <c r="AX12" s="248">
        <f t="shared" si="26"/>
        <v>7.58196721311475</v>
      </c>
      <c r="AY12" s="317">
        <f t="shared" si="26"/>
        <v>6.645056726094</v>
      </c>
      <c r="AZ12" s="248" t="str">
        <f t="shared" si="20"/>
        <v>HINDU</v>
      </c>
      <c r="BA12" s="318" t="str">
        <f t="shared" si="21"/>
        <v>HIND</v>
      </c>
    </row>
    <row r="13" spans="2:53">
      <c r="B13" s="337">
        <v>72</v>
      </c>
      <c r="C13" s="337">
        <v>638</v>
      </c>
      <c r="D13" s="337">
        <v>101</v>
      </c>
      <c r="E13" s="337">
        <v>254</v>
      </c>
      <c r="F13" s="337">
        <v>1</v>
      </c>
      <c r="G13" s="337">
        <v>2</v>
      </c>
      <c r="H13" s="337">
        <v>0</v>
      </c>
      <c r="I13" s="337">
        <v>0</v>
      </c>
      <c r="J13" s="337">
        <v>0</v>
      </c>
      <c r="K13" s="337">
        <v>0</v>
      </c>
      <c r="L13" s="337">
        <v>358</v>
      </c>
      <c r="M13" s="337">
        <v>0</v>
      </c>
      <c r="N13" s="337">
        <v>5</v>
      </c>
      <c r="O13" s="337">
        <f t="shared" si="0"/>
        <v>363</v>
      </c>
      <c r="P13" s="337">
        <f t="shared" si="1"/>
        <v>56.8965517241379</v>
      </c>
      <c r="Q13" s="337">
        <f t="shared" si="2"/>
        <v>69.9724517906336</v>
      </c>
      <c r="R13" s="337">
        <f t="shared" si="3"/>
        <v>27.8236914600551</v>
      </c>
      <c r="S13" s="337">
        <f t="shared" si="4"/>
        <v>0.275482093663912</v>
      </c>
      <c r="T13" s="337">
        <f t="shared" si="5"/>
        <v>0.550964187327824</v>
      </c>
      <c r="U13" s="337">
        <f t="shared" si="6"/>
        <v>0</v>
      </c>
      <c r="V13" s="337">
        <f t="shared" si="7"/>
        <v>1.37741046831956</v>
      </c>
      <c r="W13" s="337">
        <f t="shared" si="8"/>
        <v>42.1487603305785</v>
      </c>
      <c r="X13" s="337">
        <f t="shared" si="9"/>
        <v>41.3223140495868</v>
      </c>
      <c r="Y13" s="337" t="str">
        <f t="shared" si="10"/>
        <v>STRONG</v>
      </c>
      <c r="Z13" s="342" t="str">
        <f t="shared" si="11"/>
        <v>MEDIUM</v>
      </c>
      <c r="AA13" s="289" t="str">
        <f t="shared" si="12"/>
        <v>BJP</v>
      </c>
      <c r="AB13" s="334">
        <v>636</v>
      </c>
      <c r="AC13" s="334">
        <v>354</v>
      </c>
      <c r="AD13" s="334">
        <v>289</v>
      </c>
      <c r="AE13" s="334">
        <v>171</v>
      </c>
      <c r="AF13" s="334">
        <v>347</v>
      </c>
      <c r="AG13" s="334">
        <v>183</v>
      </c>
      <c r="AH13" s="334">
        <v>542</v>
      </c>
      <c r="AI13" s="334">
        <v>309</v>
      </c>
      <c r="AJ13" s="334">
        <v>10</v>
      </c>
      <c r="AK13" s="334">
        <v>5</v>
      </c>
      <c r="AL13" s="334">
        <v>84</v>
      </c>
      <c r="AM13" s="334">
        <v>40</v>
      </c>
      <c r="AN13" s="248">
        <f t="shared" si="22"/>
        <v>45.440251572327</v>
      </c>
      <c r="AO13" s="316">
        <f t="shared" si="22"/>
        <v>48.3050847457627</v>
      </c>
      <c r="AP13" s="317">
        <f t="shared" si="23"/>
        <v>54.559748427673</v>
      </c>
      <c r="AQ13" s="318">
        <f t="shared" si="23"/>
        <v>51.6949152542373</v>
      </c>
      <c r="AR13" s="318" t="str">
        <f t="shared" si="15"/>
        <v>FEMALE DOM</v>
      </c>
      <c r="AS13" s="319" t="str">
        <f t="shared" si="16"/>
        <v>FEMALE</v>
      </c>
      <c r="AT13" s="317">
        <f t="shared" si="24"/>
        <v>85.2201257861635</v>
      </c>
      <c r="AU13" s="317">
        <f t="shared" si="24"/>
        <v>87.2881355932203</v>
      </c>
      <c r="AV13" s="248">
        <f t="shared" si="25"/>
        <v>1.57232704402516</v>
      </c>
      <c r="AW13" s="317">
        <f t="shared" si="25"/>
        <v>1.41242937853107</v>
      </c>
      <c r="AX13" s="248">
        <f t="shared" si="26"/>
        <v>13.2075471698113</v>
      </c>
      <c r="AY13" s="317">
        <f t="shared" si="26"/>
        <v>11.2994350282486</v>
      </c>
      <c r="AZ13" s="248" t="str">
        <f t="shared" si="20"/>
        <v>HINDU</v>
      </c>
      <c r="BA13" s="318" t="str">
        <f t="shared" si="21"/>
        <v>HIND</v>
      </c>
    </row>
    <row r="14" spans="2:53">
      <c r="B14" s="337">
        <v>75</v>
      </c>
      <c r="C14" s="337">
        <v>1521</v>
      </c>
      <c r="D14" s="337">
        <v>127</v>
      </c>
      <c r="E14" s="337">
        <v>767</v>
      </c>
      <c r="F14" s="337">
        <v>3</v>
      </c>
      <c r="G14" s="337">
        <v>6</v>
      </c>
      <c r="H14" s="337">
        <v>0</v>
      </c>
      <c r="I14" s="337">
        <v>0</v>
      </c>
      <c r="J14" s="337">
        <v>0</v>
      </c>
      <c r="K14" s="337">
        <v>0</v>
      </c>
      <c r="L14" s="337">
        <v>903</v>
      </c>
      <c r="M14" s="337">
        <v>0</v>
      </c>
      <c r="N14" s="337">
        <v>7</v>
      </c>
      <c r="O14" s="337">
        <f t="shared" si="0"/>
        <v>910</v>
      </c>
      <c r="P14" s="337">
        <f t="shared" si="1"/>
        <v>59.8290598290598</v>
      </c>
      <c r="Q14" s="337">
        <f t="shared" si="2"/>
        <v>84.2857142857143</v>
      </c>
      <c r="R14" s="337">
        <f t="shared" si="3"/>
        <v>13.956043956044</v>
      </c>
      <c r="S14" s="337">
        <f t="shared" si="4"/>
        <v>0.32967032967033</v>
      </c>
      <c r="T14" s="337">
        <f t="shared" si="5"/>
        <v>0.659340659340659</v>
      </c>
      <c r="U14" s="337">
        <f t="shared" si="6"/>
        <v>0</v>
      </c>
      <c r="V14" s="337">
        <f t="shared" si="7"/>
        <v>0.769230769230769</v>
      </c>
      <c r="W14" s="337">
        <f t="shared" si="8"/>
        <v>70.3296703296703</v>
      </c>
      <c r="X14" s="337">
        <f t="shared" si="9"/>
        <v>69.3406593406593</v>
      </c>
      <c r="Y14" s="337" t="str">
        <f t="shared" si="10"/>
        <v>STRONG</v>
      </c>
      <c r="Z14" s="342" t="str">
        <f t="shared" si="11"/>
        <v>MEDIUM</v>
      </c>
      <c r="AA14" s="289" t="str">
        <f t="shared" si="12"/>
        <v>BJP</v>
      </c>
      <c r="AB14">
        <v>1515</v>
      </c>
      <c r="AC14">
        <v>902</v>
      </c>
      <c r="AD14">
        <v>738</v>
      </c>
      <c r="AE14">
        <v>456</v>
      </c>
      <c r="AF14">
        <v>777</v>
      </c>
      <c r="AG14">
        <v>446</v>
      </c>
      <c r="AH14">
        <v>1491</v>
      </c>
      <c r="AI14">
        <v>886</v>
      </c>
      <c r="AJ14">
        <v>17</v>
      </c>
      <c r="AK14">
        <v>13</v>
      </c>
      <c r="AL14">
        <v>7</v>
      </c>
      <c r="AM14">
        <v>3</v>
      </c>
      <c r="AN14" s="248">
        <f t="shared" ref="AN14" si="27">(AD14/AB14)*100</f>
        <v>48.7128712871287</v>
      </c>
      <c r="AO14" s="316">
        <f t="shared" ref="AO14" si="28">(AE14/AC14)*100</f>
        <v>50.5543237250554</v>
      </c>
      <c r="AP14" s="317">
        <f t="shared" ref="AP14" si="29">(AF14/AB14)*100</f>
        <v>51.2871287128713</v>
      </c>
      <c r="AQ14" s="318">
        <f t="shared" ref="AQ14" si="30">(AG14/AC14)*100</f>
        <v>49.4456762749446</v>
      </c>
      <c r="AR14" s="318" t="str">
        <f t="shared" ref="AR14" si="31">IF(AN14&gt;AP14,"MALE DOM","FEMALE DOM")</f>
        <v>FEMALE DOM</v>
      </c>
      <c r="AS14" s="319" t="str">
        <f t="shared" ref="AS14" si="32">IF(AO14&gt;AP14,"MALE","FEMALE")</f>
        <v>FEMALE</v>
      </c>
      <c r="AT14" s="317">
        <f t="shared" ref="AT14" si="33">(AH14/AB14)*100</f>
        <v>98.4158415841584</v>
      </c>
      <c r="AU14" s="317">
        <f t="shared" ref="AU14" si="34">(AI14/AC14)*100</f>
        <v>98.2261640798226</v>
      </c>
      <c r="AV14" s="248">
        <f t="shared" ref="AV14" si="35">(AJ14/AB14)*100</f>
        <v>1.12211221122112</v>
      </c>
      <c r="AW14" s="317">
        <f t="shared" ref="AW14" si="36">(AK14/AC14)*100</f>
        <v>1.44124168514412</v>
      </c>
      <c r="AX14" s="248">
        <f t="shared" ref="AX14" si="37">(AL14/AB14)*100</f>
        <v>0.462046204620462</v>
      </c>
      <c r="AY14" s="317">
        <f t="shared" ref="AY14" si="38">(AM14/AC14)*100</f>
        <v>0.332594235033259</v>
      </c>
      <c r="AZ14" s="248" t="str">
        <f t="shared" ref="AZ14" si="39">IF(AT14&gt;(AV14+AX14),"HINDU","MINORITY")</f>
        <v>HINDU</v>
      </c>
      <c r="BA14" s="318" t="str">
        <f t="shared" ref="BA14" si="40">IF(AU14&gt;(AW14+AY14),"HIND","MINORITY")</f>
        <v>HIND</v>
      </c>
    </row>
    <row r="15" spans="2:53">
      <c r="B15" s="334"/>
      <c r="C15" s="337">
        <f t="shared" ref="C15:O15" si="41">SUM(C7:C14)</f>
        <v>7740</v>
      </c>
      <c r="D15" s="337">
        <f t="shared" si="41"/>
        <v>889</v>
      </c>
      <c r="E15" s="337">
        <f t="shared" si="41"/>
        <v>3839</v>
      </c>
      <c r="F15" s="337">
        <f t="shared" si="41"/>
        <v>9</v>
      </c>
      <c r="G15" s="337">
        <f t="shared" si="41"/>
        <v>27</v>
      </c>
      <c r="H15" s="337">
        <f t="shared" si="41"/>
        <v>1</v>
      </c>
      <c r="I15" s="337">
        <f t="shared" si="41"/>
        <v>1</v>
      </c>
      <c r="J15" s="337">
        <f t="shared" si="41"/>
        <v>3</v>
      </c>
      <c r="K15" s="337">
        <f t="shared" si="41"/>
        <v>5</v>
      </c>
      <c r="L15" s="337">
        <f t="shared" si="41"/>
        <v>4774</v>
      </c>
      <c r="M15" s="337">
        <f t="shared" si="41"/>
        <v>0</v>
      </c>
      <c r="N15" s="337">
        <f t="shared" si="41"/>
        <v>55</v>
      </c>
      <c r="O15" s="337">
        <f t="shared" si="41"/>
        <v>4829</v>
      </c>
      <c r="P15" s="337">
        <f t="shared" ref="P15:X15" si="42">AVERAGE(P7:P14)</f>
        <v>61.7463993982335</v>
      </c>
      <c r="Q15" s="337">
        <f t="shared" si="42"/>
        <v>79.251570261966</v>
      </c>
      <c r="R15" s="337">
        <f t="shared" si="42"/>
        <v>18.7065857709949</v>
      </c>
      <c r="S15" s="337">
        <f t="shared" si="42"/>
        <v>0.167876421527776</v>
      </c>
      <c r="T15" s="337">
        <f t="shared" si="42"/>
        <v>0.505539793885806</v>
      </c>
      <c r="U15" s="337">
        <f t="shared" si="42"/>
        <v>0.188331217418498</v>
      </c>
      <c r="V15" s="337">
        <f t="shared" si="42"/>
        <v>1.18009653420703</v>
      </c>
      <c r="W15" s="337">
        <f t="shared" si="42"/>
        <v>60.544984490971</v>
      </c>
      <c r="X15" s="337">
        <f t="shared" si="42"/>
        <v>59.683237058139</v>
      </c>
      <c r="Y15" s="337" t="str">
        <f t="shared" si="10"/>
        <v>STRONG</v>
      </c>
      <c r="Z15" s="341" t="str">
        <f t="shared" si="11"/>
        <v>STRONG</v>
      </c>
      <c r="AA15" s="289" t="str">
        <f t="shared" si="12"/>
        <v>BJP</v>
      </c>
      <c r="AN15" s="248"/>
      <c r="AO15" s="316"/>
      <c r="AP15" s="317"/>
      <c r="AQ15" s="318"/>
      <c r="AR15" s="318"/>
      <c r="AS15" s="319"/>
      <c r="AT15" s="317"/>
      <c r="AU15" s="317"/>
      <c r="AV15" s="248"/>
      <c r="AW15" s="317"/>
      <c r="AX15" s="248"/>
      <c r="AY15" s="317"/>
      <c r="AZ15" s="248"/>
      <c r="BA15" s="318"/>
    </row>
    <row r="18" spans="10:27">
      <c r="J18" s="225" t="s">
        <v>205</v>
      </c>
      <c r="K18" s="237"/>
      <c r="L18" s="237"/>
      <c r="M18" s="238"/>
      <c r="O18" s="225" t="s">
        <v>97</v>
      </c>
      <c r="P18" s="237"/>
      <c r="Q18" s="237"/>
      <c r="R18" s="238"/>
      <c r="T18" s="265" t="s">
        <v>98</v>
      </c>
      <c r="U18" s="265"/>
      <c r="V18" s="265"/>
      <c r="W18" s="265"/>
      <c r="X18" s="265"/>
      <c r="Y18" s="265"/>
      <c r="Z18" s="265"/>
      <c r="AA18" s="265"/>
    </row>
    <row r="19" spans="10:27">
      <c r="J19" s="226"/>
      <c r="K19" s="239"/>
      <c r="L19" s="239"/>
      <c r="M19" s="240"/>
      <c r="O19" s="241"/>
      <c r="P19" s="242"/>
      <c r="Q19" s="242"/>
      <c r="R19" s="243"/>
      <c r="T19" s="265"/>
      <c r="U19" s="265"/>
      <c r="V19" s="265"/>
      <c r="W19" s="265"/>
      <c r="X19" s="265"/>
      <c r="Y19" s="265"/>
      <c r="Z19" s="265"/>
      <c r="AA19" s="265"/>
    </row>
    <row r="20" spans="10:27">
      <c r="J20" s="227" t="s">
        <v>99</v>
      </c>
      <c r="K20" s="244"/>
      <c r="L20" s="245"/>
      <c r="M20" s="245">
        <f>COUNTIF(AA7:AA14,"BJP")</f>
        <v>8</v>
      </c>
      <c r="O20" s="246" t="s">
        <v>100</v>
      </c>
      <c r="P20" s="247"/>
      <c r="Q20" s="247"/>
      <c r="R20" s="248">
        <f>COUNTIF(Y7:Y14,"NARROW")</f>
        <v>0</v>
      </c>
      <c r="T20" s="265" t="s">
        <v>101</v>
      </c>
      <c r="U20" s="265"/>
      <c r="V20" s="265"/>
      <c r="W20" s="265">
        <f>'MANNAGDA-18'!E6</f>
        <v>76.877111507387</v>
      </c>
      <c r="X20" s="265" t="s">
        <v>102</v>
      </c>
      <c r="Y20" s="265"/>
      <c r="Z20" s="265"/>
      <c r="AA20" s="265">
        <f>Q15</f>
        <v>79.251570261966</v>
      </c>
    </row>
    <row r="21" spans="10:27">
      <c r="J21" s="227"/>
      <c r="K21" s="244"/>
      <c r="L21" s="245"/>
      <c r="M21" s="245"/>
      <c r="O21" s="249"/>
      <c r="P21" s="250"/>
      <c r="Q21" s="250"/>
      <c r="R21" s="251"/>
      <c r="T21" s="265"/>
      <c r="U21" s="265"/>
      <c r="V21" s="265"/>
      <c r="W21" s="265"/>
      <c r="X21" s="265"/>
      <c r="Y21" s="265"/>
      <c r="Z21" s="265"/>
      <c r="AA21" s="265"/>
    </row>
    <row r="22" spans="10:27">
      <c r="J22" s="227"/>
      <c r="K22" s="244"/>
      <c r="L22" s="245"/>
      <c r="M22" s="245"/>
      <c r="O22" s="252" t="s">
        <v>103</v>
      </c>
      <c r="P22" s="253"/>
      <c r="Q22" s="253"/>
      <c r="R22" s="248">
        <f>COUNTIF(Y7:Y14,"MEDIUM")</f>
        <v>0</v>
      </c>
      <c r="T22" s="265" t="s">
        <v>104</v>
      </c>
      <c r="U22" s="265"/>
      <c r="V22" s="265"/>
      <c r="W22" s="265">
        <f>'MANNAGDA-18'!G6</f>
        <v>19.17029968326</v>
      </c>
      <c r="X22" s="265" t="s">
        <v>105</v>
      </c>
      <c r="Y22" s="265"/>
      <c r="Z22" s="265"/>
      <c r="AA22" s="265">
        <f>R15</f>
        <v>18.7065857709949</v>
      </c>
    </row>
    <row r="23" spans="10:27">
      <c r="J23" s="228" t="s">
        <v>106</v>
      </c>
      <c r="K23" s="254"/>
      <c r="L23" s="255"/>
      <c r="M23" s="255">
        <f>COUNTIF(AA7:AA14,"CONGRESS")</f>
        <v>0</v>
      </c>
      <c r="O23" s="252"/>
      <c r="P23" s="253"/>
      <c r="Q23" s="253"/>
      <c r="R23" s="251"/>
      <c r="T23" s="265"/>
      <c r="U23" s="265"/>
      <c r="V23" s="265"/>
      <c r="W23" s="265"/>
      <c r="X23" s="265"/>
      <c r="Y23" s="265"/>
      <c r="Z23" s="265"/>
      <c r="AA23" s="265"/>
    </row>
    <row r="24" spans="10:27">
      <c r="J24" s="229"/>
      <c r="K24" s="256"/>
      <c r="L24" s="257"/>
      <c r="M24" s="257"/>
      <c r="O24" s="258" t="s">
        <v>107</v>
      </c>
      <c r="P24" s="259"/>
      <c r="Q24" s="259"/>
      <c r="R24" s="248">
        <f>COUNTIF(Y7:Y14,"STRONG")</f>
        <v>8</v>
      </c>
      <c r="T24" s="265" t="s">
        <v>108</v>
      </c>
      <c r="U24" s="265"/>
      <c r="V24" s="265"/>
      <c r="W24" s="265">
        <f>'MANNAGDA-18'!C6</f>
        <v>3533</v>
      </c>
      <c r="X24" s="265" t="s">
        <v>109</v>
      </c>
      <c r="Y24" s="265"/>
      <c r="Z24" s="265"/>
      <c r="AA24" s="265">
        <f>O15</f>
        <v>4829</v>
      </c>
    </row>
    <row r="25" spans="10:27">
      <c r="J25" s="230"/>
      <c r="K25" s="260"/>
      <c r="L25" s="261"/>
      <c r="M25" s="261"/>
      <c r="O25" s="262"/>
      <c r="P25" s="263"/>
      <c r="Q25" s="263"/>
      <c r="R25" s="251"/>
      <c r="T25" s="265"/>
      <c r="U25" s="265"/>
      <c r="V25" s="265"/>
      <c r="W25" s="265"/>
      <c r="X25" s="265"/>
      <c r="Y25" s="265"/>
      <c r="Z25" s="265"/>
      <c r="AA25" s="265"/>
    </row>
    <row r="26" spans="15:27">
      <c r="O26" s="229" t="s">
        <v>110</v>
      </c>
      <c r="P26" s="256"/>
      <c r="Q26" s="256"/>
      <c r="R26" s="248">
        <f>COUNTIF(Y7:Y14,"LOST")</f>
        <v>0</v>
      </c>
      <c r="T26" s="265" t="s">
        <v>111</v>
      </c>
      <c r="U26" s="265"/>
      <c r="V26" s="265"/>
      <c r="W26" s="265">
        <f>W20-W22</f>
        <v>57.706811824127</v>
      </c>
      <c r="X26" s="265" t="s">
        <v>111</v>
      </c>
      <c r="Y26" s="265"/>
      <c r="Z26" s="265"/>
      <c r="AA26" s="265">
        <f>AA20-AA22</f>
        <v>60.5449844909711</v>
      </c>
    </row>
    <row r="27" spans="15:27">
      <c r="O27" s="230"/>
      <c r="P27" s="260"/>
      <c r="Q27" s="260"/>
      <c r="R27" s="251"/>
      <c r="T27" s="265"/>
      <c r="U27" s="265"/>
      <c r="V27" s="265"/>
      <c r="W27" s="265"/>
      <c r="X27" s="265"/>
      <c r="Y27" s="265"/>
      <c r="Z27" s="265"/>
      <c r="AA27" s="265"/>
    </row>
    <row r="28" spans="20:26">
      <c r="T28" s="265" t="s">
        <v>112</v>
      </c>
      <c r="U28" s="265"/>
      <c r="V28" s="265"/>
      <c r="W28" s="265">
        <f>AA20-W20</f>
        <v>2.37445875457898</v>
      </c>
      <c r="X28" s="265"/>
      <c r="Y28" s="265"/>
      <c r="Z28" s="265"/>
    </row>
    <row r="29" spans="20:26">
      <c r="T29" s="265"/>
      <c r="U29" s="265"/>
      <c r="V29" s="265"/>
      <c r="W29" s="265"/>
      <c r="X29" s="265"/>
      <c r="Y29" s="265"/>
      <c r="Z29" s="265"/>
    </row>
    <row r="30" spans="20:26">
      <c r="T30" s="265" t="s">
        <v>113</v>
      </c>
      <c r="U30" s="265"/>
      <c r="V30" s="265"/>
      <c r="W30" s="265">
        <f>AA22-W22</f>
        <v>-0.463713912265096</v>
      </c>
      <c r="X30" s="265"/>
      <c r="Y30" s="265"/>
      <c r="Z30" s="265"/>
    </row>
    <row r="31" spans="20:26">
      <c r="T31" s="265"/>
      <c r="U31" s="265"/>
      <c r="V31" s="265"/>
      <c r="W31" s="265"/>
      <c r="X31" s="265"/>
      <c r="Y31" s="265"/>
      <c r="Z31" s="265"/>
    </row>
    <row r="32" spans="20:26">
      <c r="T32" s="265" t="s">
        <v>114</v>
      </c>
      <c r="U32" s="265"/>
      <c r="V32" s="265"/>
      <c r="W32" s="265" t="str">
        <f>IF(W28&gt;W30,"INCREASE","DECREASE")</f>
        <v>INCREASE</v>
      </c>
      <c r="X32" s="265"/>
      <c r="Y32" s="265"/>
      <c r="Z32" s="265"/>
    </row>
    <row r="33" spans="20:26">
      <c r="T33" s="265"/>
      <c r="U33" s="265"/>
      <c r="V33" s="265"/>
      <c r="W33" s="265"/>
      <c r="X33" s="265"/>
      <c r="Y33" s="265"/>
      <c r="Z33" s="265"/>
    </row>
    <row r="34" spans="20:27">
      <c r="T34" s="265">
        <v>0</v>
      </c>
      <c r="U34" s="265"/>
      <c r="V34" s="265"/>
      <c r="W34" s="265"/>
      <c r="X34" s="265"/>
      <c r="Y34" s="265"/>
      <c r="Z34" s="265"/>
      <c r="AA34" s="265"/>
    </row>
    <row r="35" spans="20:27">
      <c r="T35" s="265"/>
      <c r="U35" s="265"/>
      <c r="V35" s="265"/>
      <c r="W35" s="265"/>
      <c r="X35" s="265"/>
      <c r="Y35" s="265"/>
      <c r="Z35" s="265"/>
      <c r="AA35" s="265"/>
    </row>
    <row r="36" spans="20:27">
      <c r="T36" s="265"/>
      <c r="U36" s="265"/>
      <c r="V36" s="265"/>
      <c r="W36" s="265"/>
      <c r="X36" s="265"/>
      <c r="Y36" s="265"/>
      <c r="Z36" s="265"/>
      <c r="AA36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M20:M22"/>
    <mergeCell ref="M23:M25"/>
    <mergeCell ref="N1:N6"/>
    <mergeCell ref="O1:O6"/>
    <mergeCell ref="P1:P6"/>
    <mergeCell ref="Q1:Q6"/>
    <mergeCell ref="R1:R6"/>
    <mergeCell ref="R20:R21"/>
    <mergeCell ref="R22:R23"/>
    <mergeCell ref="R24:R25"/>
    <mergeCell ref="R26:R27"/>
    <mergeCell ref="S1:S6"/>
    <mergeCell ref="T1:T6"/>
    <mergeCell ref="U1:U6"/>
    <mergeCell ref="V1:V6"/>
    <mergeCell ref="W1:W6"/>
    <mergeCell ref="W20:W21"/>
    <mergeCell ref="W22:W23"/>
    <mergeCell ref="W24:W25"/>
    <mergeCell ref="W26:W27"/>
    <mergeCell ref="X1:X6"/>
    <mergeCell ref="Y1:Y6"/>
    <mergeCell ref="Z1:Z6"/>
    <mergeCell ref="AA1:AA6"/>
    <mergeCell ref="AA20:AA21"/>
    <mergeCell ref="AA22:AA23"/>
    <mergeCell ref="AA24:AA25"/>
    <mergeCell ref="AA26:AA27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O26:Q27"/>
    <mergeCell ref="X26:Z27"/>
    <mergeCell ref="J18:M19"/>
    <mergeCell ref="O18:R19"/>
    <mergeCell ref="J20:L22"/>
    <mergeCell ref="O20:Q21"/>
    <mergeCell ref="X20:Z21"/>
    <mergeCell ref="O22:Q23"/>
    <mergeCell ref="X22:Z23"/>
    <mergeCell ref="J23:L25"/>
    <mergeCell ref="O24:Q25"/>
    <mergeCell ref="X24:Z25"/>
    <mergeCell ref="D1:K2"/>
    <mergeCell ref="T18:AA19"/>
    <mergeCell ref="T20:V21"/>
    <mergeCell ref="T22:V23"/>
    <mergeCell ref="T24:V25"/>
    <mergeCell ref="T26:V27"/>
    <mergeCell ref="T28:V29"/>
    <mergeCell ref="W28:Z29"/>
    <mergeCell ref="T34:AA36"/>
    <mergeCell ref="T30:V31"/>
    <mergeCell ref="W30:Z31"/>
    <mergeCell ref="T32:V33"/>
    <mergeCell ref="W32:X33"/>
    <mergeCell ref="Y32:Z33"/>
  </mergeCells>
  <conditionalFormatting sqref="AR7:AR15">
    <cfRule type="containsText" dxfId="6" priority="1" operator="between" text="FEMALE DOM">
      <formula>NOT(ISERROR(SEARCH("FEMALE DOM",AR7)))</formula>
    </cfRule>
  </conditionalFormatting>
  <conditionalFormatting sqref="AZ7:AZ15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5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"/>
  <sheetViews>
    <sheetView topLeftCell="V1" workbookViewId="0">
      <selection activeCell="A1" sqref="A1:AJ1"/>
    </sheetView>
  </sheetViews>
  <sheetFormatPr defaultColWidth="9" defaultRowHeight="14.5" outlineLevelRow="5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68</v>
      </c>
      <c r="B2" s="185" t="s">
        <v>322</v>
      </c>
      <c r="C2" s="184">
        <v>875</v>
      </c>
      <c r="D2" s="184">
        <v>707</v>
      </c>
      <c r="E2" s="184">
        <f t="shared" ref="E2:E5" si="0">(D2/C2)*100</f>
        <v>80.8</v>
      </c>
      <c r="F2" s="184">
        <v>134</v>
      </c>
      <c r="G2" s="184">
        <f t="shared" ref="G2:G5" si="1">(F2/C2)*100</f>
        <v>15.3142857142857</v>
      </c>
      <c r="H2" s="184">
        <v>3</v>
      </c>
      <c r="I2" s="184">
        <f t="shared" ref="I2:I5" si="2">(H2/C2)*100</f>
        <v>0.342857142857143</v>
      </c>
      <c r="J2" s="184">
        <v>4</v>
      </c>
      <c r="K2" s="184">
        <f t="shared" ref="K2:K5" si="3">(J2/C2)*100</f>
        <v>0.457142857142857</v>
      </c>
      <c r="L2" s="189">
        <v>686</v>
      </c>
      <c r="M2" s="189">
        <v>685</v>
      </c>
      <c r="N2" s="189">
        <f t="shared" ref="N2:N5" si="4">L2+M2</f>
        <v>1371</v>
      </c>
      <c r="O2" s="184">
        <v>875</v>
      </c>
      <c r="P2" s="190">
        <f t="shared" ref="P2:P5" si="5">O2/N2*100</f>
        <v>63.8220277169949</v>
      </c>
      <c r="Q2" s="184">
        <v>1353</v>
      </c>
      <c r="R2" s="184">
        <f t="shared" ref="R2:R5" si="6">(Q2/N2)*100</f>
        <v>98.6870897155361</v>
      </c>
      <c r="S2" s="184">
        <f t="shared" ref="S2:S5" si="7">Q2-U2</f>
        <v>489</v>
      </c>
      <c r="T2" s="184">
        <f t="shared" ref="T2:T5" si="8">(S2/Q2)*100</f>
        <v>36.1419068736142</v>
      </c>
      <c r="U2" s="184">
        <v>864</v>
      </c>
      <c r="V2" s="191">
        <f t="shared" ref="V2:V5" si="9">IFERROR(U2/Q2*100,0)</f>
        <v>63.8580931263858</v>
      </c>
      <c r="W2" s="184">
        <v>18</v>
      </c>
      <c r="X2" s="184">
        <f t="shared" ref="X2:X5" si="10">100-R2</f>
        <v>1.3129102844639</v>
      </c>
      <c r="Y2" s="184">
        <f t="shared" ref="Y2:Y5" si="11">W2-AA2</f>
        <v>7</v>
      </c>
      <c r="Z2" s="193">
        <f t="shared" ref="Z2:Z5" si="12">(Y2/W2)*100</f>
        <v>38.8888888888889</v>
      </c>
      <c r="AA2" s="193">
        <v>11</v>
      </c>
      <c r="AB2" s="194">
        <f t="shared" ref="AB2:AB5" si="13">IFERROR(AA2/W2*100,0)</f>
        <v>61.1111111111111</v>
      </c>
      <c r="AC2" s="193">
        <f t="shared" ref="AC2:AC5" si="14">U2+AA2</f>
        <v>875</v>
      </c>
      <c r="AD2" s="193" t="str">
        <f t="shared" ref="AD2:AD5" si="15">IF(P2&gt;80,"EXCELLENT",IF(P2&gt;70,"STRONG",IF(P2&gt;60,"AVG",IF(P2&gt;50,"WEAK",IF(P2&lt;50,"VLOW")))))</f>
        <v>AVG</v>
      </c>
      <c r="AE2" s="195" t="str">
        <f t="shared" ref="AE2:AE5" si="16">IF(R2&gt;80,"EXCELLENT",IF(R2&gt;70,"STRONG",IF(R2&gt;60,"AVG",IF(R2&gt;50,"WEAK",IF(R2&lt;50,"VLOW")))))</f>
        <v>EXCELLENT</v>
      </c>
      <c r="AF2" s="193" t="str">
        <f t="shared" ref="AF2:AF5" si="17">IF(X2&gt;80,"EXCELLENT",IF(X2&gt;70,"STRONG",IF(X2&gt;60,"AVG",IF(X2&gt;50,"WEAK",IF(X2&lt;50,"VLOW")))))</f>
        <v>VLOW</v>
      </c>
      <c r="AG2" s="193" t="str">
        <f t="shared" ref="AG2:AG5" si="18">IF(M2&gt;L2,"FEMALE DOM","MEN")</f>
        <v>MEN</v>
      </c>
      <c r="AH2" s="193" t="str">
        <f t="shared" ref="AH2:AH5" si="19">IF(T2&gt;Z2,"H","O")</f>
        <v>O</v>
      </c>
      <c r="AI2" s="197">
        <f t="shared" ref="AI2:AI6" si="20">E2-G2</f>
        <v>65.4857142857143</v>
      </c>
      <c r="AJ2" s="199" t="str">
        <f t="shared" ref="AJ2:AJ6" si="21">IF(E2&gt;G2,"BJP GAIN","CONGRESSGAIN")</f>
        <v>BJP GAIN</v>
      </c>
    </row>
    <row r="3" spans="1:36">
      <c r="A3" s="184">
        <v>69</v>
      </c>
      <c r="B3" s="185" t="s">
        <v>323</v>
      </c>
      <c r="C3" s="184">
        <v>667</v>
      </c>
      <c r="D3" s="184">
        <v>492</v>
      </c>
      <c r="E3" s="184">
        <f t="shared" si="0"/>
        <v>73.7631184407796</v>
      </c>
      <c r="F3" s="184">
        <v>144</v>
      </c>
      <c r="G3" s="184">
        <f t="shared" si="1"/>
        <v>21.5892053973013</v>
      </c>
      <c r="H3" s="184">
        <v>2</v>
      </c>
      <c r="I3" s="184">
        <f t="shared" si="2"/>
        <v>0.299850074962519</v>
      </c>
      <c r="J3" s="184">
        <v>12</v>
      </c>
      <c r="K3" s="184">
        <f t="shared" si="3"/>
        <v>1.79910044977511</v>
      </c>
      <c r="L3" s="189">
        <v>472</v>
      </c>
      <c r="M3" s="189">
        <v>466</v>
      </c>
      <c r="N3" s="189">
        <f t="shared" si="4"/>
        <v>938</v>
      </c>
      <c r="O3" s="184">
        <v>667</v>
      </c>
      <c r="P3" s="190">
        <f t="shared" si="5"/>
        <v>71.1087420042644</v>
      </c>
      <c r="Q3" s="184">
        <v>837</v>
      </c>
      <c r="R3" s="184">
        <f t="shared" si="6"/>
        <v>89.2324093816631</v>
      </c>
      <c r="S3" s="184">
        <f t="shared" si="7"/>
        <v>251</v>
      </c>
      <c r="T3" s="184">
        <f t="shared" si="8"/>
        <v>29.9880525686977</v>
      </c>
      <c r="U3" s="184">
        <v>586</v>
      </c>
      <c r="V3" s="191">
        <f t="shared" si="9"/>
        <v>70.0119474313023</v>
      </c>
      <c r="W3" s="184">
        <f>25+76</f>
        <v>101</v>
      </c>
      <c r="X3" s="184">
        <f t="shared" si="10"/>
        <v>10.7675906183369</v>
      </c>
      <c r="Y3" s="184">
        <f t="shared" si="11"/>
        <v>28</v>
      </c>
      <c r="Z3" s="193">
        <f t="shared" si="12"/>
        <v>27.7227722772277</v>
      </c>
      <c r="AA3" s="193">
        <v>73</v>
      </c>
      <c r="AB3" s="194">
        <f t="shared" si="13"/>
        <v>72.2772277227723</v>
      </c>
      <c r="AC3" s="193">
        <f t="shared" si="14"/>
        <v>659</v>
      </c>
      <c r="AD3" s="193" t="str">
        <f t="shared" si="15"/>
        <v>STRONG</v>
      </c>
      <c r="AE3" s="195" t="str">
        <f t="shared" si="16"/>
        <v>EXCELLENT</v>
      </c>
      <c r="AF3" s="193" t="str">
        <f t="shared" si="17"/>
        <v>VLOW</v>
      </c>
      <c r="AG3" s="193" t="str">
        <f t="shared" si="18"/>
        <v>MEN</v>
      </c>
      <c r="AH3" s="193" t="str">
        <f t="shared" si="19"/>
        <v>H</v>
      </c>
      <c r="AI3" s="197">
        <f t="shared" si="20"/>
        <v>52.1739130434783</v>
      </c>
      <c r="AJ3" s="199" t="str">
        <f t="shared" si="21"/>
        <v>BJP GAIN</v>
      </c>
    </row>
    <row r="4" spans="1:36">
      <c r="A4" s="184">
        <v>70</v>
      </c>
      <c r="B4" s="185" t="s">
        <v>324</v>
      </c>
      <c r="C4" s="184">
        <v>848</v>
      </c>
      <c r="D4" s="184">
        <v>676</v>
      </c>
      <c r="E4" s="184">
        <f t="shared" si="0"/>
        <v>79.7169811320755</v>
      </c>
      <c r="F4" s="184">
        <v>137</v>
      </c>
      <c r="G4" s="184">
        <f t="shared" si="1"/>
        <v>16.1556603773585</v>
      </c>
      <c r="H4" s="184">
        <v>2</v>
      </c>
      <c r="I4" s="184">
        <f t="shared" si="2"/>
        <v>0.235849056603774</v>
      </c>
      <c r="J4" s="184">
        <v>6</v>
      </c>
      <c r="K4" s="184">
        <f t="shared" si="3"/>
        <v>0.707547169811321</v>
      </c>
      <c r="L4" s="189">
        <v>626</v>
      </c>
      <c r="M4" s="189">
        <v>629</v>
      </c>
      <c r="N4" s="189">
        <f t="shared" si="4"/>
        <v>1255</v>
      </c>
      <c r="O4" s="184">
        <v>848</v>
      </c>
      <c r="P4" s="190">
        <f t="shared" si="5"/>
        <v>67.5697211155378</v>
      </c>
      <c r="Q4" s="184">
        <v>1234</v>
      </c>
      <c r="R4" s="184">
        <f t="shared" si="6"/>
        <v>98.3266932270916</v>
      </c>
      <c r="S4" s="184">
        <f t="shared" si="7"/>
        <v>401</v>
      </c>
      <c r="T4" s="184">
        <f t="shared" si="8"/>
        <v>32.4959481361426</v>
      </c>
      <c r="U4" s="184">
        <f>849-16</f>
        <v>833</v>
      </c>
      <c r="V4" s="191">
        <f t="shared" si="9"/>
        <v>67.5040518638574</v>
      </c>
      <c r="W4" s="184">
        <v>21</v>
      </c>
      <c r="X4" s="184">
        <f t="shared" si="10"/>
        <v>1.67330677290836</v>
      </c>
      <c r="Y4" s="196">
        <f t="shared" si="11"/>
        <v>6</v>
      </c>
      <c r="Z4" s="193">
        <f t="shared" si="12"/>
        <v>28.5714285714286</v>
      </c>
      <c r="AA4" s="193">
        <v>15</v>
      </c>
      <c r="AB4" s="194">
        <f t="shared" si="13"/>
        <v>71.4285714285714</v>
      </c>
      <c r="AC4" s="193">
        <f t="shared" si="14"/>
        <v>848</v>
      </c>
      <c r="AD4" s="193" t="str">
        <f t="shared" si="15"/>
        <v>AVG</v>
      </c>
      <c r="AE4" s="195" t="str">
        <f t="shared" si="16"/>
        <v>EXCELLENT</v>
      </c>
      <c r="AF4" s="193" t="str">
        <f t="shared" si="17"/>
        <v>VLOW</v>
      </c>
      <c r="AG4" s="193" t="str">
        <f t="shared" si="18"/>
        <v>FEMALE DOM</v>
      </c>
      <c r="AH4" s="193" t="str">
        <f t="shared" si="19"/>
        <v>H</v>
      </c>
      <c r="AI4" s="197">
        <f t="shared" si="20"/>
        <v>63.561320754717</v>
      </c>
      <c r="AJ4" s="199" t="str">
        <f t="shared" si="21"/>
        <v>BJP GAIN</v>
      </c>
    </row>
    <row r="5" spans="1:36">
      <c r="A5" s="184">
        <v>72</v>
      </c>
      <c r="B5" s="185" t="s">
        <v>325</v>
      </c>
      <c r="C5" s="184">
        <v>1143</v>
      </c>
      <c r="D5" s="184">
        <v>837</v>
      </c>
      <c r="E5" s="184">
        <f t="shared" si="0"/>
        <v>73.2283464566929</v>
      </c>
      <c r="F5" s="184">
        <v>270</v>
      </c>
      <c r="G5" s="184">
        <f t="shared" si="1"/>
        <v>23.6220472440945</v>
      </c>
      <c r="H5" s="184">
        <v>4</v>
      </c>
      <c r="I5" s="184">
        <f t="shared" si="2"/>
        <v>0.349956255468067</v>
      </c>
      <c r="J5" s="184">
        <v>1</v>
      </c>
      <c r="K5" s="184">
        <f t="shared" si="3"/>
        <v>0.0874890638670166</v>
      </c>
      <c r="L5" s="189">
        <v>799</v>
      </c>
      <c r="M5" s="189">
        <v>789</v>
      </c>
      <c r="N5" s="189">
        <f t="shared" si="4"/>
        <v>1588</v>
      </c>
      <c r="O5" s="184">
        <v>1434</v>
      </c>
      <c r="P5" s="190">
        <f t="shared" si="5"/>
        <v>90.3022670025189</v>
      </c>
      <c r="Q5" s="184">
        <v>1439</v>
      </c>
      <c r="R5" s="184">
        <f t="shared" si="6"/>
        <v>90.6171284634761</v>
      </c>
      <c r="S5" s="184">
        <f t="shared" si="7"/>
        <v>589</v>
      </c>
      <c r="T5" s="184">
        <f t="shared" si="8"/>
        <v>40.9312022237665</v>
      </c>
      <c r="U5" s="184">
        <v>850</v>
      </c>
      <c r="V5" s="191">
        <f t="shared" si="9"/>
        <v>59.0687977762335</v>
      </c>
      <c r="W5" s="184">
        <v>115</v>
      </c>
      <c r="X5" s="184">
        <f t="shared" si="10"/>
        <v>9.38287153652394</v>
      </c>
      <c r="Y5" s="184">
        <f t="shared" si="11"/>
        <v>79</v>
      </c>
      <c r="Z5" s="193">
        <f t="shared" si="12"/>
        <v>68.695652173913</v>
      </c>
      <c r="AA5" s="193">
        <v>36</v>
      </c>
      <c r="AB5" s="194">
        <f t="shared" si="13"/>
        <v>31.304347826087</v>
      </c>
      <c r="AC5" s="193">
        <f t="shared" si="14"/>
        <v>886</v>
      </c>
      <c r="AD5" s="193" t="str">
        <f t="shared" si="15"/>
        <v>EXCELLENT</v>
      </c>
      <c r="AE5" s="195" t="str">
        <f t="shared" si="16"/>
        <v>EXCELLENT</v>
      </c>
      <c r="AF5" s="193" t="str">
        <f t="shared" si="17"/>
        <v>VLOW</v>
      </c>
      <c r="AG5" s="193" t="str">
        <f t="shared" si="18"/>
        <v>MEN</v>
      </c>
      <c r="AH5" s="193" t="str">
        <f t="shared" si="19"/>
        <v>O</v>
      </c>
      <c r="AI5" s="197">
        <f t="shared" si="20"/>
        <v>49.6062992125984</v>
      </c>
      <c r="AJ5" s="199" t="str">
        <f t="shared" si="21"/>
        <v>BJP GAIN</v>
      </c>
    </row>
    <row r="6" spans="3:36">
      <c r="C6">
        <f>SUM(C2:C5)</f>
        <v>3533</v>
      </c>
      <c r="D6">
        <f>SUM(D2:D5)</f>
        <v>2712</v>
      </c>
      <c r="E6" s="186">
        <f>AVERAGE(E2:E5)</f>
        <v>76.877111507387</v>
      </c>
      <c r="F6">
        <f>SUM(F2:F5)</f>
        <v>685</v>
      </c>
      <c r="G6" s="186">
        <f>AVERAGE(G2:G5)</f>
        <v>19.17029968326</v>
      </c>
      <c r="H6">
        <f>SUM(H2:H5)</f>
        <v>11</v>
      </c>
      <c r="I6" s="186">
        <f>AVERAGE(I2:I5)</f>
        <v>0.307128132472875</v>
      </c>
      <c r="J6">
        <f>SUM(J2:J5)</f>
        <v>23</v>
      </c>
      <c r="K6" s="186">
        <f>AVERAGE(K2:K5)</f>
        <v>0.762819885149077</v>
      </c>
      <c r="AI6" s="329">
        <f t="shared" si="20"/>
        <v>57.706811824127</v>
      </c>
      <c r="AJ6" s="335" t="str">
        <f t="shared" si="21"/>
        <v>BJP GAIN</v>
      </c>
    </row>
  </sheetData>
  <conditionalFormatting sqref="AD4">
    <cfRule type="containsText" dxfId="8" priority="30" operator="between" text="AVG">
      <formula>NOT(ISERROR(SEARCH("AVG",AD4)))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NOT(ISERROR(SEARCH("VSTRONG",AD4)))</formula>
    </cfRule>
    <cfRule type="containsText" dxfId="10" priority="20" operator="between" text="AVG">
      <formula>NOT(ISERROR(SEARCH("AVG",AD4)))</formula>
    </cfRule>
  </conditionalFormatting>
  <conditionalFormatting sqref="AE4">
    <cfRule type="containsText" dxfId="3" priority="24" operator="between" text="STRONG">
      <formula>NOT(ISERROR(SEARCH("STRONG",AE4)))</formula>
    </cfRule>
    <cfRule type="containsText" dxfId="1" priority="22" operator="between" text="VSTRONG">
      <formula>NOT(ISERROR(SEARCH("VSTRONG",AE4)))</formula>
    </cfRule>
  </conditionalFormatting>
  <conditionalFormatting sqref="AE4:AF4">
    <cfRule type="containsText" dxfId="2" priority="23" operator="between" text="AVG">
      <formula>NOT(ISERROR(SEARCH("AVG",AE4)))</formula>
    </cfRule>
  </conditionalFormatting>
  <conditionalFormatting sqref="AF4">
    <cfRule type="cellIs" dxfId="11" priority="18" operator="equal">
      <formula>"VWEAK"</formula>
    </cfRule>
    <cfRule type="containsText" dxfId="0" priority="17" operator="between" text="VSTRONG">
      <formula>NOT(ISERROR(SEARCH("VSTRONG",AF4)))</formula>
    </cfRule>
  </conditionalFormatting>
  <conditionalFormatting sqref="AG4">
    <cfRule type="containsText" dxfId="12" priority="21" operator="between" text="FEMALE DOM">
      <formula>NOT(ISERROR(SEARCH("FEMALE DOM",AG4)))</formula>
    </cfRule>
    <cfRule type="containsText" dxfId="10" priority="16" operator="between" text="MEN">
      <formula>NOT(ISERROR(SEARCH("MEN",AG4)))</formula>
    </cfRule>
  </conditionalFormatting>
  <conditionalFormatting sqref="AH4">
    <cfRule type="containsText" dxfId="0" priority="27" operator="between" text="O">
      <formula>NOT(ISERROR(SEARCH("O",AH4)))</formula>
    </cfRule>
    <cfRule type="containsText" dxfId="3" priority="25" operator="between" text="H">
      <formula>NOT(ISERROR(SEARCH("H",AH4)))</formula>
    </cfRule>
    <cfRule type="containsText" dxfId="13" priority="26" operator="between" text="H">
      <formula>NOT(ISERROR(SEARCH("H",AH4)))</formula>
    </cfRule>
    <cfRule type="containsText" dxfId="1" priority="19" operator="between" text="H">
      <formula>NOT(ISERROR(SEARCH("H",AH4)))</formula>
    </cfRule>
  </conditionalFormatting>
  <conditionalFormatting sqref="AD5">
    <cfRule type="containsText" dxfId="8" priority="15" operator="between" text="AVG">
      <formula>NOT(ISERROR(SEARCH("AVG",AD5)))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NOT(ISERROR(SEARCH("VSTRONG",AD5)))</formula>
    </cfRule>
    <cfRule type="containsText" dxfId="10" priority="5" operator="between" text="AVG">
      <formula>NOT(ISERROR(SEARCH("AVG",AD5)))</formula>
    </cfRule>
  </conditionalFormatting>
  <conditionalFormatting sqref="AE5">
    <cfRule type="containsText" dxfId="3" priority="9" operator="between" text="STRONG">
      <formula>NOT(ISERROR(SEARCH("STRONG",AE5)))</formula>
    </cfRule>
    <cfRule type="containsText" dxfId="1" priority="7" operator="between" text="VSTRONG">
      <formula>NOT(ISERROR(SEARCH("VSTRONG",AE5)))</formula>
    </cfRule>
  </conditionalFormatting>
  <conditionalFormatting sqref="AE5:AF5">
    <cfRule type="containsText" dxfId="2" priority="8" operator="between" text="AVG">
      <formula>NOT(ISERROR(SEARCH("AVG",AE5)))</formula>
    </cfRule>
  </conditionalFormatting>
  <conditionalFormatting sqref="AF5">
    <cfRule type="cellIs" dxfId="11" priority="3" operator="equal">
      <formula>"VWEAK"</formula>
    </cfRule>
    <cfRule type="containsText" dxfId="0" priority="2" operator="between" text="VSTRONG">
      <formula>NOT(ISERROR(SEARCH("VSTRONG",AF5)))</formula>
    </cfRule>
  </conditionalFormatting>
  <conditionalFormatting sqref="AG5">
    <cfRule type="containsText" dxfId="12" priority="6" operator="between" text="FEMALE DOM">
      <formula>NOT(ISERROR(SEARCH("FEMALE DOM",AG5)))</formula>
    </cfRule>
    <cfRule type="containsText" dxfId="10" priority="1" operator="between" text="MEN">
      <formula>NOT(ISERROR(SEARCH("MEN",AG5)))</formula>
    </cfRule>
  </conditionalFormatting>
  <conditionalFormatting sqref="AH5">
    <cfRule type="containsText" dxfId="0" priority="12" operator="between" text="O">
      <formula>NOT(ISERROR(SEARCH("O",AH5)))</formula>
    </cfRule>
    <cfRule type="containsText" dxfId="3" priority="10" operator="between" text="H">
      <formula>NOT(ISERROR(SEARCH("H",AH5)))</formula>
    </cfRule>
    <cfRule type="containsText" dxfId="13" priority="11" operator="between" text="H">
      <formula>NOT(ISERROR(SEARCH("H",AH5)))</formula>
    </cfRule>
    <cfRule type="containsText" dxfId="1" priority="4" operator="between" text="H">
      <formula>NOT(ISERROR(SEARCH("H",AH5)))</formula>
    </cfRule>
  </conditionalFormatting>
  <conditionalFormatting sqref="AD2:AD3">
    <cfRule type="containsText" dxfId="8" priority="45" operator="between" text="AVG">
      <formula>NOT(ISERROR(SEARCH("AVG",AD2)))</formula>
    </cfRule>
    <cfRule type="cellIs" dxfId="9" priority="44" operator="equal">
      <formula>"STRONG"</formula>
    </cfRule>
    <cfRule type="containsText" dxfId="3" priority="43" operator="between" text="VSTRONG">
      <formula>NOT(ISERROR(SEARCH("VSTRONG",AD2)))</formula>
    </cfRule>
    <cfRule type="containsText" dxfId="10" priority="35" operator="between" text="AVG">
      <formula>NOT(ISERROR(SEARCH("AVG",AD2)))</formula>
    </cfRule>
  </conditionalFormatting>
  <conditionalFormatting sqref="AE2:AE3">
    <cfRule type="containsText" dxfId="3" priority="39" operator="between" text="STRONG">
      <formula>NOT(ISERROR(SEARCH("STRONG",AE2)))</formula>
    </cfRule>
    <cfRule type="containsText" dxfId="1" priority="37" operator="between" text="VSTRONG">
      <formula>NOT(ISERROR(SEARCH("VSTRONG",AE2)))</formula>
    </cfRule>
  </conditionalFormatting>
  <conditionalFormatting sqref="AF2:AF3">
    <cfRule type="cellIs" dxfId="11" priority="33" operator="equal">
      <formula>"VWEAK"</formula>
    </cfRule>
    <cfRule type="containsText" dxfId="0" priority="32" operator="between" text="VSTRONG">
      <formula>NOT(ISERROR(SEARCH("VSTRONG",AF2)))</formula>
    </cfRule>
  </conditionalFormatting>
  <conditionalFormatting sqref="AG2:AG3">
    <cfRule type="containsText" dxfId="12" priority="36" operator="between" text="FEMALE DOM">
      <formula>NOT(ISERROR(SEARCH("FEMALE DOM",AG2)))</formula>
    </cfRule>
    <cfRule type="containsText" dxfId="10" priority="31" operator="between" text="MEN">
      <formula>NOT(ISERROR(SEARCH("MEN",AG2)))</formula>
    </cfRule>
  </conditionalFormatting>
  <conditionalFormatting sqref="AH2:AH3">
    <cfRule type="containsText" dxfId="0" priority="42" operator="between" text="O">
      <formula>NOT(ISERROR(SEARCH("O",AH2)))</formula>
    </cfRule>
    <cfRule type="containsText" dxfId="3" priority="40" operator="between" text="H">
      <formula>NOT(ISERROR(SEARCH("H",AH2)))</formula>
    </cfRule>
    <cfRule type="containsText" dxfId="13" priority="41" operator="between" text="H">
      <formula>NOT(ISERROR(SEARCH("H",AH2)))</formula>
    </cfRule>
    <cfRule type="containsText" dxfId="1" priority="34" operator="between" text="H">
      <formula>NOT(ISERROR(SEARCH("H",AH2)))</formula>
    </cfRule>
  </conditionalFormatting>
  <conditionalFormatting sqref="AE2:AF3">
    <cfRule type="containsText" dxfId="2" priority="38" operator="between" text="AVG">
      <formula>NOT(ISERROR(SEARCH("AVG",AE2)))</formula>
    </cfRule>
  </conditionalFormatting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5"/>
  <sheetViews>
    <sheetView topLeftCell="S16" workbookViewId="0">
      <selection activeCell="X27" sqref="X27:AA28"/>
    </sheetView>
  </sheetViews>
  <sheetFormatPr defaultColWidth="9" defaultRowHeight="14.5"/>
  <sheetData>
    <row r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219" t="s">
        <v>57</v>
      </c>
      <c r="B7" s="219">
        <v>46</v>
      </c>
      <c r="C7" s="219">
        <v>1002</v>
      </c>
      <c r="D7" s="219">
        <v>239</v>
      </c>
      <c r="E7" s="219">
        <v>413</v>
      </c>
      <c r="F7" s="219">
        <v>1</v>
      </c>
      <c r="G7" s="219">
        <v>2</v>
      </c>
      <c r="H7" s="219">
        <v>1</v>
      </c>
      <c r="I7" s="219">
        <v>0</v>
      </c>
      <c r="J7" s="219">
        <v>1</v>
      </c>
      <c r="K7" s="219">
        <v>0</v>
      </c>
      <c r="L7" s="219">
        <v>657</v>
      </c>
      <c r="M7" s="219">
        <v>0</v>
      </c>
      <c r="N7" s="219">
        <v>3</v>
      </c>
      <c r="O7" s="219">
        <f t="shared" ref="O7:O13" si="0">D7+E7+F7+G7+H7+I7+J7+K7+N7</f>
        <v>660</v>
      </c>
      <c r="P7" s="219">
        <f t="shared" ref="P7:P13" si="1">(O7/C7)*100</f>
        <v>65.8682634730539</v>
      </c>
      <c r="Q7" s="219">
        <f t="shared" ref="Q7:Q13" si="2">(E7/O7)*100</f>
        <v>62.5757575757576</v>
      </c>
      <c r="R7" s="219">
        <f t="shared" ref="R7:R13" si="3">(D7/O7)*100</f>
        <v>36.2121212121212</v>
      </c>
      <c r="S7" s="219">
        <f t="shared" ref="S7:S13" si="4">(F7/O7)*100</f>
        <v>0.151515151515152</v>
      </c>
      <c r="T7" s="219">
        <f t="shared" ref="T7:T13" si="5">(G7/O7)*100</f>
        <v>0.303030303030303</v>
      </c>
      <c r="U7" s="219">
        <f t="shared" ref="U7:U13" si="6">((H7+I7+J7+K7)/O7)*100</f>
        <v>0.303030303030303</v>
      </c>
      <c r="V7" s="219">
        <f t="shared" ref="V7:V13" si="7">(N7/O7)*100</f>
        <v>0.454545454545455</v>
      </c>
      <c r="W7" s="219">
        <f>Q7-R7</f>
        <v>26.3636363636364</v>
      </c>
      <c r="X7" s="219">
        <f>Q7-(R7+S7+T7+U7)</f>
        <v>25.6060606060606</v>
      </c>
      <c r="Y7" s="219" t="str">
        <f>IF(AND(W7&lt;0,W7&lt;=1),"LOST",IF(AND(W7&gt;1,W7&lt;=10),"NARROW",IF(AND(W7&gt;10,W7&lt;=40),"MEDIUM",IF(AND(W7&gt;40,W7&lt;=90),"STRONG",""))))</f>
        <v>MEDIUM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999</v>
      </c>
      <c r="AC7">
        <v>607</v>
      </c>
      <c r="AD7">
        <v>499</v>
      </c>
      <c r="AE7">
        <v>296</v>
      </c>
      <c r="AF7">
        <v>500</v>
      </c>
      <c r="AG7">
        <v>311</v>
      </c>
      <c r="AH7">
        <v>634</v>
      </c>
      <c r="AI7">
        <v>419</v>
      </c>
      <c r="AJ7">
        <v>11</v>
      </c>
      <c r="AK7">
        <v>9</v>
      </c>
      <c r="AL7">
        <v>354</v>
      </c>
      <c r="AM7">
        <v>179</v>
      </c>
      <c r="AN7" s="248">
        <f>(AD7/AB7)*100</f>
        <v>49.94994994995</v>
      </c>
      <c r="AO7" s="316">
        <f>(AE7/AC7)*100</f>
        <v>48.7644151565074</v>
      </c>
      <c r="AP7" s="317">
        <f>(AF7/AB7)*100</f>
        <v>50.0500500500501</v>
      </c>
      <c r="AQ7" s="318">
        <f>(AG7/AC7)*100</f>
        <v>51.2355848434926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63.4634634634635</v>
      </c>
      <c r="AU7" s="317">
        <f>(AI7/AC7)*100</f>
        <v>69.0280065897858</v>
      </c>
      <c r="AV7" s="248">
        <f>(AJ7/AB7)*100</f>
        <v>1.1011011011011</v>
      </c>
      <c r="AW7" s="317">
        <f>(AK7/AC7)*100</f>
        <v>1.4827018121911</v>
      </c>
      <c r="AX7" s="248">
        <f>(AL7/AB7)*100</f>
        <v>35.4354354354354</v>
      </c>
      <c r="AY7" s="317">
        <f>(AM7/AC7)*100</f>
        <v>29.4892915980231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2:53">
      <c r="B8" s="215">
        <v>47</v>
      </c>
      <c r="C8" s="215">
        <v>754</v>
      </c>
      <c r="D8" s="215">
        <v>266</v>
      </c>
      <c r="E8" s="215">
        <v>155</v>
      </c>
      <c r="F8" s="215">
        <v>1</v>
      </c>
      <c r="G8" s="215">
        <v>3</v>
      </c>
      <c r="H8" s="215">
        <v>0</v>
      </c>
      <c r="I8" s="215">
        <v>0</v>
      </c>
      <c r="J8" s="215">
        <v>0</v>
      </c>
      <c r="K8" s="215">
        <v>0</v>
      </c>
      <c r="L8" s="215">
        <v>425</v>
      </c>
      <c r="M8" s="215">
        <v>0</v>
      </c>
      <c r="N8" s="215">
        <v>0</v>
      </c>
      <c r="O8" s="215">
        <f t="shared" si="0"/>
        <v>425</v>
      </c>
      <c r="P8" s="215">
        <f t="shared" si="1"/>
        <v>56.3660477453581</v>
      </c>
      <c r="Q8" s="215">
        <f t="shared" si="2"/>
        <v>36.4705882352941</v>
      </c>
      <c r="R8" s="215">
        <f t="shared" si="3"/>
        <v>62.5882352941176</v>
      </c>
      <c r="S8" s="215">
        <f t="shared" si="4"/>
        <v>0.235294117647059</v>
      </c>
      <c r="T8" s="215">
        <f t="shared" si="5"/>
        <v>0.705882352941177</v>
      </c>
      <c r="U8" s="215">
        <f t="shared" si="6"/>
        <v>0</v>
      </c>
      <c r="V8" s="215">
        <f t="shared" si="7"/>
        <v>0</v>
      </c>
      <c r="W8" s="215">
        <f t="shared" ref="W8:W13" si="8">Q8-R8</f>
        <v>-26.1176470588235</v>
      </c>
      <c r="X8" s="215">
        <f t="shared" ref="X8:X13" si="9">Q8-(R8+S8+T8+U8)</f>
        <v>-27.0588235294118</v>
      </c>
      <c r="Y8" s="215" t="str">
        <f>IF(AND(W8&lt;0,W8&lt;=1),"LOST",IF(AND(W8&gt;1,W8&lt;=10),"NARROW",IF(AND(W8&gt;10,W8&lt;=40),"MEDIUM",IF(AND(W8&gt;40,W8&lt;=90),"STRONG",""))))</f>
        <v>LOST</v>
      </c>
      <c r="Z8" s="291" t="str">
        <f t="shared" ref="Z8:Z14" si="10">IF(AND(P8&lt;0,P8&lt;=10),"WEAK",IF(AND(P8&gt;10,P8&lt;20),"BELOW AVG",IF(AND(P8&gt;20,P8&lt;=60),"MEDIUM",IF(AND(P8&gt;60,P8&lt;=90),"STRONG",""))))</f>
        <v>MEDIUM</v>
      </c>
      <c r="AA8" s="286" t="str">
        <f t="shared" ref="AA8:AA14" si="11">IF(Q8&gt;R8,"BJP","CONGRESS")</f>
        <v>CONGRESS</v>
      </c>
      <c r="AB8">
        <v>752</v>
      </c>
      <c r="AC8">
        <v>412</v>
      </c>
      <c r="AD8">
        <v>366</v>
      </c>
      <c r="AE8">
        <v>193</v>
      </c>
      <c r="AF8">
        <v>386</v>
      </c>
      <c r="AG8">
        <v>219</v>
      </c>
      <c r="AH8">
        <v>290</v>
      </c>
      <c r="AI8">
        <v>170</v>
      </c>
      <c r="AJ8">
        <v>0</v>
      </c>
      <c r="AK8">
        <v>0</v>
      </c>
      <c r="AL8">
        <v>462</v>
      </c>
      <c r="AM8">
        <v>242</v>
      </c>
      <c r="AN8" s="248">
        <f t="shared" ref="AN8:AO10" si="12">(AD8/AB8)*100</f>
        <v>48.6702127659575</v>
      </c>
      <c r="AO8" s="316">
        <f t="shared" si="12"/>
        <v>46.8446601941748</v>
      </c>
      <c r="AP8" s="317">
        <f t="shared" ref="AP8:AQ10" si="13">(AF8/AB8)*100</f>
        <v>51.3297872340426</v>
      </c>
      <c r="AQ8" s="318">
        <f t="shared" si="13"/>
        <v>53.1553398058252</v>
      </c>
      <c r="AR8" s="318" t="str">
        <f t="shared" ref="AR8:AR13" si="14">IF(AN8&gt;AP8,"MALE DOM","FEMALE DOM")</f>
        <v>FEMALE DOM</v>
      </c>
      <c r="AS8" s="319" t="str">
        <f t="shared" ref="AS8:AS13" si="15">IF(AO8&gt;AP8,"MALE","FEMALE")</f>
        <v>FEMALE</v>
      </c>
      <c r="AT8" s="317">
        <f t="shared" ref="AT8:AU10" si="16">(AH8/AB8)*100</f>
        <v>38.563829787234</v>
      </c>
      <c r="AU8" s="317">
        <f t="shared" si="16"/>
        <v>41.2621359223301</v>
      </c>
      <c r="AV8" s="248">
        <f t="shared" ref="AV8:AW10" si="17">(AJ8/AB8)*100</f>
        <v>0</v>
      </c>
      <c r="AW8" s="317">
        <f t="shared" si="17"/>
        <v>0</v>
      </c>
      <c r="AX8" s="248">
        <f t="shared" ref="AX8:AY10" si="18">(AL8/AB8)*100</f>
        <v>61.436170212766</v>
      </c>
      <c r="AY8" s="317">
        <f t="shared" si="18"/>
        <v>58.7378640776699</v>
      </c>
      <c r="AZ8" s="248" t="str">
        <f t="shared" ref="AZ8:AZ13" si="19">IF(AT8&gt;(AV8+AX8),"HINDU","MINORITY")</f>
        <v>MINORITY</v>
      </c>
      <c r="BA8" s="318" t="str">
        <f t="shared" ref="BA8:BA13" si="20">IF(AU8&gt;(AW8+AY8),"HIND","MINORITY")</f>
        <v>MINORITY</v>
      </c>
    </row>
    <row r="9" spans="2:53">
      <c r="B9" s="219">
        <v>48</v>
      </c>
      <c r="C9" s="219">
        <v>1236</v>
      </c>
      <c r="D9" s="219">
        <v>291</v>
      </c>
      <c r="E9" s="219">
        <v>545</v>
      </c>
      <c r="F9" s="219">
        <v>4</v>
      </c>
      <c r="G9" s="219">
        <v>6</v>
      </c>
      <c r="H9" s="219">
        <v>1</v>
      </c>
      <c r="I9" s="219">
        <v>1</v>
      </c>
      <c r="J9" s="219">
        <v>1</v>
      </c>
      <c r="K9" s="219">
        <v>1</v>
      </c>
      <c r="L9" s="219">
        <v>850</v>
      </c>
      <c r="M9" s="219">
        <v>0</v>
      </c>
      <c r="N9" s="219">
        <v>5</v>
      </c>
      <c r="O9" s="219">
        <f t="shared" si="0"/>
        <v>855</v>
      </c>
      <c r="P9" s="219">
        <f t="shared" si="1"/>
        <v>69.1747572815534</v>
      </c>
      <c r="Q9" s="219">
        <f t="shared" si="2"/>
        <v>63.7426900584795</v>
      </c>
      <c r="R9" s="219">
        <f t="shared" si="3"/>
        <v>34.0350877192982</v>
      </c>
      <c r="S9" s="219">
        <f t="shared" si="4"/>
        <v>0.467836257309942</v>
      </c>
      <c r="T9" s="219">
        <f t="shared" si="5"/>
        <v>0.701754385964912</v>
      </c>
      <c r="U9" s="219">
        <f t="shared" si="6"/>
        <v>0.467836257309942</v>
      </c>
      <c r="V9" s="219">
        <f t="shared" si="7"/>
        <v>0.584795321637427</v>
      </c>
      <c r="W9" s="219">
        <f t="shared" si="8"/>
        <v>29.7076023391813</v>
      </c>
      <c r="X9" s="219">
        <f t="shared" si="9"/>
        <v>28.0701754385965</v>
      </c>
      <c r="Y9" s="219" t="str">
        <f t="shared" ref="Y9:Y14" si="21">IF(AND(W9&lt;0,W9&lt;=1),"LOST",IF(AND(W9&gt;1,W9&lt;=10),"NARROW",IF(AND(W9&gt;10,W9&lt;=40),"MEDIUM",IF(AND(W9&gt;40,W9&lt;=90),"STRONG",""))))</f>
        <v>MEDIUM</v>
      </c>
      <c r="Z9" s="283" t="str">
        <f t="shared" si="10"/>
        <v>STRONG</v>
      </c>
      <c r="AA9" s="289" t="str">
        <f t="shared" si="11"/>
        <v>BJP</v>
      </c>
      <c r="AB9">
        <v>1234</v>
      </c>
      <c r="AD9">
        <v>572</v>
      </c>
      <c r="AF9">
        <v>662</v>
      </c>
      <c r="AH9">
        <v>922</v>
      </c>
      <c r="AJ9">
        <v>30</v>
      </c>
      <c r="AL9">
        <v>282</v>
      </c>
      <c r="AN9" s="248">
        <f t="shared" si="12"/>
        <v>46.353322528363</v>
      </c>
      <c r="AO9" s="316" t="e">
        <f t="shared" si="12"/>
        <v>#DIV/0!</v>
      </c>
      <c r="AP9" s="317">
        <f t="shared" si="13"/>
        <v>53.6466774716369</v>
      </c>
      <c r="AQ9" s="318" t="e">
        <f t="shared" si="13"/>
        <v>#DIV/0!</v>
      </c>
      <c r="AR9" s="318" t="str">
        <f t="shared" si="14"/>
        <v>FEMALE DOM</v>
      </c>
      <c r="AS9" s="319" t="e">
        <f t="shared" si="15"/>
        <v>#DIV/0!</v>
      </c>
      <c r="AT9" s="317">
        <f t="shared" si="16"/>
        <v>74.7163695299838</v>
      </c>
      <c r="AU9" s="317" t="e">
        <f t="shared" si="16"/>
        <v>#DIV/0!</v>
      </c>
      <c r="AV9" s="248">
        <f t="shared" si="17"/>
        <v>2.43111831442464</v>
      </c>
      <c r="AW9" s="317" t="e">
        <f t="shared" si="17"/>
        <v>#DIV/0!</v>
      </c>
      <c r="AX9" s="248">
        <f t="shared" si="18"/>
        <v>22.8525121555916</v>
      </c>
      <c r="AY9" s="317" t="e">
        <f t="shared" si="18"/>
        <v>#DIV/0!</v>
      </c>
      <c r="AZ9" s="248" t="str">
        <f t="shared" si="19"/>
        <v>HINDU</v>
      </c>
      <c r="BA9" s="318" t="e">
        <f t="shared" si="20"/>
        <v>#DIV/0!</v>
      </c>
    </row>
    <row r="10" spans="2:53">
      <c r="B10" s="219">
        <v>50</v>
      </c>
      <c r="C10" s="219">
        <v>1135</v>
      </c>
      <c r="D10" s="219">
        <v>311</v>
      </c>
      <c r="E10" s="219">
        <v>506</v>
      </c>
      <c r="F10" s="219">
        <v>2</v>
      </c>
      <c r="G10" s="219">
        <v>2</v>
      </c>
      <c r="H10" s="219">
        <v>0</v>
      </c>
      <c r="I10" s="219">
        <v>0</v>
      </c>
      <c r="J10" s="219">
        <v>2</v>
      </c>
      <c r="K10" s="219">
        <v>1</v>
      </c>
      <c r="L10" s="219">
        <v>824</v>
      </c>
      <c r="M10" s="219">
        <v>0</v>
      </c>
      <c r="N10" s="219">
        <v>9</v>
      </c>
      <c r="O10" s="219">
        <f t="shared" si="0"/>
        <v>833</v>
      </c>
      <c r="P10" s="219">
        <f t="shared" si="1"/>
        <v>73.3920704845815</v>
      </c>
      <c r="Q10" s="219">
        <f t="shared" si="2"/>
        <v>60.7442977190876</v>
      </c>
      <c r="R10" s="219">
        <f t="shared" si="3"/>
        <v>37.3349339735894</v>
      </c>
      <c r="S10" s="219">
        <f t="shared" si="4"/>
        <v>0.240096038415366</v>
      </c>
      <c r="T10" s="219">
        <f t="shared" si="5"/>
        <v>0.240096038415366</v>
      </c>
      <c r="U10" s="219">
        <f t="shared" si="6"/>
        <v>0.360144057623049</v>
      </c>
      <c r="V10" s="219">
        <f t="shared" si="7"/>
        <v>1.08043217286915</v>
      </c>
      <c r="W10" s="219">
        <f t="shared" si="8"/>
        <v>23.4093637454982</v>
      </c>
      <c r="X10" s="219">
        <f t="shared" si="9"/>
        <v>22.5690276110444</v>
      </c>
      <c r="Y10" s="219" t="str">
        <f t="shared" si="21"/>
        <v>MEDIUM</v>
      </c>
      <c r="Z10" s="285" t="str">
        <f t="shared" si="10"/>
        <v>STRONG</v>
      </c>
      <c r="AA10" s="289" t="str">
        <f t="shared" si="11"/>
        <v>BJP</v>
      </c>
      <c r="AB10">
        <v>1131</v>
      </c>
      <c r="AD10">
        <v>471</v>
      </c>
      <c r="AF10">
        <v>660</v>
      </c>
      <c r="AH10">
        <v>722</v>
      </c>
      <c r="AJ10">
        <v>2</v>
      </c>
      <c r="AL10">
        <v>407</v>
      </c>
      <c r="AN10" s="248">
        <f t="shared" si="12"/>
        <v>41.6445623342175</v>
      </c>
      <c r="AO10" s="316" t="e">
        <f t="shared" si="12"/>
        <v>#DIV/0!</v>
      </c>
      <c r="AP10" s="317">
        <f t="shared" si="13"/>
        <v>58.3554376657825</v>
      </c>
      <c r="AQ10" s="318" t="e">
        <f t="shared" si="13"/>
        <v>#DIV/0!</v>
      </c>
      <c r="AR10" s="318" t="str">
        <f t="shared" si="14"/>
        <v>FEMALE DOM</v>
      </c>
      <c r="AS10" s="319" t="e">
        <f t="shared" si="15"/>
        <v>#DIV/0!</v>
      </c>
      <c r="AT10" s="317">
        <f t="shared" si="16"/>
        <v>63.8373121131742</v>
      </c>
      <c r="AU10" s="317" t="e">
        <f t="shared" si="16"/>
        <v>#DIV/0!</v>
      </c>
      <c r="AV10" s="248">
        <f t="shared" si="17"/>
        <v>0.17683465959328</v>
      </c>
      <c r="AW10" s="317" t="e">
        <f t="shared" si="17"/>
        <v>#DIV/0!</v>
      </c>
      <c r="AX10" s="248">
        <f t="shared" si="18"/>
        <v>35.9858532272325</v>
      </c>
      <c r="AY10" s="317" t="e">
        <f t="shared" si="18"/>
        <v>#DIV/0!</v>
      </c>
      <c r="AZ10" s="248" t="str">
        <f t="shared" si="19"/>
        <v>HINDU</v>
      </c>
      <c r="BA10" s="318" t="e">
        <f t="shared" si="20"/>
        <v>#DIV/0!</v>
      </c>
    </row>
    <row r="11" spans="2:53">
      <c r="B11" s="219">
        <v>52</v>
      </c>
      <c r="C11" s="219">
        <v>613</v>
      </c>
      <c r="D11" s="219">
        <v>122</v>
      </c>
      <c r="E11" s="219">
        <v>234</v>
      </c>
      <c r="F11" s="219">
        <v>1</v>
      </c>
      <c r="G11" s="219">
        <v>1</v>
      </c>
      <c r="H11" s="219">
        <v>0</v>
      </c>
      <c r="I11" s="219">
        <v>0</v>
      </c>
      <c r="J11" s="219">
        <v>0</v>
      </c>
      <c r="K11" s="219">
        <v>0</v>
      </c>
      <c r="L11" s="219">
        <v>358</v>
      </c>
      <c r="M11" s="219">
        <v>0</v>
      </c>
      <c r="N11" s="219">
        <v>1</v>
      </c>
      <c r="O11" s="219">
        <f t="shared" si="0"/>
        <v>359</v>
      </c>
      <c r="P11" s="219">
        <f t="shared" si="1"/>
        <v>58.5644371941272</v>
      </c>
      <c r="Q11" s="219">
        <f t="shared" si="2"/>
        <v>65.1810584958217</v>
      </c>
      <c r="R11" s="219">
        <f t="shared" si="3"/>
        <v>33.983286908078</v>
      </c>
      <c r="S11" s="219">
        <f t="shared" si="4"/>
        <v>0.278551532033426</v>
      </c>
      <c r="T11" s="219">
        <f t="shared" si="5"/>
        <v>0.278551532033426</v>
      </c>
      <c r="U11" s="219">
        <f t="shared" si="6"/>
        <v>0</v>
      </c>
      <c r="V11" s="219">
        <f t="shared" si="7"/>
        <v>0.278551532033426</v>
      </c>
      <c r="W11" s="219">
        <f t="shared" si="8"/>
        <v>31.1977715877437</v>
      </c>
      <c r="X11" s="219">
        <f t="shared" si="9"/>
        <v>30.6406685236769</v>
      </c>
      <c r="Y11" s="219" t="str">
        <f t="shared" si="21"/>
        <v>MEDIUM</v>
      </c>
      <c r="Z11" s="342" t="str">
        <f t="shared" si="10"/>
        <v>MEDIUM</v>
      </c>
      <c r="AA11" s="289" t="str">
        <f t="shared" si="11"/>
        <v>BJP</v>
      </c>
      <c r="AB11">
        <v>613</v>
      </c>
      <c r="AC11">
        <v>359</v>
      </c>
      <c r="AD11">
        <v>292</v>
      </c>
      <c r="AE11">
        <v>165</v>
      </c>
      <c r="AF11">
        <v>321</v>
      </c>
      <c r="AG11">
        <v>194</v>
      </c>
      <c r="AH11">
        <v>464</v>
      </c>
      <c r="AI11">
        <v>284</v>
      </c>
      <c r="AJ11">
        <v>4</v>
      </c>
      <c r="AK11">
        <v>2</v>
      </c>
      <c r="AL11">
        <v>145</v>
      </c>
      <c r="AM11">
        <v>73</v>
      </c>
      <c r="AN11" s="248">
        <f t="shared" ref="AN11:AO13" si="22">(AD11/AB11)*100</f>
        <v>47.6345840130506</v>
      </c>
      <c r="AO11" s="316">
        <f t="shared" si="22"/>
        <v>45.9610027855153</v>
      </c>
      <c r="AP11" s="317">
        <f t="shared" ref="AP11:AQ13" si="23">(AF11/AB11)*100</f>
        <v>52.3654159869494</v>
      </c>
      <c r="AQ11" s="318">
        <f t="shared" si="23"/>
        <v>54.0389972144847</v>
      </c>
      <c r="AR11" s="318" t="str">
        <f t="shared" si="14"/>
        <v>FEMALE DOM</v>
      </c>
      <c r="AS11" s="319" t="str">
        <f t="shared" si="15"/>
        <v>FEMALE</v>
      </c>
      <c r="AT11" s="317">
        <f t="shared" ref="AT11:AU13" si="24">(AH11/AB11)*100</f>
        <v>75.6933115823817</v>
      </c>
      <c r="AU11" s="317">
        <f t="shared" si="24"/>
        <v>79.108635097493</v>
      </c>
      <c r="AV11" s="248">
        <f t="shared" ref="AV11:AW13" si="25">(AJ11/AB11)*100</f>
        <v>0.65252854812398</v>
      </c>
      <c r="AW11" s="317">
        <f t="shared" si="25"/>
        <v>0.557103064066852</v>
      </c>
      <c r="AX11" s="248">
        <f t="shared" ref="AX11:AY13" si="26">(AL11/AB11)*100</f>
        <v>23.6541598694943</v>
      </c>
      <c r="AY11" s="317">
        <f t="shared" si="26"/>
        <v>20.3342618384401</v>
      </c>
      <c r="AZ11" s="248" t="str">
        <f t="shared" si="19"/>
        <v>HINDU</v>
      </c>
      <c r="BA11" s="318" t="str">
        <f t="shared" si="20"/>
        <v>HIND</v>
      </c>
    </row>
    <row r="12" spans="2:53">
      <c r="B12" s="337">
        <v>49</v>
      </c>
      <c r="C12" s="337">
        <v>1322</v>
      </c>
      <c r="D12" s="337">
        <v>260</v>
      </c>
      <c r="E12" s="337">
        <v>658</v>
      </c>
      <c r="F12" s="337">
        <v>3</v>
      </c>
      <c r="G12" s="337">
        <v>1</v>
      </c>
      <c r="H12" s="337">
        <v>1</v>
      </c>
      <c r="I12" s="337">
        <v>1</v>
      </c>
      <c r="J12" s="337">
        <v>1</v>
      </c>
      <c r="K12" s="337">
        <v>0</v>
      </c>
      <c r="L12" s="337">
        <v>925</v>
      </c>
      <c r="M12" s="337">
        <v>0</v>
      </c>
      <c r="N12" s="337">
        <v>4</v>
      </c>
      <c r="O12" s="337">
        <f t="shared" si="0"/>
        <v>929</v>
      </c>
      <c r="P12" s="337">
        <f t="shared" si="1"/>
        <v>70.2723146747352</v>
      </c>
      <c r="Q12" s="337">
        <f t="shared" si="2"/>
        <v>70.8288482238967</v>
      </c>
      <c r="R12" s="337">
        <f t="shared" si="3"/>
        <v>27.9870828848224</v>
      </c>
      <c r="S12" s="337">
        <f t="shared" si="4"/>
        <v>0.322927879440258</v>
      </c>
      <c r="T12" s="337">
        <f t="shared" si="5"/>
        <v>0.107642626480086</v>
      </c>
      <c r="U12" s="337">
        <f t="shared" si="6"/>
        <v>0.322927879440258</v>
      </c>
      <c r="V12" s="337">
        <f t="shared" si="7"/>
        <v>0.430570505920344</v>
      </c>
      <c r="W12" s="337">
        <f t="shared" si="8"/>
        <v>42.8417653390743</v>
      </c>
      <c r="X12" s="337">
        <f t="shared" si="9"/>
        <v>42.0882669537137</v>
      </c>
      <c r="Y12" s="337" t="str">
        <f t="shared" si="21"/>
        <v>STRONG</v>
      </c>
      <c r="Z12" s="341" t="str">
        <f t="shared" si="10"/>
        <v>STRONG</v>
      </c>
      <c r="AA12" s="289" t="str">
        <f t="shared" si="11"/>
        <v>BJP</v>
      </c>
      <c r="AB12">
        <v>1319</v>
      </c>
      <c r="AD12">
        <v>629</v>
      </c>
      <c r="AF12">
        <v>690</v>
      </c>
      <c r="AH12">
        <v>1004</v>
      </c>
      <c r="AJ12">
        <v>4</v>
      </c>
      <c r="AL12">
        <v>311</v>
      </c>
      <c r="AN12" s="248">
        <f t="shared" si="22"/>
        <v>47.6876421531463</v>
      </c>
      <c r="AO12" s="316" t="e">
        <f t="shared" si="22"/>
        <v>#DIV/0!</v>
      </c>
      <c r="AP12" s="317">
        <f t="shared" si="23"/>
        <v>52.3123578468537</v>
      </c>
      <c r="AQ12" s="318" t="e">
        <f t="shared" si="23"/>
        <v>#DIV/0!</v>
      </c>
      <c r="AR12" s="318" t="str">
        <f t="shared" si="14"/>
        <v>FEMALE DOM</v>
      </c>
      <c r="AS12" s="319" t="e">
        <f t="shared" si="15"/>
        <v>#DIV/0!</v>
      </c>
      <c r="AT12" s="317">
        <f t="shared" si="24"/>
        <v>76.1182714177407</v>
      </c>
      <c r="AU12" s="317" t="e">
        <f t="shared" si="24"/>
        <v>#DIV/0!</v>
      </c>
      <c r="AV12" s="248">
        <f t="shared" si="25"/>
        <v>0.303260045489007</v>
      </c>
      <c r="AW12" s="317" t="e">
        <f t="shared" si="25"/>
        <v>#DIV/0!</v>
      </c>
      <c r="AX12" s="248">
        <f t="shared" si="26"/>
        <v>23.5784685367703</v>
      </c>
      <c r="AY12" s="317" t="e">
        <f t="shared" si="26"/>
        <v>#DIV/0!</v>
      </c>
      <c r="AZ12" s="248" t="str">
        <f t="shared" si="19"/>
        <v>HINDU</v>
      </c>
      <c r="BA12" s="318" t="e">
        <f t="shared" si="20"/>
        <v>#DIV/0!</v>
      </c>
    </row>
    <row r="13" spans="2:53">
      <c r="B13" s="337">
        <v>51</v>
      </c>
      <c r="C13" s="337">
        <v>785</v>
      </c>
      <c r="D13" s="337">
        <v>108</v>
      </c>
      <c r="E13" s="337">
        <v>353</v>
      </c>
      <c r="F13" s="337">
        <v>3</v>
      </c>
      <c r="G13" s="337">
        <v>2</v>
      </c>
      <c r="H13" s="337">
        <v>0</v>
      </c>
      <c r="I13" s="337">
        <v>1</v>
      </c>
      <c r="J13" s="337">
        <v>0</v>
      </c>
      <c r="K13" s="337">
        <v>0</v>
      </c>
      <c r="L13" s="337">
        <v>467</v>
      </c>
      <c r="M13" s="337">
        <v>0</v>
      </c>
      <c r="N13" s="337">
        <v>6</v>
      </c>
      <c r="O13" s="337">
        <f t="shared" si="0"/>
        <v>473</v>
      </c>
      <c r="P13" s="337">
        <f t="shared" si="1"/>
        <v>60.2547770700637</v>
      </c>
      <c r="Q13" s="337">
        <f t="shared" si="2"/>
        <v>74.6300211416491</v>
      </c>
      <c r="R13" s="337">
        <f t="shared" si="3"/>
        <v>22.8329809725159</v>
      </c>
      <c r="S13" s="337">
        <f t="shared" si="4"/>
        <v>0.634249471458774</v>
      </c>
      <c r="T13" s="337">
        <f t="shared" si="5"/>
        <v>0.422832980972516</v>
      </c>
      <c r="U13" s="337">
        <f t="shared" si="6"/>
        <v>0.211416490486258</v>
      </c>
      <c r="V13" s="337">
        <f t="shared" si="7"/>
        <v>1.26849894291755</v>
      </c>
      <c r="W13" s="337">
        <f t="shared" si="8"/>
        <v>51.7970401691332</v>
      </c>
      <c r="X13" s="337">
        <f t="shared" si="9"/>
        <v>50.5285412262157</v>
      </c>
      <c r="Y13" s="337" t="str">
        <f t="shared" si="21"/>
        <v>STRONG</v>
      </c>
      <c r="Z13" s="341" t="str">
        <f t="shared" si="10"/>
        <v>STRONG</v>
      </c>
      <c r="AA13" s="289" t="str">
        <f t="shared" si="11"/>
        <v>BJP</v>
      </c>
      <c r="AB13" s="334">
        <v>780</v>
      </c>
      <c r="AC13" s="334">
        <v>470</v>
      </c>
      <c r="AD13" s="334">
        <v>386</v>
      </c>
      <c r="AE13" s="334">
        <v>231</v>
      </c>
      <c r="AF13" s="334">
        <v>394</v>
      </c>
      <c r="AG13" s="334">
        <v>239</v>
      </c>
      <c r="AH13" s="334">
        <v>661</v>
      </c>
      <c r="AI13" s="334">
        <v>405</v>
      </c>
      <c r="AJ13" s="334">
        <v>1</v>
      </c>
      <c r="AK13" s="334">
        <v>0</v>
      </c>
      <c r="AL13" s="334">
        <v>118</v>
      </c>
      <c r="AM13" s="334">
        <v>65</v>
      </c>
      <c r="AN13" s="248">
        <f t="shared" si="22"/>
        <v>49.4871794871795</v>
      </c>
      <c r="AO13" s="316">
        <f t="shared" si="22"/>
        <v>49.1489361702128</v>
      </c>
      <c r="AP13" s="317">
        <f t="shared" si="23"/>
        <v>50.5128205128205</v>
      </c>
      <c r="AQ13" s="318">
        <f t="shared" si="23"/>
        <v>50.8510638297872</v>
      </c>
      <c r="AR13" s="318" t="str">
        <f t="shared" si="14"/>
        <v>FEMALE DOM</v>
      </c>
      <c r="AS13" s="319" t="str">
        <f t="shared" si="15"/>
        <v>FEMALE</v>
      </c>
      <c r="AT13" s="317">
        <f t="shared" si="24"/>
        <v>84.7435897435897</v>
      </c>
      <c r="AU13" s="317">
        <f t="shared" si="24"/>
        <v>86.1702127659574</v>
      </c>
      <c r="AV13" s="248">
        <f t="shared" si="25"/>
        <v>0.128205128205128</v>
      </c>
      <c r="AW13" s="317">
        <f t="shared" si="25"/>
        <v>0</v>
      </c>
      <c r="AX13" s="248">
        <f t="shared" si="26"/>
        <v>15.1282051282051</v>
      </c>
      <c r="AY13" s="317">
        <f t="shared" si="26"/>
        <v>13.8297872340426</v>
      </c>
      <c r="AZ13" s="248" t="str">
        <f t="shared" si="19"/>
        <v>HINDU</v>
      </c>
      <c r="BA13" s="318" t="str">
        <f t="shared" si="20"/>
        <v>HIND</v>
      </c>
    </row>
    <row r="14" spans="2:27">
      <c r="B14" s="334"/>
      <c r="C14" s="219">
        <f t="shared" ref="C14:O14" si="27">SUM(C7:C13)</f>
        <v>6847</v>
      </c>
      <c r="D14" s="219">
        <f t="shared" si="27"/>
        <v>1597</v>
      </c>
      <c r="E14" s="219">
        <f t="shared" si="27"/>
        <v>2864</v>
      </c>
      <c r="F14" s="219">
        <f t="shared" si="27"/>
        <v>15</v>
      </c>
      <c r="G14" s="219">
        <f t="shared" si="27"/>
        <v>17</v>
      </c>
      <c r="H14" s="219">
        <f t="shared" si="27"/>
        <v>3</v>
      </c>
      <c r="I14" s="219">
        <f t="shared" si="27"/>
        <v>3</v>
      </c>
      <c r="J14" s="219">
        <f t="shared" si="27"/>
        <v>5</v>
      </c>
      <c r="K14" s="219">
        <f t="shared" si="27"/>
        <v>2</v>
      </c>
      <c r="L14" s="219">
        <f t="shared" si="27"/>
        <v>4506</v>
      </c>
      <c r="M14" s="219">
        <f t="shared" si="27"/>
        <v>0</v>
      </c>
      <c r="N14" s="219">
        <f t="shared" si="27"/>
        <v>28</v>
      </c>
      <c r="O14" s="219">
        <f t="shared" si="27"/>
        <v>4534</v>
      </c>
      <c r="P14" s="219">
        <f t="shared" ref="P14:X14" si="28">AVERAGE(P7:P13)</f>
        <v>64.8418097033533</v>
      </c>
      <c r="Q14" s="219">
        <f t="shared" si="28"/>
        <v>62.0247516357123</v>
      </c>
      <c r="R14" s="219">
        <f t="shared" si="28"/>
        <v>36.4248184235061</v>
      </c>
      <c r="S14" s="219">
        <f t="shared" si="28"/>
        <v>0.332924349688568</v>
      </c>
      <c r="T14" s="219">
        <f t="shared" si="28"/>
        <v>0.394255745691112</v>
      </c>
      <c r="U14" s="219">
        <f t="shared" si="28"/>
        <v>0.23790785541283</v>
      </c>
      <c r="V14" s="219">
        <f t="shared" si="28"/>
        <v>0.58534198998905</v>
      </c>
      <c r="W14" s="219">
        <f t="shared" si="28"/>
        <v>25.5999332122062</v>
      </c>
      <c r="X14" s="219">
        <f t="shared" si="28"/>
        <v>24.6348452614137</v>
      </c>
      <c r="Y14" s="219" t="str">
        <f t="shared" si="21"/>
        <v>MEDIUM</v>
      </c>
      <c r="Z14" s="341" t="str">
        <f t="shared" si="10"/>
        <v>STRONG</v>
      </c>
      <c r="AA14" s="289" t="str">
        <f t="shared" si="11"/>
        <v>BJP</v>
      </c>
    </row>
    <row r="17" spans="11:28">
      <c r="K17" s="225" t="s">
        <v>205</v>
      </c>
      <c r="L17" s="237"/>
      <c r="M17" s="237"/>
      <c r="N17" s="238"/>
      <c r="P17" s="225" t="s">
        <v>97</v>
      </c>
      <c r="Q17" s="237"/>
      <c r="R17" s="237"/>
      <c r="S17" s="238"/>
      <c r="U17" s="265" t="s">
        <v>98</v>
      </c>
      <c r="V17" s="265"/>
      <c r="W17" s="265"/>
      <c r="X17" s="265"/>
      <c r="Y17" s="265"/>
      <c r="Z17" s="265"/>
      <c r="AA17" s="265"/>
      <c r="AB17" s="265"/>
    </row>
    <row r="18" spans="11:28">
      <c r="K18" s="226"/>
      <c r="L18" s="239"/>
      <c r="M18" s="239"/>
      <c r="N18" s="240"/>
      <c r="P18" s="241"/>
      <c r="Q18" s="242"/>
      <c r="R18" s="242"/>
      <c r="S18" s="243"/>
      <c r="U18" s="265"/>
      <c r="V18" s="265"/>
      <c r="W18" s="265"/>
      <c r="X18" s="265"/>
      <c r="Y18" s="265"/>
      <c r="Z18" s="265"/>
      <c r="AA18" s="265"/>
      <c r="AB18" s="265"/>
    </row>
    <row r="19" spans="11:28">
      <c r="K19" s="227" t="s">
        <v>99</v>
      </c>
      <c r="L19" s="244"/>
      <c r="M19" s="245"/>
      <c r="N19" s="245">
        <f>COUNTIF(AA7:AA13,"BJP")</f>
        <v>6</v>
      </c>
      <c r="P19" s="246" t="s">
        <v>100</v>
      </c>
      <c r="Q19" s="247"/>
      <c r="R19" s="247"/>
      <c r="S19" s="248">
        <f>COUNTIF(Y7:Y13,"NARROW")</f>
        <v>0</v>
      </c>
      <c r="U19" s="265" t="s">
        <v>101</v>
      </c>
      <c r="V19" s="265"/>
      <c r="W19" s="265"/>
      <c r="X19" s="265">
        <f>'MAROLI-18'!E8</f>
        <v>53.5917066161358</v>
      </c>
      <c r="Y19" s="265" t="s">
        <v>102</v>
      </c>
      <c r="Z19" s="265"/>
      <c r="AA19" s="265"/>
      <c r="AB19" s="265">
        <f>Q14</f>
        <v>62.0247516357123</v>
      </c>
    </row>
    <row r="20" spans="11:28">
      <c r="K20" s="227"/>
      <c r="L20" s="244"/>
      <c r="M20" s="245"/>
      <c r="N20" s="245"/>
      <c r="P20" s="249"/>
      <c r="Q20" s="250"/>
      <c r="R20" s="250"/>
      <c r="S20" s="251"/>
      <c r="U20" s="265"/>
      <c r="V20" s="265"/>
      <c r="W20" s="265"/>
      <c r="X20" s="265"/>
      <c r="Y20" s="265"/>
      <c r="Z20" s="265"/>
      <c r="AA20" s="265"/>
      <c r="AB20" s="265"/>
    </row>
    <row r="21" spans="11:28">
      <c r="K21" s="227"/>
      <c r="L21" s="244"/>
      <c r="M21" s="245"/>
      <c r="N21" s="245"/>
      <c r="P21" s="252" t="s">
        <v>103</v>
      </c>
      <c r="Q21" s="253"/>
      <c r="R21" s="253"/>
      <c r="S21" s="248">
        <f>COUNTIF(Y7:Y13,"MEDIUM")</f>
        <v>4</v>
      </c>
      <c r="U21" s="265" t="s">
        <v>104</v>
      </c>
      <c r="V21" s="265"/>
      <c r="W21" s="265"/>
      <c r="X21" s="265">
        <f>'MAROLI-18'!G8</f>
        <v>43.2648952961323</v>
      </c>
      <c r="Y21" s="265" t="s">
        <v>105</v>
      </c>
      <c r="Z21" s="265"/>
      <c r="AA21" s="265"/>
      <c r="AB21" s="265">
        <f>R14</f>
        <v>36.4248184235061</v>
      </c>
    </row>
    <row r="22" spans="11:28">
      <c r="K22" s="228" t="s">
        <v>106</v>
      </c>
      <c r="L22" s="254"/>
      <c r="M22" s="255"/>
      <c r="N22" s="255">
        <f>COUNTIF(AA7:AA13,"CONGRESS")</f>
        <v>1</v>
      </c>
      <c r="P22" s="252"/>
      <c r="Q22" s="253"/>
      <c r="R22" s="253"/>
      <c r="S22" s="251"/>
      <c r="U22" s="265"/>
      <c r="V22" s="265"/>
      <c r="W22" s="265"/>
      <c r="X22" s="265"/>
      <c r="Y22" s="265"/>
      <c r="Z22" s="265"/>
      <c r="AA22" s="265"/>
      <c r="AB22" s="265"/>
    </row>
    <row r="23" spans="11:28">
      <c r="K23" s="229"/>
      <c r="L23" s="256"/>
      <c r="M23" s="257"/>
      <c r="N23" s="257"/>
      <c r="P23" s="258" t="s">
        <v>107</v>
      </c>
      <c r="Q23" s="259"/>
      <c r="R23" s="259"/>
      <c r="S23" s="248">
        <f>COUNTIF(Y7:Y13,"STRONG")</f>
        <v>2</v>
      </c>
      <c r="U23" s="265" t="s">
        <v>108</v>
      </c>
      <c r="V23" s="265"/>
      <c r="W23" s="265"/>
      <c r="X23" s="265">
        <f>'MAROLI-18'!C8</f>
        <v>4615</v>
      </c>
      <c r="Y23" s="265" t="s">
        <v>109</v>
      </c>
      <c r="Z23" s="265"/>
      <c r="AA23" s="265"/>
      <c r="AB23" s="265">
        <f>O14</f>
        <v>4534</v>
      </c>
    </row>
    <row r="24" spans="11:28">
      <c r="K24" s="230"/>
      <c r="L24" s="260"/>
      <c r="M24" s="261"/>
      <c r="N24" s="261"/>
      <c r="P24" s="262"/>
      <c r="Q24" s="263"/>
      <c r="R24" s="263"/>
      <c r="S24" s="251"/>
      <c r="U24" s="265"/>
      <c r="V24" s="265"/>
      <c r="W24" s="265"/>
      <c r="X24" s="265"/>
      <c r="Y24" s="265"/>
      <c r="Z24" s="265"/>
      <c r="AA24" s="265"/>
      <c r="AB24" s="265"/>
    </row>
    <row r="25" spans="16:28">
      <c r="P25" s="229" t="s">
        <v>110</v>
      </c>
      <c r="Q25" s="256"/>
      <c r="R25" s="256"/>
      <c r="S25" s="248">
        <f>COUNTIF(Y7:Y13,"LOST")</f>
        <v>1</v>
      </c>
      <c r="U25" s="265" t="s">
        <v>111</v>
      </c>
      <c r="V25" s="265"/>
      <c r="W25" s="265"/>
      <c r="X25" s="265">
        <f>X19-X21</f>
        <v>10.3268113200035</v>
      </c>
      <c r="Y25" s="265" t="s">
        <v>111</v>
      </c>
      <c r="Z25" s="265"/>
      <c r="AA25" s="265"/>
      <c r="AB25" s="265">
        <f>AB19-AB21</f>
        <v>25.5999332122062</v>
      </c>
    </row>
    <row r="26" spans="16:28">
      <c r="P26" s="230"/>
      <c r="Q26" s="260"/>
      <c r="R26" s="260"/>
      <c r="S26" s="251"/>
      <c r="U26" s="265"/>
      <c r="V26" s="265"/>
      <c r="W26" s="265"/>
      <c r="X26" s="265"/>
      <c r="Y26" s="265"/>
      <c r="Z26" s="265"/>
      <c r="AA26" s="265"/>
      <c r="AB26" s="265"/>
    </row>
    <row r="27" spans="21:27">
      <c r="U27" s="265" t="s">
        <v>112</v>
      </c>
      <c r="V27" s="265"/>
      <c r="W27" s="265"/>
      <c r="X27" s="265">
        <f>AB19-X19</f>
        <v>8.43304501957657</v>
      </c>
      <c r="Y27" s="265"/>
      <c r="Z27" s="265"/>
      <c r="AA27" s="265"/>
    </row>
    <row r="28" spans="21:27">
      <c r="U28" s="265"/>
      <c r="V28" s="265"/>
      <c r="W28" s="265"/>
      <c r="X28" s="265"/>
      <c r="Y28" s="265"/>
      <c r="Z28" s="265"/>
      <c r="AA28" s="265"/>
    </row>
    <row r="29" spans="21:27">
      <c r="U29" s="265" t="s">
        <v>113</v>
      </c>
      <c r="V29" s="265"/>
      <c r="W29" s="265"/>
      <c r="X29" s="265">
        <f>AB21-X21</f>
        <v>-6.84007687262616</v>
      </c>
      <c r="Y29" s="265"/>
      <c r="Z29" s="265"/>
      <c r="AA29" s="265"/>
    </row>
    <row r="30" spans="21:27">
      <c r="U30" s="265"/>
      <c r="V30" s="265"/>
      <c r="W30" s="265"/>
      <c r="X30" s="265"/>
      <c r="Y30" s="265"/>
      <c r="Z30" s="265"/>
      <c r="AA30" s="265"/>
    </row>
    <row r="31" spans="21:27">
      <c r="U31" s="265" t="s">
        <v>114</v>
      </c>
      <c r="V31" s="265"/>
      <c r="W31" s="265"/>
      <c r="X31" s="265" t="str">
        <f>IF(X27&gt;X29,"INCREASE","DECREASE")</f>
        <v>INCREASE</v>
      </c>
      <c r="Y31" s="265"/>
      <c r="Z31" s="265"/>
      <c r="AA31" s="265"/>
    </row>
    <row r="32" spans="21:27">
      <c r="U32" s="265"/>
      <c r="V32" s="265"/>
      <c r="W32" s="265"/>
      <c r="X32" s="265"/>
      <c r="Y32" s="265"/>
      <c r="Z32" s="265"/>
      <c r="AA32" s="265"/>
    </row>
    <row r="33" spans="21:28">
      <c r="U33" s="265">
        <v>0</v>
      </c>
      <c r="V33" s="265"/>
      <c r="W33" s="265"/>
      <c r="X33" s="265"/>
      <c r="Y33" s="265"/>
      <c r="Z33" s="265"/>
      <c r="AA33" s="265"/>
      <c r="AB33" s="265"/>
    </row>
    <row r="34" spans="21:28">
      <c r="U34" s="265"/>
      <c r="V34" s="265"/>
      <c r="W34" s="265"/>
      <c r="X34" s="265"/>
      <c r="Y34" s="265"/>
      <c r="Z34" s="265"/>
      <c r="AA34" s="265"/>
      <c r="AB34" s="265"/>
    </row>
    <row r="35" spans="21:28">
      <c r="U35" s="265"/>
      <c r="V35" s="265"/>
      <c r="W35" s="265"/>
      <c r="X35" s="265"/>
      <c r="Y35" s="265"/>
      <c r="Z35" s="265"/>
      <c r="AA35" s="265"/>
      <c r="AB35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N19:N21"/>
    <mergeCell ref="N22:N24"/>
    <mergeCell ref="O1:O6"/>
    <mergeCell ref="P1:P6"/>
    <mergeCell ref="Q1:Q6"/>
    <mergeCell ref="R1:R6"/>
    <mergeCell ref="S1:S6"/>
    <mergeCell ref="S19:S20"/>
    <mergeCell ref="S21:S22"/>
    <mergeCell ref="S23:S24"/>
    <mergeCell ref="S25:S26"/>
    <mergeCell ref="T1:T6"/>
    <mergeCell ref="U1:U6"/>
    <mergeCell ref="V1:V6"/>
    <mergeCell ref="W1:W6"/>
    <mergeCell ref="X1:X6"/>
    <mergeCell ref="X19:X20"/>
    <mergeCell ref="X21:X22"/>
    <mergeCell ref="X23:X24"/>
    <mergeCell ref="X25:X26"/>
    <mergeCell ref="Y1:Y6"/>
    <mergeCell ref="Z1:Z6"/>
    <mergeCell ref="AA1:AA6"/>
    <mergeCell ref="AB1:AB6"/>
    <mergeCell ref="AB19:AB20"/>
    <mergeCell ref="AB21:AB22"/>
    <mergeCell ref="AB23:AB24"/>
    <mergeCell ref="AB25:AB2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P25:R26"/>
    <mergeCell ref="Y25:AA26"/>
    <mergeCell ref="K17:N18"/>
    <mergeCell ref="P17:S18"/>
    <mergeCell ref="K19:M21"/>
    <mergeCell ref="P19:R20"/>
    <mergeCell ref="Y19:AA20"/>
    <mergeCell ref="P21:R22"/>
    <mergeCell ref="Y21:AA22"/>
    <mergeCell ref="K22:M24"/>
    <mergeCell ref="P23:R24"/>
    <mergeCell ref="Y23:AA24"/>
    <mergeCell ref="U17:AB18"/>
    <mergeCell ref="U19:W20"/>
    <mergeCell ref="U21:W22"/>
    <mergeCell ref="U23:W24"/>
    <mergeCell ref="U25:W26"/>
    <mergeCell ref="U27:W28"/>
    <mergeCell ref="X27:AA28"/>
    <mergeCell ref="U33:AB35"/>
    <mergeCell ref="U29:W30"/>
    <mergeCell ref="X29:AA30"/>
    <mergeCell ref="U31:W32"/>
    <mergeCell ref="X31:Y32"/>
    <mergeCell ref="Z31:AA32"/>
  </mergeCells>
  <conditionalFormatting sqref="AR7:AR13">
    <cfRule type="containsText" dxfId="6" priority="1" operator="between" text="FEMALE DOM">
      <formula>NOT(ISERROR(SEARCH("FEMALE DOM",AR7)))</formula>
    </cfRule>
  </conditionalFormatting>
  <conditionalFormatting sqref="AZ7:AZ13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3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workbookViewId="0">
      <selection activeCell="A1" sqref="A1:AJ1"/>
    </sheetView>
  </sheetViews>
  <sheetFormatPr defaultColWidth="9" defaultRowHeight="14.5" outlineLevelRow="7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42</v>
      </c>
      <c r="B2" s="185" t="s">
        <v>326</v>
      </c>
      <c r="C2" s="184">
        <v>629</v>
      </c>
      <c r="D2" s="184">
        <v>326</v>
      </c>
      <c r="E2" s="184">
        <f t="shared" ref="E2:E7" si="0">(D2/C2)*100</f>
        <v>51.8282988871224</v>
      </c>
      <c r="F2" s="184">
        <v>283</v>
      </c>
      <c r="G2" s="184">
        <f t="shared" ref="G2:G7" si="1">(F2/C2)*100</f>
        <v>44.9920508744038</v>
      </c>
      <c r="H2" s="184">
        <v>3</v>
      </c>
      <c r="I2" s="184">
        <f t="shared" ref="I2:I7" si="2">(H2/C2)*100</f>
        <v>0.476947535771065</v>
      </c>
      <c r="J2" s="184">
        <v>6</v>
      </c>
      <c r="K2" s="184">
        <f t="shared" ref="K2:K7" si="3">(J2/C2)*100</f>
        <v>0.95389507154213</v>
      </c>
      <c r="L2" s="189">
        <v>455</v>
      </c>
      <c r="M2" s="189">
        <v>459</v>
      </c>
      <c r="N2" s="189">
        <f t="shared" ref="N2:N7" si="4">L2+M2</f>
        <v>914</v>
      </c>
      <c r="O2" s="184">
        <v>629</v>
      </c>
      <c r="P2" s="190">
        <f t="shared" ref="P2:P7" si="5">O2/N2*100</f>
        <v>68.8183807439825</v>
      </c>
      <c r="Q2" s="184">
        <v>507</v>
      </c>
      <c r="R2" s="184">
        <f t="shared" ref="R2:R7" si="6">(Q2/N2)*100</f>
        <v>55.4704595185996</v>
      </c>
      <c r="S2" s="192">
        <f t="shared" ref="S2:S7" si="7">Q2-U2</f>
        <v>181</v>
      </c>
      <c r="T2" s="184">
        <f t="shared" ref="T2:T7" si="8">(S2/Q2)*100</f>
        <v>35.7001972386588</v>
      </c>
      <c r="U2" s="184">
        <v>326</v>
      </c>
      <c r="V2" s="191">
        <f t="shared" ref="V2:V7" si="9">IFERROR(U2/Q2*100,0)</f>
        <v>64.2998027613412</v>
      </c>
      <c r="W2" s="184">
        <v>407</v>
      </c>
      <c r="X2" s="184">
        <f t="shared" ref="X2:X7" si="10">100-R2</f>
        <v>44.5295404814004</v>
      </c>
      <c r="Y2" s="184">
        <f t="shared" ref="Y2:Y7" si="11">W2-AA2</f>
        <v>124</v>
      </c>
      <c r="Z2" s="193">
        <f t="shared" ref="Z2:Z7" si="12">(Y2/W2)*100</f>
        <v>30.4668304668305</v>
      </c>
      <c r="AA2" s="193">
        <v>283</v>
      </c>
      <c r="AB2" s="194">
        <f t="shared" ref="AB2:AB7" si="13">IFERROR(AA2/W2*100,0)</f>
        <v>69.5331695331695</v>
      </c>
      <c r="AC2" s="193">
        <f t="shared" ref="AC2:AC7" si="14">U2+AA2</f>
        <v>609</v>
      </c>
      <c r="AD2" s="193" t="str">
        <f t="shared" ref="AD2:AD7" si="15">IF(P2&gt;80,"EXCELLENT",IF(P2&gt;70,"STRONG",IF(P2&gt;60,"AVG",IF(P2&gt;50,"WEAK",IF(P2&lt;50,"VLOW")))))</f>
        <v>AVG</v>
      </c>
      <c r="AE2" s="195" t="str">
        <f t="shared" ref="AE2:AE7" si="16">IF(R2&gt;80,"EXCELLENT",IF(R2&gt;70,"STRONG",IF(R2&gt;60,"AVG",IF(R2&gt;50,"WEAK",IF(R2&lt;50,"VLOW")))))</f>
        <v>WEAK</v>
      </c>
      <c r="AF2" s="193" t="str">
        <f t="shared" ref="AF2:AF7" si="17">IF(X2&gt;80,"EXCELLENT",IF(X2&gt;70,"STRONG",IF(X2&gt;60,"AVG",IF(X2&gt;50,"WEAK",IF(X2&lt;50,"VLOW")))))</f>
        <v>VLOW</v>
      </c>
      <c r="AG2" s="193" t="str">
        <f t="shared" ref="AG2:AG7" si="18">IF(M2&gt;L2,"FEMALE DOM","MEN")</f>
        <v>FEMALE DOM</v>
      </c>
      <c r="AH2" s="193" t="str">
        <f t="shared" ref="AH2:AH7" si="19">IF(T2&gt;Z2,"H","O")</f>
        <v>H</v>
      </c>
      <c r="AI2" s="197">
        <f>E2-G2</f>
        <v>6.8362480127186</v>
      </c>
      <c r="AJ2" s="199" t="str">
        <f t="shared" ref="AJ2:AJ8" si="20">IF(E2&gt;G2,"BJP GAIN","CONGRESSGAIN")</f>
        <v>BJP GAIN</v>
      </c>
    </row>
    <row r="3" spans="1:36">
      <c r="A3" s="184">
        <v>43</v>
      </c>
      <c r="B3" s="185" t="s">
        <v>327</v>
      </c>
      <c r="C3" s="184">
        <v>459</v>
      </c>
      <c r="D3" s="184">
        <v>137</v>
      </c>
      <c r="E3" s="184">
        <f t="shared" si="0"/>
        <v>29.8474945533769</v>
      </c>
      <c r="F3" s="184">
        <v>309</v>
      </c>
      <c r="G3" s="184">
        <f t="shared" si="1"/>
        <v>67.3202614379085</v>
      </c>
      <c r="H3" s="184">
        <v>3</v>
      </c>
      <c r="I3" s="184">
        <f t="shared" si="2"/>
        <v>0.65359477124183</v>
      </c>
      <c r="J3" s="184">
        <v>4</v>
      </c>
      <c r="K3" s="184">
        <f t="shared" si="3"/>
        <v>0.871459694989107</v>
      </c>
      <c r="L3" s="189">
        <v>373</v>
      </c>
      <c r="M3" s="189">
        <v>408</v>
      </c>
      <c r="N3" s="189">
        <f t="shared" si="4"/>
        <v>781</v>
      </c>
      <c r="O3" s="184">
        <v>459</v>
      </c>
      <c r="P3" s="190">
        <f t="shared" si="5"/>
        <v>58.7708066581306</v>
      </c>
      <c r="Q3" s="184">
        <v>277</v>
      </c>
      <c r="R3" s="184">
        <f t="shared" si="6"/>
        <v>35.4673495518566</v>
      </c>
      <c r="S3" s="184">
        <f t="shared" si="7"/>
        <v>111</v>
      </c>
      <c r="T3" s="184">
        <f t="shared" si="8"/>
        <v>40.072202166065</v>
      </c>
      <c r="U3" s="184">
        <v>166</v>
      </c>
      <c r="V3" s="191">
        <f t="shared" si="9"/>
        <v>59.927797833935</v>
      </c>
      <c r="W3" s="184">
        <v>503</v>
      </c>
      <c r="X3" s="184">
        <f t="shared" si="10"/>
        <v>64.5326504481434</v>
      </c>
      <c r="Y3" s="196">
        <f t="shared" si="11"/>
        <v>219</v>
      </c>
      <c r="Z3" s="193">
        <f t="shared" si="12"/>
        <v>43.5387673956262</v>
      </c>
      <c r="AA3" s="193">
        <v>284</v>
      </c>
      <c r="AB3" s="194">
        <f t="shared" si="13"/>
        <v>56.4612326043738</v>
      </c>
      <c r="AC3" s="193">
        <f t="shared" si="14"/>
        <v>450</v>
      </c>
      <c r="AD3" s="193" t="str">
        <f t="shared" si="15"/>
        <v>WEAK</v>
      </c>
      <c r="AE3" s="195" t="str">
        <f t="shared" si="16"/>
        <v>VLOW</v>
      </c>
      <c r="AF3" s="193" t="str">
        <f t="shared" si="17"/>
        <v>AVG</v>
      </c>
      <c r="AG3" s="193" t="str">
        <f t="shared" si="18"/>
        <v>FEMALE DOM</v>
      </c>
      <c r="AH3" s="193" t="str">
        <f t="shared" si="19"/>
        <v>O</v>
      </c>
      <c r="AI3" s="197">
        <f>G3-E3</f>
        <v>37.4727668845316</v>
      </c>
      <c r="AJ3" s="198" t="str">
        <f t="shared" si="20"/>
        <v>CONGRESSGAIN</v>
      </c>
    </row>
    <row r="4" spans="1:36">
      <c r="A4" s="184">
        <v>44</v>
      </c>
      <c r="B4" s="185" t="s">
        <v>328</v>
      </c>
      <c r="C4" s="184">
        <v>903</v>
      </c>
      <c r="D4" s="184">
        <v>526</v>
      </c>
      <c r="E4" s="184">
        <f t="shared" si="0"/>
        <v>58.250276854928</v>
      </c>
      <c r="F4" s="184">
        <v>341</v>
      </c>
      <c r="G4" s="184">
        <f t="shared" si="1"/>
        <v>37.7630121816168</v>
      </c>
      <c r="H4" s="184">
        <v>6</v>
      </c>
      <c r="I4" s="184">
        <f t="shared" si="2"/>
        <v>0.664451827242525</v>
      </c>
      <c r="J4" s="184">
        <v>8</v>
      </c>
      <c r="K4" s="184">
        <f t="shared" si="3"/>
        <v>0.8859357696567</v>
      </c>
      <c r="L4" s="189">
        <v>554</v>
      </c>
      <c r="M4" s="189">
        <v>667</v>
      </c>
      <c r="N4" s="189">
        <f t="shared" si="4"/>
        <v>1221</v>
      </c>
      <c r="O4" s="184">
        <v>903</v>
      </c>
      <c r="P4" s="190">
        <f t="shared" si="5"/>
        <v>73.9557739557739</v>
      </c>
      <c r="Q4" s="184">
        <v>924</v>
      </c>
      <c r="R4" s="184">
        <f t="shared" si="6"/>
        <v>75.6756756756757</v>
      </c>
      <c r="S4" s="184">
        <f t="shared" si="7"/>
        <v>291</v>
      </c>
      <c r="T4" s="184">
        <f t="shared" si="8"/>
        <v>31.4935064935065</v>
      </c>
      <c r="U4" s="184">
        <v>633</v>
      </c>
      <c r="V4" s="191">
        <f t="shared" si="9"/>
        <v>68.5064935064935</v>
      </c>
      <c r="W4" s="184">
        <v>296</v>
      </c>
      <c r="X4" s="184">
        <f t="shared" si="10"/>
        <v>24.3243243243243</v>
      </c>
      <c r="Y4" s="184">
        <f t="shared" si="11"/>
        <v>26</v>
      </c>
      <c r="Z4" s="193">
        <f t="shared" si="12"/>
        <v>8.78378378378378</v>
      </c>
      <c r="AA4" s="193">
        <v>270</v>
      </c>
      <c r="AB4" s="194">
        <f t="shared" si="13"/>
        <v>91.2162162162162</v>
      </c>
      <c r="AC4" s="193">
        <f t="shared" si="14"/>
        <v>903</v>
      </c>
      <c r="AD4" s="193" t="str">
        <f t="shared" si="15"/>
        <v>STRONG</v>
      </c>
      <c r="AE4" s="195" t="str">
        <f t="shared" si="16"/>
        <v>STRONG</v>
      </c>
      <c r="AF4" s="193" t="str">
        <f t="shared" si="17"/>
        <v>VLOW</v>
      </c>
      <c r="AG4" s="193" t="str">
        <f t="shared" si="18"/>
        <v>FEMALE DOM</v>
      </c>
      <c r="AH4" s="193" t="str">
        <f t="shared" si="19"/>
        <v>H</v>
      </c>
      <c r="AI4" s="197">
        <f t="shared" ref="AI4:AI8" si="21">E4-G4</f>
        <v>20.4872646733112</v>
      </c>
      <c r="AJ4" s="199" t="str">
        <f t="shared" si="20"/>
        <v>BJP GAIN</v>
      </c>
    </row>
    <row r="5" spans="1:36">
      <c r="A5" s="184">
        <v>45</v>
      </c>
      <c r="B5" s="185" t="s">
        <v>329</v>
      </c>
      <c r="C5" s="184">
        <v>896</v>
      </c>
      <c r="D5" s="184">
        <v>541</v>
      </c>
      <c r="E5" s="184">
        <f t="shared" si="0"/>
        <v>60.3794642857143</v>
      </c>
      <c r="F5" s="184">
        <v>336</v>
      </c>
      <c r="G5" s="184">
        <f t="shared" si="1"/>
        <v>37.5</v>
      </c>
      <c r="H5" s="184">
        <v>3</v>
      </c>
      <c r="I5" s="184">
        <f t="shared" si="2"/>
        <v>0.334821428571429</v>
      </c>
      <c r="J5" s="184">
        <v>4</v>
      </c>
      <c r="K5" s="184">
        <f t="shared" si="3"/>
        <v>0.446428571428571</v>
      </c>
      <c r="L5" s="189">
        <v>566</v>
      </c>
      <c r="M5" s="189">
        <v>612</v>
      </c>
      <c r="N5" s="189">
        <f t="shared" si="4"/>
        <v>1178</v>
      </c>
      <c r="O5" s="184">
        <v>896</v>
      </c>
      <c r="P5" s="190">
        <f t="shared" si="5"/>
        <v>76.0611205432937</v>
      </c>
      <c r="Q5" s="184">
        <v>891</v>
      </c>
      <c r="R5" s="184">
        <f t="shared" si="6"/>
        <v>75.6366723259762</v>
      </c>
      <c r="S5" s="184">
        <f t="shared" si="7"/>
        <v>187</v>
      </c>
      <c r="T5" s="184">
        <f t="shared" si="8"/>
        <v>20.9876543209877</v>
      </c>
      <c r="U5" s="184">
        <v>704</v>
      </c>
      <c r="V5" s="191">
        <f t="shared" si="9"/>
        <v>79.0123456790123</v>
      </c>
      <c r="W5" s="184">
        <f>2+285</f>
        <v>287</v>
      </c>
      <c r="X5" s="184">
        <f t="shared" si="10"/>
        <v>24.3633276740238</v>
      </c>
      <c r="Y5" s="184">
        <f t="shared" si="11"/>
        <v>95</v>
      </c>
      <c r="Z5" s="193">
        <f t="shared" si="12"/>
        <v>33.1010452961672</v>
      </c>
      <c r="AA5" s="193">
        <f>2+190</f>
        <v>192</v>
      </c>
      <c r="AB5" s="194">
        <f t="shared" si="13"/>
        <v>66.8989547038328</v>
      </c>
      <c r="AC5" s="193">
        <f t="shared" si="14"/>
        <v>896</v>
      </c>
      <c r="AD5" s="193" t="str">
        <f t="shared" si="15"/>
        <v>STRONG</v>
      </c>
      <c r="AE5" s="195" t="str">
        <f t="shared" si="16"/>
        <v>STRONG</v>
      </c>
      <c r="AF5" s="193" t="str">
        <f t="shared" si="17"/>
        <v>VLOW</v>
      </c>
      <c r="AG5" s="193" t="str">
        <f t="shared" si="18"/>
        <v>FEMALE DOM</v>
      </c>
      <c r="AH5" s="193" t="str">
        <f t="shared" si="19"/>
        <v>O</v>
      </c>
      <c r="AI5" s="197">
        <f t="shared" si="21"/>
        <v>22.8794642857143</v>
      </c>
      <c r="AJ5" s="199" t="str">
        <f t="shared" si="20"/>
        <v>BJP GAIN</v>
      </c>
    </row>
    <row r="6" spans="1:36">
      <c r="A6" s="184">
        <v>46</v>
      </c>
      <c r="B6" s="185" t="s">
        <v>330</v>
      </c>
      <c r="C6" s="184">
        <v>837</v>
      </c>
      <c r="D6" s="184">
        <v>454</v>
      </c>
      <c r="E6" s="184">
        <f t="shared" si="0"/>
        <v>54.2413381123059</v>
      </c>
      <c r="F6" s="184">
        <v>351</v>
      </c>
      <c r="G6" s="184">
        <f t="shared" si="1"/>
        <v>41.9354838709677</v>
      </c>
      <c r="H6" s="184">
        <v>1</v>
      </c>
      <c r="I6" s="184">
        <f t="shared" si="2"/>
        <v>0.1194743130227</v>
      </c>
      <c r="J6" s="184">
        <v>16</v>
      </c>
      <c r="K6" s="184">
        <f t="shared" si="3"/>
        <v>1.9115890083632</v>
      </c>
      <c r="L6" s="189">
        <v>454</v>
      </c>
      <c r="M6" s="189">
        <v>648</v>
      </c>
      <c r="N6" s="189">
        <f t="shared" si="4"/>
        <v>1102</v>
      </c>
      <c r="O6" s="184">
        <v>837</v>
      </c>
      <c r="P6" s="190">
        <f t="shared" si="5"/>
        <v>75.9528130671506</v>
      </c>
      <c r="Q6" s="184">
        <v>694</v>
      </c>
      <c r="R6" s="184">
        <f t="shared" si="6"/>
        <v>62.9764065335753</v>
      </c>
      <c r="S6" s="192">
        <f t="shared" si="7"/>
        <v>207</v>
      </c>
      <c r="T6" s="184">
        <f t="shared" si="8"/>
        <v>29.8270893371758</v>
      </c>
      <c r="U6" s="184">
        <v>487</v>
      </c>
      <c r="V6" s="191">
        <f t="shared" si="9"/>
        <v>70.1729106628242</v>
      </c>
      <c r="W6" s="184">
        <v>408</v>
      </c>
      <c r="X6" s="184">
        <f t="shared" si="10"/>
        <v>37.0235934664247</v>
      </c>
      <c r="Y6" s="196">
        <f t="shared" si="11"/>
        <v>58</v>
      </c>
      <c r="Z6" s="193">
        <f t="shared" si="12"/>
        <v>14.2156862745098</v>
      </c>
      <c r="AA6" s="193">
        <v>350</v>
      </c>
      <c r="AB6" s="194">
        <f t="shared" si="13"/>
        <v>85.7843137254902</v>
      </c>
      <c r="AC6" s="193">
        <f t="shared" si="14"/>
        <v>837</v>
      </c>
      <c r="AD6" s="193" t="str">
        <f t="shared" si="15"/>
        <v>STRONG</v>
      </c>
      <c r="AE6" s="195" t="str">
        <f t="shared" si="16"/>
        <v>AVG</v>
      </c>
      <c r="AF6" s="193" t="str">
        <f t="shared" si="17"/>
        <v>VLOW</v>
      </c>
      <c r="AG6" s="193" t="str">
        <f t="shared" si="18"/>
        <v>FEMALE DOM</v>
      </c>
      <c r="AH6" s="193" t="str">
        <f t="shared" si="19"/>
        <v>H</v>
      </c>
      <c r="AI6" s="197">
        <f t="shared" si="21"/>
        <v>12.3058542413381</v>
      </c>
      <c r="AJ6" s="199" t="str">
        <f t="shared" si="20"/>
        <v>BJP GAIN</v>
      </c>
    </row>
    <row r="7" spans="1:36">
      <c r="A7" s="184">
        <v>47</v>
      </c>
      <c r="B7" s="185" t="s">
        <v>331</v>
      </c>
      <c r="C7" s="184">
        <v>891</v>
      </c>
      <c r="D7" s="184">
        <v>597</v>
      </c>
      <c r="E7" s="184">
        <f t="shared" si="0"/>
        <v>67.003367003367</v>
      </c>
      <c r="F7" s="184">
        <v>268</v>
      </c>
      <c r="G7" s="184">
        <f t="shared" si="1"/>
        <v>30.0785634118967</v>
      </c>
      <c r="H7" s="184">
        <v>5</v>
      </c>
      <c r="I7" s="184">
        <f t="shared" si="2"/>
        <v>0.561167227833894</v>
      </c>
      <c r="J7" s="184">
        <v>3</v>
      </c>
      <c r="K7" s="184">
        <f t="shared" si="3"/>
        <v>0.336700336700337</v>
      </c>
      <c r="L7" s="189">
        <v>675</v>
      </c>
      <c r="M7" s="189">
        <v>729</v>
      </c>
      <c r="N7" s="189">
        <f t="shared" si="4"/>
        <v>1404</v>
      </c>
      <c r="O7" s="184">
        <v>891</v>
      </c>
      <c r="P7" s="190">
        <f t="shared" si="5"/>
        <v>63.4615384615385</v>
      </c>
      <c r="Q7" s="184">
        <v>1148</v>
      </c>
      <c r="R7" s="184">
        <f t="shared" si="6"/>
        <v>81.7663817663818</v>
      </c>
      <c r="S7" s="184">
        <f t="shared" si="7"/>
        <v>409</v>
      </c>
      <c r="T7" s="184">
        <f t="shared" si="8"/>
        <v>35.6271777003484</v>
      </c>
      <c r="U7" s="184">
        <v>739</v>
      </c>
      <c r="V7" s="191">
        <f t="shared" si="9"/>
        <v>64.3728222996516</v>
      </c>
      <c r="W7" s="184">
        <f>8+248</f>
        <v>256</v>
      </c>
      <c r="X7" s="184">
        <f t="shared" si="10"/>
        <v>18.2336182336182</v>
      </c>
      <c r="Y7" s="184">
        <f t="shared" si="11"/>
        <v>104</v>
      </c>
      <c r="Z7" s="193">
        <f t="shared" si="12"/>
        <v>40.625</v>
      </c>
      <c r="AA7" s="193">
        <f>4+148</f>
        <v>152</v>
      </c>
      <c r="AB7" s="194">
        <f t="shared" si="13"/>
        <v>59.375</v>
      </c>
      <c r="AC7" s="193">
        <f t="shared" si="14"/>
        <v>891</v>
      </c>
      <c r="AD7" s="193" t="str">
        <f t="shared" si="15"/>
        <v>AVG</v>
      </c>
      <c r="AE7" s="195" t="str">
        <f t="shared" si="16"/>
        <v>EXCELLENT</v>
      </c>
      <c r="AF7" s="193" t="str">
        <f t="shared" si="17"/>
        <v>VLOW</v>
      </c>
      <c r="AG7" s="193" t="str">
        <f t="shared" si="18"/>
        <v>FEMALE DOM</v>
      </c>
      <c r="AH7" s="193" t="str">
        <f t="shared" si="19"/>
        <v>O</v>
      </c>
      <c r="AI7" s="197">
        <f t="shared" si="21"/>
        <v>36.9248035914703</v>
      </c>
      <c r="AJ7" s="199" t="str">
        <f t="shared" si="20"/>
        <v>BJP GAIN</v>
      </c>
    </row>
    <row r="8" spans="3:36">
      <c r="C8">
        <f>SUM(C2:C7)</f>
        <v>4615</v>
      </c>
      <c r="D8">
        <f>SUM(D2:D7)</f>
        <v>2581</v>
      </c>
      <c r="E8" s="186">
        <f>AVERAGE(E2:E7)</f>
        <v>53.5917066161358</v>
      </c>
      <c r="F8">
        <f>SUM(F2:F7)</f>
        <v>1888</v>
      </c>
      <c r="G8" s="186">
        <f>AVERAGE(G2:G7)</f>
        <v>43.2648952961323</v>
      </c>
      <c r="H8">
        <f>SUM(H2:H7)</f>
        <v>21</v>
      </c>
      <c r="I8" s="186">
        <f>AVERAGE(I2:I7)</f>
        <v>0.468409517280574</v>
      </c>
      <c r="J8">
        <f>SUM(J2:J7)</f>
        <v>41</v>
      </c>
      <c r="K8" s="186">
        <f>AVERAGE(K2:K7)</f>
        <v>0.901001408780008</v>
      </c>
      <c r="AI8" s="329">
        <f t="shared" si="21"/>
        <v>10.3268113200035</v>
      </c>
      <c r="AJ8" s="335" t="str">
        <f t="shared" si="20"/>
        <v>BJP GAIN</v>
      </c>
    </row>
  </sheetData>
  <conditionalFormatting sqref="AD2:AD7">
    <cfRule type="containsText" dxfId="8" priority="15" operator="between" text="AVG">
      <formula>NOT(ISERROR(SEARCH("AVG",AD2)))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NOT(ISERROR(SEARCH("VSTRONG",AD2)))</formula>
    </cfRule>
    <cfRule type="containsText" dxfId="10" priority="5" operator="between" text="AVG">
      <formula>NOT(ISERROR(SEARCH("AVG",AD2)))</formula>
    </cfRule>
  </conditionalFormatting>
  <conditionalFormatting sqref="AE2:AE7">
    <cfRule type="containsText" dxfId="3" priority="9" operator="between" text="STRONG">
      <formula>NOT(ISERROR(SEARCH("STRONG",AE2)))</formula>
    </cfRule>
    <cfRule type="containsText" dxfId="1" priority="7" operator="between" text="VSTRONG">
      <formula>NOT(ISERROR(SEARCH("VSTRONG",AE2)))</formula>
    </cfRule>
  </conditionalFormatting>
  <conditionalFormatting sqref="AF2:AF7">
    <cfRule type="cellIs" dxfId="11" priority="3" operator="equal">
      <formula>"VWEAK"</formula>
    </cfRule>
    <cfRule type="containsText" dxfId="0" priority="2" operator="between" text="VSTRONG">
      <formula>NOT(ISERROR(SEARCH("VSTRONG",AF2)))</formula>
    </cfRule>
  </conditionalFormatting>
  <conditionalFormatting sqref="AG2:AG7">
    <cfRule type="containsText" dxfId="12" priority="6" operator="between" text="FEMALE DOM">
      <formula>NOT(ISERROR(SEARCH("FEMALE DOM",AG2)))</formula>
    </cfRule>
    <cfRule type="containsText" dxfId="10" priority="1" operator="between" text="MEN">
      <formula>NOT(ISERROR(SEARCH("MEN",AG2)))</formula>
    </cfRule>
  </conditionalFormatting>
  <conditionalFormatting sqref="AH2:AH7">
    <cfRule type="containsText" dxfId="0" priority="12" operator="between" text="O">
      <formula>NOT(ISERROR(SEARCH("O",AH2)))</formula>
    </cfRule>
    <cfRule type="containsText" dxfId="3" priority="10" operator="between" text="H">
      <formula>NOT(ISERROR(SEARCH("H",AH2)))</formula>
    </cfRule>
    <cfRule type="containsText" dxfId="13" priority="11" operator="between" text="H">
      <formula>NOT(ISERROR(SEARCH("H",AH2)))</formula>
    </cfRule>
    <cfRule type="containsText" dxfId="1" priority="4" operator="between" text="H">
      <formula>NOT(ISERROR(SEARCH("H",AH2)))</formula>
    </cfRule>
  </conditionalFormatting>
  <conditionalFormatting sqref="AE2:AF7">
    <cfRule type="containsText" dxfId="2" priority="8" operator="between" text="AVG">
      <formula>NOT(ISERROR(SEARCH("AVG",AE2)))</formula>
    </cfRule>
  </conditionalFormatting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3"/>
  <sheetViews>
    <sheetView zoomScale="70" zoomScaleNormal="70" topLeftCell="T2" workbookViewId="0">
      <selection activeCell="AB25" sqref="AB25:AE26"/>
    </sheetView>
  </sheetViews>
  <sheetFormatPr defaultColWidth="9" defaultRowHeight="14.5"/>
  <sheetData>
    <row r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ht="15" customHeight="1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215" t="s">
        <v>58</v>
      </c>
      <c r="B7" s="339">
        <v>140</v>
      </c>
      <c r="C7" s="339">
        <v>1098</v>
      </c>
      <c r="D7" s="339">
        <v>311</v>
      </c>
      <c r="E7" s="339">
        <v>341</v>
      </c>
      <c r="F7" s="339">
        <v>0</v>
      </c>
      <c r="G7" s="339">
        <v>5</v>
      </c>
      <c r="H7" s="339">
        <v>0</v>
      </c>
      <c r="I7" s="339">
        <v>0</v>
      </c>
      <c r="J7" s="339">
        <v>0</v>
      </c>
      <c r="K7" s="339">
        <v>0</v>
      </c>
      <c r="L7" s="339">
        <v>657</v>
      </c>
      <c r="M7" s="339">
        <v>0</v>
      </c>
      <c r="N7" s="339">
        <v>6</v>
      </c>
      <c r="O7" s="339">
        <f t="shared" ref="O7:O12" si="0">D7+E7+F7+G7+H7+I7+J7+K7+N7</f>
        <v>663</v>
      </c>
      <c r="P7" s="339">
        <f t="shared" ref="P7:P12" si="1">(O7/C7)*100</f>
        <v>60.3825136612022</v>
      </c>
      <c r="Q7" s="339">
        <f t="shared" ref="Q7:Q12" si="2">(E7/O7)*100</f>
        <v>51.4328808446455</v>
      </c>
      <c r="R7" s="339">
        <f t="shared" ref="R7:R12" si="3">(D7/O7)*100</f>
        <v>46.9079939668175</v>
      </c>
      <c r="S7" s="339">
        <f t="shared" ref="S7:S12" si="4">(F7/O7)*100</f>
        <v>0</v>
      </c>
      <c r="T7" s="339">
        <f t="shared" ref="T7:T12" si="5">(G7/O7)*100</f>
        <v>0.754147812971342</v>
      </c>
      <c r="U7" s="339">
        <f t="shared" ref="U7:U12" si="6">((H7+I7+J7+K7)/O7)*100</f>
        <v>0</v>
      </c>
      <c r="V7" s="339">
        <f t="shared" ref="V7:V12" si="7">(N7/O7)*100</f>
        <v>0.904977375565611</v>
      </c>
      <c r="W7" s="339">
        <f>Q7-R7</f>
        <v>4.52488687782805</v>
      </c>
      <c r="X7" s="339">
        <f>Q7-(R7+S7+T7+U7)</f>
        <v>3.77073906485671</v>
      </c>
      <c r="Y7" s="339" t="str">
        <f>IF(AND(W7&lt;0,W7&lt;=1),"LOST",IF(AND(W7&gt;1,W7&lt;=10),"NARROW",IF(AND(W7&gt;10,W7&lt;=40),"MEDIUM",IF(AND(W7&gt;40,W7&lt;=90),"STRONG",""))))</f>
        <v>NARROW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 s="334">
        <v>1091</v>
      </c>
      <c r="AC7" s="334"/>
      <c r="AD7" s="334">
        <v>519</v>
      </c>
      <c r="AE7" s="334"/>
      <c r="AF7" s="334">
        <v>572</v>
      </c>
      <c r="AG7" s="334"/>
      <c r="AH7" s="334">
        <v>603</v>
      </c>
      <c r="AI7" s="334"/>
      <c r="AJ7" s="334">
        <v>188</v>
      </c>
      <c r="AK7" s="334"/>
      <c r="AL7" s="334">
        <v>300</v>
      </c>
      <c r="AM7" s="334"/>
      <c r="AN7" s="248">
        <f>(AD7/AB7)*100</f>
        <v>47.5710357470211</v>
      </c>
      <c r="AO7" s="316" t="e">
        <f>(AE7/AC7)*100</f>
        <v>#DIV/0!</v>
      </c>
      <c r="AP7" s="317">
        <f>(AF7/AB7)*100</f>
        <v>52.4289642529789</v>
      </c>
      <c r="AQ7" s="318" t="e">
        <f>(AG7/AC7)*100</f>
        <v>#DIV/0!</v>
      </c>
      <c r="AR7" s="318" t="str">
        <f>IF(AN7&gt;AP7,"MALE DOM","FEMALE DOM")</f>
        <v>FEMALE DOM</v>
      </c>
      <c r="AS7" s="319" t="e">
        <f>IF(AO7&gt;AP7,"MALE","FEMALE")</f>
        <v>#DIV/0!</v>
      </c>
      <c r="AT7" s="317">
        <f>(AH7/AB7)*100</f>
        <v>55.2703941338222</v>
      </c>
      <c r="AU7" s="317" t="e">
        <f>(AI7/AC7)*100</f>
        <v>#DIV/0!</v>
      </c>
      <c r="AV7" s="248">
        <f>(AJ7/AB7)*100</f>
        <v>17.2318973418882</v>
      </c>
      <c r="AW7" s="317" t="e">
        <f>(AK7/AC7)*100</f>
        <v>#DIV/0!</v>
      </c>
      <c r="AX7" s="248">
        <f>(AL7/AB7)*100</f>
        <v>27.4977085242896</v>
      </c>
      <c r="AY7" s="317" t="e">
        <f>(AM7/AC7)*100</f>
        <v>#DIV/0!</v>
      </c>
      <c r="AZ7" s="248" t="str">
        <f>IF(AT7&gt;(AV7+AX7),"HINDU","MINORITY")</f>
        <v>HINDU</v>
      </c>
      <c r="BA7" s="318" t="e">
        <f>IF(AU7&gt;(AW7+AY7),"HIND","MINORITY")</f>
        <v>#DIV/0!</v>
      </c>
    </row>
    <row r="8" spans="2:53">
      <c r="B8" s="219">
        <v>138</v>
      </c>
      <c r="C8" s="219">
        <v>1093</v>
      </c>
      <c r="D8" s="219">
        <v>243</v>
      </c>
      <c r="E8" s="219">
        <v>404</v>
      </c>
      <c r="F8" s="219">
        <v>2</v>
      </c>
      <c r="G8" s="219">
        <v>4</v>
      </c>
      <c r="H8" s="219">
        <v>0</v>
      </c>
      <c r="I8" s="219">
        <v>0</v>
      </c>
      <c r="J8" s="219">
        <v>2</v>
      </c>
      <c r="K8" s="219">
        <v>1</v>
      </c>
      <c r="L8" s="219">
        <v>656</v>
      </c>
      <c r="M8" s="219">
        <v>0</v>
      </c>
      <c r="N8" s="219">
        <v>3</v>
      </c>
      <c r="O8" s="219">
        <f t="shared" si="0"/>
        <v>659</v>
      </c>
      <c r="P8" s="219">
        <f t="shared" si="1"/>
        <v>60.2927721866423</v>
      </c>
      <c r="Q8" s="219">
        <f t="shared" si="2"/>
        <v>61.3050075872534</v>
      </c>
      <c r="R8" s="219">
        <f t="shared" si="3"/>
        <v>36.8740515933232</v>
      </c>
      <c r="S8" s="219">
        <f t="shared" si="4"/>
        <v>0.303490136570561</v>
      </c>
      <c r="T8" s="219">
        <f t="shared" si="5"/>
        <v>0.606980273141123</v>
      </c>
      <c r="U8" s="219">
        <f t="shared" si="6"/>
        <v>0.455235204855842</v>
      </c>
      <c r="V8" s="219">
        <f t="shared" si="7"/>
        <v>0.455235204855842</v>
      </c>
      <c r="W8" s="219">
        <f t="shared" ref="W8:W12" si="8">Q8-R8</f>
        <v>24.4309559939302</v>
      </c>
      <c r="X8" s="219">
        <f t="shared" ref="X8:X12" si="9">Q8-(R8+S8+T8+U8)</f>
        <v>23.0652503793627</v>
      </c>
      <c r="Y8" s="219" t="str">
        <f t="shared" ref="Y8:Y13" si="10">IF(AND(W8&lt;0,W8&lt;=1),"LOST",IF(AND(W8&gt;1,W8&lt;=10),"NARROW",IF(AND(W8&gt;10,W8&lt;=40),"MEDIUM",IF(AND(W8&gt;40,W8&lt;=90),"STRONG",""))))</f>
        <v>MEDIUM</v>
      </c>
      <c r="Z8" s="285" t="str">
        <f t="shared" ref="Z8:Z13" si="11">IF(AND(P8&lt;0,P8&lt;=10),"WEAK",IF(AND(P8&gt;10,P8&lt;20),"BELOW AVG",IF(AND(P8&gt;20,P8&lt;=60),"MEDIUM",IF(AND(P8&gt;60,P8&lt;=90),"STRONG",""))))</f>
        <v>STRONG</v>
      </c>
      <c r="AA8" s="333" t="str">
        <f t="shared" ref="AA8:AA13" si="12">IF(Q8&gt;R8,"BJP","CONGRESS")</f>
        <v>BJP</v>
      </c>
      <c r="AB8">
        <v>1088</v>
      </c>
      <c r="AD8">
        <v>533</v>
      </c>
      <c r="AF8">
        <v>555</v>
      </c>
      <c r="AH8">
        <v>774</v>
      </c>
      <c r="AJ8">
        <v>152</v>
      </c>
      <c r="AL8">
        <v>162</v>
      </c>
      <c r="AN8" s="248">
        <f t="shared" ref="AN8:AO10" si="13">(AD8/AB8)*100</f>
        <v>48.9889705882353</v>
      </c>
      <c r="AO8" s="316" t="e">
        <f t="shared" si="13"/>
        <v>#DIV/0!</v>
      </c>
      <c r="AP8" s="317">
        <f t="shared" ref="AP8:AQ10" si="14">(AF8/AB8)*100</f>
        <v>51.0110294117647</v>
      </c>
      <c r="AQ8" s="318" t="e">
        <f t="shared" si="14"/>
        <v>#DIV/0!</v>
      </c>
      <c r="AR8" s="318" t="str">
        <f t="shared" ref="AR8:AR12" si="15">IF(AN8&gt;AP8,"MALE DOM","FEMALE DOM")</f>
        <v>FEMALE DOM</v>
      </c>
      <c r="AS8" s="319" t="e">
        <f t="shared" ref="AS8:AS12" si="16">IF(AO8&gt;AP8,"MALE","FEMALE")</f>
        <v>#DIV/0!</v>
      </c>
      <c r="AT8" s="317">
        <f t="shared" ref="AT8:AU10" si="17">(AH8/AB8)*100</f>
        <v>71.1397058823529</v>
      </c>
      <c r="AU8" s="317" t="e">
        <f t="shared" si="17"/>
        <v>#DIV/0!</v>
      </c>
      <c r="AV8" s="248">
        <f t="shared" ref="AV8:AW10" si="18">(AJ8/AB8)*100</f>
        <v>13.9705882352941</v>
      </c>
      <c r="AW8" s="317" t="e">
        <f t="shared" si="18"/>
        <v>#DIV/0!</v>
      </c>
      <c r="AX8" s="248">
        <f t="shared" ref="AX8:AY10" si="19">(AL8/AB8)*100</f>
        <v>14.8897058823529</v>
      </c>
      <c r="AY8" s="317" t="e">
        <f t="shared" si="19"/>
        <v>#DIV/0!</v>
      </c>
      <c r="AZ8" s="248" t="str">
        <f t="shared" ref="AZ8:AZ12" si="20">IF(AT8&gt;(AV8+AX8),"HINDU","MINORITY")</f>
        <v>HINDU</v>
      </c>
      <c r="BA8" s="318" t="e">
        <f t="shared" ref="BA8:BA12" si="21">IF(AU8&gt;(AW8+AY8),"HIND","MINORITY")</f>
        <v>#DIV/0!</v>
      </c>
    </row>
    <row r="9" spans="2:53">
      <c r="B9" s="215">
        <v>139</v>
      </c>
      <c r="C9" s="215">
        <v>729</v>
      </c>
      <c r="D9" s="215">
        <v>285</v>
      </c>
      <c r="E9" s="215">
        <v>85</v>
      </c>
      <c r="F9" s="215">
        <v>1</v>
      </c>
      <c r="G9" s="215">
        <v>5</v>
      </c>
      <c r="H9" s="215">
        <v>0</v>
      </c>
      <c r="I9" s="215">
        <v>0</v>
      </c>
      <c r="J9" s="215">
        <v>0</v>
      </c>
      <c r="K9" s="215">
        <v>0</v>
      </c>
      <c r="L9" s="215">
        <v>376</v>
      </c>
      <c r="M9" s="215">
        <v>0</v>
      </c>
      <c r="N9" s="215">
        <v>0</v>
      </c>
      <c r="O9" s="215">
        <f t="shared" si="0"/>
        <v>376</v>
      </c>
      <c r="P9" s="215">
        <f t="shared" si="1"/>
        <v>51.5775034293553</v>
      </c>
      <c r="Q9" s="215">
        <f t="shared" si="2"/>
        <v>22.6063829787234</v>
      </c>
      <c r="R9" s="215">
        <f t="shared" si="3"/>
        <v>75.7978723404255</v>
      </c>
      <c r="S9" s="215">
        <f t="shared" si="4"/>
        <v>0.265957446808511</v>
      </c>
      <c r="T9" s="215">
        <f t="shared" si="5"/>
        <v>1.32978723404255</v>
      </c>
      <c r="U9" s="215">
        <f t="shared" si="6"/>
        <v>0</v>
      </c>
      <c r="V9" s="215">
        <f t="shared" si="7"/>
        <v>0</v>
      </c>
      <c r="W9" s="215">
        <f t="shared" si="8"/>
        <v>-53.1914893617021</v>
      </c>
      <c r="X9" s="215">
        <f t="shared" si="9"/>
        <v>-54.7872340425532</v>
      </c>
      <c r="Y9" s="215" t="str">
        <f t="shared" si="10"/>
        <v>LOST</v>
      </c>
      <c r="Z9" s="288" t="str">
        <f t="shared" si="11"/>
        <v>MEDIUM</v>
      </c>
      <c r="AA9" s="284" t="str">
        <f t="shared" si="12"/>
        <v>CONGRESS</v>
      </c>
      <c r="AB9">
        <v>726</v>
      </c>
      <c r="AD9">
        <v>391</v>
      </c>
      <c r="AF9">
        <v>335</v>
      </c>
      <c r="AH9">
        <v>258</v>
      </c>
      <c r="AJ9">
        <v>380</v>
      </c>
      <c r="AL9">
        <v>88</v>
      </c>
      <c r="AN9" s="248">
        <f t="shared" si="13"/>
        <v>53.8567493112948</v>
      </c>
      <c r="AO9" s="316" t="e">
        <f t="shared" si="13"/>
        <v>#DIV/0!</v>
      </c>
      <c r="AP9" s="317">
        <f t="shared" si="14"/>
        <v>46.1432506887052</v>
      </c>
      <c r="AQ9" s="318" t="e">
        <f t="shared" si="14"/>
        <v>#DIV/0!</v>
      </c>
      <c r="AR9" s="318" t="str">
        <f t="shared" si="15"/>
        <v>MALE DOM</v>
      </c>
      <c r="AS9" s="319" t="e">
        <f t="shared" si="16"/>
        <v>#DIV/0!</v>
      </c>
      <c r="AT9" s="317">
        <f t="shared" si="17"/>
        <v>35.5371900826446</v>
      </c>
      <c r="AU9" s="317" t="e">
        <f t="shared" si="17"/>
        <v>#DIV/0!</v>
      </c>
      <c r="AV9" s="248">
        <f t="shared" si="18"/>
        <v>52.3415977961432</v>
      </c>
      <c r="AW9" s="317" t="e">
        <f t="shared" si="18"/>
        <v>#DIV/0!</v>
      </c>
      <c r="AX9" s="248">
        <f t="shared" si="19"/>
        <v>12.1212121212121</v>
      </c>
      <c r="AY9" s="317" t="e">
        <f t="shared" si="19"/>
        <v>#DIV/0!</v>
      </c>
      <c r="AZ9" s="248" t="str">
        <f t="shared" si="20"/>
        <v>MINORITY</v>
      </c>
      <c r="BA9" s="318" t="e">
        <f t="shared" si="21"/>
        <v>#DIV/0!</v>
      </c>
    </row>
    <row r="10" spans="2:53">
      <c r="B10" s="215">
        <v>164</v>
      </c>
      <c r="C10" s="215">
        <v>1404</v>
      </c>
      <c r="D10" s="215">
        <v>492</v>
      </c>
      <c r="E10" s="215">
        <v>251</v>
      </c>
      <c r="F10" s="215">
        <v>1</v>
      </c>
      <c r="G10" s="215">
        <v>4</v>
      </c>
      <c r="H10" s="215">
        <v>0</v>
      </c>
      <c r="I10" s="215">
        <v>1</v>
      </c>
      <c r="J10" s="215">
        <v>0</v>
      </c>
      <c r="K10" s="215">
        <v>2</v>
      </c>
      <c r="L10" s="215">
        <v>751</v>
      </c>
      <c r="M10" s="215">
        <v>0</v>
      </c>
      <c r="N10" s="215">
        <v>6</v>
      </c>
      <c r="O10" s="215">
        <f t="shared" si="0"/>
        <v>757</v>
      </c>
      <c r="P10" s="215">
        <f t="shared" si="1"/>
        <v>53.9173789173789</v>
      </c>
      <c r="Q10" s="215">
        <f t="shared" si="2"/>
        <v>33.1571994715984</v>
      </c>
      <c r="R10" s="215">
        <f t="shared" si="3"/>
        <v>64.9933949801849</v>
      </c>
      <c r="S10" s="215">
        <f t="shared" si="4"/>
        <v>0.132100396301189</v>
      </c>
      <c r="T10" s="215">
        <f t="shared" si="5"/>
        <v>0.528401585204756</v>
      </c>
      <c r="U10" s="215">
        <f t="shared" si="6"/>
        <v>0.396301188903567</v>
      </c>
      <c r="V10" s="215">
        <f t="shared" si="7"/>
        <v>0.792602377807133</v>
      </c>
      <c r="W10" s="215">
        <f t="shared" si="8"/>
        <v>-31.8361955085865</v>
      </c>
      <c r="X10" s="215">
        <f t="shared" si="9"/>
        <v>-32.892998678996</v>
      </c>
      <c r="Y10" s="215" t="str">
        <f t="shared" si="10"/>
        <v>LOST</v>
      </c>
      <c r="Z10" s="291" t="str">
        <f t="shared" si="11"/>
        <v>MEDIUM</v>
      </c>
      <c r="AA10" s="284" t="str">
        <f t="shared" si="12"/>
        <v>CONGRESS</v>
      </c>
      <c r="AB10">
        <v>1397</v>
      </c>
      <c r="AC10">
        <v>750</v>
      </c>
      <c r="AD10">
        <v>655</v>
      </c>
      <c r="AE10">
        <v>352</v>
      </c>
      <c r="AF10">
        <v>741</v>
      </c>
      <c r="AG10">
        <v>398</v>
      </c>
      <c r="AH10">
        <v>504</v>
      </c>
      <c r="AI10">
        <v>291</v>
      </c>
      <c r="AJ10">
        <v>563</v>
      </c>
      <c r="AK10">
        <v>297</v>
      </c>
      <c r="AL10">
        <v>330</v>
      </c>
      <c r="AM10">
        <v>162</v>
      </c>
      <c r="AN10" s="248">
        <f t="shared" si="13"/>
        <v>46.8861846814603</v>
      </c>
      <c r="AO10" s="316">
        <f t="shared" si="13"/>
        <v>46.9333333333333</v>
      </c>
      <c r="AP10" s="317">
        <f t="shared" si="14"/>
        <v>53.042233357194</v>
      </c>
      <c r="AQ10" s="318">
        <f t="shared" si="14"/>
        <v>53.0666666666667</v>
      </c>
      <c r="AR10" s="318" t="str">
        <f t="shared" si="15"/>
        <v>FEMALE DOM</v>
      </c>
      <c r="AS10" s="319" t="str">
        <f t="shared" si="16"/>
        <v>FEMALE</v>
      </c>
      <c r="AT10" s="317">
        <f t="shared" si="17"/>
        <v>36.0773085182534</v>
      </c>
      <c r="AU10" s="317">
        <f t="shared" si="17"/>
        <v>38.8</v>
      </c>
      <c r="AV10" s="248">
        <f t="shared" si="18"/>
        <v>40.3006442376521</v>
      </c>
      <c r="AW10" s="317">
        <f t="shared" si="18"/>
        <v>39.6</v>
      </c>
      <c r="AX10" s="248">
        <f t="shared" si="19"/>
        <v>23.6220472440945</v>
      </c>
      <c r="AY10" s="317">
        <f t="shared" si="19"/>
        <v>21.6</v>
      </c>
      <c r="AZ10" s="248" t="str">
        <f t="shared" si="20"/>
        <v>MINORITY</v>
      </c>
      <c r="BA10" s="318" t="str">
        <f t="shared" si="21"/>
        <v>MINORITY</v>
      </c>
    </row>
    <row r="11" spans="2:53">
      <c r="B11" s="215">
        <v>165</v>
      </c>
      <c r="C11" s="215">
        <v>1271</v>
      </c>
      <c r="D11" s="215">
        <v>458</v>
      </c>
      <c r="E11" s="215">
        <v>208</v>
      </c>
      <c r="F11" s="215">
        <v>1</v>
      </c>
      <c r="G11" s="215">
        <v>5</v>
      </c>
      <c r="H11" s="215">
        <v>0</v>
      </c>
      <c r="I11" s="215">
        <v>0</v>
      </c>
      <c r="J11" s="215">
        <v>0</v>
      </c>
      <c r="K11" s="215">
        <v>1</v>
      </c>
      <c r="L11" s="215">
        <v>673</v>
      </c>
      <c r="M11" s="215">
        <v>0</v>
      </c>
      <c r="N11" s="215">
        <v>9</v>
      </c>
      <c r="O11" s="215">
        <f t="shared" si="0"/>
        <v>682</v>
      </c>
      <c r="P11" s="215">
        <f t="shared" si="1"/>
        <v>53.6585365853659</v>
      </c>
      <c r="Q11" s="215">
        <f t="shared" si="2"/>
        <v>30.4985337243402</v>
      </c>
      <c r="R11" s="215">
        <f t="shared" si="3"/>
        <v>67.1554252199413</v>
      </c>
      <c r="S11" s="215">
        <f t="shared" si="4"/>
        <v>0.146627565982405</v>
      </c>
      <c r="T11" s="215">
        <f t="shared" si="5"/>
        <v>0.733137829912023</v>
      </c>
      <c r="U11" s="215">
        <f t="shared" si="6"/>
        <v>0.146627565982405</v>
      </c>
      <c r="V11" s="215">
        <f t="shared" si="7"/>
        <v>1.31964809384164</v>
      </c>
      <c r="W11" s="215">
        <f t="shared" si="8"/>
        <v>-36.6568914956012</v>
      </c>
      <c r="X11" s="215">
        <f t="shared" si="9"/>
        <v>-37.683284457478</v>
      </c>
      <c r="Y11" s="215" t="str">
        <f t="shared" si="10"/>
        <v>LOST</v>
      </c>
      <c r="Z11" s="342" t="str">
        <f t="shared" si="11"/>
        <v>MEDIUM</v>
      </c>
      <c r="AA11" s="284" t="str">
        <f t="shared" si="12"/>
        <v>CONGRESS</v>
      </c>
      <c r="AB11" s="334">
        <v>1261</v>
      </c>
      <c r="AC11" s="334"/>
      <c r="AD11" s="334">
        <v>595</v>
      </c>
      <c r="AE11" s="334"/>
      <c r="AF11" s="334">
        <v>666</v>
      </c>
      <c r="AG11" s="334"/>
      <c r="AH11" s="334">
        <v>409</v>
      </c>
      <c r="AI11" s="334"/>
      <c r="AJ11" s="334">
        <v>652</v>
      </c>
      <c r="AK11" s="334"/>
      <c r="AL11" s="334">
        <v>200</v>
      </c>
      <c r="AM11" s="334"/>
      <c r="AN11" s="248">
        <f>(AD11/AB11)*100</f>
        <v>47.1847739888977</v>
      </c>
      <c r="AO11" s="316" t="e">
        <f>(AE11/AC11)*100</f>
        <v>#DIV/0!</v>
      </c>
      <c r="AP11" s="317">
        <f>(AF11/AB11)*100</f>
        <v>52.8152260111023</v>
      </c>
      <c r="AQ11" s="318" t="e">
        <f>(AG11/AC11)*100</f>
        <v>#DIV/0!</v>
      </c>
      <c r="AR11" s="318" t="str">
        <f t="shared" si="15"/>
        <v>FEMALE DOM</v>
      </c>
      <c r="AS11" s="319" t="e">
        <f t="shared" si="16"/>
        <v>#DIV/0!</v>
      </c>
      <c r="AT11" s="317">
        <f>(AH11/AB11)*100</f>
        <v>32.4345757335448</v>
      </c>
      <c r="AU11" s="317" t="e">
        <f>(AI11/AC11)*100</f>
        <v>#DIV/0!</v>
      </c>
      <c r="AV11" s="248">
        <f>(AJ11/AB11)*100</f>
        <v>51.704996034893</v>
      </c>
      <c r="AW11" s="317" t="e">
        <f>(AK11/AC11)*100</f>
        <v>#DIV/0!</v>
      </c>
      <c r="AX11" s="248">
        <f>(AL11/AB11)*100</f>
        <v>15.8604282315623</v>
      </c>
      <c r="AY11" s="317" t="e">
        <f>(AM11/AC11)*100</f>
        <v>#DIV/0!</v>
      </c>
      <c r="AZ11" s="248" t="str">
        <f t="shared" si="20"/>
        <v>MINORITY</v>
      </c>
      <c r="BA11" s="318" t="e">
        <f t="shared" si="21"/>
        <v>#DIV/0!</v>
      </c>
    </row>
    <row r="12" spans="2:53">
      <c r="B12" s="215">
        <v>166</v>
      </c>
      <c r="C12" s="215">
        <v>1143</v>
      </c>
      <c r="D12" s="215">
        <v>411</v>
      </c>
      <c r="E12" s="215">
        <v>178</v>
      </c>
      <c r="F12" s="215">
        <v>2</v>
      </c>
      <c r="G12" s="215">
        <v>2</v>
      </c>
      <c r="H12" s="215">
        <v>0</v>
      </c>
      <c r="I12" s="215">
        <v>1</v>
      </c>
      <c r="J12" s="215">
        <v>1</v>
      </c>
      <c r="K12" s="215">
        <v>0</v>
      </c>
      <c r="L12" s="215">
        <v>595</v>
      </c>
      <c r="M12" s="215">
        <v>0</v>
      </c>
      <c r="N12" s="215">
        <v>3</v>
      </c>
      <c r="O12" s="215">
        <f t="shared" si="0"/>
        <v>598</v>
      </c>
      <c r="P12" s="215">
        <f t="shared" si="1"/>
        <v>52.3184601924759</v>
      </c>
      <c r="Q12" s="215">
        <f t="shared" si="2"/>
        <v>29.7658862876254</v>
      </c>
      <c r="R12" s="215">
        <f t="shared" si="3"/>
        <v>68.7290969899665</v>
      </c>
      <c r="S12" s="215">
        <f t="shared" si="4"/>
        <v>0.334448160535117</v>
      </c>
      <c r="T12" s="215">
        <f t="shared" si="5"/>
        <v>0.334448160535117</v>
      </c>
      <c r="U12" s="215">
        <f t="shared" si="6"/>
        <v>0.334448160535117</v>
      </c>
      <c r="V12" s="215">
        <f t="shared" si="7"/>
        <v>0.501672240802676</v>
      </c>
      <c r="W12" s="215">
        <f t="shared" si="8"/>
        <v>-38.9632107023411</v>
      </c>
      <c r="X12" s="215">
        <f t="shared" si="9"/>
        <v>-39.9665551839465</v>
      </c>
      <c r="Y12" s="215" t="str">
        <f t="shared" si="10"/>
        <v>LOST</v>
      </c>
      <c r="Z12" s="342" t="str">
        <f t="shared" si="11"/>
        <v>MEDIUM</v>
      </c>
      <c r="AA12" s="284" t="str">
        <f t="shared" si="12"/>
        <v>CONGRESS</v>
      </c>
      <c r="AB12" s="334">
        <v>1140</v>
      </c>
      <c r="AC12" s="334">
        <v>592</v>
      </c>
      <c r="AD12" s="334">
        <v>511</v>
      </c>
      <c r="AE12" s="334">
        <v>263</v>
      </c>
      <c r="AF12" s="334">
        <v>628</v>
      </c>
      <c r="AG12" s="334">
        <v>328</v>
      </c>
      <c r="AH12" s="334">
        <v>367</v>
      </c>
      <c r="AI12" s="334">
        <v>200</v>
      </c>
      <c r="AJ12" s="334">
        <v>393</v>
      </c>
      <c r="AK12" s="334">
        <v>210</v>
      </c>
      <c r="AL12" s="334">
        <v>380</v>
      </c>
      <c r="AM12" s="334">
        <v>182</v>
      </c>
      <c r="AN12" s="248">
        <f>(AD12/AB12)*100</f>
        <v>44.8245614035088</v>
      </c>
      <c r="AO12" s="316">
        <f>(AE12/AC12)*100</f>
        <v>44.4256756756757</v>
      </c>
      <c r="AP12" s="317">
        <f>(AF12/AB12)*100</f>
        <v>55.0877192982456</v>
      </c>
      <c r="AQ12" s="318">
        <f>(AG12/AC12)*100</f>
        <v>55.4054054054054</v>
      </c>
      <c r="AR12" s="318" t="str">
        <f t="shared" si="15"/>
        <v>FEMALE DOM</v>
      </c>
      <c r="AS12" s="319" t="str">
        <f t="shared" si="16"/>
        <v>FEMALE</v>
      </c>
      <c r="AT12" s="317">
        <f>(AH12/AB12)*100</f>
        <v>32.1929824561403</v>
      </c>
      <c r="AU12" s="317">
        <f>(AI12/AC12)*100</f>
        <v>33.7837837837838</v>
      </c>
      <c r="AV12" s="248">
        <f>(AJ12/AB12)*100</f>
        <v>34.4736842105263</v>
      </c>
      <c r="AW12" s="317">
        <f>(AK12/AC12)*100</f>
        <v>35.472972972973</v>
      </c>
      <c r="AX12" s="248">
        <f>(AL12/AB12)*100</f>
        <v>33.3333333333333</v>
      </c>
      <c r="AY12" s="317">
        <f>(AM12/AC12)*100</f>
        <v>30.7432432432432</v>
      </c>
      <c r="AZ12" s="248" t="str">
        <f t="shared" si="20"/>
        <v>MINORITY</v>
      </c>
      <c r="BA12" s="318" t="str">
        <f t="shared" si="21"/>
        <v>MINORITY</v>
      </c>
    </row>
    <row r="13" spans="2:27">
      <c r="B13" s="215"/>
      <c r="C13" s="215">
        <f t="shared" ref="C13:O13" si="22">SUM(C7:C12)</f>
        <v>6738</v>
      </c>
      <c r="D13" s="215">
        <f t="shared" si="22"/>
        <v>2200</v>
      </c>
      <c r="E13" s="215">
        <f t="shared" si="22"/>
        <v>1467</v>
      </c>
      <c r="F13" s="215">
        <f t="shared" si="22"/>
        <v>7</v>
      </c>
      <c r="G13" s="215">
        <f t="shared" si="22"/>
        <v>25</v>
      </c>
      <c r="H13" s="215">
        <f t="shared" si="22"/>
        <v>0</v>
      </c>
      <c r="I13" s="215">
        <f t="shared" si="22"/>
        <v>2</v>
      </c>
      <c r="J13" s="215">
        <f t="shared" si="22"/>
        <v>3</v>
      </c>
      <c r="K13" s="215">
        <f t="shared" si="22"/>
        <v>4</v>
      </c>
      <c r="L13" s="215">
        <f t="shared" si="22"/>
        <v>3708</v>
      </c>
      <c r="M13" s="215">
        <f t="shared" si="22"/>
        <v>0</v>
      </c>
      <c r="N13" s="215">
        <f t="shared" si="22"/>
        <v>27</v>
      </c>
      <c r="O13" s="215">
        <f t="shared" si="22"/>
        <v>3735</v>
      </c>
      <c r="P13" s="215">
        <f t="shared" ref="P13:X13" si="23">AVERAGE(P7:P12)</f>
        <v>55.3578608287367</v>
      </c>
      <c r="Q13" s="215">
        <f t="shared" si="23"/>
        <v>38.1276484823644</v>
      </c>
      <c r="R13" s="215">
        <f t="shared" si="23"/>
        <v>60.0763058484432</v>
      </c>
      <c r="S13" s="215">
        <f t="shared" si="23"/>
        <v>0.197103951032964</v>
      </c>
      <c r="T13" s="215">
        <f t="shared" si="23"/>
        <v>0.714483815967819</v>
      </c>
      <c r="U13" s="215">
        <f t="shared" si="23"/>
        <v>0.222102020046155</v>
      </c>
      <c r="V13" s="215">
        <f t="shared" si="23"/>
        <v>0.662355882145484</v>
      </c>
      <c r="W13" s="215">
        <f t="shared" si="23"/>
        <v>-21.9486573660788</v>
      </c>
      <c r="X13" s="215">
        <f t="shared" si="23"/>
        <v>-23.0823471531257</v>
      </c>
      <c r="Y13" s="215" t="str">
        <f t="shared" si="10"/>
        <v>LOST</v>
      </c>
      <c r="Z13" s="342" t="str">
        <f t="shared" si="11"/>
        <v>MEDIUM</v>
      </c>
      <c r="AA13" s="284" t="str">
        <f t="shared" si="12"/>
        <v>CONGRESS</v>
      </c>
    </row>
    <row r="15" spans="15:32">
      <c r="O15" s="225" t="s">
        <v>205</v>
      </c>
      <c r="P15" s="237"/>
      <c r="Q15" s="237"/>
      <c r="R15" s="238"/>
      <c r="T15" s="225" t="s">
        <v>97</v>
      </c>
      <c r="U15" s="237"/>
      <c r="V15" s="237"/>
      <c r="W15" s="238"/>
      <c r="Y15" s="265" t="s">
        <v>98</v>
      </c>
      <c r="Z15" s="265"/>
      <c r="AA15" s="265"/>
      <c r="AB15" s="265"/>
      <c r="AC15" s="265"/>
      <c r="AD15" s="265"/>
      <c r="AE15" s="265"/>
      <c r="AF15" s="265"/>
    </row>
    <row r="16" spans="15:32">
      <c r="O16" s="226"/>
      <c r="P16" s="239"/>
      <c r="Q16" s="239"/>
      <c r="R16" s="240"/>
      <c r="T16" s="241"/>
      <c r="U16" s="242"/>
      <c r="V16" s="242"/>
      <c r="W16" s="243"/>
      <c r="Y16" s="265"/>
      <c r="Z16" s="265"/>
      <c r="AA16" s="265"/>
      <c r="AB16" s="265"/>
      <c r="AC16" s="265"/>
      <c r="AD16" s="265"/>
      <c r="AE16" s="265"/>
      <c r="AF16" s="265"/>
    </row>
    <row r="17" spans="15:32">
      <c r="O17" s="227" t="s">
        <v>99</v>
      </c>
      <c r="P17" s="244"/>
      <c r="Q17" s="245"/>
      <c r="R17" s="245">
        <f>COUNTIF(AA7:AA12,"BJP")</f>
        <v>2</v>
      </c>
      <c r="T17" s="246" t="s">
        <v>100</v>
      </c>
      <c r="U17" s="247"/>
      <c r="V17" s="247"/>
      <c r="W17" s="248">
        <f>COUNTIF(Y7:Y12,"NARROW")</f>
        <v>1</v>
      </c>
      <c r="Y17" s="265" t="s">
        <v>101</v>
      </c>
      <c r="Z17" s="265"/>
      <c r="AA17" s="265"/>
      <c r="AB17" s="265">
        <f>'MILAGRESS-18'!E7</f>
        <v>39.4098711436628</v>
      </c>
      <c r="AC17" s="265" t="s">
        <v>102</v>
      </c>
      <c r="AD17" s="265"/>
      <c r="AE17" s="265"/>
      <c r="AF17" s="265">
        <f>Q13</f>
        <v>38.1276484823644</v>
      </c>
    </row>
    <row r="18" spans="15:32">
      <c r="O18" s="227"/>
      <c r="P18" s="244"/>
      <c r="Q18" s="245"/>
      <c r="R18" s="245"/>
      <c r="T18" s="249"/>
      <c r="U18" s="250"/>
      <c r="V18" s="250"/>
      <c r="W18" s="251"/>
      <c r="Y18" s="265"/>
      <c r="Z18" s="265"/>
      <c r="AA18" s="265"/>
      <c r="AB18" s="265"/>
      <c r="AC18" s="265"/>
      <c r="AD18" s="265"/>
      <c r="AE18" s="265"/>
      <c r="AF18" s="265"/>
    </row>
    <row r="19" spans="15:32">
      <c r="O19" s="227"/>
      <c r="P19" s="244"/>
      <c r="Q19" s="245"/>
      <c r="R19" s="245"/>
      <c r="T19" s="252" t="s">
        <v>103</v>
      </c>
      <c r="U19" s="253"/>
      <c r="V19" s="253"/>
      <c r="W19" s="248">
        <f>COUNTIF(Y7:Y12,"MEDIUM")</f>
        <v>1</v>
      </c>
      <c r="Y19" s="265" t="s">
        <v>104</v>
      </c>
      <c r="Z19" s="265"/>
      <c r="AA19" s="265"/>
      <c r="AB19" s="265">
        <f>'MILAGRESS-18'!G7</f>
        <v>58.919849527484</v>
      </c>
      <c r="AC19" s="265" t="s">
        <v>105</v>
      </c>
      <c r="AD19" s="265"/>
      <c r="AE19" s="265"/>
      <c r="AF19" s="265">
        <f>R13</f>
        <v>60.0763058484432</v>
      </c>
    </row>
    <row r="20" spans="15:32">
      <c r="O20" s="228" t="s">
        <v>106</v>
      </c>
      <c r="P20" s="254"/>
      <c r="Q20" s="255"/>
      <c r="R20" s="255">
        <f>COUNTIF(AA7:AA12,"CONGRESS")</f>
        <v>4</v>
      </c>
      <c r="T20" s="252"/>
      <c r="U20" s="253"/>
      <c r="V20" s="253"/>
      <c r="W20" s="251"/>
      <c r="Y20" s="265"/>
      <c r="Z20" s="265"/>
      <c r="AA20" s="265"/>
      <c r="AB20" s="265"/>
      <c r="AC20" s="265"/>
      <c r="AD20" s="265"/>
      <c r="AE20" s="265"/>
      <c r="AF20" s="265"/>
    </row>
    <row r="21" spans="15:32">
      <c r="O21" s="229"/>
      <c r="P21" s="256"/>
      <c r="Q21" s="257"/>
      <c r="R21" s="257"/>
      <c r="T21" s="258" t="s">
        <v>107</v>
      </c>
      <c r="U21" s="259"/>
      <c r="V21" s="259"/>
      <c r="W21" s="248">
        <f>COUNTIF(Y7:Y12,"STRONG")</f>
        <v>0</v>
      </c>
      <c r="Y21" s="265" t="s">
        <v>108</v>
      </c>
      <c r="Z21" s="265"/>
      <c r="AA21" s="265"/>
      <c r="AB21" s="265">
        <f>'MILAGRESS-18'!C7</f>
        <v>3780</v>
      </c>
      <c r="AC21" s="265" t="s">
        <v>109</v>
      </c>
      <c r="AD21" s="265"/>
      <c r="AE21" s="265"/>
      <c r="AF21" s="265">
        <f>O13</f>
        <v>3735</v>
      </c>
    </row>
    <row r="22" spans="15:32">
      <c r="O22" s="230"/>
      <c r="P22" s="260"/>
      <c r="Q22" s="261"/>
      <c r="R22" s="261"/>
      <c r="T22" s="262"/>
      <c r="U22" s="263"/>
      <c r="V22" s="263"/>
      <c r="W22" s="251"/>
      <c r="Y22" s="265"/>
      <c r="Z22" s="265"/>
      <c r="AA22" s="265"/>
      <c r="AB22" s="265"/>
      <c r="AC22" s="265"/>
      <c r="AD22" s="265"/>
      <c r="AE22" s="265"/>
      <c r="AF22" s="265"/>
    </row>
    <row r="23" spans="20:32">
      <c r="T23" s="229" t="s">
        <v>110</v>
      </c>
      <c r="U23" s="256"/>
      <c r="V23" s="256"/>
      <c r="W23" s="248">
        <f>COUNTIF(Y7:Y12,"LOST")</f>
        <v>4</v>
      </c>
      <c r="Y23" s="265" t="s">
        <v>111</v>
      </c>
      <c r="Z23" s="265"/>
      <c r="AA23" s="265"/>
      <c r="AB23" s="265">
        <f>AB17-AB19</f>
        <v>-19.5099783838211</v>
      </c>
      <c r="AC23" s="265" t="s">
        <v>111</v>
      </c>
      <c r="AD23" s="265"/>
      <c r="AE23" s="265"/>
      <c r="AF23" s="265">
        <f>AF17-AF19</f>
        <v>-21.9486573660788</v>
      </c>
    </row>
    <row r="24" spans="20:32">
      <c r="T24" s="230"/>
      <c r="U24" s="260"/>
      <c r="V24" s="260"/>
      <c r="W24" s="251"/>
      <c r="Y24" s="265"/>
      <c r="Z24" s="265"/>
      <c r="AA24" s="265"/>
      <c r="AB24" s="265"/>
      <c r="AC24" s="265"/>
      <c r="AD24" s="265"/>
      <c r="AE24" s="265"/>
      <c r="AF24" s="265"/>
    </row>
    <row r="25" spans="25:31">
      <c r="Y25" s="265" t="s">
        <v>112</v>
      </c>
      <c r="Z25" s="265"/>
      <c r="AA25" s="265"/>
      <c r="AB25" s="265">
        <f>AF17-AB17</f>
        <v>-1.28222266129845</v>
      </c>
      <c r="AC25" s="265"/>
      <c r="AD25" s="265"/>
      <c r="AE25" s="265"/>
    </row>
    <row r="26" spans="25:31">
      <c r="Y26" s="265"/>
      <c r="Z26" s="265"/>
      <c r="AA26" s="265"/>
      <c r="AB26" s="265"/>
      <c r="AC26" s="265"/>
      <c r="AD26" s="265"/>
      <c r="AE26" s="265"/>
    </row>
    <row r="27" spans="25:31">
      <c r="Y27" s="265" t="s">
        <v>113</v>
      </c>
      <c r="Z27" s="265"/>
      <c r="AA27" s="265"/>
      <c r="AB27" s="265">
        <f>AF19-AB19</f>
        <v>1.15645632095919</v>
      </c>
      <c r="AC27" s="265"/>
      <c r="AD27" s="265"/>
      <c r="AE27" s="265"/>
    </row>
    <row r="28" spans="25:31">
      <c r="Y28" s="265"/>
      <c r="Z28" s="265"/>
      <c r="AA28" s="265"/>
      <c r="AB28" s="265"/>
      <c r="AC28" s="265"/>
      <c r="AD28" s="265"/>
      <c r="AE28" s="265"/>
    </row>
    <row r="29" spans="25:31">
      <c r="Y29" s="265" t="s">
        <v>114</v>
      </c>
      <c r="Z29" s="265"/>
      <c r="AA29" s="265"/>
      <c r="AB29" s="265" t="str">
        <f>IF(AB25&gt;AB27,"INCREASE","DECREASE")</f>
        <v>DECREASE</v>
      </c>
      <c r="AC29" s="265"/>
      <c r="AD29" s="265"/>
      <c r="AE29" s="265"/>
    </row>
    <row r="30" spans="25:31">
      <c r="Y30" s="265"/>
      <c r="Z30" s="265"/>
      <c r="AA30" s="265"/>
      <c r="AB30" s="265"/>
      <c r="AC30" s="265"/>
      <c r="AD30" s="265"/>
      <c r="AE30" s="265"/>
    </row>
    <row r="31" spans="25:32">
      <c r="Y31" s="265">
        <v>0</v>
      </c>
      <c r="Z31" s="265"/>
      <c r="AA31" s="265"/>
      <c r="AB31" s="265"/>
      <c r="AC31" s="265"/>
      <c r="AD31" s="265"/>
      <c r="AE31" s="265"/>
      <c r="AF31" s="265"/>
    </row>
    <row r="32" spans="25:32">
      <c r="Y32" s="265"/>
      <c r="Z32" s="265"/>
      <c r="AA32" s="265"/>
      <c r="AB32" s="265"/>
      <c r="AC32" s="265"/>
      <c r="AD32" s="265"/>
      <c r="AE32" s="265"/>
      <c r="AF32" s="265"/>
    </row>
    <row r="33" spans="25:32">
      <c r="Y33" s="265"/>
      <c r="Z33" s="265"/>
      <c r="AA33" s="265"/>
      <c r="AB33" s="265"/>
      <c r="AC33" s="265"/>
      <c r="AD33" s="265"/>
      <c r="AE33" s="265"/>
      <c r="AF33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O1:O6"/>
    <mergeCell ref="P1:P6"/>
    <mergeCell ref="Q1:Q6"/>
    <mergeCell ref="R1:R6"/>
    <mergeCell ref="R17:R19"/>
    <mergeCell ref="R20:R22"/>
    <mergeCell ref="S1:S6"/>
    <mergeCell ref="T1:T6"/>
    <mergeCell ref="U1:U6"/>
    <mergeCell ref="V1:V6"/>
    <mergeCell ref="W1:W6"/>
    <mergeCell ref="W17:W18"/>
    <mergeCell ref="W19:W20"/>
    <mergeCell ref="W21:W22"/>
    <mergeCell ref="W23:W24"/>
    <mergeCell ref="X1:X6"/>
    <mergeCell ref="Y1:Y6"/>
    <mergeCell ref="Z1:Z6"/>
    <mergeCell ref="AA1:AA6"/>
    <mergeCell ref="AB1:AB6"/>
    <mergeCell ref="AB17:AB18"/>
    <mergeCell ref="AB19:AB20"/>
    <mergeCell ref="AB21:AB22"/>
    <mergeCell ref="AB23:AB24"/>
    <mergeCell ref="AC1:AC6"/>
    <mergeCell ref="AD1:AD6"/>
    <mergeCell ref="AE1:AE6"/>
    <mergeCell ref="AF1:AF6"/>
    <mergeCell ref="AF17:AF18"/>
    <mergeCell ref="AF19:AF20"/>
    <mergeCell ref="AF21:AF22"/>
    <mergeCell ref="AF23:AF24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T23:V24"/>
    <mergeCell ref="AC23:AE24"/>
    <mergeCell ref="O15:R16"/>
    <mergeCell ref="T15:W16"/>
    <mergeCell ref="O17:Q19"/>
    <mergeCell ref="T17:V18"/>
    <mergeCell ref="AC17:AE18"/>
    <mergeCell ref="T19:V20"/>
    <mergeCell ref="AC19:AE20"/>
    <mergeCell ref="O20:Q22"/>
    <mergeCell ref="T21:V22"/>
    <mergeCell ref="AC21:AE22"/>
    <mergeCell ref="Y15:AF16"/>
    <mergeCell ref="Y17:AA18"/>
    <mergeCell ref="Y19:AA20"/>
    <mergeCell ref="Y21:AA22"/>
    <mergeCell ref="Y23:AA24"/>
    <mergeCell ref="Y25:AA26"/>
    <mergeCell ref="AB25:AE26"/>
    <mergeCell ref="Y31:AF33"/>
    <mergeCell ref="Y27:AA28"/>
    <mergeCell ref="AB27:AE28"/>
    <mergeCell ref="Y29:AA30"/>
    <mergeCell ref="AB29:AC30"/>
    <mergeCell ref="AD29:AE30"/>
  </mergeCells>
  <conditionalFormatting sqref="AR7:AR12">
    <cfRule type="containsText" dxfId="6" priority="1" operator="between" text="FEMALE DOM">
      <formula>NOT(ISERROR(SEARCH("FEMALE DOM",AR7)))</formula>
    </cfRule>
  </conditionalFormatting>
  <conditionalFormatting sqref="AZ7:AZ12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2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"/>
  <sheetViews>
    <sheetView workbookViewId="0">
      <selection activeCell="A1" sqref="A1:AJ1"/>
    </sheetView>
  </sheetViews>
  <sheetFormatPr defaultColWidth="9" defaultRowHeight="14.5" outlineLevelRow="6"/>
  <cols>
    <col min="1" max="1" width="11.7090909090909" customWidth="1"/>
  </cols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126</v>
      </c>
      <c r="B2" s="185" t="s">
        <v>332</v>
      </c>
      <c r="C2" s="184">
        <v>961</v>
      </c>
      <c r="D2" s="184">
        <v>487</v>
      </c>
      <c r="E2" s="184">
        <f t="shared" ref="E2:E6" si="0">(D2/C2)*100</f>
        <v>50.6763787721124</v>
      </c>
      <c r="F2" s="184">
        <v>449</v>
      </c>
      <c r="G2" s="184">
        <f t="shared" ref="G2:G6" si="1">(F2/C2)*100</f>
        <v>46.7221644120708</v>
      </c>
      <c r="H2" s="184">
        <v>4</v>
      </c>
      <c r="I2" s="184">
        <f t="shared" ref="I2:I6" si="2">(H2/C2)*100</f>
        <v>0.416233090530697</v>
      </c>
      <c r="J2" s="184">
        <v>11</v>
      </c>
      <c r="K2" s="184">
        <f t="shared" ref="K2:K6" si="3">(J2/C2)*100</f>
        <v>1.14464099895942</v>
      </c>
      <c r="L2" s="189">
        <v>801</v>
      </c>
      <c r="M2" s="189">
        <v>787</v>
      </c>
      <c r="N2" s="189">
        <f t="shared" ref="N2:N6" si="4">L2+M2</f>
        <v>1588</v>
      </c>
      <c r="O2" s="184">
        <v>961</v>
      </c>
      <c r="P2" s="190">
        <f t="shared" ref="P2:P6" si="5">O2/N2*100</f>
        <v>60.5163727959698</v>
      </c>
      <c r="Q2" s="184">
        <v>953</v>
      </c>
      <c r="R2" s="184">
        <f t="shared" ref="R2:R6" si="6">(Q2/N2)*100</f>
        <v>60.0125944584383</v>
      </c>
      <c r="S2" s="184">
        <f t="shared" ref="S2:S6" si="7">Q2-U2</f>
        <v>775</v>
      </c>
      <c r="T2" s="184">
        <f t="shared" ref="T2:T6" si="8">(S2/Q2)*100</f>
        <v>81.3221406086044</v>
      </c>
      <c r="U2" s="184">
        <v>178</v>
      </c>
      <c r="V2" s="191">
        <f t="shared" ref="V2:V6" si="9">IFERROR(U2/Q2*100,0)</f>
        <v>18.6778593913956</v>
      </c>
      <c r="W2" s="184">
        <f>359+276</f>
        <v>635</v>
      </c>
      <c r="X2" s="184">
        <f t="shared" ref="X2:X6" si="10">100-R2</f>
        <v>39.9874055415617</v>
      </c>
      <c r="Y2" s="184">
        <f t="shared" ref="Y2:Y6" si="11">W2-AA2</f>
        <v>335</v>
      </c>
      <c r="Z2" s="193">
        <f t="shared" ref="Z2:Z6" si="12">(Y2/W2)*100</f>
        <v>52.755905511811</v>
      </c>
      <c r="AA2" s="193">
        <v>300</v>
      </c>
      <c r="AB2" s="194">
        <f t="shared" ref="AB2:AB6" si="13">IFERROR(AA2/W2*100,0)</f>
        <v>47.244094488189</v>
      </c>
      <c r="AC2" s="193">
        <f t="shared" ref="AC2:AC6" si="14">U2+AA2</f>
        <v>478</v>
      </c>
      <c r="AD2" s="193" t="str">
        <f t="shared" ref="AD2:AD6" si="15">IF(P2&gt;80,"EXCELLENT",IF(P2&gt;70,"STRONG",IF(P2&gt;60,"AVG",IF(P2&gt;50,"WEAK",IF(P2&lt;50,"VLOW")))))</f>
        <v>AVG</v>
      </c>
      <c r="AE2" s="195" t="str">
        <f t="shared" ref="AE2:AE6" si="16">IF(R2&gt;80,"EXCELLENT",IF(R2&gt;70,"STRONG",IF(R2&gt;60,"AVG",IF(R2&gt;50,"WEAK",IF(R2&lt;50,"VLOW")))))</f>
        <v>AVG</v>
      </c>
      <c r="AF2" s="193" t="str">
        <f t="shared" ref="AF2:AF6" si="17">IF(X2&gt;80,"EXCELLENT",IF(X2&gt;70,"STRONG",IF(X2&gt;60,"AVG",IF(X2&gt;50,"WEAK",IF(X2&lt;50,"VLOW")))))</f>
        <v>VLOW</v>
      </c>
      <c r="AG2" s="193" t="str">
        <f t="shared" ref="AG2:AG6" si="18">IF(M2&gt;L2,"FEMALE DOM","MEN")</f>
        <v>MEN</v>
      </c>
      <c r="AH2" s="193" t="str">
        <f t="shared" ref="AH2:AH6" si="19">IF(T2&gt;Z2,"H","O")</f>
        <v>H</v>
      </c>
      <c r="AI2" s="197">
        <f>E2-G2</f>
        <v>3.95421436004163</v>
      </c>
      <c r="AJ2" s="199" t="str">
        <f t="shared" ref="AJ2:AJ7" si="20">IF(E2&gt;G2,"BJP GAIN","CONGRESSGAIN")</f>
        <v>BJP GAIN</v>
      </c>
    </row>
    <row r="3" spans="1:36">
      <c r="A3" s="184">
        <v>127</v>
      </c>
      <c r="B3" s="185" t="s">
        <v>333</v>
      </c>
      <c r="C3" s="184">
        <v>677</v>
      </c>
      <c r="D3" s="184">
        <v>349</v>
      </c>
      <c r="E3" s="184">
        <f t="shared" si="0"/>
        <v>51.5509601181684</v>
      </c>
      <c r="F3" s="184">
        <v>315</v>
      </c>
      <c r="G3" s="184">
        <f t="shared" si="1"/>
        <v>46.5288035450517</v>
      </c>
      <c r="H3" s="184">
        <v>0</v>
      </c>
      <c r="I3" s="184">
        <f t="shared" si="2"/>
        <v>0</v>
      </c>
      <c r="J3" s="184">
        <v>0</v>
      </c>
      <c r="K3" s="184">
        <f t="shared" si="3"/>
        <v>0</v>
      </c>
      <c r="L3" s="189">
        <v>508</v>
      </c>
      <c r="M3" s="189">
        <v>554</v>
      </c>
      <c r="N3" s="189">
        <f t="shared" si="4"/>
        <v>1062</v>
      </c>
      <c r="O3" s="184">
        <v>677</v>
      </c>
      <c r="P3" s="190">
        <f t="shared" si="5"/>
        <v>63.7476459510358</v>
      </c>
      <c r="Q3" s="184">
        <v>584</v>
      </c>
      <c r="R3" s="184">
        <f t="shared" si="6"/>
        <v>54.9905838041431</v>
      </c>
      <c r="S3" s="192">
        <f t="shared" si="7"/>
        <v>182</v>
      </c>
      <c r="T3" s="184">
        <f t="shared" si="8"/>
        <v>31.1643835616438</v>
      </c>
      <c r="U3" s="184">
        <v>402</v>
      </c>
      <c r="V3" s="191">
        <f t="shared" si="9"/>
        <v>68.8356164383562</v>
      </c>
      <c r="W3" s="184">
        <v>475</v>
      </c>
      <c r="X3" s="184">
        <f t="shared" si="10"/>
        <v>45.0094161958569</v>
      </c>
      <c r="Y3" s="196">
        <f t="shared" si="11"/>
        <v>205</v>
      </c>
      <c r="Z3" s="193">
        <f t="shared" si="12"/>
        <v>43.1578947368421</v>
      </c>
      <c r="AA3" s="193">
        <v>270</v>
      </c>
      <c r="AB3" s="194">
        <f t="shared" si="13"/>
        <v>56.8421052631579</v>
      </c>
      <c r="AC3" s="193">
        <f t="shared" si="14"/>
        <v>672</v>
      </c>
      <c r="AD3" s="193" t="str">
        <f t="shared" si="15"/>
        <v>AVG</v>
      </c>
      <c r="AE3" s="195" t="str">
        <f t="shared" si="16"/>
        <v>WEAK</v>
      </c>
      <c r="AF3" s="193" t="str">
        <f t="shared" si="17"/>
        <v>VLOW</v>
      </c>
      <c r="AG3" s="193" t="str">
        <f t="shared" si="18"/>
        <v>FEMALE DOM</v>
      </c>
      <c r="AH3" s="193" t="str">
        <f t="shared" si="19"/>
        <v>O</v>
      </c>
      <c r="AI3" s="197">
        <f>E3-G3</f>
        <v>5.02215657311669</v>
      </c>
      <c r="AJ3" s="199" t="str">
        <f t="shared" si="20"/>
        <v>BJP GAIN</v>
      </c>
    </row>
    <row r="4" spans="1:36">
      <c r="A4" s="184">
        <v>150</v>
      </c>
      <c r="B4" s="185" t="s">
        <v>334</v>
      </c>
      <c r="C4" s="184">
        <v>697</v>
      </c>
      <c r="D4" s="184">
        <v>253</v>
      </c>
      <c r="E4" s="184">
        <f t="shared" si="0"/>
        <v>36.2984218077475</v>
      </c>
      <c r="F4" s="184">
        <v>434</v>
      </c>
      <c r="G4" s="184">
        <f t="shared" si="1"/>
        <v>62.2668579626973</v>
      </c>
      <c r="H4" s="184">
        <v>0</v>
      </c>
      <c r="I4" s="184">
        <f t="shared" si="2"/>
        <v>0</v>
      </c>
      <c r="J4" s="184">
        <v>4</v>
      </c>
      <c r="K4" s="184">
        <f t="shared" si="3"/>
        <v>0.573888091822095</v>
      </c>
      <c r="L4" s="189">
        <v>591</v>
      </c>
      <c r="M4" s="189">
        <v>644</v>
      </c>
      <c r="N4" s="189">
        <f t="shared" si="4"/>
        <v>1235</v>
      </c>
      <c r="O4" s="184">
        <v>697</v>
      </c>
      <c r="P4" s="190">
        <f t="shared" si="5"/>
        <v>56.4372469635627</v>
      </c>
      <c r="Q4" s="184">
        <v>511</v>
      </c>
      <c r="R4" s="184">
        <f t="shared" si="6"/>
        <v>41.3765182186235</v>
      </c>
      <c r="S4" s="184">
        <f t="shared" si="7"/>
        <v>219</v>
      </c>
      <c r="T4" s="184">
        <f t="shared" si="8"/>
        <v>42.8571428571429</v>
      </c>
      <c r="U4" s="184">
        <v>292</v>
      </c>
      <c r="V4" s="191">
        <f t="shared" si="9"/>
        <v>57.1428571428571</v>
      </c>
      <c r="W4" s="184">
        <v>724</v>
      </c>
      <c r="X4" s="184">
        <f t="shared" si="10"/>
        <v>58.6234817813765</v>
      </c>
      <c r="Y4" s="184">
        <f t="shared" si="11"/>
        <v>394</v>
      </c>
      <c r="Z4" s="193">
        <f t="shared" si="12"/>
        <v>54.4198895027624</v>
      </c>
      <c r="AA4" s="193">
        <v>330</v>
      </c>
      <c r="AB4" s="194">
        <f t="shared" si="13"/>
        <v>45.5801104972376</v>
      </c>
      <c r="AC4" s="193">
        <f t="shared" si="14"/>
        <v>622</v>
      </c>
      <c r="AD4" s="193" t="str">
        <f t="shared" si="15"/>
        <v>WEAK</v>
      </c>
      <c r="AE4" s="195" t="str">
        <f t="shared" si="16"/>
        <v>VLOW</v>
      </c>
      <c r="AF4" s="193" t="str">
        <f t="shared" si="17"/>
        <v>WEAK</v>
      </c>
      <c r="AG4" s="193" t="str">
        <f t="shared" si="18"/>
        <v>FEMALE DOM</v>
      </c>
      <c r="AH4" s="193" t="str">
        <f t="shared" si="19"/>
        <v>O</v>
      </c>
      <c r="AI4" s="197">
        <f t="shared" ref="AI4:AI6" si="21">G4-E4</f>
        <v>25.9684361549498</v>
      </c>
      <c r="AJ4" s="198" t="str">
        <f t="shared" si="20"/>
        <v>CONGRESSGAIN</v>
      </c>
    </row>
    <row r="5" spans="1:36">
      <c r="A5" s="184">
        <v>151</v>
      </c>
      <c r="B5" s="185" t="s">
        <v>335</v>
      </c>
      <c r="C5" s="184">
        <v>781</v>
      </c>
      <c r="D5" s="184">
        <v>243</v>
      </c>
      <c r="E5" s="184">
        <f t="shared" si="0"/>
        <v>31.1139564660691</v>
      </c>
      <c r="F5" s="184">
        <v>524</v>
      </c>
      <c r="G5" s="184">
        <f t="shared" si="1"/>
        <v>67.0934699103713</v>
      </c>
      <c r="H5" s="184">
        <v>2</v>
      </c>
      <c r="I5" s="184">
        <f t="shared" si="2"/>
        <v>0.256081946222791</v>
      </c>
      <c r="J5" s="184">
        <v>5</v>
      </c>
      <c r="K5" s="184">
        <f t="shared" si="3"/>
        <v>0.640204865556978</v>
      </c>
      <c r="L5" s="189">
        <v>671</v>
      </c>
      <c r="M5" s="189">
        <v>723</v>
      </c>
      <c r="N5" s="189">
        <f t="shared" si="4"/>
        <v>1394</v>
      </c>
      <c r="O5" s="184">
        <v>781</v>
      </c>
      <c r="P5" s="190">
        <f t="shared" si="5"/>
        <v>56.025824964132</v>
      </c>
      <c r="Q5" s="184">
        <v>553</v>
      </c>
      <c r="R5" s="184">
        <f t="shared" si="6"/>
        <v>39.6700143472023</v>
      </c>
      <c r="S5" s="184">
        <f t="shared" si="7"/>
        <v>267</v>
      </c>
      <c r="T5" s="184">
        <f t="shared" si="8"/>
        <v>48.2820976491863</v>
      </c>
      <c r="U5" s="184">
        <v>286</v>
      </c>
      <c r="V5" s="191">
        <f t="shared" si="9"/>
        <v>51.7179023508137</v>
      </c>
      <c r="W5" s="184">
        <f>613+228</f>
        <v>841</v>
      </c>
      <c r="X5" s="184">
        <f t="shared" si="10"/>
        <v>60.3299856527977</v>
      </c>
      <c r="Y5" s="196">
        <f t="shared" si="11"/>
        <v>381</v>
      </c>
      <c r="Z5" s="193">
        <f t="shared" si="12"/>
        <v>45.3032104637336</v>
      </c>
      <c r="AA5" s="193">
        <f>349+111</f>
        <v>460</v>
      </c>
      <c r="AB5" s="194">
        <f t="shared" si="13"/>
        <v>54.6967895362664</v>
      </c>
      <c r="AC5" s="193">
        <f t="shared" si="14"/>
        <v>746</v>
      </c>
      <c r="AD5" s="193" t="str">
        <f t="shared" si="15"/>
        <v>WEAK</v>
      </c>
      <c r="AE5" s="195" t="str">
        <f t="shared" si="16"/>
        <v>VLOW</v>
      </c>
      <c r="AF5" s="193" t="str">
        <f t="shared" si="17"/>
        <v>AVG</v>
      </c>
      <c r="AG5" s="193" t="str">
        <f t="shared" si="18"/>
        <v>FEMALE DOM</v>
      </c>
      <c r="AH5" s="193" t="str">
        <f t="shared" si="19"/>
        <v>H</v>
      </c>
      <c r="AI5" s="197">
        <f t="shared" si="21"/>
        <v>35.9795134443022</v>
      </c>
      <c r="AJ5" s="198" t="str">
        <f t="shared" si="20"/>
        <v>CONGRESSGAIN</v>
      </c>
    </row>
    <row r="6" spans="1:36">
      <c r="A6" s="184">
        <v>152</v>
      </c>
      <c r="B6" s="185" t="s">
        <v>336</v>
      </c>
      <c r="C6" s="184">
        <v>664</v>
      </c>
      <c r="D6" s="184">
        <v>182</v>
      </c>
      <c r="E6" s="184">
        <f t="shared" si="0"/>
        <v>27.4096385542169</v>
      </c>
      <c r="F6" s="184">
        <v>478</v>
      </c>
      <c r="G6" s="184">
        <f t="shared" si="1"/>
        <v>71.9879518072289</v>
      </c>
      <c r="H6" s="184">
        <v>1</v>
      </c>
      <c r="I6" s="184">
        <f t="shared" si="2"/>
        <v>0.150602409638554</v>
      </c>
      <c r="J6" s="184">
        <v>1</v>
      </c>
      <c r="K6" s="184">
        <f t="shared" si="3"/>
        <v>0.150602409638554</v>
      </c>
      <c r="L6" s="189">
        <v>514</v>
      </c>
      <c r="M6" s="189">
        <v>622</v>
      </c>
      <c r="N6" s="189">
        <f t="shared" si="4"/>
        <v>1136</v>
      </c>
      <c r="O6" s="184">
        <v>664</v>
      </c>
      <c r="P6" s="190">
        <f t="shared" si="5"/>
        <v>58.4507042253521</v>
      </c>
      <c r="Q6" s="184">
        <v>389</v>
      </c>
      <c r="R6" s="184">
        <f t="shared" si="6"/>
        <v>34.2429577464789</v>
      </c>
      <c r="S6" s="192">
        <f t="shared" si="7"/>
        <v>163</v>
      </c>
      <c r="T6" s="184">
        <f t="shared" si="8"/>
        <v>41.9023136246787</v>
      </c>
      <c r="U6" s="184">
        <v>226</v>
      </c>
      <c r="V6" s="191">
        <f t="shared" si="9"/>
        <v>58.0976863753213</v>
      </c>
      <c r="W6" s="184">
        <v>750</v>
      </c>
      <c r="X6" s="184">
        <f t="shared" si="10"/>
        <v>65.7570422535211</v>
      </c>
      <c r="Y6" s="184">
        <f t="shared" si="11"/>
        <v>312</v>
      </c>
      <c r="Z6" s="193">
        <f t="shared" si="12"/>
        <v>41.6</v>
      </c>
      <c r="AA6" s="193">
        <v>438</v>
      </c>
      <c r="AB6" s="194">
        <f t="shared" si="13"/>
        <v>58.4</v>
      </c>
      <c r="AC6" s="193">
        <f t="shared" si="14"/>
        <v>664</v>
      </c>
      <c r="AD6" s="193" t="str">
        <f t="shared" si="15"/>
        <v>WEAK</v>
      </c>
      <c r="AE6" s="195" t="str">
        <f t="shared" si="16"/>
        <v>VLOW</v>
      </c>
      <c r="AF6" s="193" t="str">
        <f t="shared" si="17"/>
        <v>AVG</v>
      </c>
      <c r="AG6" s="193" t="str">
        <f t="shared" si="18"/>
        <v>FEMALE DOM</v>
      </c>
      <c r="AH6" s="193" t="str">
        <f t="shared" si="19"/>
        <v>H</v>
      </c>
      <c r="AI6" s="197">
        <f t="shared" si="21"/>
        <v>44.578313253012</v>
      </c>
      <c r="AJ6" s="198" t="str">
        <f t="shared" si="20"/>
        <v>CONGRESSGAIN</v>
      </c>
    </row>
    <row r="7" spans="3:36">
      <c r="C7">
        <f>SUM(C2:C6)</f>
        <v>3780</v>
      </c>
      <c r="D7">
        <f>SUM(D2:D6)</f>
        <v>1514</v>
      </c>
      <c r="E7" s="186">
        <f>AVERAGE(E2:E6)</f>
        <v>39.4098711436628</v>
      </c>
      <c r="F7">
        <f>SUM(F2:F6)</f>
        <v>2200</v>
      </c>
      <c r="G7" s="186">
        <f>AVERAGE(G2:G6)</f>
        <v>58.919849527484</v>
      </c>
      <c r="H7">
        <f>SUM(H2:H6)</f>
        <v>7</v>
      </c>
      <c r="I7" s="186">
        <f>AVERAGE(I2:I6)</f>
        <v>0.164583489278409</v>
      </c>
      <c r="J7">
        <f>SUM(J2:J6)</f>
        <v>21</v>
      </c>
      <c r="K7" s="186">
        <f>AVERAGE(K2:K6)</f>
        <v>0.501867273195409</v>
      </c>
      <c r="AJ7" s="200" t="str">
        <f t="shared" si="20"/>
        <v>CONGRESSGAIN</v>
      </c>
    </row>
  </sheetData>
  <conditionalFormatting sqref="AD2:AD3">
    <cfRule type="containsText" dxfId="8" priority="30" operator="between" text="AVG">
      <formula>NOT(ISERROR(SEARCH("AVG",AD2)))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NOT(ISERROR(SEARCH("VSTRONG",AD2)))</formula>
    </cfRule>
    <cfRule type="containsText" dxfId="10" priority="20" operator="between" text="AVG">
      <formula>NOT(ISERROR(SEARCH("AVG",AD2)))</formula>
    </cfRule>
  </conditionalFormatting>
  <conditionalFormatting sqref="AD4:AD6">
    <cfRule type="containsText" dxfId="8" priority="15" operator="between" text="AVG">
      <formula>NOT(ISERROR(SEARCH("AVG",AD4)))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NOT(ISERROR(SEARCH("VSTRONG",AD4)))</formula>
    </cfRule>
    <cfRule type="containsText" dxfId="10" priority="5" operator="between" text="AVG">
      <formula>NOT(ISERROR(SEARCH("AVG",AD4)))</formula>
    </cfRule>
  </conditionalFormatting>
  <conditionalFormatting sqref="AE2:AE3">
    <cfRule type="containsText" dxfId="3" priority="24" operator="between" text="STRONG">
      <formula>NOT(ISERROR(SEARCH("STRONG",AE2)))</formula>
    </cfRule>
    <cfRule type="containsText" dxfId="1" priority="22" operator="between" text="VSTRONG">
      <formula>NOT(ISERROR(SEARCH("VSTRONG",AE2)))</formula>
    </cfRule>
  </conditionalFormatting>
  <conditionalFormatting sqref="AE4:AE6">
    <cfRule type="containsText" dxfId="3" priority="9" operator="between" text="STRONG">
      <formula>NOT(ISERROR(SEARCH("STRONG",AE4)))</formula>
    </cfRule>
    <cfRule type="containsText" dxfId="1" priority="7" operator="between" text="VSTRONG">
      <formula>NOT(ISERROR(SEARCH("VSTRONG",AE4)))</formula>
    </cfRule>
  </conditionalFormatting>
  <conditionalFormatting sqref="AF2:AF3">
    <cfRule type="cellIs" dxfId="11" priority="18" operator="equal">
      <formula>"VWEAK"</formula>
    </cfRule>
    <cfRule type="containsText" dxfId="0" priority="17" operator="between" text="VSTRONG">
      <formula>NOT(ISERROR(SEARCH("VSTRONG",AF2)))</formula>
    </cfRule>
  </conditionalFormatting>
  <conditionalFormatting sqref="AF4:AF6">
    <cfRule type="cellIs" dxfId="11" priority="3" operator="equal">
      <formula>"VWEAK"</formula>
    </cfRule>
    <cfRule type="containsText" dxfId="0" priority="2" operator="between" text="VSTRONG">
      <formula>NOT(ISERROR(SEARCH("VSTRONG",AF4)))</formula>
    </cfRule>
  </conditionalFormatting>
  <conditionalFormatting sqref="AG2:AG3">
    <cfRule type="containsText" dxfId="12" priority="21" operator="between" text="FEMALE DOM">
      <formula>NOT(ISERROR(SEARCH("FEMALE DOM",AG2)))</formula>
    </cfRule>
    <cfRule type="containsText" dxfId="10" priority="16" operator="between" text="MEN">
      <formula>NOT(ISERROR(SEARCH("MEN",AG2)))</formula>
    </cfRule>
  </conditionalFormatting>
  <conditionalFormatting sqref="AG4:AG6">
    <cfRule type="containsText" dxfId="12" priority="6" operator="between" text="FEMALE DOM">
      <formula>NOT(ISERROR(SEARCH("FEMALE DOM",AG4)))</formula>
    </cfRule>
    <cfRule type="containsText" dxfId="10" priority="1" operator="between" text="MEN">
      <formula>NOT(ISERROR(SEARCH("MEN",AG4)))</formula>
    </cfRule>
  </conditionalFormatting>
  <conditionalFormatting sqref="AH2:AH3">
    <cfRule type="containsText" dxfId="0" priority="27" operator="between" text="O">
      <formula>NOT(ISERROR(SEARCH("O",AH2)))</formula>
    </cfRule>
    <cfRule type="containsText" dxfId="3" priority="25" operator="between" text="H">
      <formula>NOT(ISERROR(SEARCH("H",AH2)))</formula>
    </cfRule>
    <cfRule type="containsText" dxfId="13" priority="26" operator="between" text="H">
      <formula>NOT(ISERROR(SEARCH("H",AH2)))</formula>
    </cfRule>
    <cfRule type="containsText" dxfId="1" priority="19" operator="between" text="H">
      <formula>NOT(ISERROR(SEARCH("H",AH2)))</formula>
    </cfRule>
  </conditionalFormatting>
  <conditionalFormatting sqref="AH4:AH6">
    <cfRule type="containsText" dxfId="0" priority="12" operator="between" text="O">
      <formula>NOT(ISERROR(SEARCH("O",AH4)))</formula>
    </cfRule>
    <cfRule type="containsText" dxfId="3" priority="10" operator="between" text="H">
      <formula>NOT(ISERROR(SEARCH("H",AH4)))</formula>
    </cfRule>
    <cfRule type="containsText" dxfId="13" priority="11" operator="between" text="H">
      <formula>NOT(ISERROR(SEARCH("H",AH4)))</formula>
    </cfRule>
    <cfRule type="containsText" dxfId="1" priority="4" operator="between" text="H">
      <formula>NOT(ISERROR(SEARCH("H",AH4)))</formula>
    </cfRule>
  </conditionalFormatting>
  <conditionalFormatting sqref="AE2:AF3">
    <cfRule type="containsText" dxfId="2" priority="23" operator="between" text="AVG">
      <formula>NOT(ISERROR(SEARCH("AVG",AE2)))</formula>
    </cfRule>
  </conditionalFormatting>
  <conditionalFormatting sqref="AE4:AF6">
    <cfRule type="containsText" dxfId="2" priority="8" operator="between" text="AVG">
      <formula>NOT(ISERROR(SEARCH("AVG",AE4)))</formula>
    </cfRule>
  </conditionalFormatting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5"/>
  <sheetViews>
    <sheetView topLeftCell="U10" workbookViewId="0">
      <selection activeCell="AC27" sqref="AC27:AF28"/>
    </sheetView>
  </sheetViews>
  <sheetFormatPr defaultColWidth="9" defaultRowHeight="14.5"/>
  <sheetData>
    <row r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340" t="s">
        <v>59</v>
      </c>
      <c r="B7" s="337">
        <v>35</v>
      </c>
      <c r="C7" s="337">
        <v>1287</v>
      </c>
      <c r="D7" s="337">
        <v>231</v>
      </c>
      <c r="E7" s="337">
        <v>698</v>
      </c>
      <c r="F7" s="337">
        <v>1</v>
      </c>
      <c r="G7" s="337">
        <v>2</v>
      </c>
      <c r="H7" s="337">
        <v>2</v>
      </c>
      <c r="I7" s="337">
        <v>1</v>
      </c>
      <c r="J7" s="337">
        <v>0</v>
      </c>
      <c r="K7" s="337">
        <v>2</v>
      </c>
      <c r="L7" s="337">
        <v>937</v>
      </c>
      <c r="M7" s="337">
        <v>0</v>
      </c>
      <c r="N7" s="337">
        <v>7</v>
      </c>
      <c r="O7" s="337">
        <f t="shared" ref="O7:O13" si="0">D7+E7+F7+G7+H7+I7+J7+K7+N7</f>
        <v>944</v>
      </c>
      <c r="P7" s="337">
        <f t="shared" ref="P7:P13" si="1">(O7/C7)*100</f>
        <v>73.3488733488733</v>
      </c>
      <c r="Q7" s="337">
        <f t="shared" ref="Q7:Q13" si="2">(E7/O7)*100</f>
        <v>73.9406779661017</v>
      </c>
      <c r="R7" s="337">
        <f t="shared" ref="R7:R13" si="3">(D7/O7)*100</f>
        <v>24.4703389830508</v>
      </c>
      <c r="S7" s="337">
        <f t="shared" ref="S7:S13" si="4">(F7/O7)*100</f>
        <v>0.105932203389831</v>
      </c>
      <c r="T7" s="337">
        <f t="shared" ref="T7:T13" si="5">(G7/O7)*100</f>
        <v>0.211864406779661</v>
      </c>
      <c r="U7" s="337">
        <f t="shared" ref="U7:U13" si="6">((H7+I7+J7+K7)/O7)*100</f>
        <v>0.529661016949152</v>
      </c>
      <c r="V7" s="337">
        <f t="shared" ref="V7:V13" si="7">(N7/O7)*100</f>
        <v>0.741525423728814</v>
      </c>
      <c r="W7" s="337">
        <f>Q7-R7</f>
        <v>49.4703389830509</v>
      </c>
      <c r="X7" s="337">
        <f>Q7-(R7+S7+T7+U7)</f>
        <v>48.6228813559322</v>
      </c>
      <c r="Y7" s="337" t="str">
        <f>IF(AND(W7&lt;0,W7&lt;=1),"LOST",IF(AND(W7&gt;1,W7&lt;=10),"NARROW",IF(AND(W7&gt;10,W7&lt;=40),"MEDIUM",IF(AND(W7&gt;40,W7&lt;=90),"STRONG",""))))</f>
        <v>STRONG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1277</v>
      </c>
      <c r="AD7">
        <v>619</v>
      </c>
      <c r="AF7">
        <v>658</v>
      </c>
      <c r="AH7">
        <v>1115</v>
      </c>
      <c r="AJ7">
        <v>7</v>
      </c>
      <c r="AL7">
        <v>155</v>
      </c>
      <c r="AN7" s="248">
        <f>(AD7/AB7)*100</f>
        <v>48.4729835552075</v>
      </c>
      <c r="AO7" s="316" t="e">
        <f>(AE7/AC7)*100</f>
        <v>#DIV/0!</v>
      </c>
      <c r="AP7" s="317">
        <f>(AF7/AB7)*100</f>
        <v>51.5270164447925</v>
      </c>
      <c r="AQ7" s="318" t="e">
        <f>(AG7/AC7)*100</f>
        <v>#DIV/0!</v>
      </c>
      <c r="AR7" s="318" t="str">
        <f>IF(AN7&gt;AP7,"MALE DOM","FEMALE DOM")</f>
        <v>FEMALE DOM</v>
      </c>
      <c r="AS7" s="319" t="e">
        <f>IF(AO7&gt;AP7,"MALE","FEMALE")</f>
        <v>#DIV/0!</v>
      </c>
      <c r="AT7" s="317">
        <f>(AH7/AB7)*100</f>
        <v>87.3140172278778</v>
      </c>
      <c r="AU7" s="317" t="e">
        <f>(AI7/AC7)*100</f>
        <v>#DIV/0!</v>
      </c>
      <c r="AV7" s="248">
        <f>(AJ7/AB7)*100</f>
        <v>0.548159749412686</v>
      </c>
      <c r="AW7" s="317" t="e">
        <f>(AK7/AC7)*100</f>
        <v>#DIV/0!</v>
      </c>
      <c r="AX7" s="248">
        <f>(AL7/AB7)*100</f>
        <v>12.1378230227095</v>
      </c>
      <c r="AY7" s="317" t="e">
        <f>(AM7/AC7)*100</f>
        <v>#DIV/0!</v>
      </c>
      <c r="AZ7" s="248" t="str">
        <f>IF(AT7&gt;(AV7+AX7),"HINDU","MINORITY")</f>
        <v>HINDU</v>
      </c>
      <c r="BA7" s="318" t="e">
        <f>IF(AU7&gt;(AW7+AY7),"HIND","MINORITY")</f>
        <v>#DIV/0!</v>
      </c>
    </row>
    <row r="8" spans="2:53">
      <c r="B8" s="219">
        <v>34</v>
      </c>
      <c r="C8" s="219">
        <v>1411</v>
      </c>
      <c r="D8" s="219">
        <v>329</v>
      </c>
      <c r="E8" s="219">
        <v>695</v>
      </c>
      <c r="F8" s="219">
        <v>2</v>
      </c>
      <c r="G8" s="219">
        <v>2</v>
      </c>
      <c r="H8" s="219">
        <v>1</v>
      </c>
      <c r="I8" s="219">
        <v>1</v>
      </c>
      <c r="J8" s="219">
        <v>0</v>
      </c>
      <c r="K8" s="219">
        <v>2</v>
      </c>
      <c r="L8" s="219">
        <v>1032</v>
      </c>
      <c r="M8" s="219">
        <v>0</v>
      </c>
      <c r="N8" s="219">
        <v>11</v>
      </c>
      <c r="O8" s="219">
        <f t="shared" si="0"/>
        <v>1043</v>
      </c>
      <c r="P8" s="219">
        <f t="shared" si="1"/>
        <v>73.9192062367116</v>
      </c>
      <c r="Q8" s="219">
        <f t="shared" si="2"/>
        <v>66.6347075743049</v>
      </c>
      <c r="R8" s="219">
        <f t="shared" si="3"/>
        <v>31.5436241610738</v>
      </c>
      <c r="S8" s="219">
        <f t="shared" si="4"/>
        <v>0.191754554170662</v>
      </c>
      <c r="T8" s="219">
        <f t="shared" si="5"/>
        <v>0.191754554170662</v>
      </c>
      <c r="U8" s="219">
        <f t="shared" si="6"/>
        <v>0.383509108341323</v>
      </c>
      <c r="V8" s="219">
        <f t="shared" si="7"/>
        <v>1.05465004793864</v>
      </c>
      <c r="W8" s="219">
        <f t="shared" ref="W8:W13" si="8">Q8-R8</f>
        <v>35.0910834132311</v>
      </c>
      <c r="X8" s="219">
        <f t="shared" ref="X8:X13" si="9">Q8-(R8+S8+T8+U8)</f>
        <v>34.3240651965484</v>
      </c>
      <c r="Y8" s="219" t="str">
        <f t="shared" ref="Y8:Y14" si="10">IF(AND(W8&lt;0,W8&lt;=1),"LOST",IF(AND(W8&gt;1,W8&lt;=10),"NARROW",IF(AND(W8&gt;10,W8&lt;=40),"MEDIUM",IF(AND(W8&gt;40,W8&lt;=90),"STRONG",""))))</f>
        <v>MEDIUM</v>
      </c>
      <c r="Z8" s="285" t="str">
        <f t="shared" ref="Z8:Z14" si="11">IF(AND(P8&lt;0,P8&lt;=10),"WEAK",IF(AND(P8&gt;10,P8&lt;20),"BELOW AVG",IF(AND(P8&gt;20,P8&lt;=60),"MEDIUM",IF(AND(P8&gt;60,P8&lt;=90),"STRONG",""))))</f>
        <v>STRONG</v>
      </c>
      <c r="AA8" s="333" t="str">
        <f t="shared" ref="AA8:AA14" si="12">IF(Q8&gt;R8,"BJP","CONGRESS")</f>
        <v>BJP</v>
      </c>
      <c r="AB8">
        <v>1406</v>
      </c>
      <c r="AC8">
        <v>1058</v>
      </c>
      <c r="AD8">
        <v>679</v>
      </c>
      <c r="AE8">
        <v>503</v>
      </c>
      <c r="AF8">
        <v>727</v>
      </c>
      <c r="AG8">
        <v>555</v>
      </c>
      <c r="AH8">
        <v>1193</v>
      </c>
      <c r="AI8">
        <v>913</v>
      </c>
      <c r="AJ8">
        <v>16</v>
      </c>
      <c r="AK8">
        <v>12</v>
      </c>
      <c r="AL8">
        <v>197</v>
      </c>
      <c r="AM8">
        <v>133</v>
      </c>
      <c r="AN8" s="248">
        <f t="shared" ref="AN8:AO10" si="13">(AD8/AB8)*100</f>
        <v>48.2930298719772</v>
      </c>
      <c r="AO8" s="316">
        <f t="shared" si="13"/>
        <v>47.5425330812854</v>
      </c>
      <c r="AP8" s="317">
        <f t="shared" ref="AP8:AQ10" si="14">(AF8/AB8)*100</f>
        <v>51.7069701280228</v>
      </c>
      <c r="AQ8" s="318">
        <f t="shared" si="14"/>
        <v>52.4574669187146</v>
      </c>
      <c r="AR8" s="318" t="str">
        <f t="shared" ref="AR8:AR13" si="15">IF(AN8&gt;AP8,"MALE DOM","FEMALE DOM")</f>
        <v>FEMALE DOM</v>
      </c>
      <c r="AS8" s="319" t="str">
        <f t="shared" ref="AS8:AS13" si="16">IF(AO8&gt;AP8,"MALE","FEMALE")</f>
        <v>FEMALE</v>
      </c>
      <c r="AT8" s="317">
        <f t="shared" ref="AT8:AU10" si="17">(AH8/AB8)*100</f>
        <v>84.850640113798</v>
      </c>
      <c r="AU8" s="317">
        <f t="shared" si="17"/>
        <v>86.2948960302458</v>
      </c>
      <c r="AV8" s="248">
        <f t="shared" ref="AV8:AW10" si="18">(AJ8/AB8)*100</f>
        <v>1.13798008534851</v>
      </c>
      <c r="AW8" s="317">
        <f t="shared" si="18"/>
        <v>1.13421550094518</v>
      </c>
      <c r="AX8" s="248">
        <f t="shared" ref="AX8:AY10" si="19">(AL8/AB8)*100</f>
        <v>14.0113798008535</v>
      </c>
      <c r="AY8" s="317">
        <f t="shared" si="19"/>
        <v>12.5708884688091</v>
      </c>
      <c r="AZ8" s="248" t="str">
        <f t="shared" ref="AZ8:AZ13" si="20">IF(AT8&gt;(AV8+AX8),"HINDU","MINORITY")</f>
        <v>HINDU</v>
      </c>
      <c r="BA8" s="318" t="str">
        <f t="shared" ref="BA8:BA13" si="21">IF(AU8&gt;(AW8+AY8),"HIND","MINORITY")</f>
        <v>HIND</v>
      </c>
    </row>
    <row r="9" spans="2:53">
      <c r="B9" s="219">
        <v>38</v>
      </c>
      <c r="C9" s="219">
        <v>1476</v>
      </c>
      <c r="D9" s="219">
        <v>366</v>
      </c>
      <c r="E9" s="219">
        <v>711</v>
      </c>
      <c r="F9" s="219">
        <v>5</v>
      </c>
      <c r="G9" s="219">
        <v>4</v>
      </c>
      <c r="H9" s="219">
        <v>0</v>
      </c>
      <c r="I9" s="219">
        <v>1</v>
      </c>
      <c r="J9" s="219">
        <v>0</v>
      </c>
      <c r="K9" s="219">
        <v>3</v>
      </c>
      <c r="L9" s="219">
        <v>1090</v>
      </c>
      <c r="M9" s="219">
        <v>0</v>
      </c>
      <c r="N9" s="219">
        <v>3</v>
      </c>
      <c r="O9" s="219">
        <f t="shared" si="0"/>
        <v>1093</v>
      </c>
      <c r="P9" s="219">
        <f t="shared" si="1"/>
        <v>74.0514905149052</v>
      </c>
      <c r="Q9" s="219">
        <f t="shared" si="2"/>
        <v>65.0503202195791</v>
      </c>
      <c r="R9" s="219">
        <f t="shared" si="3"/>
        <v>33.4858188472095</v>
      </c>
      <c r="S9" s="219">
        <f t="shared" si="4"/>
        <v>0.457456541628545</v>
      </c>
      <c r="T9" s="219">
        <f t="shared" si="5"/>
        <v>0.365965233302836</v>
      </c>
      <c r="U9" s="219">
        <f t="shared" si="6"/>
        <v>0.365965233302836</v>
      </c>
      <c r="V9" s="219">
        <f t="shared" si="7"/>
        <v>0.274473924977127</v>
      </c>
      <c r="W9" s="219">
        <f t="shared" si="8"/>
        <v>31.5645013723696</v>
      </c>
      <c r="X9" s="219">
        <f t="shared" si="9"/>
        <v>30.3751143641354</v>
      </c>
      <c r="Y9" s="219" t="str">
        <f t="shared" si="10"/>
        <v>MEDIUM</v>
      </c>
      <c r="Z9" s="283" t="str">
        <f t="shared" si="11"/>
        <v>STRONG</v>
      </c>
      <c r="AA9" s="289" t="str">
        <f t="shared" si="12"/>
        <v>BJP</v>
      </c>
      <c r="AB9">
        <v>1472</v>
      </c>
      <c r="AC9">
        <v>1099</v>
      </c>
      <c r="AD9">
        <v>682</v>
      </c>
      <c r="AE9">
        <v>507</v>
      </c>
      <c r="AF9">
        <v>790</v>
      </c>
      <c r="AG9">
        <v>592</v>
      </c>
      <c r="AH9">
        <v>1145</v>
      </c>
      <c r="AI9">
        <v>874</v>
      </c>
      <c r="AJ9">
        <v>3</v>
      </c>
      <c r="AK9">
        <v>2</v>
      </c>
      <c r="AL9">
        <v>324</v>
      </c>
      <c r="AM9">
        <v>223</v>
      </c>
      <c r="AN9" s="248">
        <f t="shared" si="13"/>
        <v>46.3315217391304</v>
      </c>
      <c r="AO9" s="316">
        <f t="shared" si="13"/>
        <v>46.1328480436761</v>
      </c>
      <c r="AP9" s="317">
        <f t="shared" si="14"/>
        <v>53.6684782608696</v>
      </c>
      <c r="AQ9" s="318">
        <f t="shared" si="14"/>
        <v>53.8671519563239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77.7853260869565</v>
      </c>
      <c r="AU9" s="317">
        <f t="shared" si="17"/>
        <v>79.5268425841674</v>
      </c>
      <c r="AV9" s="248">
        <f t="shared" si="18"/>
        <v>0.203804347826087</v>
      </c>
      <c r="AW9" s="317">
        <f t="shared" si="18"/>
        <v>0.181983621474067</v>
      </c>
      <c r="AX9" s="248">
        <f t="shared" si="19"/>
        <v>22.0108695652174</v>
      </c>
      <c r="AY9" s="317">
        <f t="shared" si="19"/>
        <v>20.2911737943585</v>
      </c>
      <c r="AZ9" s="248" t="str">
        <f t="shared" si="20"/>
        <v>HINDU</v>
      </c>
      <c r="BA9" s="318" t="str">
        <f t="shared" si="21"/>
        <v>HIND</v>
      </c>
    </row>
    <row r="10" spans="2:53">
      <c r="B10" s="215">
        <v>41</v>
      </c>
      <c r="C10" s="215">
        <v>1319</v>
      </c>
      <c r="D10" s="215">
        <v>566</v>
      </c>
      <c r="E10" s="215">
        <v>308</v>
      </c>
      <c r="F10" s="215">
        <v>1</v>
      </c>
      <c r="G10" s="215">
        <v>6</v>
      </c>
      <c r="H10" s="215">
        <v>0</v>
      </c>
      <c r="I10" s="215">
        <v>0</v>
      </c>
      <c r="J10" s="215">
        <v>1</v>
      </c>
      <c r="K10" s="215">
        <v>0</v>
      </c>
      <c r="L10" s="215">
        <v>882</v>
      </c>
      <c r="M10" s="215">
        <v>0</v>
      </c>
      <c r="N10" s="215">
        <v>5</v>
      </c>
      <c r="O10" s="215">
        <f t="shared" si="0"/>
        <v>887</v>
      </c>
      <c r="P10" s="215">
        <f t="shared" si="1"/>
        <v>67.2479150871873</v>
      </c>
      <c r="Q10" s="215">
        <f t="shared" si="2"/>
        <v>34.7237880496054</v>
      </c>
      <c r="R10" s="215">
        <f t="shared" si="3"/>
        <v>63.8105975197294</v>
      </c>
      <c r="S10" s="215">
        <f t="shared" si="4"/>
        <v>0.112739571589628</v>
      </c>
      <c r="T10" s="215">
        <f t="shared" si="5"/>
        <v>0.676437429537768</v>
      </c>
      <c r="U10" s="215">
        <f t="shared" si="6"/>
        <v>0.112739571589628</v>
      </c>
      <c r="V10" s="215">
        <f t="shared" si="7"/>
        <v>0.56369785794814</v>
      </c>
      <c r="W10" s="215">
        <f t="shared" si="8"/>
        <v>-29.086809470124</v>
      </c>
      <c r="X10" s="215">
        <f t="shared" si="9"/>
        <v>-29.988726042841</v>
      </c>
      <c r="Y10" s="215" t="str">
        <f t="shared" si="10"/>
        <v>LOST</v>
      </c>
      <c r="Z10" s="285" t="str">
        <f t="shared" si="11"/>
        <v>STRONG</v>
      </c>
      <c r="AA10" s="284" t="str">
        <f t="shared" si="12"/>
        <v>CONGRESS</v>
      </c>
      <c r="AB10">
        <v>1313</v>
      </c>
      <c r="AD10">
        <v>633</v>
      </c>
      <c r="AF10">
        <v>680</v>
      </c>
      <c r="AH10">
        <v>514</v>
      </c>
      <c r="AJ10">
        <v>58</v>
      </c>
      <c r="AL10">
        <v>741</v>
      </c>
      <c r="AN10" s="248">
        <f t="shared" si="13"/>
        <v>48.2102056359482</v>
      </c>
      <c r="AO10" s="316" t="e">
        <f t="shared" si="13"/>
        <v>#DIV/0!</v>
      </c>
      <c r="AP10" s="317">
        <f t="shared" si="14"/>
        <v>51.7897943640518</v>
      </c>
      <c r="AQ10" s="318" t="e">
        <f t="shared" si="14"/>
        <v>#DIV/0!</v>
      </c>
      <c r="AR10" s="318" t="str">
        <f t="shared" si="15"/>
        <v>FEMALE DOM</v>
      </c>
      <c r="AS10" s="319" t="e">
        <f t="shared" si="16"/>
        <v>#DIV/0!</v>
      </c>
      <c r="AT10" s="317">
        <f t="shared" si="17"/>
        <v>39.1469916222391</v>
      </c>
      <c r="AU10" s="317" t="e">
        <f t="shared" si="17"/>
        <v>#DIV/0!</v>
      </c>
      <c r="AV10" s="248">
        <f t="shared" si="18"/>
        <v>4.41736481340442</v>
      </c>
      <c r="AW10" s="317" t="e">
        <f t="shared" si="18"/>
        <v>#DIV/0!</v>
      </c>
      <c r="AX10" s="248">
        <f t="shared" si="19"/>
        <v>56.4356435643564</v>
      </c>
      <c r="AY10" s="317" t="e">
        <f t="shared" si="19"/>
        <v>#DIV/0!</v>
      </c>
      <c r="AZ10" s="248" t="str">
        <f t="shared" si="20"/>
        <v>MINORITY</v>
      </c>
      <c r="BA10" s="318" t="e">
        <f t="shared" si="21"/>
        <v>#DIV/0!</v>
      </c>
    </row>
    <row r="11" spans="2:53">
      <c r="B11" s="219">
        <v>39</v>
      </c>
      <c r="C11" s="219">
        <v>1333</v>
      </c>
      <c r="D11" s="219">
        <v>357</v>
      </c>
      <c r="E11" s="219">
        <v>518</v>
      </c>
      <c r="F11" s="219">
        <v>4</v>
      </c>
      <c r="G11" s="219">
        <v>3</v>
      </c>
      <c r="H11" s="219">
        <v>1</v>
      </c>
      <c r="I11" s="219">
        <v>0</v>
      </c>
      <c r="J11" s="219">
        <v>0</v>
      </c>
      <c r="K11" s="219">
        <v>0</v>
      </c>
      <c r="L11" s="219">
        <v>883</v>
      </c>
      <c r="M11" s="219">
        <v>0</v>
      </c>
      <c r="N11" s="219">
        <v>7</v>
      </c>
      <c r="O11" s="219">
        <f t="shared" si="0"/>
        <v>890</v>
      </c>
      <c r="P11" s="219">
        <f t="shared" si="1"/>
        <v>66.7666916729182</v>
      </c>
      <c r="Q11" s="219">
        <f t="shared" si="2"/>
        <v>58.2022471910112</v>
      </c>
      <c r="R11" s="219">
        <f t="shared" si="3"/>
        <v>40.1123595505618</v>
      </c>
      <c r="S11" s="219">
        <f t="shared" si="4"/>
        <v>0.449438202247191</v>
      </c>
      <c r="T11" s="219">
        <f t="shared" si="5"/>
        <v>0.337078651685393</v>
      </c>
      <c r="U11" s="219">
        <f t="shared" si="6"/>
        <v>0.112359550561798</v>
      </c>
      <c r="V11" s="219">
        <f t="shared" si="7"/>
        <v>0.786516853932584</v>
      </c>
      <c r="W11" s="219">
        <f t="shared" si="8"/>
        <v>18.0898876404494</v>
      </c>
      <c r="X11" s="219">
        <f t="shared" si="9"/>
        <v>17.1910112359551</v>
      </c>
      <c r="Y11" s="219" t="str">
        <f t="shared" si="10"/>
        <v>MEDIUM</v>
      </c>
      <c r="Z11" s="341" t="str">
        <f t="shared" si="11"/>
        <v>STRONG</v>
      </c>
      <c r="AA11" s="289" t="str">
        <f t="shared" si="12"/>
        <v>BJP</v>
      </c>
      <c r="AB11">
        <v>1330</v>
      </c>
      <c r="AD11">
        <v>633</v>
      </c>
      <c r="AF11">
        <v>697</v>
      </c>
      <c r="AH11">
        <v>890</v>
      </c>
      <c r="AJ11">
        <v>41</v>
      </c>
      <c r="AL11">
        <v>399</v>
      </c>
      <c r="AN11" s="248">
        <f t="shared" ref="AN11:AO13" si="22">(AD11/AB11)*100</f>
        <v>47.593984962406</v>
      </c>
      <c r="AO11" s="316" t="e">
        <f t="shared" si="22"/>
        <v>#DIV/0!</v>
      </c>
      <c r="AP11" s="317">
        <f t="shared" ref="AP11:AQ13" si="23">(AF11/AB11)*100</f>
        <v>52.406015037594</v>
      </c>
      <c r="AQ11" s="318" t="e">
        <f t="shared" si="23"/>
        <v>#DIV/0!</v>
      </c>
      <c r="AR11" s="318" t="str">
        <f t="shared" si="15"/>
        <v>FEMALE DOM</v>
      </c>
      <c r="AS11" s="319" t="e">
        <f t="shared" si="16"/>
        <v>#DIV/0!</v>
      </c>
      <c r="AT11" s="317">
        <f t="shared" ref="AT11:AU13" si="24">(AH11/AB11)*100</f>
        <v>66.9172932330827</v>
      </c>
      <c r="AU11" s="317" t="e">
        <f t="shared" si="24"/>
        <v>#DIV/0!</v>
      </c>
      <c r="AV11" s="248">
        <f t="shared" ref="AV11:AW13" si="25">(AJ11/AB11)*100</f>
        <v>3.08270676691729</v>
      </c>
      <c r="AW11" s="317" t="e">
        <f t="shared" si="25"/>
        <v>#DIV/0!</v>
      </c>
      <c r="AX11" s="248">
        <f t="shared" ref="AX11:AY13" si="26">(AL11/AB11)*100</f>
        <v>30</v>
      </c>
      <c r="AY11" s="317" t="e">
        <f t="shared" si="26"/>
        <v>#DIV/0!</v>
      </c>
      <c r="AZ11" s="248" t="str">
        <f t="shared" si="20"/>
        <v>HINDU</v>
      </c>
      <c r="BA11" s="318" t="e">
        <f t="shared" si="21"/>
        <v>#DIV/0!</v>
      </c>
    </row>
    <row r="12" spans="2:53">
      <c r="B12" s="219">
        <v>43</v>
      </c>
      <c r="C12" s="219">
        <v>1099</v>
      </c>
      <c r="D12" s="219">
        <v>239</v>
      </c>
      <c r="E12" s="219">
        <v>464</v>
      </c>
      <c r="F12" s="219">
        <v>0</v>
      </c>
      <c r="G12" s="219">
        <v>2</v>
      </c>
      <c r="H12" s="219">
        <v>0</v>
      </c>
      <c r="I12" s="219">
        <v>0</v>
      </c>
      <c r="J12" s="219">
        <v>1</v>
      </c>
      <c r="K12" s="219">
        <v>0</v>
      </c>
      <c r="L12" s="219">
        <v>706</v>
      </c>
      <c r="M12" s="219">
        <v>0</v>
      </c>
      <c r="N12" s="219">
        <v>2</v>
      </c>
      <c r="O12" s="219">
        <f t="shared" si="0"/>
        <v>708</v>
      </c>
      <c r="P12" s="219">
        <f t="shared" si="1"/>
        <v>64.4222020018198</v>
      </c>
      <c r="Q12" s="219">
        <f t="shared" si="2"/>
        <v>65.5367231638418</v>
      </c>
      <c r="R12" s="219">
        <f t="shared" si="3"/>
        <v>33.7570621468927</v>
      </c>
      <c r="S12" s="219">
        <f t="shared" si="4"/>
        <v>0</v>
      </c>
      <c r="T12" s="219">
        <f t="shared" si="5"/>
        <v>0.282485875706215</v>
      </c>
      <c r="U12" s="219">
        <f t="shared" si="6"/>
        <v>0.141242937853107</v>
      </c>
      <c r="V12" s="219">
        <f t="shared" si="7"/>
        <v>0.282485875706215</v>
      </c>
      <c r="W12" s="219">
        <f t="shared" si="8"/>
        <v>31.7796610169491</v>
      </c>
      <c r="X12" s="219">
        <f t="shared" si="9"/>
        <v>31.3559322033898</v>
      </c>
      <c r="Y12" s="219" t="str">
        <f t="shared" si="10"/>
        <v>MEDIUM</v>
      </c>
      <c r="Z12" s="341" t="str">
        <f t="shared" si="11"/>
        <v>STRONG</v>
      </c>
      <c r="AA12" s="289" t="str">
        <f t="shared" si="12"/>
        <v>BJP</v>
      </c>
      <c r="AB12">
        <v>1093</v>
      </c>
      <c r="AD12">
        <v>532</v>
      </c>
      <c r="AF12">
        <v>561</v>
      </c>
      <c r="AH12">
        <v>721</v>
      </c>
      <c r="AJ12">
        <v>254</v>
      </c>
      <c r="AL12">
        <v>118</v>
      </c>
      <c r="AN12" s="248">
        <f t="shared" si="22"/>
        <v>48.6733760292772</v>
      </c>
      <c r="AO12" s="316" t="e">
        <f t="shared" si="22"/>
        <v>#DIV/0!</v>
      </c>
      <c r="AP12" s="317">
        <f t="shared" si="23"/>
        <v>51.3266239707228</v>
      </c>
      <c r="AQ12" s="318" t="e">
        <f t="shared" si="23"/>
        <v>#DIV/0!</v>
      </c>
      <c r="AR12" s="318" t="str">
        <f t="shared" si="15"/>
        <v>FEMALE DOM</v>
      </c>
      <c r="AS12" s="319" t="e">
        <f t="shared" si="16"/>
        <v>#DIV/0!</v>
      </c>
      <c r="AT12" s="317">
        <f t="shared" si="24"/>
        <v>65.9652333028362</v>
      </c>
      <c r="AU12" s="317" t="e">
        <f t="shared" si="24"/>
        <v>#DIV/0!</v>
      </c>
      <c r="AV12" s="248">
        <f t="shared" si="25"/>
        <v>23.2387923147301</v>
      </c>
      <c r="AW12" s="317" t="e">
        <f t="shared" si="25"/>
        <v>#DIV/0!</v>
      </c>
      <c r="AX12" s="248">
        <f t="shared" si="26"/>
        <v>10.7959743824337</v>
      </c>
      <c r="AY12" s="317" t="e">
        <f t="shared" si="26"/>
        <v>#DIV/0!</v>
      </c>
      <c r="AZ12" s="248" t="str">
        <f t="shared" si="20"/>
        <v>HINDU</v>
      </c>
      <c r="BA12" s="318" t="e">
        <f t="shared" si="21"/>
        <v>#DIV/0!</v>
      </c>
    </row>
    <row r="13" spans="2:53">
      <c r="B13" s="215">
        <v>42</v>
      </c>
      <c r="C13" s="215">
        <v>1330</v>
      </c>
      <c r="D13" s="215">
        <v>410</v>
      </c>
      <c r="E13" s="215">
        <v>405</v>
      </c>
      <c r="F13" s="215">
        <v>3</v>
      </c>
      <c r="G13" s="215">
        <v>3</v>
      </c>
      <c r="H13" s="215">
        <v>0</v>
      </c>
      <c r="I13" s="215">
        <v>0</v>
      </c>
      <c r="J13" s="215">
        <v>0</v>
      </c>
      <c r="K13" s="215">
        <v>0</v>
      </c>
      <c r="L13" s="215">
        <v>821</v>
      </c>
      <c r="M13" s="215">
        <v>0</v>
      </c>
      <c r="N13" s="215">
        <v>6</v>
      </c>
      <c r="O13" s="215">
        <f t="shared" si="0"/>
        <v>827</v>
      </c>
      <c r="P13" s="215">
        <f t="shared" si="1"/>
        <v>62.1804511278195</v>
      </c>
      <c r="Q13" s="215">
        <f t="shared" si="2"/>
        <v>48.9721886336155</v>
      </c>
      <c r="R13" s="215">
        <f t="shared" si="3"/>
        <v>49.5767835550181</v>
      </c>
      <c r="S13" s="215">
        <f t="shared" si="4"/>
        <v>0.362756952841596</v>
      </c>
      <c r="T13" s="215">
        <f t="shared" si="5"/>
        <v>0.362756952841596</v>
      </c>
      <c r="U13" s="215">
        <f t="shared" si="6"/>
        <v>0</v>
      </c>
      <c r="V13" s="215">
        <f t="shared" si="7"/>
        <v>0.725513905683192</v>
      </c>
      <c r="W13" s="215">
        <f t="shared" si="8"/>
        <v>-0.604594921402665</v>
      </c>
      <c r="X13" s="215">
        <f t="shared" si="9"/>
        <v>-1.33010882708585</v>
      </c>
      <c r="Y13" s="215" t="str">
        <f t="shared" si="10"/>
        <v>LOST</v>
      </c>
      <c r="Z13" s="341" t="str">
        <f t="shared" si="11"/>
        <v>STRONG</v>
      </c>
      <c r="AA13" s="284" t="str">
        <f t="shared" si="12"/>
        <v>CONGRESS</v>
      </c>
      <c r="AB13">
        <v>1319</v>
      </c>
      <c r="AC13">
        <v>840</v>
      </c>
      <c r="AD13">
        <v>596</v>
      </c>
      <c r="AE13">
        <v>354</v>
      </c>
      <c r="AF13">
        <v>722</v>
      </c>
      <c r="AG13">
        <v>486</v>
      </c>
      <c r="AH13">
        <v>718</v>
      </c>
      <c r="AI13">
        <v>480</v>
      </c>
      <c r="AJ13">
        <v>47</v>
      </c>
      <c r="AK13">
        <v>18</v>
      </c>
      <c r="AL13">
        <v>554</v>
      </c>
      <c r="AM13">
        <v>342</v>
      </c>
      <c r="AN13" s="248">
        <f t="shared" si="22"/>
        <v>45.185746777862</v>
      </c>
      <c r="AO13" s="316">
        <f t="shared" si="22"/>
        <v>42.1428571428571</v>
      </c>
      <c r="AP13" s="317">
        <f t="shared" si="23"/>
        <v>54.7384382107657</v>
      </c>
      <c r="AQ13" s="318">
        <f t="shared" si="23"/>
        <v>57.8571428571429</v>
      </c>
      <c r="AR13" s="318" t="str">
        <f t="shared" si="15"/>
        <v>FEMALE DOM</v>
      </c>
      <c r="AS13" s="319" t="str">
        <f t="shared" si="16"/>
        <v>FEMALE</v>
      </c>
      <c r="AT13" s="317">
        <f t="shared" si="24"/>
        <v>54.4351781652767</v>
      </c>
      <c r="AU13" s="317">
        <f t="shared" si="24"/>
        <v>57.1428571428571</v>
      </c>
      <c r="AV13" s="248">
        <f t="shared" si="25"/>
        <v>3.56330553449583</v>
      </c>
      <c r="AW13" s="317">
        <f t="shared" si="25"/>
        <v>2.14285714285714</v>
      </c>
      <c r="AX13" s="248">
        <f t="shared" si="26"/>
        <v>42.0015163002274</v>
      </c>
      <c r="AY13" s="317">
        <f t="shared" si="26"/>
        <v>40.7142857142857</v>
      </c>
      <c r="AZ13" s="248" t="str">
        <f t="shared" si="20"/>
        <v>HINDU</v>
      </c>
      <c r="BA13" s="318" t="str">
        <f t="shared" si="21"/>
        <v>HIND</v>
      </c>
    </row>
    <row r="14" spans="3:53">
      <c r="C14" s="219">
        <f t="shared" ref="C14:O14" si="27">SUM(C7:C13)</f>
        <v>9255</v>
      </c>
      <c r="D14" s="219">
        <f t="shared" si="27"/>
        <v>2498</v>
      </c>
      <c r="E14" s="219">
        <f t="shared" si="27"/>
        <v>3799</v>
      </c>
      <c r="F14" s="219">
        <f t="shared" si="27"/>
        <v>16</v>
      </c>
      <c r="G14" s="219">
        <f t="shared" si="27"/>
        <v>22</v>
      </c>
      <c r="H14" s="219">
        <f t="shared" si="27"/>
        <v>4</v>
      </c>
      <c r="I14" s="219">
        <f t="shared" si="27"/>
        <v>3</v>
      </c>
      <c r="J14" s="219">
        <f t="shared" si="27"/>
        <v>2</v>
      </c>
      <c r="K14" s="219">
        <f t="shared" si="27"/>
        <v>7</v>
      </c>
      <c r="L14" s="219">
        <f t="shared" si="27"/>
        <v>6351</v>
      </c>
      <c r="M14" s="219">
        <f t="shared" si="27"/>
        <v>0</v>
      </c>
      <c r="N14" s="219">
        <f t="shared" si="27"/>
        <v>41</v>
      </c>
      <c r="O14" s="219">
        <f t="shared" si="27"/>
        <v>6392</v>
      </c>
      <c r="P14" s="219">
        <f t="shared" ref="P14:X14" si="28">AVERAGE(P7:P13)</f>
        <v>68.8481185700336</v>
      </c>
      <c r="Q14" s="219">
        <f t="shared" si="28"/>
        <v>59.0086646854371</v>
      </c>
      <c r="R14" s="219">
        <f t="shared" si="28"/>
        <v>39.5366549662195</v>
      </c>
      <c r="S14" s="219">
        <f t="shared" si="28"/>
        <v>0.240011146552493</v>
      </c>
      <c r="T14" s="219">
        <f t="shared" si="28"/>
        <v>0.346906157717733</v>
      </c>
      <c r="U14" s="219">
        <f t="shared" si="28"/>
        <v>0.235068202656835</v>
      </c>
      <c r="V14" s="219">
        <f t="shared" si="28"/>
        <v>0.632694841416387</v>
      </c>
      <c r="W14" s="219">
        <f t="shared" si="28"/>
        <v>19.4720097192176</v>
      </c>
      <c r="X14" s="219">
        <f t="shared" si="28"/>
        <v>18.6500242122906</v>
      </c>
      <c r="Y14" s="219" t="str">
        <f t="shared" si="10"/>
        <v>MEDIUM</v>
      </c>
      <c r="Z14" s="341" t="str">
        <f t="shared" si="11"/>
        <v>STRONG</v>
      </c>
      <c r="AA14" s="289" t="str">
        <f t="shared" si="12"/>
        <v>BJP</v>
      </c>
      <c r="AN14" s="248"/>
      <c r="AO14" s="316"/>
      <c r="AP14" s="317"/>
      <c r="AQ14" s="318"/>
      <c r="AR14" s="318"/>
      <c r="AS14" s="319"/>
      <c r="AT14" s="317"/>
      <c r="AU14" s="317"/>
      <c r="AV14" s="248"/>
      <c r="AW14" s="317"/>
      <c r="AX14" s="248"/>
      <c r="AY14" s="317"/>
      <c r="AZ14" s="248"/>
      <c r="BA14" s="318"/>
    </row>
    <row r="17" spans="16:33">
      <c r="P17" s="225" t="s">
        <v>205</v>
      </c>
      <c r="Q17" s="237"/>
      <c r="R17" s="237"/>
      <c r="S17" s="238"/>
      <c r="U17" s="225" t="s">
        <v>97</v>
      </c>
      <c r="V17" s="237"/>
      <c r="W17" s="237"/>
      <c r="X17" s="238"/>
      <c r="Z17" s="265" t="s">
        <v>98</v>
      </c>
      <c r="AA17" s="265"/>
      <c r="AB17" s="265"/>
      <c r="AC17" s="265"/>
      <c r="AD17" s="265"/>
      <c r="AE17" s="265"/>
      <c r="AF17" s="265"/>
      <c r="AG17" s="265"/>
    </row>
    <row r="18" spans="16:33">
      <c r="P18" s="226"/>
      <c r="Q18" s="239"/>
      <c r="R18" s="239"/>
      <c r="S18" s="240"/>
      <c r="U18" s="241"/>
      <c r="V18" s="242"/>
      <c r="W18" s="242"/>
      <c r="X18" s="243"/>
      <c r="Z18" s="265"/>
      <c r="AA18" s="265"/>
      <c r="AB18" s="265"/>
      <c r="AC18" s="265"/>
      <c r="AD18" s="265"/>
      <c r="AE18" s="265"/>
      <c r="AF18" s="265"/>
      <c r="AG18" s="265"/>
    </row>
    <row r="19" spans="16:33">
      <c r="P19" s="227" t="s">
        <v>99</v>
      </c>
      <c r="Q19" s="244"/>
      <c r="R19" s="245"/>
      <c r="S19" s="245">
        <f>COUNTIF(AA7:AA13,"BJP")</f>
        <v>5</v>
      </c>
      <c r="U19" s="246" t="s">
        <v>100</v>
      </c>
      <c r="V19" s="247"/>
      <c r="W19" s="247"/>
      <c r="X19" s="248">
        <f>COUNTIF(Y7:Y13,"NARROW")</f>
        <v>0</v>
      </c>
      <c r="Z19" s="265" t="s">
        <v>101</v>
      </c>
      <c r="AA19" s="265"/>
      <c r="AB19" s="265"/>
      <c r="AC19" s="265">
        <f>'PADAV CENTRAL-18'!E9</f>
        <v>54.6099007349147</v>
      </c>
      <c r="AD19" s="265" t="s">
        <v>102</v>
      </c>
      <c r="AE19" s="265"/>
      <c r="AF19" s="265"/>
      <c r="AG19" s="265">
        <f>Q14</f>
        <v>59.0086646854371</v>
      </c>
    </row>
    <row r="20" spans="16:33">
      <c r="P20" s="227"/>
      <c r="Q20" s="244"/>
      <c r="R20" s="245"/>
      <c r="S20" s="245"/>
      <c r="U20" s="249"/>
      <c r="V20" s="250"/>
      <c r="W20" s="250"/>
      <c r="X20" s="251"/>
      <c r="Z20" s="265"/>
      <c r="AA20" s="265"/>
      <c r="AB20" s="265"/>
      <c r="AC20" s="265"/>
      <c r="AD20" s="265"/>
      <c r="AE20" s="265"/>
      <c r="AF20" s="265"/>
      <c r="AG20" s="265"/>
    </row>
    <row r="21" spans="16:33">
      <c r="P21" s="227"/>
      <c r="Q21" s="244"/>
      <c r="R21" s="245"/>
      <c r="S21" s="245"/>
      <c r="U21" s="252" t="s">
        <v>103</v>
      </c>
      <c r="V21" s="253"/>
      <c r="W21" s="253"/>
      <c r="X21" s="248">
        <f>COUNTIF(Y7:Y13,"MEDIUM")</f>
        <v>4</v>
      </c>
      <c r="Z21" s="265" t="s">
        <v>104</v>
      </c>
      <c r="AA21" s="265"/>
      <c r="AB21" s="265"/>
      <c r="AC21" s="265">
        <f>'PADAV CENTRAL-18'!G9</f>
        <v>42.0989064533033</v>
      </c>
      <c r="AD21" s="265" t="s">
        <v>105</v>
      </c>
      <c r="AE21" s="265"/>
      <c r="AF21" s="265"/>
      <c r="AG21" s="265">
        <f>R14</f>
        <v>39.5366549662195</v>
      </c>
    </row>
    <row r="22" spans="16:33">
      <c r="P22" s="228" t="s">
        <v>106</v>
      </c>
      <c r="Q22" s="254"/>
      <c r="R22" s="255"/>
      <c r="S22" s="255">
        <f>COUNTIF(AA7:AA13,"CONGRESS")</f>
        <v>2</v>
      </c>
      <c r="U22" s="252"/>
      <c r="V22" s="253"/>
      <c r="W22" s="253"/>
      <c r="X22" s="251"/>
      <c r="Z22" s="265"/>
      <c r="AA22" s="265"/>
      <c r="AB22" s="265"/>
      <c r="AC22" s="265"/>
      <c r="AD22" s="265"/>
      <c r="AE22" s="265"/>
      <c r="AF22" s="265"/>
      <c r="AG22" s="265"/>
    </row>
    <row r="23" spans="16:33">
      <c r="P23" s="229"/>
      <c r="Q23" s="256"/>
      <c r="R23" s="257"/>
      <c r="S23" s="257"/>
      <c r="U23" s="258" t="s">
        <v>107</v>
      </c>
      <c r="V23" s="259"/>
      <c r="W23" s="259"/>
      <c r="X23" s="248">
        <f>COUNTIF(Y7:Y13,"STRONG")</f>
        <v>1</v>
      </c>
      <c r="Z23" s="265" t="s">
        <v>108</v>
      </c>
      <c r="AA23" s="265"/>
      <c r="AB23" s="265"/>
      <c r="AC23" s="265">
        <f>'PADAV CENTRAL-18'!C9</f>
        <v>6078</v>
      </c>
      <c r="AD23" s="265" t="s">
        <v>109</v>
      </c>
      <c r="AE23" s="265"/>
      <c r="AF23" s="265"/>
      <c r="AG23" s="265">
        <f>O14</f>
        <v>6392</v>
      </c>
    </row>
    <row r="24" spans="16:33">
      <c r="P24" s="230"/>
      <c r="Q24" s="260"/>
      <c r="R24" s="261"/>
      <c r="S24" s="261"/>
      <c r="U24" s="262"/>
      <c r="V24" s="263"/>
      <c r="W24" s="263"/>
      <c r="X24" s="251"/>
      <c r="Z24" s="265"/>
      <c r="AA24" s="265"/>
      <c r="AB24" s="265"/>
      <c r="AC24" s="265"/>
      <c r="AD24" s="265"/>
      <c r="AE24" s="265"/>
      <c r="AF24" s="265"/>
      <c r="AG24" s="265"/>
    </row>
    <row r="25" spans="21:33">
      <c r="U25" s="229" t="s">
        <v>110</v>
      </c>
      <c r="V25" s="256"/>
      <c r="W25" s="256"/>
      <c r="X25" s="248">
        <f>COUNTIF(Y7:Y13,"LOST")</f>
        <v>2</v>
      </c>
      <c r="Z25" s="265" t="s">
        <v>111</v>
      </c>
      <c r="AA25" s="265"/>
      <c r="AB25" s="265"/>
      <c r="AC25" s="265">
        <f>AC19-AC21</f>
        <v>12.5109942816114</v>
      </c>
      <c r="AD25" s="265" t="s">
        <v>111</v>
      </c>
      <c r="AE25" s="265"/>
      <c r="AF25" s="265"/>
      <c r="AG25" s="265">
        <f>AG19-AG21</f>
        <v>19.4720097192176</v>
      </c>
    </row>
    <row r="26" spans="21:33">
      <c r="U26" s="230"/>
      <c r="V26" s="260"/>
      <c r="W26" s="260"/>
      <c r="X26" s="251"/>
      <c r="Z26" s="265"/>
      <c r="AA26" s="265"/>
      <c r="AB26" s="265"/>
      <c r="AC26" s="265"/>
      <c r="AD26" s="265"/>
      <c r="AE26" s="265"/>
      <c r="AF26" s="265"/>
      <c r="AG26" s="265"/>
    </row>
    <row r="27" spans="26:32">
      <c r="Z27" s="265" t="s">
        <v>112</v>
      </c>
      <c r="AA27" s="265"/>
      <c r="AB27" s="265"/>
      <c r="AC27" s="265">
        <f>AG19-AC19</f>
        <v>4.3987639505224</v>
      </c>
      <c r="AD27" s="265"/>
      <c r="AE27" s="265"/>
      <c r="AF27" s="265"/>
    </row>
    <row r="28" spans="26:32">
      <c r="Z28" s="265"/>
      <c r="AA28" s="265"/>
      <c r="AB28" s="265"/>
      <c r="AC28" s="265"/>
      <c r="AD28" s="265"/>
      <c r="AE28" s="265"/>
      <c r="AF28" s="265"/>
    </row>
    <row r="29" spans="26:32">
      <c r="Z29" s="265" t="s">
        <v>113</v>
      </c>
      <c r="AA29" s="265"/>
      <c r="AB29" s="265"/>
      <c r="AC29" s="265">
        <f>AG21-AC21</f>
        <v>-2.56225148708383</v>
      </c>
      <c r="AD29" s="265"/>
      <c r="AE29" s="265"/>
      <c r="AF29" s="265"/>
    </row>
    <row r="30" spans="26:32">
      <c r="Z30" s="265"/>
      <c r="AA30" s="265"/>
      <c r="AB30" s="265"/>
      <c r="AC30" s="265"/>
      <c r="AD30" s="265"/>
      <c r="AE30" s="265"/>
      <c r="AF30" s="265"/>
    </row>
    <row r="31" spans="26:32">
      <c r="Z31" s="265" t="s">
        <v>114</v>
      </c>
      <c r="AA31" s="265"/>
      <c r="AB31" s="265"/>
      <c r="AC31" s="265" t="str">
        <f>IF(AC27&gt;AC29,"INCREASE","DECREASE")</f>
        <v>INCREASE</v>
      </c>
      <c r="AD31" s="265"/>
      <c r="AE31" s="265"/>
      <c r="AF31" s="265"/>
    </row>
    <row r="32" spans="26:32">
      <c r="Z32" s="265"/>
      <c r="AA32" s="265"/>
      <c r="AB32" s="265"/>
      <c r="AC32" s="265"/>
      <c r="AD32" s="265"/>
      <c r="AE32" s="265"/>
      <c r="AF32" s="265"/>
    </row>
    <row r="33" spans="26:33">
      <c r="Z33" s="265">
        <v>0</v>
      </c>
      <c r="AA33" s="265"/>
      <c r="AB33" s="265"/>
      <c r="AC33" s="265"/>
      <c r="AD33" s="265"/>
      <c r="AE33" s="265"/>
      <c r="AF33" s="265"/>
      <c r="AG33" s="265"/>
    </row>
    <row r="34" spans="26:33">
      <c r="Z34" s="265"/>
      <c r="AA34" s="265"/>
      <c r="AB34" s="265"/>
      <c r="AC34" s="265"/>
      <c r="AD34" s="265"/>
      <c r="AE34" s="265"/>
      <c r="AF34" s="265"/>
      <c r="AG34" s="265"/>
    </row>
    <row r="35" spans="26:33">
      <c r="Z35" s="265"/>
      <c r="AA35" s="265"/>
      <c r="AB35" s="265"/>
      <c r="AC35" s="265"/>
      <c r="AD35" s="265"/>
      <c r="AE35" s="265"/>
      <c r="AF35" s="265"/>
      <c r="AG35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O1:O6"/>
    <mergeCell ref="P1:P6"/>
    <mergeCell ref="Q1:Q6"/>
    <mergeCell ref="R1:R6"/>
    <mergeCell ref="S1:S6"/>
    <mergeCell ref="S19:S21"/>
    <mergeCell ref="S22:S24"/>
    <mergeCell ref="T1:T6"/>
    <mergeCell ref="U1:U6"/>
    <mergeCell ref="V1:V6"/>
    <mergeCell ref="W1:W6"/>
    <mergeCell ref="X1:X6"/>
    <mergeCell ref="X19:X20"/>
    <mergeCell ref="X21:X22"/>
    <mergeCell ref="X23:X24"/>
    <mergeCell ref="X25:X26"/>
    <mergeCell ref="Y1:Y6"/>
    <mergeCell ref="Z1:Z6"/>
    <mergeCell ref="AA1:AA6"/>
    <mergeCell ref="AB1:AB6"/>
    <mergeCell ref="AC1:AC6"/>
    <mergeCell ref="AC19:AC20"/>
    <mergeCell ref="AC21:AC22"/>
    <mergeCell ref="AC23:AC24"/>
    <mergeCell ref="AC25:AC26"/>
    <mergeCell ref="AD1:AD6"/>
    <mergeCell ref="AE1:AE6"/>
    <mergeCell ref="AF1:AF6"/>
    <mergeCell ref="AG1:AG6"/>
    <mergeCell ref="AG19:AG20"/>
    <mergeCell ref="AG21:AG22"/>
    <mergeCell ref="AG23:AG24"/>
    <mergeCell ref="AG25:AG2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D1:K2"/>
    <mergeCell ref="U25:W26"/>
    <mergeCell ref="AD25:AF26"/>
    <mergeCell ref="P17:S18"/>
    <mergeCell ref="U17:X18"/>
    <mergeCell ref="P19:R21"/>
    <mergeCell ref="U19:W20"/>
    <mergeCell ref="AD19:AF20"/>
    <mergeCell ref="U21:W22"/>
    <mergeCell ref="AD21:AF22"/>
    <mergeCell ref="P22:R24"/>
    <mergeCell ref="U23:W24"/>
    <mergeCell ref="AD23:AF24"/>
    <mergeCell ref="Z17:AG18"/>
    <mergeCell ref="Z19:AB20"/>
    <mergeCell ref="Z21:AB22"/>
    <mergeCell ref="Z23:AB24"/>
    <mergeCell ref="Z25:AB26"/>
    <mergeCell ref="Z27:AB28"/>
    <mergeCell ref="AC27:AF28"/>
    <mergeCell ref="Z33:AG35"/>
    <mergeCell ref="Z29:AB30"/>
    <mergeCell ref="AC29:AF30"/>
    <mergeCell ref="Z31:AB32"/>
    <mergeCell ref="AC31:AD32"/>
    <mergeCell ref="AE31:AF32"/>
  </mergeCells>
  <conditionalFormatting sqref="AR7:AR14">
    <cfRule type="containsText" dxfId="6" priority="1" operator="between" text="FEMALE DOM">
      <formula>NOT(ISERROR(SEARCH("FEMALE DOM",AR7)))</formula>
    </cfRule>
  </conditionalFormatting>
  <conditionalFormatting sqref="AZ7:AZ14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4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"/>
  <sheetViews>
    <sheetView workbookViewId="0">
      <selection activeCell="A1" sqref="A1:AJ1"/>
    </sheetView>
  </sheetViews>
  <sheetFormatPr defaultColWidth="9" defaultRowHeight="14.5"/>
  <cols>
    <col min="1" max="1" width="13.5727272727273" customWidth="1"/>
  </cols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30</v>
      </c>
      <c r="B2" s="185" t="s">
        <v>337</v>
      </c>
      <c r="C2" s="184">
        <v>920</v>
      </c>
      <c r="D2" s="184">
        <v>552</v>
      </c>
      <c r="E2" s="184">
        <f t="shared" ref="E2:E8" si="0">(D2/C2)*100</f>
        <v>60</v>
      </c>
      <c r="F2" s="184">
        <v>310</v>
      </c>
      <c r="G2" s="184">
        <f t="shared" ref="G2:G8" si="1">(F2/C2)*100</f>
        <v>33.695652173913</v>
      </c>
      <c r="H2" s="184">
        <v>5</v>
      </c>
      <c r="I2" s="184">
        <f t="shared" ref="I2:I8" si="2">(H2/C2)*100</f>
        <v>0.543478260869565</v>
      </c>
      <c r="J2" s="184">
        <v>22</v>
      </c>
      <c r="K2" s="184">
        <f t="shared" ref="K2:K8" si="3">(J2/C2)*100</f>
        <v>2.39130434782609</v>
      </c>
      <c r="L2" s="189">
        <v>621</v>
      </c>
      <c r="M2" s="189">
        <v>665</v>
      </c>
      <c r="N2" s="189">
        <f t="shared" ref="N2:N8" si="4">L2+M2</f>
        <v>1286</v>
      </c>
      <c r="O2" s="184">
        <v>920</v>
      </c>
      <c r="P2" s="190">
        <f t="shared" ref="P2:P8" si="5">O2/N2*100</f>
        <v>71.5396578538103</v>
      </c>
      <c r="Q2" s="184"/>
      <c r="R2" s="184">
        <f t="shared" ref="R2:R8" si="6">(Q2/N2)*100</f>
        <v>0</v>
      </c>
      <c r="S2" s="192">
        <f t="shared" ref="S2:S8" si="7">Q2-U2</f>
        <v>0</v>
      </c>
      <c r="T2" s="184" t="e">
        <f t="shared" ref="T2:T8" si="8">(S2/Q2)*100</f>
        <v>#DIV/0!</v>
      </c>
      <c r="U2" s="184"/>
      <c r="V2" s="191">
        <f t="shared" ref="V2:V8" si="9">IFERROR(U2/Q2*100,0)</f>
        <v>0</v>
      </c>
      <c r="W2" s="184"/>
      <c r="X2" s="184">
        <f t="shared" ref="X2:X8" si="10">100-R2</f>
        <v>100</v>
      </c>
      <c r="Y2" s="184">
        <f t="shared" ref="Y2:Y8" si="11">W2-AA2</f>
        <v>0</v>
      </c>
      <c r="Z2" s="193" t="e">
        <f t="shared" ref="Z2:Z8" si="12">(Y2/W2)*100</f>
        <v>#DIV/0!</v>
      </c>
      <c r="AA2" s="193"/>
      <c r="AB2" s="194">
        <f t="shared" ref="AB2:AB8" si="13">IFERROR(AA2/W2*100,0)</f>
        <v>0</v>
      </c>
      <c r="AC2" s="193">
        <f t="shared" ref="AC2:AC8" si="14">U2+AA2</f>
        <v>0</v>
      </c>
      <c r="AD2" s="193" t="str">
        <f t="shared" ref="AD2:AD8" si="15">IF(P2&gt;80,"EXCELLENT",IF(P2&gt;70,"STRONG",IF(P2&gt;60,"AVG",IF(P2&gt;50,"WEAK",IF(P2&lt;50,"VLOW")))))</f>
        <v>STRONG</v>
      </c>
      <c r="AE2" s="195" t="str">
        <f t="shared" ref="AE2:AE8" si="16">IF(R2&gt;80,"EXCELLENT",IF(R2&gt;70,"STRONG",IF(R2&gt;60,"AVG",IF(R2&gt;50,"WEAK",IF(R2&lt;50,"VLOW")))))</f>
        <v>VLOW</v>
      </c>
      <c r="AF2" s="193" t="str">
        <f t="shared" ref="AF2:AF8" si="17">IF(X2&gt;80,"EXCELLENT",IF(X2&gt;70,"STRONG",IF(X2&gt;60,"AVG",IF(X2&gt;50,"WEAK",IF(X2&lt;50,"VLOW")))))</f>
        <v>EXCELLENT</v>
      </c>
      <c r="AG2" s="193" t="str">
        <f t="shared" ref="AG2:AG8" si="18">IF(M2&gt;L2,"FEMALE DOM","MEN")</f>
        <v>FEMALE DOM</v>
      </c>
      <c r="AH2" s="193" t="e">
        <f t="shared" ref="AH2:AH8" si="19">IF(T2&gt;Z2,"H","O")</f>
        <v>#DIV/0!</v>
      </c>
      <c r="AI2" s="197">
        <f t="shared" ref="AI2:AI4" si="20">E2-G2</f>
        <v>26.304347826087</v>
      </c>
      <c r="AJ2" s="199" t="str">
        <f t="shared" ref="AJ2:AJ9" si="21">IF(E2&gt;G2,"BJP GAIN","CONGRESSGAIN")</f>
        <v>BJP GAIN</v>
      </c>
    </row>
    <row r="3" spans="1:36">
      <c r="A3" s="184">
        <v>31</v>
      </c>
      <c r="B3" s="185" t="s">
        <v>338</v>
      </c>
      <c r="C3" s="184">
        <v>923</v>
      </c>
      <c r="D3" s="184">
        <v>644</v>
      </c>
      <c r="E3" s="184">
        <f t="shared" si="0"/>
        <v>69.7724810400867</v>
      </c>
      <c r="F3" s="184">
        <v>242</v>
      </c>
      <c r="G3" s="184">
        <f t="shared" si="1"/>
        <v>26.2188515709642</v>
      </c>
      <c r="H3" s="184">
        <v>1</v>
      </c>
      <c r="I3" s="184">
        <f t="shared" si="2"/>
        <v>0.108342361863489</v>
      </c>
      <c r="J3" s="184">
        <v>12</v>
      </c>
      <c r="K3" s="184">
        <f t="shared" si="3"/>
        <v>1.30010834236186</v>
      </c>
      <c r="L3" s="189">
        <v>607</v>
      </c>
      <c r="M3" s="189">
        <v>655</v>
      </c>
      <c r="N3" s="189">
        <f t="shared" si="4"/>
        <v>1262</v>
      </c>
      <c r="O3" s="184">
        <v>923</v>
      </c>
      <c r="P3" s="190">
        <f t="shared" si="5"/>
        <v>73.1378763866878</v>
      </c>
      <c r="Q3" s="184">
        <v>1085</v>
      </c>
      <c r="R3" s="184">
        <f t="shared" si="6"/>
        <v>85.9746434231379</v>
      </c>
      <c r="S3" s="184">
        <f t="shared" si="7"/>
        <v>270</v>
      </c>
      <c r="T3" s="184">
        <f t="shared" si="8"/>
        <v>24.8847926267281</v>
      </c>
      <c r="U3" s="184">
        <v>815</v>
      </c>
      <c r="V3" s="191">
        <f t="shared" si="9"/>
        <v>75.1152073732719</v>
      </c>
      <c r="W3" s="184">
        <v>177</v>
      </c>
      <c r="X3" s="184">
        <f t="shared" si="10"/>
        <v>14.0253565768621</v>
      </c>
      <c r="Y3" s="196">
        <f t="shared" si="11"/>
        <v>69</v>
      </c>
      <c r="Z3" s="193">
        <f t="shared" si="12"/>
        <v>38.9830508474576</v>
      </c>
      <c r="AA3" s="193">
        <v>108</v>
      </c>
      <c r="AB3" s="194">
        <f t="shared" si="13"/>
        <v>61.0169491525424</v>
      </c>
      <c r="AC3" s="193">
        <f t="shared" si="14"/>
        <v>923</v>
      </c>
      <c r="AD3" s="193" t="str">
        <f t="shared" si="15"/>
        <v>STRONG</v>
      </c>
      <c r="AE3" s="195" t="str">
        <f t="shared" si="16"/>
        <v>EXCELLENT</v>
      </c>
      <c r="AF3" s="193" t="str">
        <f t="shared" si="17"/>
        <v>VLOW</v>
      </c>
      <c r="AG3" s="193" t="str">
        <f t="shared" si="18"/>
        <v>FEMALE DOM</v>
      </c>
      <c r="AH3" s="193" t="str">
        <f t="shared" si="19"/>
        <v>O</v>
      </c>
      <c r="AI3" s="197">
        <f t="shared" si="20"/>
        <v>43.5536294691224</v>
      </c>
      <c r="AJ3" s="199" t="str">
        <f t="shared" si="21"/>
        <v>BJP GAIN</v>
      </c>
    </row>
    <row r="4" spans="1:36">
      <c r="A4" s="184">
        <v>34</v>
      </c>
      <c r="B4" s="185" t="s">
        <v>339</v>
      </c>
      <c r="C4" s="184">
        <v>1044</v>
      </c>
      <c r="D4" s="184">
        <v>609</v>
      </c>
      <c r="E4" s="184">
        <f t="shared" si="0"/>
        <v>58.3333333333333</v>
      </c>
      <c r="F4" s="184">
        <v>405</v>
      </c>
      <c r="G4" s="184">
        <f t="shared" si="1"/>
        <v>38.7931034482759</v>
      </c>
      <c r="H4" s="184">
        <v>3</v>
      </c>
      <c r="I4" s="184">
        <f t="shared" si="2"/>
        <v>0.28735632183908</v>
      </c>
      <c r="J4" s="184">
        <v>5</v>
      </c>
      <c r="K4" s="184">
        <f t="shared" si="3"/>
        <v>0.478927203065134</v>
      </c>
      <c r="L4" s="189">
        <v>628</v>
      </c>
      <c r="M4" s="189">
        <v>753</v>
      </c>
      <c r="N4" s="189">
        <f t="shared" si="4"/>
        <v>1381</v>
      </c>
      <c r="O4" s="184">
        <v>1044</v>
      </c>
      <c r="P4" s="190">
        <f t="shared" si="5"/>
        <v>75.5973931933382</v>
      </c>
      <c r="Q4" s="184">
        <v>1098</v>
      </c>
      <c r="R4" s="184">
        <f t="shared" si="6"/>
        <v>79.507603186097</v>
      </c>
      <c r="S4" s="192">
        <f t="shared" si="7"/>
        <v>284</v>
      </c>
      <c r="T4" s="184">
        <f t="shared" si="8"/>
        <v>25.8652094717668</v>
      </c>
      <c r="U4" s="184">
        <v>814</v>
      </c>
      <c r="V4" s="191">
        <f t="shared" si="9"/>
        <v>74.1347905282332</v>
      </c>
      <c r="W4" s="184">
        <v>283</v>
      </c>
      <c r="X4" s="184">
        <f t="shared" si="10"/>
        <v>20.492396813903</v>
      </c>
      <c r="Y4" s="196">
        <f t="shared" si="11"/>
        <v>53</v>
      </c>
      <c r="Z4" s="193">
        <f t="shared" si="12"/>
        <v>18.7279151943463</v>
      </c>
      <c r="AA4" s="193">
        <v>230</v>
      </c>
      <c r="AB4" s="194">
        <f t="shared" si="13"/>
        <v>81.2720848056537</v>
      </c>
      <c r="AC4" s="193">
        <f t="shared" si="14"/>
        <v>1044</v>
      </c>
      <c r="AD4" s="193" t="str">
        <f t="shared" si="15"/>
        <v>STRONG</v>
      </c>
      <c r="AE4" s="195" t="str">
        <f t="shared" si="16"/>
        <v>STRONG</v>
      </c>
      <c r="AF4" s="193" t="str">
        <f t="shared" si="17"/>
        <v>VLOW</v>
      </c>
      <c r="AG4" s="193" t="str">
        <f t="shared" si="18"/>
        <v>FEMALE DOM</v>
      </c>
      <c r="AH4" s="193" t="str">
        <f t="shared" si="19"/>
        <v>H</v>
      </c>
      <c r="AI4" s="197">
        <f t="shared" si="20"/>
        <v>19.5402298850575</v>
      </c>
      <c r="AJ4" s="199" t="str">
        <f t="shared" si="21"/>
        <v>BJP GAIN</v>
      </c>
    </row>
    <row r="5" spans="1:36">
      <c r="A5" s="184">
        <v>38</v>
      </c>
      <c r="B5" s="185" t="s">
        <v>340</v>
      </c>
      <c r="C5" s="184">
        <v>729</v>
      </c>
      <c r="D5" s="184">
        <v>323</v>
      </c>
      <c r="E5" s="184">
        <f t="shared" si="0"/>
        <v>44.3072702331962</v>
      </c>
      <c r="F5" s="184">
        <v>386</v>
      </c>
      <c r="G5" s="184">
        <f t="shared" si="1"/>
        <v>52.9492455418381</v>
      </c>
      <c r="H5" s="184">
        <v>8</v>
      </c>
      <c r="I5" s="184">
        <f t="shared" si="2"/>
        <v>1.09739368998628</v>
      </c>
      <c r="J5" s="184">
        <v>3</v>
      </c>
      <c r="K5" s="184">
        <f t="shared" si="3"/>
        <v>0.411522633744856</v>
      </c>
      <c r="L5" s="189">
        <v>522</v>
      </c>
      <c r="M5" s="189">
        <v>637</v>
      </c>
      <c r="N5" s="189">
        <f t="shared" si="4"/>
        <v>1159</v>
      </c>
      <c r="O5" s="184">
        <v>729</v>
      </c>
      <c r="P5" s="190">
        <f t="shared" si="5"/>
        <v>62.8990509059534</v>
      </c>
      <c r="Q5" s="184">
        <v>586</v>
      </c>
      <c r="R5" s="184">
        <f t="shared" si="6"/>
        <v>50.5608283002588</v>
      </c>
      <c r="S5" s="192">
        <f t="shared" si="7"/>
        <v>193</v>
      </c>
      <c r="T5" s="184">
        <f t="shared" si="8"/>
        <v>32.9351535836177</v>
      </c>
      <c r="U5" s="184">
        <v>393</v>
      </c>
      <c r="V5" s="191">
        <f t="shared" si="9"/>
        <v>67.0648464163823</v>
      </c>
      <c r="W5" s="184">
        <v>567</v>
      </c>
      <c r="X5" s="184">
        <f t="shared" si="10"/>
        <v>49.4391716997412</v>
      </c>
      <c r="Y5" s="184">
        <f t="shared" si="11"/>
        <v>232</v>
      </c>
      <c r="Z5" s="193">
        <f t="shared" si="12"/>
        <v>40.9171075837742</v>
      </c>
      <c r="AA5" s="193">
        <v>335</v>
      </c>
      <c r="AB5" s="194">
        <f t="shared" si="13"/>
        <v>59.0828924162258</v>
      </c>
      <c r="AC5" s="193">
        <f t="shared" si="14"/>
        <v>728</v>
      </c>
      <c r="AD5" s="193" t="str">
        <f t="shared" si="15"/>
        <v>AVG</v>
      </c>
      <c r="AE5" s="195" t="str">
        <f t="shared" si="16"/>
        <v>WEAK</v>
      </c>
      <c r="AF5" s="193" t="str">
        <f t="shared" si="17"/>
        <v>VLOW</v>
      </c>
      <c r="AG5" s="193" t="str">
        <f t="shared" si="18"/>
        <v>FEMALE DOM</v>
      </c>
      <c r="AH5" s="193" t="str">
        <f t="shared" si="19"/>
        <v>O</v>
      </c>
      <c r="AI5" s="197">
        <f t="shared" ref="AI5" si="22">G5-E5</f>
        <v>8.64197530864197</v>
      </c>
      <c r="AJ5" s="198" t="str">
        <f t="shared" si="21"/>
        <v>CONGRESSGAIN</v>
      </c>
    </row>
    <row r="6" spans="1:36">
      <c r="A6" s="184">
        <v>39</v>
      </c>
      <c r="B6" s="185" t="s">
        <v>341</v>
      </c>
      <c r="C6" s="184">
        <v>699</v>
      </c>
      <c r="D6" s="184">
        <v>455</v>
      </c>
      <c r="E6" s="184">
        <f t="shared" si="0"/>
        <v>65.0929899856938</v>
      </c>
      <c r="F6" s="184">
        <v>223</v>
      </c>
      <c r="G6" s="184">
        <f t="shared" si="1"/>
        <v>31.9027181688126</v>
      </c>
      <c r="H6" s="184">
        <v>3</v>
      </c>
      <c r="I6" s="184">
        <f t="shared" si="2"/>
        <v>0.429184549356223</v>
      </c>
      <c r="J6" s="184">
        <v>8</v>
      </c>
      <c r="K6" s="184">
        <f t="shared" si="3"/>
        <v>1.1444921316166</v>
      </c>
      <c r="L6" s="189">
        <v>512</v>
      </c>
      <c r="M6" s="189">
        <v>541</v>
      </c>
      <c r="N6" s="189">
        <f t="shared" si="4"/>
        <v>1053</v>
      </c>
      <c r="O6" s="184">
        <v>699</v>
      </c>
      <c r="P6" s="190">
        <f t="shared" si="5"/>
        <v>66.3817663817664</v>
      </c>
      <c r="Q6" s="184"/>
      <c r="R6" s="184">
        <f t="shared" si="6"/>
        <v>0</v>
      </c>
      <c r="S6" s="184">
        <f t="shared" si="7"/>
        <v>0</v>
      </c>
      <c r="T6" s="184" t="e">
        <f t="shared" si="8"/>
        <v>#DIV/0!</v>
      </c>
      <c r="U6" s="184"/>
      <c r="V6" s="191">
        <f t="shared" si="9"/>
        <v>0</v>
      </c>
      <c r="W6" s="184"/>
      <c r="X6" s="184">
        <f t="shared" si="10"/>
        <v>100</v>
      </c>
      <c r="Y6" s="184">
        <f t="shared" si="11"/>
        <v>0</v>
      </c>
      <c r="Z6" s="193" t="e">
        <f t="shared" si="12"/>
        <v>#DIV/0!</v>
      </c>
      <c r="AA6" s="193"/>
      <c r="AB6" s="194">
        <f t="shared" si="13"/>
        <v>0</v>
      </c>
      <c r="AC6" s="193">
        <f t="shared" si="14"/>
        <v>0</v>
      </c>
      <c r="AD6" s="193" t="str">
        <f t="shared" si="15"/>
        <v>AVG</v>
      </c>
      <c r="AE6" s="195" t="str">
        <f t="shared" si="16"/>
        <v>VLOW</v>
      </c>
      <c r="AF6" s="193" t="str">
        <f t="shared" si="17"/>
        <v>EXCELLENT</v>
      </c>
      <c r="AG6" s="193" t="str">
        <f t="shared" si="18"/>
        <v>FEMALE DOM</v>
      </c>
      <c r="AH6" s="193" t="e">
        <f t="shared" si="19"/>
        <v>#DIV/0!</v>
      </c>
      <c r="AI6" s="197">
        <f>E6-G6</f>
        <v>33.1902718168813</v>
      </c>
      <c r="AJ6" s="199" t="str">
        <f t="shared" si="21"/>
        <v>BJP GAIN</v>
      </c>
    </row>
    <row r="7" spans="1:36">
      <c r="A7" s="184">
        <v>35</v>
      </c>
      <c r="B7" s="185" t="s">
        <v>342</v>
      </c>
      <c r="C7" s="184">
        <v>859</v>
      </c>
      <c r="D7" s="184">
        <v>444</v>
      </c>
      <c r="E7" s="184">
        <f t="shared" si="0"/>
        <v>51.6880093131548</v>
      </c>
      <c r="F7" s="184">
        <v>394</v>
      </c>
      <c r="G7" s="184">
        <f t="shared" si="1"/>
        <v>45.8672875436554</v>
      </c>
      <c r="H7" s="184">
        <v>1</v>
      </c>
      <c r="I7" s="184">
        <f t="shared" si="2"/>
        <v>0.116414435389988</v>
      </c>
      <c r="J7" s="184">
        <v>12</v>
      </c>
      <c r="K7" s="184">
        <f t="shared" si="3"/>
        <v>1.39697322467986</v>
      </c>
      <c r="L7" s="189">
        <v>606</v>
      </c>
      <c r="M7" s="189">
        <v>674</v>
      </c>
      <c r="N7" s="189">
        <f t="shared" si="4"/>
        <v>1280</v>
      </c>
      <c r="O7" s="184">
        <v>859</v>
      </c>
      <c r="P7" s="190">
        <f t="shared" si="5"/>
        <v>67.109375</v>
      </c>
      <c r="Q7" s="184"/>
      <c r="R7" s="184">
        <f t="shared" si="6"/>
        <v>0</v>
      </c>
      <c r="S7" s="184">
        <f t="shared" si="7"/>
        <v>0</v>
      </c>
      <c r="T7" s="184" t="e">
        <f t="shared" si="8"/>
        <v>#DIV/0!</v>
      </c>
      <c r="U7" s="184"/>
      <c r="V7" s="191">
        <f t="shared" si="9"/>
        <v>0</v>
      </c>
      <c r="W7" s="184"/>
      <c r="X7" s="184">
        <f t="shared" si="10"/>
        <v>100</v>
      </c>
      <c r="Y7" s="184">
        <f t="shared" si="11"/>
        <v>0</v>
      </c>
      <c r="Z7" s="193" t="e">
        <f t="shared" si="12"/>
        <v>#DIV/0!</v>
      </c>
      <c r="AA7" s="193"/>
      <c r="AB7" s="194">
        <f t="shared" si="13"/>
        <v>0</v>
      </c>
      <c r="AC7" s="193">
        <f t="shared" si="14"/>
        <v>0</v>
      </c>
      <c r="AD7" s="193" t="str">
        <f t="shared" si="15"/>
        <v>AVG</v>
      </c>
      <c r="AE7" s="195" t="str">
        <f t="shared" si="16"/>
        <v>VLOW</v>
      </c>
      <c r="AF7" s="193" t="str">
        <f t="shared" si="17"/>
        <v>EXCELLENT</v>
      </c>
      <c r="AG7" s="193" t="str">
        <f t="shared" si="18"/>
        <v>FEMALE DOM</v>
      </c>
      <c r="AH7" s="193" t="e">
        <f t="shared" si="19"/>
        <v>#DIV/0!</v>
      </c>
      <c r="AI7" s="197">
        <f>E7-G7</f>
        <v>5.82072176949941</v>
      </c>
      <c r="AJ7" s="199" t="str">
        <f t="shared" si="21"/>
        <v>BJP GAIN</v>
      </c>
    </row>
    <row r="8" spans="1:36">
      <c r="A8" s="184">
        <v>37</v>
      </c>
      <c r="B8" s="185" t="s">
        <v>343</v>
      </c>
      <c r="C8" s="184">
        <v>904</v>
      </c>
      <c r="D8" s="184">
        <v>299</v>
      </c>
      <c r="E8" s="184">
        <f t="shared" si="0"/>
        <v>33.075221238938</v>
      </c>
      <c r="F8" s="184">
        <v>590</v>
      </c>
      <c r="G8" s="184">
        <f t="shared" si="1"/>
        <v>65.2654867256637</v>
      </c>
      <c r="H8" s="184">
        <v>4</v>
      </c>
      <c r="I8" s="184">
        <f t="shared" si="2"/>
        <v>0.442477876106195</v>
      </c>
      <c r="J8" s="184">
        <v>3</v>
      </c>
      <c r="K8" s="184">
        <f t="shared" si="3"/>
        <v>0.331858407079646</v>
      </c>
      <c r="L8" s="189">
        <v>632</v>
      </c>
      <c r="M8" s="189">
        <v>696</v>
      </c>
      <c r="N8" s="189">
        <f t="shared" si="4"/>
        <v>1328</v>
      </c>
      <c r="O8" s="184">
        <v>904</v>
      </c>
      <c r="P8" s="190">
        <f t="shared" si="5"/>
        <v>68.0722891566265</v>
      </c>
      <c r="Q8" s="184">
        <v>535</v>
      </c>
      <c r="R8" s="184">
        <f t="shared" si="6"/>
        <v>40.2861445783133</v>
      </c>
      <c r="S8" s="184">
        <f t="shared" si="7"/>
        <v>189</v>
      </c>
      <c r="T8" s="184">
        <f t="shared" si="8"/>
        <v>35.3271028037383</v>
      </c>
      <c r="U8" s="184">
        <v>346</v>
      </c>
      <c r="V8" s="191">
        <f t="shared" si="9"/>
        <v>64.6728971962617</v>
      </c>
      <c r="W8" s="184">
        <v>793</v>
      </c>
      <c r="X8" s="184">
        <f t="shared" si="10"/>
        <v>59.7138554216867</v>
      </c>
      <c r="Y8" s="196">
        <f t="shared" si="11"/>
        <v>243</v>
      </c>
      <c r="Z8" s="193">
        <f t="shared" si="12"/>
        <v>30.6431273644388</v>
      </c>
      <c r="AA8" s="193">
        <v>550</v>
      </c>
      <c r="AB8" s="194">
        <f t="shared" si="13"/>
        <v>69.3568726355612</v>
      </c>
      <c r="AC8" s="193">
        <f t="shared" si="14"/>
        <v>896</v>
      </c>
      <c r="AD8" s="193" t="str">
        <f t="shared" si="15"/>
        <v>AVG</v>
      </c>
      <c r="AE8" s="195" t="str">
        <f t="shared" si="16"/>
        <v>VLOW</v>
      </c>
      <c r="AF8" s="193" t="str">
        <f t="shared" si="17"/>
        <v>WEAK</v>
      </c>
      <c r="AG8" s="193" t="str">
        <f t="shared" si="18"/>
        <v>FEMALE DOM</v>
      </c>
      <c r="AH8" s="193" t="str">
        <f t="shared" si="19"/>
        <v>H</v>
      </c>
      <c r="AI8" s="197">
        <f t="shared" ref="AI8" si="23">G8-E8</f>
        <v>32.1902654867257</v>
      </c>
      <c r="AJ8" s="198" t="str">
        <f t="shared" si="21"/>
        <v>CONGRESSGAIN</v>
      </c>
    </row>
    <row r="9" spans="3:36">
      <c r="C9">
        <f>SUM(C2:C8)</f>
        <v>6078</v>
      </c>
      <c r="D9">
        <f>SUM(D2:D8)</f>
        <v>3326</v>
      </c>
      <c r="E9" s="186">
        <f>AVERAGE(E2:E8)</f>
        <v>54.6099007349147</v>
      </c>
      <c r="F9">
        <f>SUM(F2:F8)</f>
        <v>2550</v>
      </c>
      <c r="G9" s="186">
        <f>AVERAGE(G2:G8)</f>
        <v>42.0989064533033</v>
      </c>
      <c r="H9">
        <f>SUM(H2:H8)</f>
        <v>25</v>
      </c>
      <c r="I9" s="186">
        <f>AVERAGE(I2:I8)</f>
        <v>0.432092499344403</v>
      </c>
      <c r="J9">
        <f>SUM(J2:J8)</f>
        <v>65</v>
      </c>
      <c r="K9" s="186">
        <f>AVERAGE(K2:K8)</f>
        <v>1.06502661291058</v>
      </c>
      <c r="AJ9" s="335" t="str">
        <f t="shared" si="21"/>
        <v>BJP GAIN</v>
      </c>
    </row>
  </sheetData>
  <conditionalFormatting sqref="AD4">
    <cfRule type="containsText" dxfId="8" priority="61" operator="between" text="AVG">
      <formula>NOT(ISERROR(SEARCH("AVG",AD4)))</formula>
    </cfRule>
    <cfRule type="cellIs" dxfId="9" priority="60" operator="equal">
      <formula>"STRONG"</formula>
    </cfRule>
    <cfRule type="containsText" dxfId="3" priority="59" operator="between" text="VSTRONG">
      <formula>NOT(ISERROR(SEARCH("VSTRONG",AD4)))</formula>
    </cfRule>
    <cfRule type="containsText" dxfId="10" priority="51" operator="between" text="AVG">
      <formula>NOT(ISERROR(SEARCH("AVG",AD4)))</formula>
    </cfRule>
  </conditionalFormatting>
  <conditionalFormatting sqref="AE4">
    <cfRule type="containsText" dxfId="3" priority="55" operator="between" text="STRONG">
      <formula>NOT(ISERROR(SEARCH("STRONG",AE4)))</formula>
    </cfRule>
    <cfRule type="containsText" dxfId="1" priority="53" operator="between" text="VSTRONG">
      <formula>NOT(ISERROR(SEARCH("VSTRONG",AE4)))</formula>
    </cfRule>
  </conditionalFormatting>
  <conditionalFormatting sqref="AE4:AF4">
    <cfRule type="containsText" dxfId="2" priority="54" operator="between" text="AVG">
      <formula>NOT(ISERROR(SEARCH("AVG",AE4)))</formula>
    </cfRule>
  </conditionalFormatting>
  <conditionalFormatting sqref="AF4">
    <cfRule type="cellIs" dxfId="11" priority="49" operator="equal">
      <formula>"VWEAK"</formula>
    </cfRule>
    <cfRule type="containsText" dxfId="0" priority="48" operator="between" text="VSTRONG">
      <formula>NOT(ISERROR(SEARCH("VSTRONG",AF4)))</formula>
    </cfRule>
  </conditionalFormatting>
  <conditionalFormatting sqref="AG4">
    <cfRule type="containsText" dxfId="12" priority="52" operator="between" text="FEMALE DOM">
      <formula>NOT(ISERROR(SEARCH("FEMALE DOM",AG4)))</formula>
    </cfRule>
    <cfRule type="containsText" dxfId="10" priority="47" operator="between" text="MEN">
      <formula>NOT(ISERROR(SEARCH("MEN",AG4)))</formula>
    </cfRule>
  </conditionalFormatting>
  <conditionalFormatting sqref="AH4">
    <cfRule type="containsText" dxfId="0" priority="58" operator="between" text="O">
      <formula>NOT(ISERROR(SEARCH("O",AH4)))</formula>
    </cfRule>
    <cfRule type="containsText" dxfId="3" priority="56" operator="between" text="H">
      <formula>NOT(ISERROR(SEARCH("H",AH4)))</formula>
    </cfRule>
    <cfRule type="containsText" dxfId="13" priority="57" operator="between" text="H">
      <formula>NOT(ISERROR(SEARCH("H",AH4)))</formula>
    </cfRule>
    <cfRule type="containsText" dxfId="1" priority="50" operator="between" text="H">
      <formula>NOT(ISERROR(SEARCH("H",AH4)))</formula>
    </cfRule>
  </conditionalFormatting>
  <conditionalFormatting sqref="AD7">
    <cfRule type="containsText" dxfId="8" priority="31" operator="between" text="AVG">
      <formula>NOT(ISERROR(SEARCH("AVG",AD7)))</formula>
    </cfRule>
    <cfRule type="cellIs" dxfId="9" priority="30" operator="equal">
      <formula>"STRONG"</formula>
    </cfRule>
    <cfRule type="containsText" dxfId="3" priority="29" operator="between" text="VSTRONG">
      <formula>NOT(ISERROR(SEARCH("VSTRONG",AD7)))</formula>
    </cfRule>
    <cfRule type="containsText" dxfId="10" priority="21" operator="between" text="AVG">
      <formula>NOT(ISERROR(SEARCH("AVG",AD7)))</formula>
    </cfRule>
  </conditionalFormatting>
  <conditionalFormatting sqref="AE7">
    <cfRule type="containsText" dxfId="3" priority="25" operator="between" text="STRONG">
      <formula>NOT(ISERROR(SEARCH("STRONG",AE7)))</formula>
    </cfRule>
    <cfRule type="containsText" dxfId="1" priority="23" operator="between" text="VSTRONG">
      <formula>NOT(ISERROR(SEARCH("VSTRONG",AE7)))</formula>
    </cfRule>
  </conditionalFormatting>
  <conditionalFormatting sqref="AE7:AF7">
    <cfRule type="containsText" dxfId="2" priority="24" operator="between" text="AVG">
      <formula>NOT(ISERROR(SEARCH("AVG",AE7)))</formula>
    </cfRule>
  </conditionalFormatting>
  <conditionalFormatting sqref="AF7">
    <cfRule type="cellIs" dxfId="11" priority="19" operator="equal">
      <formula>"VWEAK"</formula>
    </cfRule>
    <cfRule type="containsText" dxfId="0" priority="18" operator="between" text="VSTRONG">
      <formula>NOT(ISERROR(SEARCH("VSTRONG",AF7)))</formula>
    </cfRule>
  </conditionalFormatting>
  <conditionalFormatting sqref="AG7">
    <cfRule type="containsText" dxfId="12" priority="22" operator="between" text="FEMALE DOM">
      <formula>NOT(ISERROR(SEARCH("FEMALE DOM",AG7)))</formula>
    </cfRule>
    <cfRule type="containsText" dxfId="10" priority="17" operator="between" text="MEN">
      <formula>NOT(ISERROR(SEARCH("MEN",AG7)))</formula>
    </cfRule>
  </conditionalFormatting>
  <conditionalFormatting sqref="AH7">
    <cfRule type="containsText" dxfId="0" priority="28" operator="between" text="O">
      <formula>NOT(ISERROR(SEARCH("O",AH7)))</formula>
    </cfRule>
    <cfRule type="containsText" dxfId="3" priority="26" operator="between" text="H">
      <formula>NOT(ISERROR(SEARCH("H",AH7)))</formula>
    </cfRule>
    <cfRule type="containsText" dxfId="13" priority="27" operator="between" text="H">
      <formula>NOT(ISERROR(SEARCH("H",AH7)))</formula>
    </cfRule>
    <cfRule type="containsText" dxfId="1" priority="20" operator="between" text="H">
      <formula>NOT(ISERROR(SEARCH("H",AH7)))</formula>
    </cfRule>
  </conditionalFormatting>
  <conditionalFormatting sqref="AD8">
    <cfRule type="containsText" dxfId="8" priority="16" operator="between" text="AVG">
      <formula>NOT(ISERROR(SEARCH("AVG",AD8)))</formula>
    </cfRule>
    <cfRule type="cellIs" dxfId="9" priority="15" operator="equal">
      <formula>"STRONG"</formula>
    </cfRule>
    <cfRule type="containsText" dxfId="3" priority="14" operator="between" text="VSTRONG">
      <formula>NOT(ISERROR(SEARCH("VSTRONG",AD8)))</formula>
    </cfRule>
    <cfRule type="containsText" dxfId="10" priority="6" operator="between" text="AVG">
      <formula>NOT(ISERROR(SEARCH("AVG",AD8)))</formula>
    </cfRule>
  </conditionalFormatting>
  <conditionalFormatting sqref="AE8">
    <cfRule type="containsText" dxfId="3" priority="10" operator="between" text="STRONG">
      <formula>NOT(ISERROR(SEARCH("STRONG",AE8)))</formula>
    </cfRule>
    <cfRule type="containsText" dxfId="1" priority="8" operator="between" text="VSTRONG">
      <formula>NOT(ISERROR(SEARCH("VSTRONG",AE8)))</formula>
    </cfRule>
  </conditionalFormatting>
  <conditionalFormatting sqref="AE8:AF8">
    <cfRule type="containsText" dxfId="2" priority="9" operator="between" text="AVG">
      <formula>NOT(ISERROR(SEARCH("AVG",AE8)))</formula>
    </cfRule>
  </conditionalFormatting>
  <conditionalFormatting sqref="AF8">
    <cfRule type="cellIs" dxfId="11" priority="4" operator="equal">
      <formula>"VWEAK"</formula>
    </cfRule>
    <cfRule type="containsText" dxfId="0" priority="3" operator="between" text="VSTRONG">
      <formula>NOT(ISERROR(SEARCH("VSTRONG",AF8)))</formula>
    </cfRule>
    <cfRule type="containsText" dxfId="3" priority="2" operator="between" text="WEAK">
      <formula>NOT(ISERROR(SEARCH("WEAK",AF8)))</formula>
    </cfRule>
  </conditionalFormatting>
  <conditionalFormatting sqref="AG8">
    <cfRule type="containsText" dxfId="12" priority="7" operator="between" text="FEMALE DOM">
      <formula>NOT(ISERROR(SEARCH("FEMALE DOM",AG8)))</formula>
    </cfRule>
    <cfRule type="containsText" dxfId="10" priority="1" operator="between" text="MEN">
      <formula>NOT(ISERROR(SEARCH("MEN",AG8)))</formula>
    </cfRule>
  </conditionalFormatting>
  <conditionalFormatting sqref="AH8">
    <cfRule type="containsText" dxfId="0" priority="13" operator="between" text="O">
      <formula>NOT(ISERROR(SEARCH("O",AH8)))</formula>
    </cfRule>
    <cfRule type="containsText" dxfId="3" priority="11" operator="between" text="H">
      <formula>NOT(ISERROR(SEARCH("H",AH8)))</formula>
    </cfRule>
    <cfRule type="containsText" dxfId="13" priority="12" operator="between" text="H">
      <formula>NOT(ISERROR(SEARCH("H",AH8)))</formula>
    </cfRule>
    <cfRule type="containsText" dxfId="1" priority="5" operator="between" text="H">
      <formula>NOT(ISERROR(SEARCH("H",AH8)))</formula>
    </cfRule>
  </conditionalFormatting>
  <conditionalFormatting sqref="AD2:AD3">
    <cfRule type="containsText" dxfId="8" priority="76" operator="between" text="AVG">
      <formula>NOT(ISERROR(SEARCH("AVG",AD2)))</formula>
    </cfRule>
    <cfRule type="cellIs" dxfId="9" priority="75" operator="equal">
      <formula>"STRONG"</formula>
    </cfRule>
    <cfRule type="containsText" dxfId="3" priority="74" operator="between" text="VSTRONG">
      <formula>NOT(ISERROR(SEARCH("VSTRONG",AD2)))</formula>
    </cfRule>
    <cfRule type="containsText" dxfId="10" priority="66" operator="between" text="AVG">
      <formula>NOT(ISERROR(SEARCH("AVG",AD2)))</formula>
    </cfRule>
  </conditionalFormatting>
  <conditionalFormatting sqref="AD5:AD6">
    <cfRule type="containsText" dxfId="8" priority="46" operator="between" text="AVG">
      <formula>NOT(ISERROR(SEARCH("AVG",AD5)))</formula>
    </cfRule>
    <cfRule type="cellIs" dxfId="9" priority="45" operator="equal">
      <formula>"STRONG"</formula>
    </cfRule>
    <cfRule type="containsText" dxfId="3" priority="44" operator="between" text="VSTRONG">
      <formula>NOT(ISERROR(SEARCH("VSTRONG",AD5)))</formula>
    </cfRule>
    <cfRule type="containsText" dxfId="10" priority="36" operator="between" text="AVG">
      <formula>NOT(ISERROR(SEARCH("AVG",AD5)))</formula>
    </cfRule>
  </conditionalFormatting>
  <conditionalFormatting sqref="AE2:AE3">
    <cfRule type="containsText" dxfId="3" priority="70" operator="between" text="STRONG">
      <formula>NOT(ISERROR(SEARCH("STRONG",AE2)))</formula>
    </cfRule>
    <cfRule type="containsText" dxfId="1" priority="68" operator="between" text="VSTRONG">
      <formula>NOT(ISERROR(SEARCH("VSTRONG",AE2)))</formula>
    </cfRule>
  </conditionalFormatting>
  <conditionalFormatting sqref="AE5:AE6">
    <cfRule type="containsText" dxfId="3" priority="40" operator="between" text="STRONG">
      <formula>NOT(ISERROR(SEARCH("STRONG",AE5)))</formula>
    </cfRule>
    <cfRule type="containsText" dxfId="1" priority="38" operator="between" text="VSTRONG">
      <formula>NOT(ISERROR(SEARCH("VSTRONG",AE5)))</formula>
    </cfRule>
  </conditionalFormatting>
  <conditionalFormatting sqref="AF2:AF3">
    <cfRule type="cellIs" dxfId="11" priority="64" operator="equal">
      <formula>"VWEAK"</formula>
    </cfRule>
    <cfRule type="containsText" dxfId="0" priority="63" operator="between" text="VSTRONG">
      <formula>NOT(ISERROR(SEARCH("VSTRONG",AF2)))</formula>
    </cfRule>
  </conditionalFormatting>
  <conditionalFormatting sqref="AF5:AF6">
    <cfRule type="cellIs" dxfId="11" priority="34" operator="equal">
      <formula>"VWEAK"</formula>
    </cfRule>
    <cfRule type="containsText" dxfId="0" priority="33" operator="between" text="VSTRONG">
      <formula>NOT(ISERROR(SEARCH("VSTRONG",AF5)))</formula>
    </cfRule>
  </conditionalFormatting>
  <conditionalFormatting sqref="AG2:AG3">
    <cfRule type="containsText" dxfId="12" priority="67" operator="between" text="FEMALE DOM">
      <formula>NOT(ISERROR(SEARCH("FEMALE DOM",AG2)))</formula>
    </cfRule>
    <cfRule type="containsText" dxfId="10" priority="62" operator="between" text="MEN">
      <formula>NOT(ISERROR(SEARCH("MEN",AG2)))</formula>
    </cfRule>
  </conditionalFormatting>
  <conditionalFormatting sqref="AG5:AG6">
    <cfRule type="containsText" dxfId="12" priority="37" operator="between" text="FEMALE DOM">
      <formula>NOT(ISERROR(SEARCH("FEMALE DOM",AG5)))</formula>
    </cfRule>
    <cfRule type="containsText" dxfId="10" priority="32" operator="between" text="MEN">
      <formula>NOT(ISERROR(SEARCH("MEN",AG5)))</formula>
    </cfRule>
  </conditionalFormatting>
  <conditionalFormatting sqref="AH2:AH3">
    <cfRule type="containsText" dxfId="0" priority="73" operator="between" text="O">
      <formula>NOT(ISERROR(SEARCH("O",AH2)))</formula>
    </cfRule>
    <cfRule type="containsText" dxfId="3" priority="71" operator="between" text="H">
      <formula>NOT(ISERROR(SEARCH("H",AH2)))</formula>
    </cfRule>
    <cfRule type="containsText" dxfId="13" priority="72" operator="between" text="H">
      <formula>NOT(ISERROR(SEARCH("H",AH2)))</formula>
    </cfRule>
    <cfRule type="containsText" dxfId="1" priority="65" operator="between" text="H">
      <formula>NOT(ISERROR(SEARCH("H",AH2)))</formula>
    </cfRule>
  </conditionalFormatting>
  <conditionalFormatting sqref="AH5:AH6">
    <cfRule type="containsText" dxfId="0" priority="43" operator="between" text="O">
      <formula>NOT(ISERROR(SEARCH("O",AH5)))</formula>
    </cfRule>
    <cfRule type="containsText" dxfId="3" priority="41" operator="between" text="H">
      <formula>NOT(ISERROR(SEARCH("H",AH5)))</formula>
    </cfRule>
    <cfRule type="containsText" dxfId="13" priority="42" operator="between" text="H">
      <formula>NOT(ISERROR(SEARCH("H",AH5)))</formula>
    </cfRule>
    <cfRule type="containsText" dxfId="1" priority="35" operator="between" text="H">
      <formula>NOT(ISERROR(SEARCH("H",AH5)))</formula>
    </cfRule>
  </conditionalFormatting>
  <conditionalFormatting sqref="AE2:AF3">
    <cfRule type="containsText" dxfId="2" priority="69" operator="between" text="AVG">
      <formula>NOT(ISERROR(SEARCH("AVG",AE2)))</formula>
    </cfRule>
  </conditionalFormatting>
  <conditionalFormatting sqref="AE5:AF6">
    <cfRule type="containsText" dxfId="2" priority="39" operator="between" text="AVG">
      <formula>NOT(ISERROR(SEARCH("AVG",AE5)))</formula>
    </cfRule>
  </conditionalFormatting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0"/>
  <sheetViews>
    <sheetView zoomScale="64" zoomScaleNormal="64" topLeftCell="P1" workbookViewId="0">
      <selection activeCell="Y22" sqref="Y22:AB23"/>
    </sheetView>
  </sheetViews>
  <sheetFormatPr defaultColWidth="9" defaultRowHeight="14.5"/>
  <cols>
    <col min="26" max="26" width="11.5727272727273" customWidth="1"/>
    <col min="27" max="27" width="13.4272727272727" customWidth="1"/>
  </cols>
  <sheetData>
    <row r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338" t="s">
        <v>60</v>
      </c>
      <c r="B7" s="219">
        <v>37</v>
      </c>
      <c r="C7" s="219">
        <v>1049</v>
      </c>
      <c r="D7" s="219">
        <v>239</v>
      </c>
      <c r="E7" s="219">
        <v>478</v>
      </c>
      <c r="F7" s="219">
        <v>2</v>
      </c>
      <c r="G7" s="219">
        <v>4</v>
      </c>
      <c r="H7" s="219">
        <v>1</v>
      </c>
      <c r="I7" s="219">
        <v>0</v>
      </c>
      <c r="J7" s="219">
        <v>1</v>
      </c>
      <c r="K7" s="219">
        <v>0</v>
      </c>
      <c r="L7" s="219">
        <v>725</v>
      </c>
      <c r="M7" s="219">
        <v>0</v>
      </c>
      <c r="N7" s="219">
        <v>13</v>
      </c>
      <c r="O7" s="219">
        <f t="shared" ref="O7:O9" si="0">D7+E7+F7+G7+H7+I7+J7+K7+N7</f>
        <v>738</v>
      </c>
      <c r="P7" s="219">
        <f t="shared" ref="P7:P9" si="1">(O7/C7)*100</f>
        <v>70.3527168732126</v>
      </c>
      <c r="Q7" s="219">
        <f t="shared" ref="Q7:Q9" si="2">(E7/O7)*100</f>
        <v>64.769647696477</v>
      </c>
      <c r="R7" s="219">
        <f t="shared" ref="R7:R9" si="3">(D7/O7)*100</f>
        <v>32.3848238482385</v>
      </c>
      <c r="S7" s="219">
        <f t="shared" ref="S7:S9" si="4">(F7/O7)*100</f>
        <v>0.2710027100271</v>
      </c>
      <c r="T7" s="219">
        <f t="shared" ref="T7:T9" si="5">(G7/O7)*100</f>
        <v>0.5420054200542</v>
      </c>
      <c r="U7" s="219">
        <f t="shared" ref="U7:U9" si="6">((H7+I7+J7+K7)/O7)*100</f>
        <v>0.2710027100271</v>
      </c>
      <c r="V7" s="219">
        <f t="shared" ref="V7:V9" si="7">(N7/O7)*100</f>
        <v>1.76151761517615</v>
      </c>
      <c r="W7" s="219">
        <f>Q7-R7</f>
        <v>32.3848238482385</v>
      </c>
      <c r="X7" s="219">
        <f>Q7-(R7+S7+T7+U7)</f>
        <v>31.3008130081301</v>
      </c>
      <c r="Y7" s="219" t="str">
        <f>IF(AND(W7&lt;0,W7&lt;=1),"LOST",IF(AND(W7&gt;1,W7&lt;=10),"NARROW",IF(AND(W7&gt;10,W7&lt;=40),"MEDIUM",IF(AND(W7&gt;40,W7&lt;=90),"STRONG",""))))</f>
        <v>MEDIUM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1039</v>
      </c>
      <c r="AC7">
        <v>740</v>
      </c>
      <c r="AD7">
        <v>487</v>
      </c>
      <c r="AE7">
        <v>337</v>
      </c>
      <c r="AF7">
        <v>552</v>
      </c>
      <c r="AG7">
        <v>403</v>
      </c>
      <c r="AH7">
        <v>805</v>
      </c>
      <c r="AI7">
        <v>595</v>
      </c>
      <c r="AJ7">
        <v>15</v>
      </c>
      <c r="AK7">
        <v>9</v>
      </c>
      <c r="AL7">
        <v>219</v>
      </c>
      <c r="AM7">
        <v>136</v>
      </c>
      <c r="AN7" s="248">
        <f>(AD7/AB7)*100</f>
        <v>46.8719923002887</v>
      </c>
      <c r="AO7" s="316">
        <f>(AE7/AC7)*100</f>
        <v>45.5405405405405</v>
      </c>
      <c r="AP7" s="317">
        <f>(AF7/AB7)*100</f>
        <v>53.1280076997113</v>
      </c>
      <c r="AQ7" s="318">
        <f>(AG7/AC7)*100</f>
        <v>54.4594594594595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77.4783445620789</v>
      </c>
      <c r="AU7" s="317">
        <f>(AI7/AC7)*100</f>
        <v>80.4054054054054</v>
      </c>
      <c r="AV7" s="248">
        <f>(AJ7/AB7)*100</f>
        <v>1.4436958614052</v>
      </c>
      <c r="AW7" s="317">
        <f>(AK7/AC7)*100</f>
        <v>1.21621621621622</v>
      </c>
      <c r="AX7" s="248">
        <f>(AL7/AB7)*100</f>
        <v>21.0779595765159</v>
      </c>
      <c r="AY7" s="317">
        <f>(AM7/AC7)*100</f>
        <v>18.3783783783784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2:53">
      <c r="B8" s="215">
        <v>36</v>
      </c>
      <c r="C8" s="215">
        <v>1558</v>
      </c>
      <c r="D8" s="215">
        <v>538</v>
      </c>
      <c r="E8" s="215">
        <v>468</v>
      </c>
      <c r="F8" s="215">
        <v>3</v>
      </c>
      <c r="G8" s="215">
        <v>9</v>
      </c>
      <c r="H8" s="215">
        <v>0</v>
      </c>
      <c r="I8" s="215">
        <v>0</v>
      </c>
      <c r="J8" s="215">
        <v>1</v>
      </c>
      <c r="K8" s="215">
        <v>0</v>
      </c>
      <c r="L8" s="215">
        <v>1019</v>
      </c>
      <c r="M8" s="215">
        <v>0</v>
      </c>
      <c r="N8" s="215">
        <v>8</v>
      </c>
      <c r="O8" s="215">
        <f t="shared" si="0"/>
        <v>1027</v>
      </c>
      <c r="P8" s="215">
        <f t="shared" si="1"/>
        <v>65.9178433889602</v>
      </c>
      <c r="Q8" s="215">
        <f t="shared" si="2"/>
        <v>45.5696202531646</v>
      </c>
      <c r="R8" s="215">
        <f t="shared" si="3"/>
        <v>52.3855890944499</v>
      </c>
      <c r="S8" s="215">
        <f t="shared" si="4"/>
        <v>0.292112950340798</v>
      </c>
      <c r="T8" s="215">
        <f t="shared" si="5"/>
        <v>0.876338851022395</v>
      </c>
      <c r="U8" s="215">
        <f t="shared" si="6"/>
        <v>0.0973709834469328</v>
      </c>
      <c r="V8" s="215">
        <f t="shared" si="7"/>
        <v>0.778967867575463</v>
      </c>
      <c r="W8" s="215">
        <f t="shared" ref="W8:W9" si="8">Q8-R8</f>
        <v>-6.8159688412853</v>
      </c>
      <c r="X8" s="215">
        <f t="shared" ref="X8:X9" si="9">Q8-(R8+S8+T8+U8)</f>
        <v>-8.08179162609543</v>
      </c>
      <c r="Y8" s="215" t="str">
        <f t="shared" ref="Y8:Y10" si="10">IF(AND(W8&lt;0,W8&lt;=1),"LOST",IF(AND(W8&gt;1,W8&lt;=10),"NARROW",IF(AND(W8&gt;10,W8&lt;=40),"MEDIUM",IF(AND(W8&gt;40,W8&lt;=90),"STRONG",""))))</f>
        <v>LOST</v>
      </c>
      <c r="Z8" s="285" t="str">
        <f t="shared" ref="Z8:Z10" si="11">IF(AND(P8&lt;0,P8&lt;=10),"WEAK",IF(AND(P8&gt;10,P8&lt;20),"BELOW AVG",IF(AND(P8&gt;20,P8&lt;=60),"MEDIUM",IF(AND(P8&gt;60,P8&lt;=90),"STRONG",""))))</f>
        <v>STRONG</v>
      </c>
      <c r="AA8" s="286" t="str">
        <f t="shared" ref="AA8:AA10" si="12">IF(Q8&gt;R8,"BJP","CONGRESS")</f>
        <v>CONGRESS</v>
      </c>
      <c r="AB8">
        <v>1551</v>
      </c>
      <c r="AC8">
        <v>949</v>
      </c>
      <c r="AD8">
        <v>729</v>
      </c>
      <c r="AE8">
        <v>435</v>
      </c>
      <c r="AF8">
        <v>822</v>
      </c>
      <c r="AG8">
        <v>514</v>
      </c>
      <c r="AH8">
        <v>915</v>
      </c>
      <c r="AI8">
        <v>602</v>
      </c>
      <c r="AJ8">
        <v>39</v>
      </c>
      <c r="AK8">
        <v>20</v>
      </c>
      <c r="AL8">
        <v>597</v>
      </c>
      <c r="AM8">
        <v>327</v>
      </c>
      <c r="AN8" s="248">
        <f t="shared" ref="AN8:AO9" si="13">(AD8/AB8)*100</f>
        <v>47.0019342359768</v>
      </c>
      <c r="AO8" s="316">
        <f t="shared" si="13"/>
        <v>45.8377239199157</v>
      </c>
      <c r="AP8" s="317">
        <f t="shared" ref="AP8:AQ9" si="14">(AF8/AB8)*100</f>
        <v>52.9980657640232</v>
      </c>
      <c r="AQ8" s="318">
        <f t="shared" si="14"/>
        <v>54.1622760800843</v>
      </c>
      <c r="AR8" s="318" t="str">
        <f t="shared" ref="AR8:AR9" si="15">IF(AN8&gt;AP8,"MALE DOM","FEMALE DOM")</f>
        <v>FEMALE DOM</v>
      </c>
      <c r="AS8" s="319" t="str">
        <f t="shared" ref="AS8:AS9" si="16">IF(AO8&gt;AP8,"MALE","FEMALE")</f>
        <v>FEMALE</v>
      </c>
      <c r="AT8" s="317">
        <f t="shared" ref="AT8:AU9" si="17">(AH8/AB8)*100</f>
        <v>58.9941972920696</v>
      </c>
      <c r="AU8" s="317">
        <f t="shared" si="17"/>
        <v>63.4351949420443</v>
      </c>
      <c r="AV8" s="248">
        <f t="shared" ref="AV8:AW9" si="18">(AJ8/AB8)*100</f>
        <v>2.51450676982592</v>
      </c>
      <c r="AW8" s="317">
        <f t="shared" si="18"/>
        <v>2.10748155953635</v>
      </c>
      <c r="AX8" s="248">
        <f t="shared" ref="AX8:AY9" si="19">(AL8/AB8)*100</f>
        <v>38.4912959381045</v>
      </c>
      <c r="AY8" s="317">
        <f t="shared" si="19"/>
        <v>34.4573234984194</v>
      </c>
      <c r="AZ8" s="248" t="str">
        <f t="shared" ref="AZ8:AZ9" si="20">IF(AT8&gt;(AV8+AX8),"HINDU","MINORITY")</f>
        <v>HINDU</v>
      </c>
      <c r="BA8" s="318" t="str">
        <f t="shared" ref="BA8:BA9" si="21">IF(AU8&gt;(AW8+AY8),"HIND","MINORITY")</f>
        <v>HIND</v>
      </c>
    </row>
    <row r="9" spans="2:53">
      <c r="B9" s="215">
        <v>40</v>
      </c>
      <c r="C9" s="215">
        <v>1597</v>
      </c>
      <c r="D9" s="215">
        <v>470</v>
      </c>
      <c r="E9" s="215">
        <v>442</v>
      </c>
      <c r="F9" s="215">
        <v>2</v>
      </c>
      <c r="G9" s="215">
        <v>13</v>
      </c>
      <c r="H9" s="215">
        <v>0</v>
      </c>
      <c r="I9" s="215">
        <v>0</v>
      </c>
      <c r="J9" s="215">
        <v>1</v>
      </c>
      <c r="K9" s="215">
        <v>0</v>
      </c>
      <c r="L9" s="215">
        <v>928</v>
      </c>
      <c r="M9" s="215">
        <v>0</v>
      </c>
      <c r="N9" s="215">
        <v>9</v>
      </c>
      <c r="O9" s="215">
        <f t="shared" si="0"/>
        <v>937</v>
      </c>
      <c r="P9" s="215">
        <f t="shared" si="1"/>
        <v>58.6725109580463</v>
      </c>
      <c r="Q9" s="215">
        <f t="shared" si="2"/>
        <v>47.1718249733191</v>
      </c>
      <c r="R9" s="215">
        <f t="shared" si="3"/>
        <v>50.1600853788687</v>
      </c>
      <c r="S9" s="215">
        <f t="shared" si="4"/>
        <v>0.213447171824973</v>
      </c>
      <c r="T9" s="215">
        <f t="shared" si="5"/>
        <v>1.38740661686233</v>
      </c>
      <c r="U9" s="215">
        <f t="shared" si="6"/>
        <v>0.106723585912487</v>
      </c>
      <c r="V9" s="215">
        <f t="shared" si="7"/>
        <v>0.96051227321238</v>
      </c>
      <c r="W9" s="215">
        <f t="shared" si="8"/>
        <v>-2.98826040554963</v>
      </c>
      <c r="X9" s="215">
        <f t="shared" si="9"/>
        <v>-4.69583778014942</v>
      </c>
      <c r="Y9" s="215" t="str">
        <f t="shared" si="10"/>
        <v>LOST</v>
      </c>
      <c r="Z9" s="288" t="str">
        <f t="shared" si="11"/>
        <v>MEDIUM</v>
      </c>
      <c r="AA9" s="284" t="str">
        <f t="shared" si="12"/>
        <v>CONGRESS</v>
      </c>
      <c r="AB9">
        <v>1589</v>
      </c>
      <c r="AC9">
        <v>914</v>
      </c>
      <c r="AD9">
        <v>775</v>
      </c>
      <c r="AE9">
        <v>431</v>
      </c>
      <c r="AF9">
        <v>814</v>
      </c>
      <c r="AG9">
        <v>483</v>
      </c>
      <c r="AH9">
        <v>801</v>
      </c>
      <c r="AI9">
        <v>484</v>
      </c>
      <c r="AJ9">
        <v>106</v>
      </c>
      <c r="AK9">
        <v>47</v>
      </c>
      <c r="AL9">
        <v>682</v>
      </c>
      <c r="AM9">
        <v>383</v>
      </c>
      <c r="AN9" s="248">
        <f t="shared" si="13"/>
        <v>48.7728130899937</v>
      </c>
      <c r="AO9" s="316">
        <f t="shared" si="13"/>
        <v>47.1553610503282</v>
      </c>
      <c r="AP9" s="317">
        <f t="shared" si="14"/>
        <v>51.2271869100063</v>
      </c>
      <c r="AQ9" s="318">
        <f t="shared" si="14"/>
        <v>52.8446389496718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50.4090623033354</v>
      </c>
      <c r="AU9" s="317">
        <f t="shared" si="17"/>
        <v>52.9540481400438</v>
      </c>
      <c r="AV9" s="248">
        <f t="shared" si="18"/>
        <v>6.67086217747011</v>
      </c>
      <c r="AW9" s="317">
        <f t="shared" si="18"/>
        <v>5.14223194748359</v>
      </c>
      <c r="AX9" s="248">
        <f t="shared" si="19"/>
        <v>42.9200755191945</v>
      </c>
      <c r="AY9" s="317">
        <f t="shared" si="19"/>
        <v>41.9037199124726</v>
      </c>
      <c r="AZ9" s="248" t="str">
        <f t="shared" si="20"/>
        <v>HINDU</v>
      </c>
      <c r="BA9" s="318" t="str">
        <f t="shared" si="21"/>
        <v>HIND</v>
      </c>
    </row>
    <row r="10" spans="3:27">
      <c r="C10" s="339">
        <f t="shared" ref="C10:O10" si="22">SUM(C7:C9)</f>
        <v>4204</v>
      </c>
      <c r="D10" s="339">
        <f t="shared" si="22"/>
        <v>1247</v>
      </c>
      <c r="E10" s="339">
        <f t="shared" si="22"/>
        <v>1388</v>
      </c>
      <c r="F10" s="339">
        <f t="shared" si="22"/>
        <v>7</v>
      </c>
      <c r="G10" s="339">
        <f t="shared" si="22"/>
        <v>26</v>
      </c>
      <c r="H10" s="339">
        <f t="shared" si="22"/>
        <v>1</v>
      </c>
      <c r="I10" s="339">
        <f t="shared" si="22"/>
        <v>0</v>
      </c>
      <c r="J10" s="339">
        <f t="shared" si="22"/>
        <v>3</v>
      </c>
      <c r="K10" s="339">
        <f t="shared" si="22"/>
        <v>0</v>
      </c>
      <c r="L10" s="339">
        <f t="shared" si="22"/>
        <v>2672</v>
      </c>
      <c r="M10" s="339">
        <f t="shared" si="22"/>
        <v>0</v>
      </c>
      <c r="N10" s="339">
        <f t="shared" si="22"/>
        <v>30</v>
      </c>
      <c r="O10" s="339">
        <f t="shared" si="22"/>
        <v>2702</v>
      </c>
      <c r="P10" s="339">
        <f t="shared" ref="P10:X10" si="23">AVERAGE(P7:P9)</f>
        <v>64.9810237400731</v>
      </c>
      <c r="Q10" s="339">
        <f t="shared" si="23"/>
        <v>52.5036976409869</v>
      </c>
      <c r="R10" s="339">
        <f t="shared" si="23"/>
        <v>44.9768327738524</v>
      </c>
      <c r="S10" s="339">
        <f t="shared" si="23"/>
        <v>0.258854277397624</v>
      </c>
      <c r="T10" s="339">
        <f t="shared" si="23"/>
        <v>0.935250295979641</v>
      </c>
      <c r="U10" s="339">
        <f t="shared" si="23"/>
        <v>0.158365759795507</v>
      </c>
      <c r="V10" s="339">
        <f t="shared" si="23"/>
        <v>1.166999251988</v>
      </c>
      <c r="W10" s="339">
        <f t="shared" si="23"/>
        <v>7.52686486713452</v>
      </c>
      <c r="X10" s="339">
        <f t="shared" si="23"/>
        <v>6.17439453396175</v>
      </c>
      <c r="Y10" s="339" t="str">
        <f t="shared" si="10"/>
        <v>NARROW</v>
      </c>
      <c r="Z10" s="285" t="str">
        <f t="shared" si="11"/>
        <v>STRONG</v>
      </c>
      <c r="AA10" s="289" t="str">
        <f t="shared" si="12"/>
        <v>BJP</v>
      </c>
    </row>
    <row r="12" spans="12:29">
      <c r="L12" s="225" t="s">
        <v>205</v>
      </c>
      <c r="M12" s="237"/>
      <c r="N12" s="237"/>
      <c r="O12" s="238"/>
      <c r="Q12" s="225" t="s">
        <v>97</v>
      </c>
      <c r="R12" s="237"/>
      <c r="S12" s="237"/>
      <c r="T12" s="238"/>
      <c r="V12" s="265" t="s">
        <v>98</v>
      </c>
      <c r="W12" s="265"/>
      <c r="X12" s="265"/>
      <c r="Y12" s="265"/>
      <c r="Z12" s="265"/>
      <c r="AA12" s="265"/>
      <c r="AB12" s="265"/>
      <c r="AC12" s="265"/>
    </row>
    <row r="13" spans="12:29">
      <c r="L13" s="226"/>
      <c r="M13" s="239"/>
      <c r="N13" s="239"/>
      <c r="O13" s="240"/>
      <c r="Q13" s="241"/>
      <c r="R13" s="242"/>
      <c r="S13" s="242"/>
      <c r="T13" s="243"/>
      <c r="V13" s="265"/>
      <c r="W13" s="265"/>
      <c r="X13" s="265"/>
      <c r="Y13" s="265"/>
      <c r="Z13" s="265"/>
      <c r="AA13" s="265"/>
      <c r="AB13" s="265"/>
      <c r="AC13" s="265"/>
    </row>
    <row r="14" spans="12:29">
      <c r="L14" s="227" t="s">
        <v>99</v>
      </c>
      <c r="M14" s="244"/>
      <c r="N14" s="245"/>
      <c r="O14" s="245">
        <f>COUNTIF(AA7:AA9,"BJP")</f>
        <v>1</v>
      </c>
      <c r="Q14" s="246" t="s">
        <v>100</v>
      </c>
      <c r="R14" s="247"/>
      <c r="S14" s="247"/>
      <c r="T14" s="248">
        <f>COUNTIF(Y7:Y9,"NARROW")</f>
        <v>0</v>
      </c>
      <c r="V14" s="265" t="s">
        <v>101</v>
      </c>
      <c r="W14" s="265"/>
      <c r="X14" s="265"/>
      <c r="Y14" s="265">
        <f>'PADAV EAST-18'!E5</f>
        <v>49.4512109416858</v>
      </c>
      <c r="Z14" s="265" t="s">
        <v>102</v>
      </c>
      <c r="AA14" s="265"/>
      <c r="AB14" s="265"/>
      <c r="AC14" s="265">
        <f>Q10</f>
        <v>52.5036976409869</v>
      </c>
    </row>
    <row r="15" spans="12:29">
      <c r="L15" s="227"/>
      <c r="M15" s="244"/>
      <c r="N15" s="245"/>
      <c r="O15" s="245"/>
      <c r="Q15" s="249"/>
      <c r="R15" s="250"/>
      <c r="S15" s="250"/>
      <c r="T15" s="251"/>
      <c r="V15" s="265"/>
      <c r="W15" s="265"/>
      <c r="X15" s="265"/>
      <c r="Y15" s="265"/>
      <c r="Z15" s="265"/>
      <c r="AA15" s="265"/>
      <c r="AB15" s="265"/>
      <c r="AC15" s="265"/>
    </row>
    <row r="16" spans="12:29">
      <c r="L16" s="227"/>
      <c r="M16" s="244"/>
      <c r="N16" s="245"/>
      <c r="O16" s="245"/>
      <c r="Q16" s="252" t="s">
        <v>103</v>
      </c>
      <c r="R16" s="253"/>
      <c r="S16" s="253"/>
      <c r="T16" s="248">
        <f>COUNTIF(Y7:Y9,"MEDIUM")</f>
        <v>1</v>
      </c>
      <c r="V16" s="265" t="s">
        <v>104</v>
      </c>
      <c r="W16" s="265"/>
      <c r="X16" s="265"/>
      <c r="Y16" s="265">
        <f>'PADAV EAST-18'!G5</f>
        <v>47.0942477353844</v>
      </c>
      <c r="Z16" s="265" t="s">
        <v>105</v>
      </c>
      <c r="AA16" s="265"/>
      <c r="AB16" s="265"/>
      <c r="AC16" s="265">
        <f>R10</f>
        <v>44.9768327738524</v>
      </c>
    </row>
    <row r="17" spans="12:29">
      <c r="L17" s="228" t="s">
        <v>106</v>
      </c>
      <c r="M17" s="254"/>
      <c r="N17" s="255"/>
      <c r="O17" s="255">
        <f>COUNTIF(AA7:AA9,"CONGRESS")</f>
        <v>2</v>
      </c>
      <c r="Q17" s="252"/>
      <c r="R17" s="253"/>
      <c r="S17" s="253"/>
      <c r="T17" s="251"/>
      <c r="V17" s="265"/>
      <c r="W17" s="265"/>
      <c r="X17" s="265"/>
      <c r="Y17" s="265"/>
      <c r="Z17" s="265"/>
      <c r="AA17" s="265"/>
      <c r="AB17" s="265"/>
      <c r="AC17" s="265"/>
    </row>
    <row r="18" spans="12:29">
      <c r="L18" s="229"/>
      <c r="M18" s="256"/>
      <c r="N18" s="257"/>
      <c r="O18" s="257"/>
      <c r="Q18" s="258" t="s">
        <v>107</v>
      </c>
      <c r="R18" s="259"/>
      <c r="S18" s="259"/>
      <c r="T18" s="248">
        <f>COUNTIF(Y7:Y9,"STRONG")</f>
        <v>0</v>
      </c>
      <c r="V18" s="265" t="s">
        <v>108</v>
      </c>
      <c r="W18" s="265"/>
      <c r="X18" s="265"/>
      <c r="Y18" s="265">
        <f>'PADAV EAST-18'!C5</f>
        <v>2680</v>
      </c>
      <c r="Z18" s="265" t="s">
        <v>109</v>
      </c>
      <c r="AA18" s="265"/>
      <c r="AB18" s="265"/>
      <c r="AC18" s="265">
        <f>O10</f>
        <v>2702</v>
      </c>
    </row>
    <row r="19" spans="12:29">
      <c r="L19" s="230"/>
      <c r="M19" s="260"/>
      <c r="N19" s="261"/>
      <c r="O19" s="261"/>
      <c r="Q19" s="262"/>
      <c r="R19" s="263"/>
      <c r="S19" s="263"/>
      <c r="T19" s="251"/>
      <c r="V19" s="265"/>
      <c r="W19" s="265"/>
      <c r="X19" s="265"/>
      <c r="Y19" s="265"/>
      <c r="Z19" s="265"/>
      <c r="AA19" s="265"/>
      <c r="AB19" s="265"/>
      <c r="AC19" s="265"/>
    </row>
    <row r="20" spans="17:29">
      <c r="Q20" s="229" t="s">
        <v>110</v>
      </c>
      <c r="R20" s="256"/>
      <c r="S20" s="256"/>
      <c r="T20" s="248">
        <f>COUNTIF(Y7:Y9,"LOST")</f>
        <v>2</v>
      </c>
      <c r="V20" s="265" t="s">
        <v>111</v>
      </c>
      <c r="W20" s="265"/>
      <c r="X20" s="265"/>
      <c r="Y20" s="265">
        <f>Y14-Y16</f>
        <v>2.35696320630139</v>
      </c>
      <c r="Z20" s="265" t="s">
        <v>111</v>
      </c>
      <c r="AA20" s="265"/>
      <c r="AB20" s="265"/>
      <c r="AC20" s="265">
        <f>AC14-AC16</f>
        <v>7.52686486713452</v>
      </c>
    </row>
    <row r="21" spans="17:29">
      <c r="Q21" s="230"/>
      <c r="R21" s="260"/>
      <c r="S21" s="260"/>
      <c r="T21" s="251"/>
      <c r="V21" s="265"/>
      <c r="W21" s="265"/>
      <c r="X21" s="265"/>
      <c r="Y21" s="265"/>
      <c r="Z21" s="265"/>
      <c r="AA21" s="265"/>
      <c r="AB21" s="265"/>
      <c r="AC21" s="265"/>
    </row>
    <row r="22" spans="22:28">
      <c r="V22" s="265" t="s">
        <v>112</v>
      </c>
      <c r="W22" s="265"/>
      <c r="X22" s="265"/>
      <c r="Y22" s="265">
        <f>AC14-Y14</f>
        <v>3.05248669930104</v>
      </c>
      <c r="Z22" s="265"/>
      <c r="AA22" s="265"/>
      <c r="AB22" s="265"/>
    </row>
    <row r="23" spans="22:28">
      <c r="V23" s="265"/>
      <c r="W23" s="265"/>
      <c r="X23" s="265"/>
      <c r="Y23" s="265"/>
      <c r="Z23" s="265"/>
      <c r="AA23" s="265"/>
      <c r="AB23" s="265"/>
    </row>
    <row r="24" spans="22:28">
      <c r="V24" s="265" t="s">
        <v>113</v>
      </c>
      <c r="W24" s="265"/>
      <c r="X24" s="265"/>
      <c r="Y24" s="265">
        <f>AC16-Y16</f>
        <v>-2.11741496153208</v>
      </c>
      <c r="Z24" s="265"/>
      <c r="AA24" s="265"/>
      <c r="AB24" s="265"/>
    </row>
    <row r="25" spans="22:28">
      <c r="V25" s="265"/>
      <c r="W25" s="265"/>
      <c r="X25" s="265"/>
      <c r="Y25" s="265"/>
      <c r="Z25" s="265"/>
      <c r="AA25" s="265"/>
      <c r="AB25" s="265"/>
    </row>
    <row r="26" spans="22:28">
      <c r="V26" s="265" t="s">
        <v>114</v>
      </c>
      <c r="W26" s="265"/>
      <c r="X26" s="265"/>
      <c r="Y26" s="265" t="str">
        <f>IF(Y22&gt;Y24,"INCREASE","DECREASE")</f>
        <v>INCREASE</v>
      </c>
      <c r="Z26" s="265"/>
      <c r="AA26" s="265"/>
      <c r="AB26" s="265"/>
    </row>
    <row r="27" spans="22:28">
      <c r="V27" s="265"/>
      <c r="W27" s="265"/>
      <c r="X27" s="265"/>
      <c r="Y27" s="265"/>
      <c r="Z27" s="265"/>
      <c r="AA27" s="265"/>
      <c r="AB27" s="265"/>
    </row>
    <row r="28" spans="22:29">
      <c r="V28" s="265">
        <v>0</v>
      </c>
      <c r="W28" s="265"/>
      <c r="X28" s="265"/>
      <c r="Y28" s="265"/>
      <c r="Z28" s="265"/>
      <c r="AA28" s="265"/>
      <c r="AB28" s="265"/>
      <c r="AC28" s="265"/>
    </row>
    <row r="29" spans="22:29">
      <c r="V29" s="265"/>
      <c r="W29" s="265"/>
      <c r="X29" s="265"/>
      <c r="Y29" s="265"/>
      <c r="Z29" s="265"/>
      <c r="AA29" s="265"/>
      <c r="AB29" s="265"/>
      <c r="AC29" s="265"/>
    </row>
    <row r="30" spans="22:29">
      <c r="V30" s="265"/>
      <c r="W30" s="265"/>
      <c r="X30" s="265"/>
      <c r="Y30" s="265"/>
      <c r="Z30" s="265"/>
      <c r="AA30" s="265"/>
      <c r="AB30" s="265"/>
      <c r="AC30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O1:O6"/>
    <mergeCell ref="O14:O16"/>
    <mergeCell ref="O17:O19"/>
    <mergeCell ref="P1:P6"/>
    <mergeCell ref="Q1:Q6"/>
    <mergeCell ref="R1:R6"/>
    <mergeCell ref="S1:S6"/>
    <mergeCell ref="T1:T6"/>
    <mergeCell ref="T14:T15"/>
    <mergeCell ref="T16:T17"/>
    <mergeCell ref="T18:T19"/>
    <mergeCell ref="T20:T21"/>
    <mergeCell ref="U1:U6"/>
    <mergeCell ref="V1:V6"/>
    <mergeCell ref="W1:W6"/>
    <mergeCell ref="X1:X6"/>
    <mergeCell ref="Y1:Y6"/>
    <mergeCell ref="Y14:Y15"/>
    <mergeCell ref="Y16:Y17"/>
    <mergeCell ref="Y18:Y19"/>
    <mergeCell ref="Y20:Y21"/>
    <mergeCell ref="Z1:Z6"/>
    <mergeCell ref="AA1:AA6"/>
    <mergeCell ref="AB1:AB6"/>
    <mergeCell ref="AC1:AC6"/>
    <mergeCell ref="AC14:AC15"/>
    <mergeCell ref="AC16:AC17"/>
    <mergeCell ref="AC18:AC19"/>
    <mergeCell ref="AC20:AC21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Q20:S21"/>
    <mergeCell ref="Z20:AB21"/>
    <mergeCell ref="L12:O13"/>
    <mergeCell ref="Q12:T13"/>
    <mergeCell ref="L14:N16"/>
    <mergeCell ref="Q14:S15"/>
    <mergeCell ref="Z14:AB15"/>
    <mergeCell ref="Q16:S17"/>
    <mergeCell ref="Z16:AB17"/>
    <mergeCell ref="L17:N19"/>
    <mergeCell ref="Q18:S19"/>
    <mergeCell ref="Z18:AB19"/>
    <mergeCell ref="D1:K2"/>
    <mergeCell ref="V12:AC13"/>
    <mergeCell ref="V14:X15"/>
    <mergeCell ref="V16:X17"/>
    <mergeCell ref="V18:X19"/>
    <mergeCell ref="V20:X21"/>
    <mergeCell ref="V22:X23"/>
    <mergeCell ref="Y22:AB23"/>
    <mergeCell ref="V28:AC30"/>
    <mergeCell ref="V24:X25"/>
    <mergeCell ref="Y24:AB25"/>
    <mergeCell ref="V26:X27"/>
    <mergeCell ref="Y26:Z27"/>
    <mergeCell ref="AA26:AB27"/>
  </mergeCells>
  <conditionalFormatting sqref="AR7:AR9">
    <cfRule type="containsText" dxfId="6" priority="1" operator="between" text="FEMALE DOM">
      <formula>NOT(ISERROR(SEARCH("FEMALE DOM",AR7)))</formula>
    </cfRule>
  </conditionalFormatting>
  <conditionalFormatting sqref="AZ7:AZ9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9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"/>
  <sheetViews>
    <sheetView workbookViewId="0">
      <selection activeCell="A1" sqref="A1:AJ1"/>
    </sheetView>
  </sheetViews>
  <sheetFormatPr defaultColWidth="9" defaultRowHeight="14.5" outlineLevelRow="4"/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32</v>
      </c>
      <c r="B2" s="185" t="s">
        <v>344</v>
      </c>
      <c r="C2" s="184">
        <v>1041</v>
      </c>
      <c r="D2" s="184">
        <v>439</v>
      </c>
      <c r="E2" s="184">
        <f t="shared" ref="E2:E4" si="0">(D2/C2)*100</f>
        <v>42.1709894332373</v>
      </c>
      <c r="F2" s="184">
        <v>566</v>
      </c>
      <c r="G2" s="184">
        <f t="shared" ref="G2:G4" si="1">(F2/C2)*100</f>
        <v>54.3707973102786</v>
      </c>
      <c r="H2" s="184">
        <v>2</v>
      </c>
      <c r="I2" s="184">
        <f t="shared" ref="I2:I4" si="2">(H2/C2)*100</f>
        <v>0.192122958693564</v>
      </c>
      <c r="J2" s="184">
        <v>13</v>
      </c>
      <c r="K2" s="184">
        <f t="shared" ref="K2:K4" si="3">(J2/C2)*100</f>
        <v>1.24879923150817</v>
      </c>
      <c r="L2" s="189">
        <v>648</v>
      </c>
      <c r="M2" s="189">
        <v>744</v>
      </c>
      <c r="N2" s="189">
        <f t="shared" ref="N2:N4" si="4">L2+M2</f>
        <v>1392</v>
      </c>
      <c r="O2" s="184">
        <v>1041</v>
      </c>
      <c r="P2" s="190">
        <f t="shared" ref="P2:P4" si="5">O2/N2*100</f>
        <v>74.7844827586207</v>
      </c>
      <c r="Q2" s="184">
        <v>798</v>
      </c>
      <c r="R2" s="184">
        <f t="shared" ref="R2:R4" si="6">(Q2/N2)*100</f>
        <v>57.3275862068966</v>
      </c>
      <c r="S2" s="184">
        <f t="shared" ref="S2:S4" si="7">Q2-U2</f>
        <v>196</v>
      </c>
      <c r="T2" s="184">
        <f t="shared" ref="T2:T4" si="8">(S2/Q2)*100</f>
        <v>24.5614035087719</v>
      </c>
      <c r="U2" s="184">
        <v>602</v>
      </c>
      <c r="V2" s="191">
        <f t="shared" ref="V2:V4" si="9">IFERROR(U2/Q2*100,0)</f>
        <v>75.4385964912281</v>
      </c>
      <c r="W2" s="184">
        <v>592</v>
      </c>
      <c r="X2" s="184">
        <f t="shared" ref="X2:X4" si="10">100-R2</f>
        <v>42.6724137931034</v>
      </c>
      <c r="Y2" s="184">
        <f t="shared" ref="Y2:Y4" si="11">W2-AA2</f>
        <v>162</v>
      </c>
      <c r="Z2" s="193">
        <f t="shared" ref="Z2:Z4" si="12">(Y2/W2)*100</f>
        <v>27.3648648648649</v>
      </c>
      <c r="AA2" s="193">
        <v>430</v>
      </c>
      <c r="AB2" s="194">
        <f t="shared" ref="AB2:AB4" si="13">IFERROR(AA2/W2*100,0)</f>
        <v>72.6351351351351</v>
      </c>
      <c r="AC2" s="193">
        <f t="shared" ref="AC2:AC4" si="14">U2+AA2</f>
        <v>1032</v>
      </c>
      <c r="AD2" s="193" t="str">
        <f t="shared" ref="AD2:AD4" si="15">IF(P2&gt;80,"EXCELLENT",IF(P2&gt;70,"STRONG",IF(P2&gt;60,"AVG",IF(P2&gt;50,"WEAK",IF(P2&lt;50,"VLOW")))))</f>
        <v>STRONG</v>
      </c>
      <c r="AE2" s="195" t="str">
        <f t="shared" ref="AE2:AE4" si="16">IF(R2&gt;80,"EXCELLENT",IF(R2&gt;70,"STRONG",IF(R2&gt;60,"AVG",IF(R2&gt;50,"WEAK",IF(R2&lt;50,"VLOW")))))</f>
        <v>WEAK</v>
      </c>
      <c r="AF2" s="193" t="str">
        <f t="shared" ref="AF2:AF4" si="17">IF(X2&gt;80,"EXCELLENT",IF(X2&gt;70,"STRONG",IF(X2&gt;60,"AVG",IF(X2&gt;50,"WEAK",IF(X2&lt;50,"VLOW")))))</f>
        <v>VLOW</v>
      </c>
      <c r="AG2" s="193" t="str">
        <f t="shared" ref="AG2:AG4" si="18">IF(M2&gt;L2,"FEMALE DOM","MEN")</f>
        <v>FEMALE DOM</v>
      </c>
      <c r="AH2" s="193" t="str">
        <f t="shared" ref="AH2:AH4" si="19">IF(T2&gt;Z2,"H","O")</f>
        <v>O</v>
      </c>
      <c r="AI2" s="197">
        <f>G2-E2</f>
        <v>12.1998078770413</v>
      </c>
      <c r="AJ2" s="198" t="str">
        <f t="shared" ref="AJ2:AJ4" si="20">IF(E2&gt;G2,"BJP GAIN","CONGRESSGAIN")</f>
        <v>CONGRESSGAIN</v>
      </c>
    </row>
    <row r="3" spans="1:36">
      <c r="A3" s="184">
        <v>33</v>
      </c>
      <c r="B3" s="185" t="s">
        <v>345</v>
      </c>
      <c r="C3" s="184">
        <v>753</v>
      </c>
      <c r="D3" s="184">
        <v>463</v>
      </c>
      <c r="E3" s="184">
        <f t="shared" si="0"/>
        <v>61.4873837981408</v>
      </c>
      <c r="F3" s="184">
        <v>255</v>
      </c>
      <c r="G3" s="184">
        <f t="shared" si="1"/>
        <v>33.8645418326693</v>
      </c>
      <c r="H3" s="184">
        <v>5</v>
      </c>
      <c r="I3" s="184">
        <f t="shared" si="2"/>
        <v>0.664010624169987</v>
      </c>
      <c r="J3" s="184">
        <v>9</v>
      </c>
      <c r="K3" s="184">
        <f t="shared" si="3"/>
        <v>1.19521912350598</v>
      </c>
      <c r="L3" s="189">
        <v>474</v>
      </c>
      <c r="M3" s="189">
        <v>560</v>
      </c>
      <c r="N3" s="189">
        <f t="shared" si="4"/>
        <v>1034</v>
      </c>
      <c r="O3" s="184">
        <v>753</v>
      </c>
      <c r="P3" s="190">
        <f t="shared" si="5"/>
        <v>72.8239845261122</v>
      </c>
      <c r="Q3" s="184"/>
      <c r="R3" s="184">
        <f t="shared" si="6"/>
        <v>0</v>
      </c>
      <c r="S3" s="184">
        <f t="shared" si="7"/>
        <v>0</v>
      </c>
      <c r="T3" s="184" t="e">
        <f t="shared" si="8"/>
        <v>#DIV/0!</v>
      </c>
      <c r="U3" s="184"/>
      <c r="V3" s="191">
        <f t="shared" si="9"/>
        <v>0</v>
      </c>
      <c r="W3" s="184"/>
      <c r="X3" s="184">
        <f t="shared" si="10"/>
        <v>100</v>
      </c>
      <c r="Y3" s="184">
        <f t="shared" si="11"/>
        <v>0</v>
      </c>
      <c r="Z3" s="193" t="e">
        <f t="shared" si="12"/>
        <v>#DIV/0!</v>
      </c>
      <c r="AA3" s="193"/>
      <c r="AB3" s="194">
        <f t="shared" si="13"/>
        <v>0</v>
      </c>
      <c r="AC3" s="193">
        <f t="shared" si="14"/>
        <v>0</v>
      </c>
      <c r="AD3" s="193" t="str">
        <f t="shared" si="15"/>
        <v>STRONG</v>
      </c>
      <c r="AE3" s="195" t="str">
        <f t="shared" si="16"/>
        <v>VLOW</v>
      </c>
      <c r="AF3" s="193" t="str">
        <f t="shared" si="17"/>
        <v>EXCELLENT</v>
      </c>
      <c r="AG3" s="193" t="str">
        <f t="shared" si="18"/>
        <v>FEMALE DOM</v>
      </c>
      <c r="AH3" s="193" t="e">
        <f t="shared" si="19"/>
        <v>#DIV/0!</v>
      </c>
      <c r="AI3" s="197">
        <f>E3-G3</f>
        <v>27.6228419654715</v>
      </c>
      <c r="AJ3" s="199" t="str">
        <f t="shared" si="20"/>
        <v>BJP GAIN</v>
      </c>
    </row>
    <row r="4" spans="1:36">
      <c r="A4" s="184">
        <v>36</v>
      </c>
      <c r="B4" s="185" t="s">
        <v>346</v>
      </c>
      <c r="C4" s="184">
        <v>886</v>
      </c>
      <c r="D4" s="184">
        <v>396</v>
      </c>
      <c r="E4" s="184">
        <f t="shared" si="0"/>
        <v>44.6952595936795</v>
      </c>
      <c r="F4" s="184">
        <v>470</v>
      </c>
      <c r="G4" s="184">
        <f t="shared" si="1"/>
        <v>53.0474040632054</v>
      </c>
      <c r="H4" s="184">
        <v>6</v>
      </c>
      <c r="I4" s="184">
        <f t="shared" si="2"/>
        <v>0.677200902934537</v>
      </c>
      <c r="J4" s="184">
        <v>2</v>
      </c>
      <c r="K4" s="184">
        <f t="shared" si="3"/>
        <v>0.225733634311512</v>
      </c>
      <c r="L4" s="189">
        <v>677</v>
      </c>
      <c r="M4" s="189">
        <v>720</v>
      </c>
      <c r="N4" s="189">
        <f t="shared" si="4"/>
        <v>1397</v>
      </c>
      <c r="O4" s="184">
        <v>886</v>
      </c>
      <c r="P4" s="190">
        <f t="shared" si="5"/>
        <v>63.4216177523264</v>
      </c>
      <c r="Q4" s="184"/>
      <c r="R4" s="184">
        <f t="shared" si="6"/>
        <v>0</v>
      </c>
      <c r="S4" s="184">
        <f t="shared" si="7"/>
        <v>0</v>
      </c>
      <c r="T4" s="184" t="e">
        <f t="shared" si="8"/>
        <v>#DIV/0!</v>
      </c>
      <c r="U4" s="184"/>
      <c r="V4" s="191">
        <f t="shared" si="9"/>
        <v>0</v>
      </c>
      <c r="W4" s="184"/>
      <c r="X4" s="184">
        <f t="shared" si="10"/>
        <v>100</v>
      </c>
      <c r="Y4" s="184">
        <f t="shared" si="11"/>
        <v>0</v>
      </c>
      <c r="Z4" s="193" t="e">
        <f t="shared" si="12"/>
        <v>#DIV/0!</v>
      </c>
      <c r="AA4" s="193"/>
      <c r="AB4" s="194">
        <f t="shared" si="13"/>
        <v>0</v>
      </c>
      <c r="AC4" s="193">
        <f t="shared" si="14"/>
        <v>0</v>
      </c>
      <c r="AD4" s="193" t="str">
        <f t="shared" si="15"/>
        <v>AVG</v>
      </c>
      <c r="AE4" s="195" t="str">
        <f t="shared" si="16"/>
        <v>VLOW</v>
      </c>
      <c r="AF4" s="193" t="str">
        <f t="shared" si="17"/>
        <v>EXCELLENT</v>
      </c>
      <c r="AG4" s="193" t="str">
        <f t="shared" si="18"/>
        <v>FEMALE DOM</v>
      </c>
      <c r="AH4" s="193" t="e">
        <f t="shared" si="19"/>
        <v>#DIV/0!</v>
      </c>
      <c r="AI4" s="197">
        <f>G4-E4</f>
        <v>8.35214446952596</v>
      </c>
      <c r="AJ4" s="198" t="str">
        <f t="shared" si="20"/>
        <v>CONGRESSGAIN</v>
      </c>
    </row>
    <row r="5" spans="3:11">
      <c r="C5">
        <f>SUM(C2:C4)</f>
        <v>2680</v>
      </c>
      <c r="D5">
        <f>SUM(D2:D4)</f>
        <v>1298</v>
      </c>
      <c r="E5">
        <f>AVERAGE(E2:E4)</f>
        <v>49.4512109416858</v>
      </c>
      <c r="F5">
        <f>SUM(F2:F4)</f>
        <v>1291</v>
      </c>
      <c r="G5">
        <f>AVERAGE(G2:G4)</f>
        <v>47.0942477353844</v>
      </c>
      <c r="H5">
        <f>SUM(H2:H4)</f>
        <v>13</v>
      </c>
      <c r="I5">
        <f>AVERAGE(I2:I4)</f>
        <v>0.511111495266029</v>
      </c>
      <c r="J5">
        <f>SUM(J2:J4)</f>
        <v>24</v>
      </c>
      <c r="K5">
        <f>AVERAGE(K2:K4)</f>
        <v>0.889917329775218</v>
      </c>
    </row>
  </sheetData>
  <conditionalFormatting sqref="AD4">
    <cfRule type="containsText" dxfId="8" priority="15" operator="between" text="AVG">
      <formula>NOT(ISERROR(SEARCH("AVG",AD4)))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NOT(ISERROR(SEARCH("VSTRONG",AD4)))</formula>
    </cfRule>
    <cfRule type="containsText" dxfId="10" priority="5" operator="between" text="AVG">
      <formula>NOT(ISERROR(SEARCH("AVG",AD4)))</formula>
    </cfRule>
  </conditionalFormatting>
  <conditionalFormatting sqref="AE4">
    <cfRule type="containsText" dxfId="3" priority="9" operator="between" text="STRONG">
      <formula>NOT(ISERROR(SEARCH("STRONG",AE4)))</formula>
    </cfRule>
    <cfRule type="containsText" dxfId="1" priority="7" operator="between" text="VSTRONG">
      <formula>NOT(ISERROR(SEARCH("VSTRONG",AE4)))</formula>
    </cfRule>
  </conditionalFormatting>
  <conditionalFormatting sqref="AE4:AF4">
    <cfRule type="containsText" dxfId="2" priority="8" operator="between" text="AVG">
      <formula>NOT(ISERROR(SEARCH("AVG",AE4)))</formula>
    </cfRule>
  </conditionalFormatting>
  <conditionalFormatting sqref="AF4">
    <cfRule type="cellIs" dxfId="11" priority="3" operator="equal">
      <formula>"VWEAK"</formula>
    </cfRule>
    <cfRule type="containsText" dxfId="0" priority="2" operator="between" text="VSTRONG">
      <formula>NOT(ISERROR(SEARCH("VSTRONG",AF4)))</formula>
    </cfRule>
  </conditionalFormatting>
  <conditionalFormatting sqref="AG4">
    <cfRule type="containsText" dxfId="12" priority="6" operator="between" text="FEMALE DOM">
      <formula>NOT(ISERROR(SEARCH("FEMALE DOM",AG4)))</formula>
    </cfRule>
    <cfRule type="containsText" dxfId="10" priority="1" operator="between" text="MEN">
      <formula>NOT(ISERROR(SEARCH("MEN",AG4)))</formula>
    </cfRule>
  </conditionalFormatting>
  <conditionalFormatting sqref="AH4">
    <cfRule type="containsText" dxfId="0" priority="12" operator="between" text="O">
      <formula>NOT(ISERROR(SEARCH("O",AH4)))</formula>
    </cfRule>
    <cfRule type="containsText" dxfId="3" priority="10" operator="between" text="H">
      <formula>NOT(ISERROR(SEARCH("H",AH4)))</formula>
    </cfRule>
    <cfRule type="containsText" dxfId="13" priority="11" operator="between" text="H">
      <formula>NOT(ISERROR(SEARCH("H",AH4)))</formula>
    </cfRule>
    <cfRule type="containsText" dxfId="1" priority="4" operator="between" text="H">
      <formula>NOT(ISERROR(SEARCH("H",AH4)))</formula>
    </cfRule>
  </conditionalFormatting>
  <conditionalFormatting sqref="AD2:AD3">
    <cfRule type="containsText" dxfId="8" priority="30" operator="between" text="AVG">
      <formula>NOT(ISERROR(SEARCH("AVG",AD2)))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NOT(ISERROR(SEARCH("VSTRONG",AD2)))</formula>
    </cfRule>
    <cfRule type="containsText" dxfId="10" priority="20" operator="between" text="AVG">
      <formula>NOT(ISERROR(SEARCH("AVG",AD2)))</formula>
    </cfRule>
  </conditionalFormatting>
  <conditionalFormatting sqref="AE2:AE3">
    <cfRule type="containsText" dxfId="3" priority="24" operator="between" text="STRONG">
      <formula>NOT(ISERROR(SEARCH("STRONG",AE2)))</formula>
    </cfRule>
    <cfRule type="containsText" dxfId="1" priority="22" operator="between" text="VSTRONG">
      <formula>NOT(ISERROR(SEARCH("VSTRONG",AE2)))</formula>
    </cfRule>
  </conditionalFormatting>
  <conditionalFormatting sqref="AF2:AF3">
    <cfRule type="cellIs" dxfId="11" priority="18" operator="equal">
      <formula>"VWEAK"</formula>
    </cfRule>
    <cfRule type="containsText" dxfId="0" priority="17" operator="between" text="VSTRONG">
      <formula>NOT(ISERROR(SEARCH("VSTRONG",AF2)))</formula>
    </cfRule>
  </conditionalFormatting>
  <conditionalFormatting sqref="AG2:AG3">
    <cfRule type="containsText" dxfId="12" priority="21" operator="between" text="FEMALE DOM">
      <formula>NOT(ISERROR(SEARCH("FEMALE DOM",AG2)))</formula>
    </cfRule>
    <cfRule type="containsText" dxfId="10" priority="16" operator="between" text="MEN">
      <formula>NOT(ISERROR(SEARCH("MEN",AG2)))</formula>
    </cfRule>
  </conditionalFormatting>
  <conditionalFormatting sqref="AH2:AH3">
    <cfRule type="containsText" dxfId="0" priority="27" operator="between" text="O">
      <formula>NOT(ISERROR(SEARCH("O",AH2)))</formula>
    </cfRule>
    <cfRule type="containsText" dxfId="3" priority="25" operator="between" text="H">
      <formula>NOT(ISERROR(SEARCH("H",AH2)))</formula>
    </cfRule>
    <cfRule type="containsText" dxfId="13" priority="26" operator="between" text="H">
      <formula>NOT(ISERROR(SEARCH("H",AH2)))</formula>
    </cfRule>
    <cfRule type="containsText" dxfId="1" priority="19" operator="between" text="H">
      <formula>NOT(ISERROR(SEARCH("H",AH2)))</formula>
    </cfRule>
  </conditionalFormatting>
  <conditionalFormatting sqref="AE2:AF3">
    <cfRule type="containsText" dxfId="2" priority="23" operator="between" text="AVG">
      <formula>NOT(ISERROR(SEARCH("AVG",AE2)))</formula>
    </cfRule>
  </conditionalFormatting>
  <pageMargins left="0.7" right="0.7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A34"/>
  <sheetViews>
    <sheetView zoomScale="75" zoomScaleNormal="75" topLeftCell="R1" workbookViewId="0">
      <selection activeCell="T26" sqref="T26:W27"/>
    </sheetView>
  </sheetViews>
  <sheetFormatPr defaultColWidth="9" defaultRowHeight="14.5"/>
  <sheetData>
    <row r="1" ht="15" customHeight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336" t="s">
        <v>61</v>
      </c>
      <c r="B7" s="337">
        <v>33</v>
      </c>
      <c r="C7" s="337">
        <v>764</v>
      </c>
      <c r="D7" s="337">
        <v>107</v>
      </c>
      <c r="E7" s="337">
        <v>441</v>
      </c>
      <c r="F7" s="337">
        <v>1</v>
      </c>
      <c r="G7" s="337">
        <v>1</v>
      </c>
      <c r="H7" s="337">
        <v>0</v>
      </c>
      <c r="I7" s="337">
        <v>1</v>
      </c>
      <c r="J7" s="337">
        <v>1</v>
      </c>
      <c r="K7" s="337">
        <v>0</v>
      </c>
      <c r="L7" s="337">
        <v>552</v>
      </c>
      <c r="M7" s="337">
        <v>0</v>
      </c>
      <c r="N7" s="337">
        <v>7</v>
      </c>
      <c r="O7" s="337">
        <f t="shared" ref="O7:O13" si="0">D7+E7+F7+G7+H7+I7+J7+K7+N7</f>
        <v>559</v>
      </c>
      <c r="P7" s="337">
        <f t="shared" ref="P7:P13" si="1">(O7/C7)*100</f>
        <v>73.1675392670157</v>
      </c>
      <c r="Q7" s="337">
        <f t="shared" ref="Q7:Q13" si="2">(E7/O7)*100</f>
        <v>78.8908765652952</v>
      </c>
      <c r="R7" s="337">
        <f t="shared" ref="R7:R13" si="3">(D7/O7)*100</f>
        <v>19.1413237924866</v>
      </c>
      <c r="S7" s="337">
        <f t="shared" ref="S7:S13" si="4">(F7/O7)*100</f>
        <v>0.178890876565295</v>
      </c>
      <c r="T7" s="337">
        <f t="shared" ref="T7:T13" si="5">(G7/O7)*100</f>
        <v>0.178890876565295</v>
      </c>
      <c r="U7" s="337">
        <f t="shared" ref="U7:U13" si="6">((H7+I7+J7+K7)/O7)*100</f>
        <v>0.35778175313059</v>
      </c>
      <c r="V7" s="337">
        <f t="shared" ref="V7:V13" si="7">(N7/O7)*100</f>
        <v>1.25223613595707</v>
      </c>
      <c r="W7" s="337">
        <f>Q7-R7</f>
        <v>59.7495527728086</v>
      </c>
      <c r="X7" s="337">
        <f>Q7-(R7+S7+T7+U7)</f>
        <v>59.0339892665474</v>
      </c>
      <c r="Y7" s="337" t="str">
        <f>IF(AND(W7&lt;0,W7&lt;=1),"LOST",IF(AND(W7&gt;1,W7&lt;=10),"NARROW",IF(AND(W7&gt;10,W7&lt;=40),"MEDIUM",IF(AND(W7&gt;40,W7&lt;=90),"STRONG",""))))</f>
        <v>STRONG</v>
      </c>
      <c r="Z7" s="283" t="str">
        <f>IF(AND(P7&lt;0,P7&lt;=10),"WEAK",IF(AND(P7&gt;10,P7&lt;20),"BELOW AVG",IF(AND(P7&gt;20,P7&lt;=60),"MEDIUM",IF(AND(P7&gt;60,P7&lt;=90),"STRONG",""))))</f>
        <v>STRONG</v>
      </c>
      <c r="AA7" s="289" t="str">
        <f>IF(Q7&gt;R7,"BJP","CONGRESS")</f>
        <v>BJP</v>
      </c>
      <c r="AB7">
        <v>763</v>
      </c>
      <c r="AC7">
        <v>557</v>
      </c>
      <c r="AD7">
        <v>366</v>
      </c>
      <c r="AE7">
        <v>264</v>
      </c>
      <c r="AF7">
        <v>397</v>
      </c>
      <c r="AG7">
        <v>293</v>
      </c>
      <c r="AH7">
        <v>719</v>
      </c>
      <c r="AI7">
        <v>523</v>
      </c>
      <c r="AJ7">
        <v>4</v>
      </c>
      <c r="AK7">
        <v>4</v>
      </c>
      <c r="AL7">
        <v>40</v>
      </c>
      <c r="AM7">
        <v>30</v>
      </c>
      <c r="AN7" s="248">
        <f>(AD7/AB7)*100</f>
        <v>47.9685452162516</v>
      </c>
      <c r="AO7" s="316">
        <f>(AE7/AC7)*100</f>
        <v>47.3967684021544</v>
      </c>
      <c r="AP7" s="317">
        <f>(AF7/AB7)*100</f>
        <v>52.0314547837484</v>
      </c>
      <c r="AQ7" s="318">
        <f>(AG7/AC7)*100</f>
        <v>52.6032315978456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94.2332896461337</v>
      </c>
      <c r="AU7" s="317">
        <f>(AI7/AC7)*100</f>
        <v>93.8958707360862</v>
      </c>
      <c r="AV7" s="248">
        <f>(AJ7/AB7)*100</f>
        <v>0.524246395806029</v>
      </c>
      <c r="AW7" s="317">
        <f>(AK7/AC7)*100</f>
        <v>0.718132854578097</v>
      </c>
      <c r="AX7" s="248">
        <f>(AL7/AB7)*100</f>
        <v>5.24246395806029</v>
      </c>
      <c r="AY7" s="317">
        <f>(AM7/AC7)*100</f>
        <v>5.38599640933573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2:53">
      <c r="B8" s="219">
        <v>32</v>
      </c>
      <c r="C8" s="219">
        <v>700</v>
      </c>
      <c r="D8" s="219">
        <v>171</v>
      </c>
      <c r="E8" s="219">
        <v>356</v>
      </c>
      <c r="F8" s="219">
        <v>5</v>
      </c>
      <c r="G8" s="219">
        <v>2</v>
      </c>
      <c r="H8" s="219">
        <v>0</v>
      </c>
      <c r="I8" s="219">
        <v>0</v>
      </c>
      <c r="J8" s="219">
        <v>1</v>
      </c>
      <c r="K8" s="219">
        <v>0</v>
      </c>
      <c r="L8" s="219">
        <v>535</v>
      </c>
      <c r="M8" s="219">
        <v>0</v>
      </c>
      <c r="N8" s="219">
        <v>3</v>
      </c>
      <c r="O8" s="219">
        <f t="shared" si="0"/>
        <v>538</v>
      </c>
      <c r="P8" s="219">
        <f t="shared" si="1"/>
        <v>76.8571428571429</v>
      </c>
      <c r="Q8" s="219">
        <f t="shared" si="2"/>
        <v>66.1710037174721</v>
      </c>
      <c r="R8" s="219">
        <f t="shared" si="3"/>
        <v>31.7843866171004</v>
      </c>
      <c r="S8" s="219">
        <f t="shared" si="4"/>
        <v>0.929368029739777</v>
      </c>
      <c r="T8" s="219">
        <f t="shared" si="5"/>
        <v>0.371747211895911</v>
      </c>
      <c r="U8" s="219">
        <f t="shared" si="6"/>
        <v>0.185873605947955</v>
      </c>
      <c r="V8" s="219">
        <f t="shared" si="7"/>
        <v>0.557620817843866</v>
      </c>
      <c r="W8" s="219">
        <f t="shared" ref="W8:W13" si="8">Q8-R8</f>
        <v>34.3866171003717</v>
      </c>
      <c r="X8" s="219">
        <f t="shared" ref="X8:X13" si="9">Q8-(R8+S8+T8+U8)</f>
        <v>32.8996282527881</v>
      </c>
      <c r="Y8" s="219" t="str">
        <f t="shared" ref="Y8:Y14" si="10">IF(AND(W8&lt;0,W8&lt;=1),"LOST",IF(AND(W8&gt;1,W8&lt;=10),"NARROW",IF(AND(W8&gt;10,W8&lt;=40),"MEDIUM",IF(AND(W8&gt;40,W8&lt;=90),"STRONG",""))))</f>
        <v>MEDIUM</v>
      </c>
      <c r="Z8" s="285" t="str">
        <f t="shared" ref="Z8:Z14" si="11">IF(AND(P8&lt;0,P8&lt;=10),"WEAK",IF(AND(P8&gt;10,P8&lt;20),"BELOW AVG",IF(AND(P8&gt;20,P8&lt;=60),"MEDIUM",IF(AND(P8&gt;60,P8&lt;=90),"STRONG",""))))</f>
        <v>STRONG</v>
      </c>
      <c r="AA8" s="333" t="str">
        <f t="shared" ref="AA8:AA10" si="12">IF(Q8&gt;R8,"BJP","CONGRESS")</f>
        <v>BJP</v>
      </c>
      <c r="AB8">
        <v>689</v>
      </c>
      <c r="AC8">
        <v>535</v>
      </c>
      <c r="AD8">
        <v>305</v>
      </c>
      <c r="AE8">
        <v>244</v>
      </c>
      <c r="AF8">
        <v>384</v>
      </c>
      <c r="AG8">
        <v>291</v>
      </c>
      <c r="AH8">
        <v>567</v>
      </c>
      <c r="AI8">
        <v>457</v>
      </c>
      <c r="AJ8">
        <v>0</v>
      </c>
      <c r="AK8">
        <v>0</v>
      </c>
      <c r="AL8">
        <v>122</v>
      </c>
      <c r="AM8">
        <v>78</v>
      </c>
      <c r="AN8" s="248">
        <f t="shared" ref="AN8:AO10" si="13">(AD8/AB8)*100</f>
        <v>44.267053701016</v>
      </c>
      <c r="AO8" s="316">
        <f t="shared" si="13"/>
        <v>45.607476635514</v>
      </c>
      <c r="AP8" s="317">
        <f t="shared" ref="AP8:AQ10" si="14">(AF8/AB8)*100</f>
        <v>55.732946298984</v>
      </c>
      <c r="AQ8" s="318">
        <f t="shared" si="14"/>
        <v>54.392523364486</v>
      </c>
      <c r="AR8" s="318" t="str">
        <f t="shared" ref="AR8:AR10" si="15">IF(AN8&gt;AP8,"MALE DOM","FEMALE DOM")</f>
        <v>FEMALE DOM</v>
      </c>
      <c r="AS8" s="319" t="str">
        <f t="shared" ref="AS8:AS10" si="16">IF(AO8&gt;AP8,"MALE","FEMALE")</f>
        <v>FEMALE</v>
      </c>
      <c r="AT8" s="317">
        <f t="shared" ref="AT8:AU10" si="17">(AH8/AB8)*100</f>
        <v>82.2931785195936</v>
      </c>
      <c r="AU8" s="317">
        <f t="shared" si="17"/>
        <v>85.4205607476636</v>
      </c>
      <c r="AV8" s="248">
        <f t="shared" ref="AV8:AW10" si="18">(AJ8/AB8)*100</f>
        <v>0</v>
      </c>
      <c r="AW8" s="317">
        <f t="shared" si="18"/>
        <v>0</v>
      </c>
      <c r="AX8" s="248">
        <f t="shared" ref="AX8:AY10" si="19">(AL8/AB8)*100</f>
        <v>17.7068214804064</v>
      </c>
      <c r="AY8" s="317">
        <f t="shared" si="19"/>
        <v>14.5794392523364</v>
      </c>
      <c r="AZ8" s="248" t="str">
        <f t="shared" ref="AZ8:AZ10" si="20">IF(AT8&gt;(AV8+AX8),"HINDU","MINORITY")</f>
        <v>HINDU</v>
      </c>
      <c r="BA8" s="318" t="str">
        <f t="shared" ref="BA8:BA10" si="21">IF(AU8&gt;(AW8+AY8),"HIND","MINORITY")</f>
        <v>HIND</v>
      </c>
    </row>
    <row r="9" spans="2:53">
      <c r="B9" s="219">
        <v>56</v>
      </c>
      <c r="C9" s="219">
        <v>1022</v>
      </c>
      <c r="D9" s="219">
        <v>232</v>
      </c>
      <c r="E9" s="219">
        <v>475</v>
      </c>
      <c r="F9" s="219">
        <v>2</v>
      </c>
      <c r="G9" s="219">
        <v>1</v>
      </c>
      <c r="H9" s="219">
        <v>0</v>
      </c>
      <c r="I9" s="219">
        <v>0</v>
      </c>
      <c r="J9" s="219">
        <v>1</v>
      </c>
      <c r="K9" s="219">
        <v>3</v>
      </c>
      <c r="L9" s="219">
        <v>714</v>
      </c>
      <c r="M9" s="219">
        <v>0</v>
      </c>
      <c r="N9" s="219">
        <v>5</v>
      </c>
      <c r="O9" s="219">
        <f t="shared" si="0"/>
        <v>719</v>
      </c>
      <c r="P9" s="219">
        <f t="shared" si="1"/>
        <v>70.3522504892368</v>
      </c>
      <c r="Q9" s="219">
        <f t="shared" si="2"/>
        <v>66.0639777468706</v>
      </c>
      <c r="R9" s="219">
        <f t="shared" si="3"/>
        <v>32.2670375521558</v>
      </c>
      <c r="S9" s="219">
        <f t="shared" si="4"/>
        <v>0.278164116828929</v>
      </c>
      <c r="T9" s="219">
        <f t="shared" si="5"/>
        <v>0.139082058414465</v>
      </c>
      <c r="U9" s="219">
        <f t="shared" si="6"/>
        <v>0.556328233657858</v>
      </c>
      <c r="V9" s="219">
        <f t="shared" si="7"/>
        <v>0.695410292072323</v>
      </c>
      <c r="W9" s="219">
        <f t="shared" si="8"/>
        <v>33.7969401947149</v>
      </c>
      <c r="X9" s="219">
        <f t="shared" si="9"/>
        <v>32.8233657858136</v>
      </c>
      <c r="Y9" s="219" t="str">
        <f t="shared" si="10"/>
        <v>MEDIUM</v>
      </c>
      <c r="Z9" s="283" t="str">
        <f t="shared" si="11"/>
        <v>STRONG</v>
      </c>
      <c r="AA9" s="289" t="str">
        <f t="shared" si="12"/>
        <v>BJP</v>
      </c>
      <c r="AB9">
        <v>1016</v>
      </c>
      <c r="AC9">
        <v>517</v>
      </c>
      <c r="AD9">
        <v>483</v>
      </c>
      <c r="AE9">
        <v>241</v>
      </c>
      <c r="AF9">
        <v>533</v>
      </c>
      <c r="AG9">
        <v>276</v>
      </c>
      <c r="AH9">
        <v>855</v>
      </c>
      <c r="AI9">
        <v>437</v>
      </c>
      <c r="AJ9">
        <v>5</v>
      </c>
      <c r="AK9">
        <v>2</v>
      </c>
      <c r="AL9">
        <v>156</v>
      </c>
      <c r="AM9">
        <v>78</v>
      </c>
      <c r="AN9" s="248">
        <f t="shared" si="13"/>
        <v>47.5393700787402</v>
      </c>
      <c r="AO9" s="316">
        <f t="shared" si="13"/>
        <v>46.615087040619</v>
      </c>
      <c r="AP9" s="317">
        <f t="shared" si="14"/>
        <v>52.4606299212598</v>
      </c>
      <c r="AQ9" s="318">
        <f t="shared" si="14"/>
        <v>53.384912959381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84.1535433070866</v>
      </c>
      <c r="AU9" s="317">
        <f t="shared" si="17"/>
        <v>84.5261121856867</v>
      </c>
      <c r="AV9" s="248">
        <f t="shared" si="18"/>
        <v>0.492125984251969</v>
      </c>
      <c r="AW9" s="317">
        <f t="shared" si="18"/>
        <v>0.386847195357834</v>
      </c>
      <c r="AX9" s="248">
        <f t="shared" si="19"/>
        <v>15.3543307086614</v>
      </c>
      <c r="AY9" s="317">
        <f t="shared" si="19"/>
        <v>15.0870406189555</v>
      </c>
      <c r="AZ9" s="248" t="str">
        <f t="shared" si="20"/>
        <v>HINDU</v>
      </c>
      <c r="BA9" s="318" t="str">
        <f t="shared" si="21"/>
        <v>HIND</v>
      </c>
    </row>
    <row r="10" spans="2:53">
      <c r="B10" s="219">
        <v>53</v>
      </c>
      <c r="C10" s="219">
        <v>1323</v>
      </c>
      <c r="D10" s="219">
        <v>283</v>
      </c>
      <c r="E10" s="219">
        <v>568</v>
      </c>
      <c r="F10" s="219">
        <v>3</v>
      </c>
      <c r="G10" s="219">
        <v>4</v>
      </c>
      <c r="H10" s="219">
        <v>1</v>
      </c>
      <c r="I10" s="219">
        <v>0</v>
      </c>
      <c r="J10" s="219">
        <v>2</v>
      </c>
      <c r="K10" s="219">
        <v>1</v>
      </c>
      <c r="L10" s="219">
        <v>862</v>
      </c>
      <c r="M10" s="219">
        <v>0</v>
      </c>
      <c r="N10" s="219">
        <v>10</v>
      </c>
      <c r="O10" s="219">
        <f t="shared" si="0"/>
        <v>872</v>
      </c>
      <c r="P10" s="219">
        <f t="shared" si="1"/>
        <v>65.9108087679516</v>
      </c>
      <c r="Q10" s="219">
        <f t="shared" si="2"/>
        <v>65.1376146788991</v>
      </c>
      <c r="R10" s="219">
        <f t="shared" si="3"/>
        <v>32.454128440367</v>
      </c>
      <c r="S10" s="219">
        <f t="shared" si="4"/>
        <v>0.344036697247706</v>
      </c>
      <c r="T10" s="219">
        <f t="shared" si="5"/>
        <v>0.458715596330275</v>
      </c>
      <c r="U10" s="219">
        <f t="shared" si="6"/>
        <v>0.458715596330275</v>
      </c>
      <c r="V10" s="219">
        <f t="shared" si="7"/>
        <v>1.14678899082569</v>
      </c>
      <c r="W10" s="219">
        <f t="shared" si="8"/>
        <v>32.6834862385321</v>
      </c>
      <c r="X10" s="219">
        <f t="shared" si="9"/>
        <v>31.4220183486239</v>
      </c>
      <c r="Y10" s="219" t="str">
        <f t="shared" si="10"/>
        <v>MEDIUM</v>
      </c>
      <c r="Z10" s="285" t="str">
        <f t="shared" si="11"/>
        <v>STRONG</v>
      </c>
      <c r="AA10" s="289" t="str">
        <f t="shared" si="12"/>
        <v>BJP</v>
      </c>
      <c r="AB10">
        <v>1311</v>
      </c>
      <c r="AC10">
        <v>827</v>
      </c>
      <c r="AD10">
        <v>609</v>
      </c>
      <c r="AE10">
        <v>379</v>
      </c>
      <c r="AF10">
        <v>702</v>
      </c>
      <c r="AG10">
        <v>448</v>
      </c>
      <c r="AH10">
        <v>1047</v>
      </c>
      <c r="AI10">
        <v>679</v>
      </c>
      <c r="AJ10">
        <v>7</v>
      </c>
      <c r="AK10">
        <v>6</v>
      </c>
      <c r="AL10">
        <v>257</v>
      </c>
      <c r="AM10">
        <v>142</v>
      </c>
      <c r="AN10" s="248">
        <f t="shared" si="13"/>
        <v>46.4530892448513</v>
      </c>
      <c r="AO10" s="316">
        <f t="shared" si="13"/>
        <v>45.8282950423216</v>
      </c>
      <c r="AP10" s="317">
        <f t="shared" si="14"/>
        <v>53.5469107551487</v>
      </c>
      <c r="AQ10" s="318">
        <f t="shared" si="14"/>
        <v>54.1717049576784</v>
      </c>
      <c r="AR10" s="318" t="str">
        <f t="shared" si="15"/>
        <v>FEMALE DOM</v>
      </c>
      <c r="AS10" s="319" t="str">
        <f t="shared" si="16"/>
        <v>FEMALE</v>
      </c>
      <c r="AT10" s="317">
        <f t="shared" si="17"/>
        <v>79.8627002288329</v>
      </c>
      <c r="AU10" s="317">
        <f t="shared" si="17"/>
        <v>82.1039903264813</v>
      </c>
      <c r="AV10" s="248">
        <f t="shared" si="18"/>
        <v>0.53394355453852</v>
      </c>
      <c r="AW10" s="317">
        <f t="shared" si="18"/>
        <v>0.725513905683192</v>
      </c>
      <c r="AX10" s="248">
        <f t="shared" si="19"/>
        <v>19.6033562166285</v>
      </c>
      <c r="AY10" s="317">
        <f t="shared" si="19"/>
        <v>17.1704957678356</v>
      </c>
      <c r="AZ10" s="248" t="str">
        <f t="shared" si="20"/>
        <v>HINDU</v>
      </c>
      <c r="BA10" s="318" t="str">
        <f t="shared" si="21"/>
        <v>HIND</v>
      </c>
    </row>
    <row r="11" spans="2:53">
      <c r="B11" s="219">
        <v>54</v>
      </c>
      <c r="C11" s="219">
        <v>1219</v>
      </c>
      <c r="D11" s="219">
        <v>285</v>
      </c>
      <c r="E11" s="219">
        <v>600</v>
      </c>
      <c r="F11" s="219">
        <v>3</v>
      </c>
      <c r="G11" s="219">
        <v>1</v>
      </c>
      <c r="H11" s="219">
        <v>1</v>
      </c>
      <c r="I11" s="219">
        <v>2</v>
      </c>
      <c r="J11" s="219">
        <v>2</v>
      </c>
      <c r="K11" s="219">
        <v>0</v>
      </c>
      <c r="L11" s="219">
        <v>894</v>
      </c>
      <c r="M11" s="219">
        <v>0</v>
      </c>
      <c r="N11" s="219">
        <v>6</v>
      </c>
      <c r="O11" s="219">
        <f t="shared" si="0"/>
        <v>900</v>
      </c>
      <c r="P11" s="219">
        <f t="shared" si="1"/>
        <v>73.83100902379</v>
      </c>
      <c r="Q11" s="219">
        <f t="shared" si="2"/>
        <v>66.6666666666667</v>
      </c>
      <c r="R11" s="219">
        <f t="shared" si="3"/>
        <v>31.6666666666667</v>
      </c>
      <c r="S11" s="219">
        <f t="shared" si="4"/>
        <v>0.333333333333333</v>
      </c>
      <c r="T11" s="219">
        <f t="shared" si="5"/>
        <v>0.111111111111111</v>
      </c>
      <c r="U11" s="219">
        <f t="shared" si="6"/>
        <v>0.555555555555556</v>
      </c>
      <c r="V11" s="219">
        <f t="shared" si="7"/>
        <v>0.666666666666667</v>
      </c>
      <c r="W11" s="219">
        <f t="shared" si="8"/>
        <v>35</v>
      </c>
      <c r="X11" s="219">
        <f t="shared" si="9"/>
        <v>34</v>
      </c>
      <c r="Y11" s="219" t="str">
        <f t="shared" si="10"/>
        <v>MEDIUM</v>
      </c>
      <c r="Z11" s="285" t="str">
        <f t="shared" si="11"/>
        <v>STRONG</v>
      </c>
      <c r="AA11" s="289" t="str">
        <f t="shared" ref="AA11:AA14" si="22">IF(Q11&gt;R11,"BJP","CONGRESS")</f>
        <v>BJP</v>
      </c>
      <c r="AB11">
        <v>1216</v>
      </c>
      <c r="AC11">
        <v>847</v>
      </c>
      <c r="AD11">
        <v>557</v>
      </c>
      <c r="AE11">
        <v>384</v>
      </c>
      <c r="AF11">
        <v>659</v>
      </c>
      <c r="AG11">
        <v>463</v>
      </c>
      <c r="AH11">
        <v>969</v>
      </c>
      <c r="AI11">
        <v>692</v>
      </c>
      <c r="AJ11">
        <v>10</v>
      </c>
      <c r="AK11">
        <v>9</v>
      </c>
      <c r="AL11">
        <v>237</v>
      </c>
      <c r="AM11">
        <v>146</v>
      </c>
      <c r="AN11" s="248">
        <f t="shared" ref="AN11:AN13" si="23">(AD11/AB11)*100</f>
        <v>45.8059210526316</v>
      </c>
      <c r="AO11" s="316">
        <f t="shared" ref="AO11:AO13" si="24">(AE11/AC11)*100</f>
        <v>45.3364817001181</v>
      </c>
      <c r="AP11" s="317">
        <f t="shared" ref="AP11:AP13" si="25">(AF11/AB11)*100</f>
        <v>54.1940789473684</v>
      </c>
      <c r="AQ11" s="318">
        <f t="shared" ref="AQ11:AQ13" si="26">(AG11/AC11)*100</f>
        <v>54.6635182998819</v>
      </c>
      <c r="AR11" s="318" t="str">
        <f t="shared" ref="AR11:AR13" si="27">IF(AN11&gt;AP11,"MALE DOM","FEMALE DOM")</f>
        <v>FEMALE DOM</v>
      </c>
      <c r="AS11" s="319" t="str">
        <f t="shared" ref="AS11:AS13" si="28">IF(AO11&gt;AP11,"MALE","FEMALE")</f>
        <v>FEMALE</v>
      </c>
      <c r="AT11" s="317">
        <f t="shared" ref="AT11:AT13" si="29">(AH11/AB11)*100</f>
        <v>79.6875</v>
      </c>
      <c r="AU11" s="317">
        <f t="shared" ref="AU11:AU13" si="30">(AI11/AC11)*100</f>
        <v>81.7001180637544</v>
      </c>
      <c r="AV11" s="248">
        <f t="shared" ref="AV11:AV13" si="31">(AJ11/AB11)*100</f>
        <v>0.822368421052632</v>
      </c>
      <c r="AW11" s="317">
        <f t="shared" ref="AW11:AW13" si="32">(AK11/AC11)*100</f>
        <v>1.06257378984652</v>
      </c>
      <c r="AX11" s="248">
        <f t="shared" ref="AX11:AX13" si="33">(AL11/AB11)*100</f>
        <v>19.4901315789474</v>
      </c>
      <c r="AY11" s="317">
        <f t="shared" ref="AY11:AY13" si="34">(AM11/AC11)*100</f>
        <v>17.2373081463991</v>
      </c>
      <c r="AZ11" s="248" t="str">
        <f t="shared" ref="AZ11:AZ13" si="35">IF(AT11&gt;(AV11+AX11),"HINDU","MINORITY")</f>
        <v>HINDU</v>
      </c>
      <c r="BA11" s="318" t="str">
        <f t="shared" ref="BA11:BA13" si="36">IF(AU11&gt;(AW11+AY11),"HIND","MINORITY")</f>
        <v>HIND</v>
      </c>
    </row>
    <row r="12" spans="2:53">
      <c r="B12" s="337">
        <v>31</v>
      </c>
      <c r="C12" s="337">
        <v>1483</v>
      </c>
      <c r="D12" s="337">
        <v>260</v>
      </c>
      <c r="E12" s="337">
        <v>801</v>
      </c>
      <c r="F12" s="337">
        <v>6</v>
      </c>
      <c r="G12" s="337">
        <v>6</v>
      </c>
      <c r="H12" s="337">
        <v>1</v>
      </c>
      <c r="I12" s="337">
        <v>1</v>
      </c>
      <c r="J12" s="337">
        <v>2</v>
      </c>
      <c r="K12" s="337">
        <v>1</v>
      </c>
      <c r="L12" s="337">
        <v>1078</v>
      </c>
      <c r="M12" s="337">
        <v>0</v>
      </c>
      <c r="N12" s="337">
        <v>8</v>
      </c>
      <c r="O12" s="337">
        <f t="shared" si="0"/>
        <v>1086</v>
      </c>
      <c r="P12" s="337">
        <f t="shared" si="1"/>
        <v>73.229939312205</v>
      </c>
      <c r="Q12" s="337">
        <f t="shared" si="2"/>
        <v>73.7569060773481</v>
      </c>
      <c r="R12" s="337">
        <f t="shared" si="3"/>
        <v>23.9410681399632</v>
      </c>
      <c r="S12" s="337">
        <f t="shared" si="4"/>
        <v>0.552486187845304</v>
      </c>
      <c r="T12" s="337">
        <f t="shared" si="5"/>
        <v>0.552486187845304</v>
      </c>
      <c r="U12" s="337">
        <f t="shared" si="6"/>
        <v>0.460405156537753</v>
      </c>
      <c r="V12" s="337">
        <f t="shared" si="7"/>
        <v>0.736648250460405</v>
      </c>
      <c r="W12" s="337">
        <f t="shared" si="8"/>
        <v>49.8158379373849</v>
      </c>
      <c r="X12" s="337">
        <f t="shared" si="9"/>
        <v>48.2504604051565</v>
      </c>
      <c r="Y12" s="337" t="str">
        <f t="shared" si="10"/>
        <v>STRONG</v>
      </c>
      <c r="Z12" s="285" t="str">
        <f t="shared" si="11"/>
        <v>STRONG</v>
      </c>
      <c r="AA12" s="289" t="str">
        <f t="shared" si="22"/>
        <v>BJP</v>
      </c>
      <c r="AB12">
        <v>1478</v>
      </c>
      <c r="AC12">
        <v>1049</v>
      </c>
      <c r="AD12">
        <v>704</v>
      </c>
      <c r="AE12">
        <v>502</v>
      </c>
      <c r="AF12">
        <v>774</v>
      </c>
      <c r="AG12">
        <v>547</v>
      </c>
      <c r="AH12">
        <v>1330</v>
      </c>
      <c r="AI12">
        <v>956</v>
      </c>
      <c r="AJ12">
        <v>14</v>
      </c>
      <c r="AK12">
        <v>10</v>
      </c>
      <c r="AL12">
        <v>134</v>
      </c>
      <c r="AM12">
        <v>83</v>
      </c>
      <c r="AN12" s="248">
        <f t="shared" si="23"/>
        <v>47.6319350473613</v>
      </c>
      <c r="AO12" s="316">
        <f t="shared" si="24"/>
        <v>47.8551000953289</v>
      </c>
      <c r="AP12" s="317">
        <f t="shared" si="25"/>
        <v>52.3680649526387</v>
      </c>
      <c r="AQ12" s="318">
        <f t="shared" si="26"/>
        <v>52.1448999046711</v>
      </c>
      <c r="AR12" s="318" t="str">
        <f t="shared" si="27"/>
        <v>FEMALE DOM</v>
      </c>
      <c r="AS12" s="319" t="str">
        <f t="shared" si="28"/>
        <v>FEMALE</v>
      </c>
      <c r="AT12" s="317">
        <f t="shared" si="29"/>
        <v>89.9864682002706</v>
      </c>
      <c r="AU12" s="317">
        <f t="shared" si="30"/>
        <v>91.1344137273594</v>
      </c>
      <c r="AV12" s="248">
        <f t="shared" si="31"/>
        <v>0.94722598105548</v>
      </c>
      <c r="AW12" s="317">
        <f t="shared" si="32"/>
        <v>0.953288846520496</v>
      </c>
      <c r="AX12" s="248">
        <f t="shared" si="33"/>
        <v>9.06630581867388</v>
      </c>
      <c r="AY12" s="317">
        <f t="shared" si="34"/>
        <v>7.91229742612011</v>
      </c>
      <c r="AZ12" s="248" t="str">
        <f t="shared" si="35"/>
        <v>HINDU</v>
      </c>
      <c r="BA12" s="318" t="str">
        <f t="shared" si="36"/>
        <v>HIND</v>
      </c>
    </row>
    <row r="13" spans="2:53">
      <c r="B13" s="337">
        <v>55</v>
      </c>
      <c r="C13" s="337">
        <v>939</v>
      </c>
      <c r="D13" s="337">
        <v>158</v>
      </c>
      <c r="E13" s="337">
        <v>427</v>
      </c>
      <c r="F13" s="337">
        <v>3</v>
      </c>
      <c r="G13" s="337">
        <v>0</v>
      </c>
      <c r="H13" s="337">
        <v>0</v>
      </c>
      <c r="I13" s="337">
        <v>0</v>
      </c>
      <c r="J13" s="337">
        <v>0</v>
      </c>
      <c r="K13" s="337">
        <v>1</v>
      </c>
      <c r="L13" s="337">
        <v>589</v>
      </c>
      <c r="M13" s="337">
        <v>0</v>
      </c>
      <c r="N13" s="337">
        <v>5</v>
      </c>
      <c r="O13" s="337">
        <f t="shared" si="0"/>
        <v>594</v>
      </c>
      <c r="P13" s="337">
        <f t="shared" si="1"/>
        <v>63.258785942492</v>
      </c>
      <c r="Q13" s="337">
        <f t="shared" si="2"/>
        <v>71.8855218855219</v>
      </c>
      <c r="R13" s="337">
        <f t="shared" si="3"/>
        <v>26.5993265993266</v>
      </c>
      <c r="S13" s="337">
        <f t="shared" si="4"/>
        <v>0.505050505050505</v>
      </c>
      <c r="T13" s="337">
        <f t="shared" si="5"/>
        <v>0</v>
      </c>
      <c r="U13" s="337">
        <f t="shared" si="6"/>
        <v>0.168350168350168</v>
      </c>
      <c r="V13" s="337">
        <f t="shared" si="7"/>
        <v>0.841750841750842</v>
      </c>
      <c r="W13" s="337">
        <f t="shared" si="8"/>
        <v>45.2861952861953</v>
      </c>
      <c r="X13" s="337">
        <f t="shared" si="9"/>
        <v>44.6127946127946</v>
      </c>
      <c r="Y13" s="337" t="str">
        <f t="shared" si="10"/>
        <v>STRONG</v>
      </c>
      <c r="Z13" s="285" t="str">
        <f t="shared" si="11"/>
        <v>STRONG</v>
      </c>
      <c r="AA13" s="289" t="str">
        <f t="shared" si="22"/>
        <v>BJP</v>
      </c>
      <c r="AB13">
        <v>933</v>
      </c>
      <c r="AD13">
        <v>464</v>
      </c>
      <c r="AF13">
        <v>469</v>
      </c>
      <c r="AH13">
        <v>753</v>
      </c>
      <c r="AJ13">
        <v>37</v>
      </c>
      <c r="AL13">
        <v>143</v>
      </c>
      <c r="AN13" s="248">
        <f t="shared" si="23"/>
        <v>49.7320471596999</v>
      </c>
      <c r="AO13" s="316" t="e">
        <f t="shared" si="24"/>
        <v>#DIV/0!</v>
      </c>
      <c r="AP13" s="317">
        <f t="shared" si="25"/>
        <v>50.2679528403001</v>
      </c>
      <c r="AQ13" s="318" t="e">
        <f t="shared" si="26"/>
        <v>#DIV/0!</v>
      </c>
      <c r="AR13" s="318" t="str">
        <f t="shared" si="27"/>
        <v>FEMALE DOM</v>
      </c>
      <c r="AS13" s="319" t="e">
        <f t="shared" si="28"/>
        <v>#DIV/0!</v>
      </c>
      <c r="AT13" s="317">
        <f t="shared" si="29"/>
        <v>80.7073954983923</v>
      </c>
      <c r="AU13" s="317" t="e">
        <f t="shared" si="30"/>
        <v>#DIV/0!</v>
      </c>
      <c r="AV13" s="248">
        <f t="shared" si="31"/>
        <v>3.96570203644159</v>
      </c>
      <c r="AW13" s="317" t="e">
        <f t="shared" si="32"/>
        <v>#DIV/0!</v>
      </c>
      <c r="AX13" s="248">
        <f t="shared" si="33"/>
        <v>15.3269024651661</v>
      </c>
      <c r="AY13" s="317" t="e">
        <f t="shared" si="34"/>
        <v>#DIV/0!</v>
      </c>
      <c r="AZ13" s="248" t="str">
        <f t="shared" si="35"/>
        <v>HINDU</v>
      </c>
      <c r="BA13" s="318" t="e">
        <f t="shared" si="36"/>
        <v>#DIV/0!</v>
      </c>
    </row>
    <row r="14" spans="2:27">
      <c r="B14" s="334"/>
      <c r="C14" s="337">
        <f t="shared" ref="C14:O14" si="37">SUM(C7:C13)</f>
        <v>7450</v>
      </c>
      <c r="D14" s="337">
        <f t="shared" si="37"/>
        <v>1496</v>
      </c>
      <c r="E14" s="337">
        <f t="shared" si="37"/>
        <v>3668</v>
      </c>
      <c r="F14" s="337">
        <f t="shared" si="37"/>
        <v>23</v>
      </c>
      <c r="G14" s="337">
        <f t="shared" si="37"/>
        <v>15</v>
      </c>
      <c r="H14" s="337">
        <f t="shared" si="37"/>
        <v>3</v>
      </c>
      <c r="I14" s="337">
        <f t="shared" si="37"/>
        <v>4</v>
      </c>
      <c r="J14" s="337">
        <f t="shared" si="37"/>
        <v>9</v>
      </c>
      <c r="K14" s="337">
        <f t="shared" si="37"/>
        <v>6</v>
      </c>
      <c r="L14" s="337">
        <f t="shared" si="37"/>
        <v>5224</v>
      </c>
      <c r="M14" s="337">
        <f t="shared" si="37"/>
        <v>0</v>
      </c>
      <c r="N14" s="337">
        <f t="shared" si="37"/>
        <v>44</v>
      </c>
      <c r="O14" s="337">
        <f t="shared" si="37"/>
        <v>5268</v>
      </c>
      <c r="P14" s="337">
        <f>AVERAGE(P7:P13)</f>
        <v>70.943925094262</v>
      </c>
      <c r="Q14" s="337">
        <f>AVERAGE(Q7:Q13)</f>
        <v>69.7960810482962</v>
      </c>
      <c r="R14" s="337">
        <f>AVERAGE(R7:R13)</f>
        <v>28.2648482582952</v>
      </c>
      <c r="S14" s="337">
        <f>AVERAGE(S7:S13)</f>
        <v>0.445904249515836</v>
      </c>
      <c r="T14" s="337">
        <f>SUM(T7:T13)</f>
        <v>1.81203304216236</v>
      </c>
      <c r="U14" s="337">
        <f>AVERAGE(U7:U13)</f>
        <v>0.391858581358594</v>
      </c>
      <c r="V14" s="337">
        <f>AVERAGE(V7:V13)</f>
        <v>0.842445999368122</v>
      </c>
      <c r="W14" s="337">
        <f>AVERAGE(W7:W13)</f>
        <v>41.5312327900011</v>
      </c>
      <c r="X14" s="337">
        <f>AVERAGE(X7:X13)</f>
        <v>40.4346080959606</v>
      </c>
      <c r="Y14" s="337" t="str">
        <f t="shared" si="10"/>
        <v>STRONG</v>
      </c>
      <c r="Z14" s="285" t="str">
        <f t="shared" si="11"/>
        <v>STRONG</v>
      </c>
      <c r="AA14" s="289" t="str">
        <f t="shared" si="22"/>
        <v>BJP</v>
      </c>
    </row>
    <row r="16" spans="7:24">
      <c r="G16" s="225" t="s">
        <v>205</v>
      </c>
      <c r="H16" s="237"/>
      <c r="I16" s="237"/>
      <c r="J16" s="238"/>
      <c r="L16" s="225" t="s">
        <v>97</v>
      </c>
      <c r="M16" s="237"/>
      <c r="N16" s="237"/>
      <c r="O16" s="238"/>
      <c r="Q16" s="265" t="s">
        <v>98</v>
      </c>
      <c r="R16" s="265"/>
      <c r="S16" s="265"/>
      <c r="T16" s="265"/>
      <c r="U16" s="265"/>
      <c r="V16" s="265"/>
      <c r="W16" s="265"/>
      <c r="X16" s="265"/>
    </row>
    <row r="17" spans="7:24">
      <c r="G17" s="226"/>
      <c r="H17" s="239"/>
      <c r="I17" s="239"/>
      <c r="J17" s="240"/>
      <c r="L17" s="241"/>
      <c r="M17" s="242"/>
      <c r="N17" s="242"/>
      <c r="O17" s="243"/>
      <c r="Q17" s="265"/>
      <c r="R17" s="265"/>
      <c r="S17" s="265"/>
      <c r="T17" s="265"/>
      <c r="U17" s="265"/>
      <c r="V17" s="265"/>
      <c r="W17" s="265"/>
      <c r="X17" s="265"/>
    </row>
    <row r="18" spans="7:24">
      <c r="G18" s="227" t="s">
        <v>99</v>
      </c>
      <c r="H18" s="244"/>
      <c r="I18" s="245"/>
      <c r="J18" s="245">
        <f>COUNTIF(AA7:AA13,"BJP")</f>
        <v>7</v>
      </c>
      <c r="L18" s="246" t="s">
        <v>100</v>
      </c>
      <c r="M18" s="247"/>
      <c r="N18" s="247"/>
      <c r="O18" s="248">
        <f>COUNTIF(Y7:Y13,"NARROW")</f>
        <v>0</v>
      </c>
      <c r="Q18" s="265" t="s">
        <v>101</v>
      </c>
      <c r="R18" s="265"/>
      <c r="S18" s="265"/>
      <c r="T18" s="265">
        <f>'PADAV WEST-18'!E8</f>
        <v>65.3510122381112</v>
      </c>
      <c r="U18" s="265" t="s">
        <v>102</v>
      </c>
      <c r="V18" s="265"/>
      <c r="W18" s="265"/>
      <c r="X18" s="265">
        <f>Q14</f>
        <v>69.7960810482962</v>
      </c>
    </row>
    <row r="19" spans="7:24">
      <c r="G19" s="227"/>
      <c r="H19" s="244"/>
      <c r="I19" s="245"/>
      <c r="J19" s="245"/>
      <c r="L19" s="249"/>
      <c r="M19" s="250"/>
      <c r="N19" s="250"/>
      <c r="O19" s="251"/>
      <c r="Q19" s="265"/>
      <c r="R19" s="265"/>
      <c r="S19" s="265"/>
      <c r="T19" s="265"/>
      <c r="U19" s="265"/>
      <c r="V19" s="265"/>
      <c r="W19" s="265"/>
      <c r="X19" s="265"/>
    </row>
    <row r="20" spans="7:24">
      <c r="G20" s="227"/>
      <c r="H20" s="244"/>
      <c r="I20" s="245"/>
      <c r="J20" s="245"/>
      <c r="L20" s="252" t="s">
        <v>103</v>
      </c>
      <c r="M20" s="253"/>
      <c r="N20" s="253"/>
      <c r="O20" s="248">
        <f>COUNTIF(Y7:Y13,"MEDIUM")</f>
        <v>4</v>
      </c>
      <c r="Q20" s="265" t="s">
        <v>104</v>
      </c>
      <c r="R20" s="265"/>
      <c r="S20" s="265"/>
      <c r="T20" s="265">
        <f>'PADAV WEST-18'!G8</f>
        <v>30.1043026077644</v>
      </c>
      <c r="U20" s="265" t="s">
        <v>105</v>
      </c>
      <c r="V20" s="265"/>
      <c r="W20" s="265"/>
      <c r="X20" s="265">
        <f>R14</f>
        <v>28.2648482582952</v>
      </c>
    </row>
    <row r="21" spans="7:24">
      <c r="G21" s="228" t="s">
        <v>106</v>
      </c>
      <c r="H21" s="254"/>
      <c r="I21" s="255"/>
      <c r="J21" s="255">
        <f>COUNTIF(AA7:AA13,"CONGRESS")</f>
        <v>0</v>
      </c>
      <c r="L21" s="252"/>
      <c r="M21" s="253"/>
      <c r="N21" s="253"/>
      <c r="O21" s="251"/>
      <c r="Q21" s="265"/>
      <c r="R21" s="265"/>
      <c r="S21" s="265"/>
      <c r="T21" s="265"/>
      <c r="U21" s="265"/>
      <c r="V21" s="265"/>
      <c r="W21" s="265"/>
      <c r="X21" s="265"/>
    </row>
    <row r="22" spans="7:24">
      <c r="G22" s="229"/>
      <c r="H22" s="256"/>
      <c r="I22" s="257"/>
      <c r="J22" s="257"/>
      <c r="L22" s="258" t="s">
        <v>107</v>
      </c>
      <c r="M22" s="259"/>
      <c r="N22" s="259"/>
      <c r="O22" s="248">
        <f>COUNTIF(Y7:Y13,"STRONG")</f>
        <v>3</v>
      </c>
      <c r="Q22" s="265" t="s">
        <v>108</v>
      </c>
      <c r="R22" s="265"/>
      <c r="S22" s="265"/>
      <c r="T22" s="265">
        <f>'PADAV WEST-18'!C8</f>
        <v>5334</v>
      </c>
      <c r="U22" s="265" t="s">
        <v>109</v>
      </c>
      <c r="V22" s="265"/>
      <c r="W22" s="265"/>
      <c r="X22" s="265">
        <f>O14</f>
        <v>5268</v>
      </c>
    </row>
    <row r="23" spans="7:24">
      <c r="G23" s="230"/>
      <c r="H23" s="260"/>
      <c r="I23" s="261"/>
      <c r="J23" s="261"/>
      <c r="L23" s="262"/>
      <c r="M23" s="263"/>
      <c r="N23" s="263"/>
      <c r="O23" s="251"/>
      <c r="Q23" s="265"/>
      <c r="R23" s="265"/>
      <c r="S23" s="265"/>
      <c r="T23" s="265"/>
      <c r="U23" s="265"/>
      <c r="V23" s="265"/>
      <c r="W23" s="265"/>
      <c r="X23" s="265"/>
    </row>
    <row r="24" spans="12:24">
      <c r="L24" s="229" t="s">
        <v>110</v>
      </c>
      <c r="M24" s="256"/>
      <c r="N24" s="256"/>
      <c r="O24" s="248">
        <f>COUNTIF(Y7:Y13,"LOST")</f>
        <v>0</v>
      </c>
      <c r="Q24" s="265" t="s">
        <v>111</v>
      </c>
      <c r="R24" s="265"/>
      <c r="S24" s="265"/>
      <c r="T24" s="265">
        <f>T18-T20</f>
        <v>35.2467096303468</v>
      </c>
      <c r="U24" s="265" t="s">
        <v>111</v>
      </c>
      <c r="V24" s="265"/>
      <c r="W24" s="265"/>
      <c r="X24" s="265">
        <f>X18-X20</f>
        <v>41.5312327900011</v>
      </c>
    </row>
    <row r="25" spans="12:24">
      <c r="L25" s="230"/>
      <c r="M25" s="260"/>
      <c r="N25" s="260"/>
      <c r="O25" s="251"/>
      <c r="Q25" s="265"/>
      <c r="R25" s="265"/>
      <c r="S25" s="265"/>
      <c r="T25" s="265"/>
      <c r="U25" s="265"/>
      <c r="V25" s="265"/>
      <c r="W25" s="265"/>
      <c r="X25" s="265"/>
    </row>
    <row r="26" spans="17:23">
      <c r="Q26" s="265" t="s">
        <v>112</v>
      </c>
      <c r="R26" s="265"/>
      <c r="S26" s="265"/>
      <c r="T26" s="265">
        <f>X18-T18</f>
        <v>4.44506881018508</v>
      </c>
      <c r="U26" s="265"/>
      <c r="V26" s="265"/>
      <c r="W26" s="265"/>
    </row>
    <row r="27" spans="17:23">
      <c r="Q27" s="265"/>
      <c r="R27" s="265"/>
      <c r="S27" s="265"/>
      <c r="T27" s="265"/>
      <c r="U27" s="265"/>
      <c r="V27" s="265"/>
      <c r="W27" s="265"/>
    </row>
    <row r="28" spans="17:23">
      <c r="Q28" s="265" t="s">
        <v>113</v>
      </c>
      <c r="R28" s="265"/>
      <c r="S28" s="265"/>
      <c r="T28" s="265">
        <f>X20-T20</f>
        <v>-1.83945434946924</v>
      </c>
      <c r="U28" s="265"/>
      <c r="V28" s="265"/>
      <c r="W28" s="265"/>
    </row>
    <row r="29" spans="17:23">
      <c r="Q29" s="265"/>
      <c r="R29" s="265"/>
      <c r="S29" s="265"/>
      <c r="T29" s="265"/>
      <c r="U29" s="265"/>
      <c r="V29" s="265"/>
      <c r="W29" s="265"/>
    </row>
    <row r="30" spans="17:23">
      <c r="Q30" s="265" t="s">
        <v>114</v>
      </c>
      <c r="R30" s="265"/>
      <c r="S30" s="265"/>
      <c r="T30" s="265" t="str">
        <f>IF(T26&gt;T28,"INCREASE","DECREASE")</f>
        <v>INCREASE</v>
      </c>
      <c r="U30" s="265"/>
      <c r="V30" s="265"/>
      <c r="W30" s="265"/>
    </row>
    <row r="31" spans="17:23">
      <c r="Q31" s="265"/>
      <c r="R31" s="265"/>
      <c r="S31" s="265"/>
      <c r="T31" s="265"/>
      <c r="U31" s="265"/>
      <c r="V31" s="265"/>
      <c r="W31" s="265"/>
    </row>
    <row r="32" spans="17:24">
      <c r="Q32" s="265">
        <v>0</v>
      </c>
      <c r="R32" s="265"/>
      <c r="S32" s="265"/>
      <c r="T32" s="265"/>
      <c r="U32" s="265"/>
      <c r="V32" s="265"/>
      <c r="W32" s="265"/>
      <c r="X32" s="265"/>
    </row>
    <row r="33" spans="17:24">
      <c r="Q33" s="265"/>
      <c r="R33" s="265"/>
      <c r="S33" s="265"/>
      <c r="T33" s="265"/>
      <c r="U33" s="265"/>
      <c r="V33" s="265"/>
      <c r="W33" s="265"/>
      <c r="X33" s="265"/>
    </row>
    <row r="34" spans="17:24">
      <c r="Q34" s="265"/>
      <c r="R34" s="265"/>
      <c r="S34" s="265"/>
      <c r="T34" s="265"/>
      <c r="U34" s="265"/>
      <c r="V34" s="265"/>
      <c r="W34" s="265"/>
      <c r="X34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J18:J20"/>
    <mergeCell ref="J21:J23"/>
    <mergeCell ref="K3:K6"/>
    <mergeCell ref="L1:L6"/>
    <mergeCell ref="M1:M6"/>
    <mergeCell ref="N1:N6"/>
    <mergeCell ref="O1:O6"/>
    <mergeCell ref="O18:O19"/>
    <mergeCell ref="O20:O21"/>
    <mergeCell ref="O22:O23"/>
    <mergeCell ref="O24:O25"/>
    <mergeCell ref="P1:P6"/>
    <mergeCell ref="Q1:Q6"/>
    <mergeCell ref="R1:R6"/>
    <mergeCell ref="S1:S6"/>
    <mergeCell ref="T1:T6"/>
    <mergeCell ref="T18:T19"/>
    <mergeCell ref="T20:T21"/>
    <mergeCell ref="T22:T23"/>
    <mergeCell ref="T24:T25"/>
    <mergeCell ref="U1:U6"/>
    <mergeCell ref="V1:V6"/>
    <mergeCell ref="W1:W6"/>
    <mergeCell ref="X1:X6"/>
    <mergeCell ref="X18:X19"/>
    <mergeCell ref="X20:X21"/>
    <mergeCell ref="X22:X23"/>
    <mergeCell ref="X24:X25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L24:N25"/>
    <mergeCell ref="U24:W25"/>
    <mergeCell ref="G16:J17"/>
    <mergeCell ref="L16:O17"/>
    <mergeCell ref="G18:I20"/>
    <mergeCell ref="L18:N19"/>
    <mergeCell ref="U18:W19"/>
    <mergeCell ref="L20:N21"/>
    <mergeCell ref="U20:W21"/>
    <mergeCell ref="G21:I23"/>
    <mergeCell ref="L22:N23"/>
    <mergeCell ref="U22:W23"/>
    <mergeCell ref="D1:K2"/>
    <mergeCell ref="Q16:X17"/>
    <mergeCell ref="Q18:S19"/>
    <mergeCell ref="Q20:S21"/>
    <mergeCell ref="Q22:S23"/>
    <mergeCell ref="Q24:S25"/>
    <mergeCell ref="Q26:S27"/>
    <mergeCell ref="T26:W27"/>
    <mergeCell ref="Q32:X34"/>
    <mergeCell ref="Q28:S29"/>
    <mergeCell ref="T28:W29"/>
    <mergeCell ref="Q30:S31"/>
    <mergeCell ref="T30:U31"/>
    <mergeCell ref="V30:W31"/>
  </mergeCells>
  <conditionalFormatting sqref="AR7:AR13">
    <cfRule type="containsText" dxfId="6" priority="1" operator="between" text="FEMALE DOM">
      <formula>NOT(ISERROR(SEARCH("FEMALE DOM",AR7)))</formula>
    </cfRule>
  </conditionalFormatting>
  <conditionalFormatting sqref="AZ7:AZ13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3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workbookViewId="0">
      <selection activeCell="A1" sqref="A1:AJ1"/>
    </sheetView>
  </sheetViews>
  <sheetFormatPr defaultColWidth="9" defaultRowHeight="14.5" outlineLevelRow="7"/>
  <cols>
    <col min="1" max="1" width="14.8545454545455" customWidth="1"/>
  </cols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28</v>
      </c>
      <c r="B2" s="185" t="s">
        <v>347</v>
      </c>
      <c r="C2" s="184">
        <v>1092</v>
      </c>
      <c r="D2" s="184">
        <v>757</v>
      </c>
      <c r="E2" s="184">
        <f t="shared" ref="E2:E7" si="0">(D2/C2)*100</f>
        <v>69.3223443223443</v>
      </c>
      <c r="F2" s="184">
        <v>274</v>
      </c>
      <c r="G2" s="184">
        <f t="shared" ref="G2:G7" si="1">(F2/C2)*100</f>
        <v>25.0915750915751</v>
      </c>
      <c r="H2" s="184">
        <v>9</v>
      </c>
      <c r="I2" s="184">
        <f t="shared" ref="I2:I7" si="2">(H2/C2)*100</f>
        <v>0.824175824175824</v>
      </c>
      <c r="J2" s="184">
        <v>10</v>
      </c>
      <c r="K2" s="184">
        <f t="shared" ref="K2:K7" si="3">(J2/C2)*100</f>
        <v>0.915750915750916</v>
      </c>
      <c r="L2" s="189">
        <v>665</v>
      </c>
      <c r="M2" s="189">
        <v>728</v>
      </c>
      <c r="N2" s="189">
        <f t="shared" ref="N2:N7" si="4">L2+M2</f>
        <v>1393</v>
      </c>
      <c r="O2" s="184">
        <v>1092</v>
      </c>
      <c r="P2" s="190">
        <f t="shared" ref="P2:P7" si="5">O2/N2*100</f>
        <v>78.391959798995</v>
      </c>
      <c r="Q2" s="184">
        <v>1257</v>
      </c>
      <c r="R2" s="184">
        <f t="shared" ref="R2:R7" si="6">(Q2/N2)*100</f>
        <v>90.2368987796123</v>
      </c>
      <c r="S2" s="184">
        <f t="shared" ref="S2:S7" si="7">Q2-U2</f>
        <v>268</v>
      </c>
      <c r="T2" s="184">
        <f t="shared" ref="T2:T7" si="8">(S2/Q2)*100</f>
        <v>21.3206046141607</v>
      </c>
      <c r="U2" s="184">
        <v>989</v>
      </c>
      <c r="V2" s="191">
        <f t="shared" ref="V2:V7" si="9">IFERROR(U2/Q2*100,0)</f>
        <v>78.6793953858393</v>
      </c>
      <c r="W2" s="184">
        <v>136</v>
      </c>
      <c r="X2" s="184">
        <f t="shared" ref="X2:X7" si="10">100-R2</f>
        <v>9.76310122038765</v>
      </c>
      <c r="Y2" s="196">
        <f t="shared" ref="Y2:Y7" si="11">W2-AA2</f>
        <v>40</v>
      </c>
      <c r="Z2" s="193">
        <f t="shared" ref="Z2:Z7" si="12">(Y2/W2)*100</f>
        <v>29.4117647058824</v>
      </c>
      <c r="AA2" s="193">
        <v>96</v>
      </c>
      <c r="AB2" s="194">
        <f t="shared" ref="AB2:AB7" si="13">IFERROR(AA2/W2*100,0)</f>
        <v>70.5882352941177</v>
      </c>
      <c r="AC2" s="193">
        <v>852</v>
      </c>
      <c r="AD2" s="193" t="str">
        <f t="shared" ref="AD2:AD7" si="14">IF(P2&gt;80,"EXCELLENT",IF(P2&gt;70,"STRONG",IF(P2&gt;60,"AVG",IF(P2&gt;50,"WEAK",IF(P2&lt;50,"VLOW")))))</f>
        <v>STRONG</v>
      </c>
      <c r="AE2" s="195" t="str">
        <f t="shared" ref="AE2:AE7" si="15">IF(R2&gt;80,"EXCELLENT",IF(R2&gt;70,"STRONG",IF(R2&gt;60,"AVG",IF(R2&gt;50,"WEAK",IF(R2&lt;50,"VLOW")))))</f>
        <v>EXCELLENT</v>
      </c>
      <c r="AF2" s="193" t="str">
        <f t="shared" ref="AF2:AF7" si="16">IF(X2&gt;80,"EXCELLENT",IF(X2&gt;70,"STRONG",IF(X2&gt;60,"AVG",IF(X2&gt;50,"WEAK",IF(X2&lt;50,"VLOW")))))</f>
        <v>VLOW</v>
      </c>
      <c r="AG2" s="193" t="str">
        <f t="shared" ref="AG2:AG7" si="17">IF(M2&gt;L2,"FEMALE DOM","MEN")</f>
        <v>FEMALE DOM</v>
      </c>
      <c r="AH2" s="193" t="str">
        <f t="shared" ref="AH2:AH7" si="18">IF(T2&gt;Z2,"H","O")</f>
        <v>O</v>
      </c>
      <c r="AI2" s="197">
        <f t="shared" ref="AI2:AI8" si="19">E2-G2</f>
        <v>44.2307692307692</v>
      </c>
      <c r="AJ2" s="199" t="str">
        <f t="shared" ref="AJ2:AJ8" si="20">IF(E2&gt;G2,"BJP GAIN","CONGRESSGAIN")</f>
        <v>BJP GAIN</v>
      </c>
    </row>
    <row r="3" spans="1:36">
      <c r="A3" s="184">
        <v>29</v>
      </c>
      <c r="B3" s="185" t="s">
        <v>348</v>
      </c>
      <c r="C3" s="184">
        <v>1120</v>
      </c>
      <c r="D3" s="184">
        <v>786</v>
      </c>
      <c r="E3" s="184">
        <f t="shared" si="0"/>
        <v>70.1785714285714</v>
      </c>
      <c r="F3" s="184">
        <v>279</v>
      </c>
      <c r="G3" s="184">
        <f t="shared" si="1"/>
        <v>24.9107142857143</v>
      </c>
      <c r="H3" s="184">
        <v>3</v>
      </c>
      <c r="I3" s="184">
        <f t="shared" si="2"/>
        <v>0.267857142857143</v>
      </c>
      <c r="J3" s="184">
        <v>25</v>
      </c>
      <c r="K3" s="184">
        <f t="shared" si="3"/>
        <v>2.23214285714286</v>
      </c>
      <c r="L3" s="189">
        <v>689</v>
      </c>
      <c r="M3" s="189">
        <v>778</v>
      </c>
      <c r="N3" s="189">
        <f t="shared" si="4"/>
        <v>1467</v>
      </c>
      <c r="O3" s="184">
        <v>1120</v>
      </c>
      <c r="P3" s="190">
        <f t="shared" si="5"/>
        <v>76.346284935242</v>
      </c>
      <c r="Q3" s="184">
        <v>1275</v>
      </c>
      <c r="R3" s="184">
        <f t="shared" si="6"/>
        <v>86.9120654396728</v>
      </c>
      <c r="S3" s="184">
        <f t="shared" si="7"/>
        <v>520</v>
      </c>
      <c r="T3" s="184">
        <f t="shared" si="8"/>
        <v>40.7843137254902</v>
      </c>
      <c r="U3" s="184">
        <v>755</v>
      </c>
      <c r="V3" s="191">
        <f t="shared" si="9"/>
        <v>59.2156862745098</v>
      </c>
      <c r="W3" s="184">
        <v>169</v>
      </c>
      <c r="X3" s="184">
        <f t="shared" si="10"/>
        <v>13.0879345603272</v>
      </c>
      <c r="Y3" s="184">
        <f t="shared" si="11"/>
        <v>72</v>
      </c>
      <c r="Z3" s="193">
        <f t="shared" si="12"/>
        <v>42.603550295858</v>
      </c>
      <c r="AA3" s="193">
        <v>97</v>
      </c>
      <c r="AB3" s="194">
        <f t="shared" si="13"/>
        <v>57.396449704142</v>
      </c>
      <c r="AC3" s="193">
        <f t="shared" ref="AC3:AC7" si="21">U3+AA3</f>
        <v>852</v>
      </c>
      <c r="AD3" s="193" t="str">
        <f t="shared" si="14"/>
        <v>STRONG</v>
      </c>
      <c r="AE3" s="195" t="str">
        <f t="shared" si="15"/>
        <v>EXCELLENT</v>
      </c>
      <c r="AF3" s="193" t="str">
        <f t="shared" si="16"/>
        <v>VLOW</v>
      </c>
      <c r="AG3" s="193" t="str">
        <f t="shared" si="17"/>
        <v>FEMALE DOM</v>
      </c>
      <c r="AH3" s="193" t="str">
        <f t="shared" si="18"/>
        <v>O</v>
      </c>
      <c r="AI3" s="197">
        <f t="shared" si="19"/>
        <v>45.2678571428571</v>
      </c>
      <c r="AJ3" s="199" t="str">
        <f t="shared" si="20"/>
        <v>BJP GAIN</v>
      </c>
    </row>
    <row r="4" spans="1:36">
      <c r="A4" s="184">
        <v>48</v>
      </c>
      <c r="B4" s="185" t="s">
        <v>349</v>
      </c>
      <c r="C4" s="184">
        <v>855</v>
      </c>
      <c r="D4" s="184">
        <v>512</v>
      </c>
      <c r="E4" s="184">
        <f t="shared" si="0"/>
        <v>59.8830409356725</v>
      </c>
      <c r="F4" s="184">
        <v>295</v>
      </c>
      <c r="G4" s="184">
        <f t="shared" si="1"/>
        <v>34.5029239766082</v>
      </c>
      <c r="H4" s="184">
        <v>1</v>
      </c>
      <c r="I4" s="184">
        <f t="shared" si="2"/>
        <v>0.116959064327485</v>
      </c>
      <c r="J4" s="184">
        <v>19</v>
      </c>
      <c r="K4" s="184">
        <f t="shared" si="3"/>
        <v>2.22222222222222</v>
      </c>
      <c r="L4" s="189">
        <v>563</v>
      </c>
      <c r="M4" s="189">
        <v>669</v>
      </c>
      <c r="N4" s="189">
        <f t="shared" si="4"/>
        <v>1232</v>
      </c>
      <c r="O4" s="184">
        <v>855</v>
      </c>
      <c r="P4" s="190">
        <f t="shared" si="5"/>
        <v>69.3993506493506</v>
      </c>
      <c r="Q4" s="184">
        <v>961</v>
      </c>
      <c r="R4" s="184">
        <f t="shared" si="6"/>
        <v>78.0032467532468</v>
      </c>
      <c r="S4" s="184">
        <f t="shared" si="7"/>
        <v>276</v>
      </c>
      <c r="T4" s="184">
        <f t="shared" si="8"/>
        <v>28.7200832466181</v>
      </c>
      <c r="U4" s="184">
        <v>685</v>
      </c>
      <c r="V4" s="191">
        <f t="shared" si="9"/>
        <v>71.2799167533819</v>
      </c>
      <c r="W4" s="184">
        <v>271</v>
      </c>
      <c r="X4" s="184">
        <f t="shared" si="10"/>
        <v>21.9967532467532</v>
      </c>
      <c r="Y4" s="184">
        <f t="shared" si="11"/>
        <v>93</v>
      </c>
      <c r="Z4" s="193">
        <f t="shared" si="12"/>
        <v>34.3173431734317</v>
      </c>
      <c r="AA4" s="193">
        <v>178</v>
      </c>
      <c r="AB4" s="194">
        <f t="shared" si="13"/>
        <v>65.6826568265683</v>
      </c>
      <c r="AC4" s="193">
        <f t="shared" si="21"/>
        <v>863</v>
      </c>
      <c r="AD4" s="193" t="str">
        <f t="shared" si="14"/>
        <v>AVG</v>
      </c>
      <c r="AE4" s="195" t="str">
        <f t="shared" si="15"/>
        <v>STRONG</v>
      </c>
      <c r="AF4" s="193" t="str">
        <f t="shared" si="16"/>
        <v>VLOW</v>
      </c>
      <c r="AG4" s="193" t="str">
        <f t="shared" si="17"/>
        <v>FEMALE DOM</v>
      </c>
      <c r="AH4" s="193" t="str">
        <f t="shared" si="18"/>
        <v>O</v>
      </c>
      <c r="AI4" s="197">
        <f t="shared" si="19"/>
        <v>25.3801169590643</v>
      </c>
      <c r="AJ4" s="199" t="str">
        <f t="shared" si="20"/>
        <v>BJP GAIN</v>
      </c>
    </row>
    <row r="5" spans="1:36">
      <c r="A5" s="184">
        <v>49</v>
      </c>
      <c r="B5" s="185" t="s">
        <v>350</v>
      </c>
      <c r="C5" s="184">
        <v>911</v>
      </c>
      <c r="D5" s="184">
        <v>575</v>
      </c>
      <c r="E5" s="184">
        <f t="shared" si="0"/>
        <v>63.1174533479693</v>
      </c>
      <c r="F5" s="184">
        <v>295</v>
      </c>
      <c r="G5" s="184">
        <f t="shared" si="1"/>
        <v>32.3819978046103</v>
      </c>
      <c r="H5" s="184">
        <v>4</v>
      </c>
      <c r="I5" s="184">
        <f t="shared" si="2"/>
        <v>0.439077936333699</v>
      </c>
      <c r="J5" s="184">
        <v>23</v>
      </c>
      <c r="K5" s="184">
        <f t="shared" si="3"/>
        <v>2.52469813391877</v>
      </c>
      <c r="L5" s="189">
        <v>538</v>
      </c>
      <c r="M5" s="189">
        <v>655</v>
      </c>
      <c r="N5" s="189">
        <f t="shared" si="4"/>
        <v>1193</v>
      </c>
      <c r="O5" s="184">
        <v>911</v>
      </c>
      <c r="P5" s="190">
        <f t="shared" si="5"/>
        <v>76.3621123218776</v>
      </c>
      <c r="Q5" s="184">
        <v>962</v>
      </c>
      <c r="R5" s="184">
        <f t="shared" si="6"/>
        <v>80.6370494551551</v>
      </c>
      <c r="S5" s="184">
        <f t="shared" si="7"/>
        <v>222</v>
      </c>
      <c r="T5" s="184">
        <f t="shared" si="8"/>
        <v>23.0769230769231</v>
      </c>
      <c r="U5" s="184">
        <v>740</v>
      </c>
      <c r="V5" s="191">
        <f t="shared" si="9"/>
        <v>76.9230769230769</v>
      </c>
      <c r="W5" s="184">
        <v>229</v>
      </c>
      <c r="X5" s="184">
        <f t="shared" si="10"/>
        <v>19.3629505448449</v>
      </c>
      <c r="Y5" s="196">
        <f t="shared" si="11"/>
        <v>67</v>
      </c>
      <c r="Z5" s="193">
        <f t="shared" si="12"/>
        <v>29.2576419213974</v>
      </c>
      <c r="AA5" s="193">
        <v>162</v>
      </c>
      <c r="AB5" s="194">
        <f t="shared" si="13"/>
        <v>70.7423580786026</v>
      </c>
      <c r="AC5" s="193">
        <f t="shared" si="21"/>
        <v>902</v>
      </c>
      <c r="AD5" s="193" t="str">
        <f t="shared" si="14"/>
        <v>STRONG</v>
      </c>
      <c r="AE5" s="195" t="str">
        <f t="shared" si="15"/>
        <v>EXCELLENT</v>
      </c>
      <c r="AF5" s="193" t="str">
        <f t="shared" si="16"/>
        <v>VLOW</v>
      </c>
      <c r="AG5" s="193" t="str">
        <f t="shared" si="17"/>
        <v>FEMALE DOM</v>
      </c>
      <c r="AH5" s="193" t="str">
        <f t="shared" si="18"/>
        <v>O</v>
      </c>
      <c r="AI5" s="197">
        <f t="shared" si="19"/>
        <v>30.7354555433589</v>
      </c>
      <c r="AJ5" s="199" t="str">
        <f t="shared" si="20"/>
        <v>BJP GAIN</v>
      </c>
    </row>
    <row r="6" spans="1:36">
      <c r="A6" s="184">
        <v>50</v>
      </c>
      <c r="B6" s="185" t="s">
        <v>351</v>
      </c>
      <c r="C6" s="184">
        <v>620</v>
      </c>
      <c r="D6" s="184">
        <v>427</v>
      </c>
      <c r="E6" s="184">
        <f t="shared" si="0"/>
        <v>68.8709677419355</v>
      </c>
      <c r="F6" s="184">
        <v>177</v>
      </c>
      <c r="G6" s="184">
        <f t="shared" si="1"/>
        <v>28.5483870967742</v>
      </c>
      <c r="H6" s="184">
        <v>1</v>
      </c>
      <c r="I6" s="184">
        <f t="shared" si="2"/>
        <v>0.161290322580645</v>
      </c>
      <c r="J6" s="184">
        <v>4</v>
      </c>
      <c r="K6" s="184">
        <f t="shared" si="3"/>
        <v>0.645161290322581</v>
      </c>
      <c r="L6" s="189">
        <v>475</v>
      </c>
      <c r="M6" s="189">
        <v>468</v>
      </c>
      <c r="N6" s="189">
        <f t="shared" si="4"/>
        <v>943</v>
      </c>
      <c r="O6" s="184">
        <v>620</v>
      </c>
      <c r="P6" s="190">
        <f t="shared" si="5"/>
        <v>65.7476139978791</v>
      </c>
      <c r="Q6" s="184">
        <v>769</v>
      </c>
      <c r="R6" s="184">
        <f t="shared" si="6"/>
        <v>81.5482502651113</v>
      </c>
      <c r="S6" s="192">
        <f t="shared" si="7"/>
        <v>249</v>
      </c>
      <c r="T6" s="184">
        <f t="shared" si="8"/>
        <v>32.3797139141743</v>
      </c>
      <c r="U6" s="184">
        <v>520</v>
      </c>
      <c r="V6" s="191">
        <f t="shared" si="9"/>
        <v>67.6202860858257</v>
      </c>
      <c r="W6" s="184">
        <v>174</v>
      </c>
      <c r="X6" s="184">
        <f t="shared" si="10"/>
        <v>18.4517497348887</v>
      </c>
      <c r="Y6" s="184">
        <f t="shared" si="11"/>
        <v>74</v>
      </c>
      <c r="Z6" s="193">
        <f t="shared" si="12"/>
        <v>42.5287356321839</v>
      </c>
      <c r="AA6" s="193">
        <v>100</v>
      </c>
      <c r="AB6" s="194">
        <f t="shared" si="13"/>
        <v>57.4712643678161</v>
      </c>
      <c r="AC6" s="193">
        <f t="shared" si="21"/>
        <v>620</v>
      </c>
      <c r="AD6" s="193" t="str">
        <f t="shared" si="14"/>
        <v>AVG</v>
      </c>
      <c r="AE6" s="195" t="str">
        <f t="shared" si="15"/>
        <v>EXCELLENT</v>
      </c>
      <c r="AF6" s="193" t="str">
        <f t="shared" si="16"/>
        <v>VLOW</v>
      </c>
      <c r="AG6" s="193" t="str">
        <f t="shared" si="17"/>
        <v>MEN</v>
      </c>
      <c r="AH6" s="193" t="str">
        <f t="shared" si="18"/>
        <v>O</v>
      </c>
      <c r="AI6" s="197">
        <f t="shared" si="19"/>
        <v>40.3225806451613</v>
      </c>
      <c r="AJ6" s="199" t="str">
        <f t="shared" si="20"/>
        <v>BJP GAIN</v>
      </c>
    </row>
    <row r="7" spans="1:36">
      <c r="A7" s="184">
        <v>51</v>
      </c>
      <c r="B7" s="185" t="s">
        <v>352</v>
      </c>
      <c r="C7" s="184">
        <v>736</v>
      </c>
      <c r="D7" s="184">
        <v>447</v>
      </c>
      <c r="E7" s="184">
        <f t="shared" si="0"/>
        <v>60.7336956521739</v>
      </c>
      <c r="F7" s="184">
        <v>259</v>
      </c>
      <c r="G7" s="184">
        <f t="shared" si="1"/>
        <v>35.1902173913043</v>
      </c>
      <c r="H7" s="184">
        <v>3</v>
      </c>
      <c r="I7" s="184">
        <f t="shared" si="2"/>
        <v>0.407608695652174</v>
      </c>
      <c r="J7" s="184">
        <v>15</v>
      </c>
      <c r="K7" s="184">
        <f t="shared" si="3"/>
        <v>2.03804347826087</v>
      </c>
      <c r="L7" s="189">
        <v>472</v>
      </c>
      <c r="M7" s="189">
        <v>524</v>
      </c>
      <c r="N7" s="189">
        <f t="shared" si="4"/>
        <v>996</v>
      </c>
      <c r="O7" s="184">
        <v>736</v>
      </c>
      <c r="P7" s="190">
        <f t="shared" si="5"/>
        <v>73.8955823293173</v>
      </c>
      <c r="Q7" s="184">
        <v>824</v>
      </c>
      <c r="R7" s="184">
        <f t="shared" si="6"/>
        <v>82.7309236947791</v>
      </c>
      <c r="S7" s="184">
        <f t="shared" si="7"/>
        <v>228</v>
      </c>
      <c r="T7" s="184">
        <f t="shared" si="8"/>
        <v>27.6699029126214</v>
      </c>
      <c r="U7" s="184">
        <v>596</v>
      </c>
      <c r="V7" s="191">
        <f t="shared" si="9"/>
        <v>72.3300970873786</v>
      </c>
      <c r="W7" s="184">
        <f>167+5</f>
        <v>172</v>
      </c>
      <c r="X7" s="184">
        <f t="shared" si="10"/>
        <v>17.2690763052209</v>
      </c>
      <c r="Y7" s="184">
        <f t="shared" si="11"/>
        <v>33</v>
      </c>
      <c r="Z7" s="193">
        <f t="shared" si="12"/>
        <v>19.1860465116279</v>
      </c>
      <c r="AA7" s="193">
        <v>139</v>
      </c>
      <c r="AB7" s="194">
        <f t="shared" si="13"/>
        <v>80.8139534883721</v>
      </c>
      <c r="AC7" s="193">
        <f t="shared" si="21"/>
        <v>735</v>
      </c>
      <c r="AD7" s="193" t="str">
        <f t="shared" si="14"/>
        <v>STRONG</v>
      </c>
      <c r="AE7" s="195" t="str">
        <f t="shared" si="15"/>
        <v>EXCELLENT</v>
      </c>
      <c r="AF7" s="193" t="str">
        <f t="shared" si="16"/>
        <v>VLOW</v>
      </c>
      <c r="AG7" s="193" t="str">
        <f t="shared" si="17"/>
        <v>FEMALE DOM</v>
      </c>
      <c r="AH7" s="193" t="str">
        <f t="shared" si="18"/>
        <v>H</v>
      </c>
      <c r="AI7" s="197">
        <f t="shared" si="19"/>
        <v>25.5434782608696</v>
      </c>
      <c r="AJ7" s="199" t="str">
        <f t="shared" si="20"/>
        <v>BJP GAIN</v>
      </c>
    </row>
    <row r="8" spans="3:36">
      <c r="C8">
        <f>SUM(C2:C7)</f>
        <v>5334</v>
      </c>
      <c r="D8">
        <f>SUM(D2:D7)</f>
        <v>3504</v>
      </c>
      <c r="E8" s="186">
        <f>AVERAGE(E2:E7)</f>
        <v>65.3510122381112</v>
      </c>
      <c r="F8">
        <f>SUM(F2:F7)</f>
        <v>1579</v>
      </c>
      <c r="G8" s="186">
        <f>AVERAGE(G2:G7)</f>
        <v>30.1043026077644</v>
      </c>
      <c r="H8">
        <f>SUM(H2:H7)</f>
        <v>21</v>
      </c>
      <c r="I8" s="186">
        <f>AVERAGE(I2:I7)</f>
        <v>0.369494830987828</v>
      </c>
      <c r="J8">
        <f>SUM(J2:J7)</f>
        <v>96</v>
      </c>
      <c r="K8" s="186">
        <f>AVERAGE(K2:K7)</f>
        <v>1.76300314960304</v>
      </c>
      <c r="AI8" s="329">
        <f t="shared" si="19"/>
        <v>35.2467096303468</v>
      </c>
      <c r="AJ8" s="335" t="str">
        <f t="shared" si="20"/>
        <v>BJP GAIN</v>
      </c>
    </row>
  </sheetData>
  <conditionalFormatting sqref="AD2:AD3">
    <cfRule type="containsText" dxfId="8" priority="30" operator="between" text="AVG">
      <formula>NOT(ISERROR(SEARCH("AVG",AD2)))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NOT(ISERROR(SEARCH("VSTRONG",AD2)))</formula>
    </cfRule>
    <cfRule type="containsText" dxfId="10" priority="20" operator="between" text="AVG">
      <formula>NOT(ISERROR(SEARCH("AVG",AD2)))</formula>
    </cfRule>
  </conditionalFormatting>
  <conditionalFormatting sqref="AD4:AD7">
    <cfRule type="containsText" dxfId="8" priority="15" operator="between" text="AVG">
      <formula>NOT(ISERROR(SEARCH("AVG",AD4)))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NOT(ISERROR(SEARCH("VSTRONG",AD4)))</formula>
    </cfRule>
    <cfRule type="containsText" dxfId="10" priority="5" operator="between" text="AVG">
      <formula>NOT(ISERROR(SEARCH("AVG",AD4)))</formula>
    </cfRule>
  </conditionalFormatting>
  <conditionalFormatting sqref="AE2:AE3">
    <cfRule type="containsText" dxfId="3" priority="24" operator="between" text="STRONG">
      <formula>NOT(ISERROR(SEARCH("STRONG",AE2)))</formula>
    </cfRule>
    <cfRule type="containsText" dxfId="1" priority="22" operator="between" text="VSTRONG">
      <formula>NOT(ISERROR(SEARCH("VSTRONG",AE2)))</formula>
    </cfRule>
  </conditionalFormatting>
  <conditionalFormatting sqref="AE4:AE7">
    <cfRule type="containsText" dxfId="3" priority="9" operator="between" text="STRONG">
      <formula>NOT(ISERROR(SEARCH("STRONG",AE4)))</formula>
    </cfRule>
    <cfRule type="containsText" dxfId="1" priority="7" operator="between" text="VSTRONG">
      <formula>NOT(ISERROR(SEARCH("VSTRONG",AE4)))</formula>
    </cfRule>
  </conditionalFormatting>
  <conditionalFormatting sqref="AF2:AF3">
    <cfRule type="cellIs" dxfId="11" priority="18" operator="equal">
      <formula>"VWEAK"</formula>
    </cfRule>
    <cfRule type="containsText" dxfId="0" priority="17" operator="between" text="VSTRONG">
      <formula>NOT(ISERROR(SEARCH("VSTRONG",AF2)))</formula>
    </cfRule>
  </conditionalFormatting>
  <conditionalFormatting sqref="AF4:AF7">
    <cfRule type="cellIs" dxfId="11" priority="3" operator="equal">
      <formula>"VWEAK"</formula>
    </cfRule>
    <cfRule type="containsText" dxfId="0" priority="2" operator="between" text="VSTRONG">
      <formula>NOT(ISERROR(SEARCH("VSTRONG",AF4)))</formula>
    </cfRule>
  </conditionalFormatting>
  <conditionalFormatting sqref="AG2:AG3">
    <cfRule type="containsText" dxfId="12" priority="21" operator="between" text="FEMALE DOM">
      <formula>NOT(ISERROR(SEARCH("FEMALE DOM",AG2)))</formula>
    </cfRule>
    <cfRule type="containsText" dxfId="10" priority="16" operator="between" text="MEN">
      <formula>NOT(ISERROR(SEARCH("MEN",AG2)))</formula>
    </cfRule>
  </conditionalFormatting>
  <conditionalFormatting sqref="AG4:AG7">
    <cfRule type="containsText" dxfId="12" priority="6" operator="between" text="FEMALE DOM">
      <formula>NOT(ISERROR(SEARCH("FEMALE DOM",AG4)))</formula>
    </cfRule>
    <cfRule type="containsText" dxfId="10" priority="1" operator="between" text="MEN">
      <formula>NOT(ISERROR(SEARCH("MEN",AG4)))</formula>
    </cfRule>
  </conditionalFormatting>
  <conditionalFormatting sqref="AH2:AH3">
    <cfRule type="containsText" dxfId="0" priority="27" operator="between" text="O">
      <formula>NOT(ISERROR(SEARCH("O",AH2)))</formula>
    </cfRule>
    <cfRule type="containsText" dxfId="3" priority="25" operator="between" text="H">
      <formula>NOT(ISERROR(SEARCH("H",AH2)))</formula>
    </cfRule>
    <cfRule type="containsText" dxfId="13" priority="26" operator="between" text="H">
      <formula>NOT(ISERROR(SEARCH("H",AH2)))</formula>
    </cfRule>
    <cfRule type="containsText" dxfId="1" priority="19" operator="between" text="H">
      <formula>NOT(ISERROR(SEARCH("H",AH2)))</formula>
    </cfRule>
  </conditionalFormatting>
  <conditionalFormatting sqref="AH4:AH7">
    <cfRule type="containsText" dxfId="0" priority="12" operator="between" text="O">
      <formula>NOT(ISERROR(SEARCH("O",AH4)))</formula>
    </cfRule>
    <cfRule type="containsText" dxfId="3" priority="10" operator="between" text="H">
      <formula>NOT(ISERROR(SEARCH("H",AH4)))</formula>
    </cfRule>
    <cfRule type="containsText" dxfId="13" priority="11" operator="between" text="H">
      <formula>NOT(ISERROR(SEARCH("H",AH4)))</formula>
    </cfRule>
    <cfRule type="containsText" dxfId="1" priority="4" operator="between" text="H">
      <formula>NOT(ISERROR(SEARCH("H",AH4)))</formula>
    </cfRule>
  </conditionalFormatting>
  <conditionalFormatting sqref="AE2:AF3">
    <cfRule type="containsText" dxfId="2" priority="23" operator="between" text="AVG">
      <formula>NOT(ISERROR(SEARCH("AVG",AE2)))</formula>
    </cfRule>
  </conditionalFormatting>
  <conditionalFormatting sqref="AE4:AF7">
    <cfRule type="containsText" dxfId="2" priority="8" operator="between" text="AVG">
      <formula>NOT(ISERROR(SEARCH("AVG",AE4)))</formula>
    </cfRule>
  </conditionalFormatting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1"/>
  <sheetViews>
    <sheetView zoomScale="82" zoomScaleNormal="82" topLeftCell="AD1" workbookViewId="0">
      <selection activeCell="AD23" sqref="AD23:AG24"/>
    </sheetView>
  </sheetViews>
  <sheetFormatPr defaultColWidth="9" defaultRowHeight="14.5"/>
  <sheetData>
    <row r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215" t="s">
        <v>62</v>
      </c>
      <c r="B7" s="215">
        <v>148</v>
      </c>
      <c r="C7" s="215">
        <v>1134</v>
      </c>
      <c r="D7" s="215">
        <v>637</v>
      </c>
      <c r="E7" s="215">
        <v>128</v>
      </c>
      <c r="F7" s="215">
        <v>4</v>
      </c>
      <c r="G7" s="215">
        <v>4</v>
      </c>
      <c r="H7" s="215">
        <v>0</v>
      </c>
      <c r="I7" s="215">
        <v>0</v>
      </c>
      <c r="J7" s="215">
        <v>0</v>
      </c>
      <c r="K7" s="215">
        <v>0</v>
      </c>
      <c r="L7" s="215">
        <v>773</v>
      </c>
      <c r="M7" s="215">
        <v>0</v>
      </c>
      <c r="N7" s="215">
        <v>2</v>
      </c>
      <c r="O7" s="215">
        <f t="shared" ref="O7:O10" si="0">D7+E7+F7+G7+H7+I7+J7+K7+N7</f>
        <v>775</v>
      </c>
      <c r="P7" s="215">
        <f t="shared" ref="P7:P10" si="1">(O7/C7)*100</f>
        <v>68.342151675485</v>
      </c>
      <c r="Q7" s="215">
        <f t="shared" ref="Q7:Q10" si="2">(E7/O7)*100</f>
        <v>16.5161290322581</v>
      </c>
      <c r="R7" s="215">
        <f t="shared" ref="R7:R10" si="3">(D7/O7)*100</f>
        <v>82.1935483870968</v>
      </c>
      <c r="S7" s="215">
        <f t="shared" ref="S7:S10" si="4">(F7/O7)*100</f>
        <v>0.516129032258065</v>
      </c>
      <c r="T7" s="215">
        <f t="shared" ref="T7:T10" si="5">(G7/O7)*100</f>
        <v>0.516129032258065</v>
      </c>
      <c r="U7" s="215">
        <f t="shared" ref="U7:U10" si="6">((H7+I7+J7+K7)/O7)*100</f>
        <v>0</v>
      </c>
      <c r="V7" s="215">
        <f t="shared" ref="V7:V10" si="7">(N7/O7)*100</f>
        <v>0.258064516129032</v>
      </c>
      <c r="W7" s="215">
        <f>Q7-R7</f>
        <v>-65.6774193548387</v>
      </c>
      <c r="X7" s="215">
        <f>Q7-(R7+S7+T7+U7)</f>
        <v>-66.7096774193548</v>
      </c>
      <c r="Y7" s="215" t="str">
        <f>IF(AND(W7&lt;0,W7&lt;=1),"LOST",IF(AND(W7&gt;1,W7&lt;=10),"NARROW",IF(AND(W7&gt;10,W7&lt;=40),"MEDIUM",IF(AND(W7&gt;40,W7&lt;=90),"STRONG",""))))</f>
        <v>LOST</v>
      </c>
      <c r="Z7" s="283" t="str">
        <f>IF(AND(P7&lt;0,P7&lt;=10),"WEAK",IF(AND(P7&gt;10,P7&lt;20),"BELOW AVG",IF(AND(P7&gt;20,P7&lt;=60),"MEDIUM",IF(AND(P7&gt;60,P7&lt;=90),"STRONG",""))))</f>
        <v>STRONG</v>
      </c>
      <c r="AA7" s="284" t="str">
        <f>IF(Q7&gt;R7,"BJP","CONGRESS")</f>
        <v>CONGRESS</v>
      </c>
      <c r="AB7">
        <v>1128</v>
      </c>
      <c r="AC7">
        <v>690</v>
      </c>
      <c r="AD7">
        <v>574</v>
      </c>
      <c r="AE7">
        <v>339</v>
      </c>
      <c r="AF7">
        <v>553</v>
      </c>
      <c r="AG7">
        <v>350</v>
      </c>
      <c r="AH7">
        <v>188</v>
      </c>
      <c r="AI7">
        <v>128</v>
      </c>
      <c r="AJ7">
        <v>933</v>
      </c>
      <c r="AK7">
        <v>556</v>
      </c>
      <c r="AL7">
        <v>7</v>
      </c>
      <c r="AM7">
        <v>6</v>
      </c>
      <c r="AN7" s="248">
        <f>(AD7/AB7)*100</f>
        <v>50.886524822695</v>
      </c>
      <c r="AO7" s="316">
        <f>(AE7/AC7)*100</f>
        <v>49.1304347826087</v>
      </c>
      <c r="AP7" s="317">
        <f>(AF7/AB7)*100</f>
        <v>49.0248226950355</v>
      </c>
      <c r="AQ7" s="318">
        <f>(AG7/AC7)*100</f>
        <v>50.7246376811594</v>
      </c>
      <c r="AR7" s="318" t="str">
        <f>IF(AN7&gt;AP7,"MALE DOM","FEMALE DOM")</f>
        <v>MALE DOM</v>
      </c>
      <c r="AS7" s="319" t="str">
        <f>IF(AO7&gt;AP7,"MALE","FEMALE")</f>
        <v>MALE</v>
      </c>
      <c r="AT7" s="317">
        <f>(AH7/AB7)*100</f>
        <v>16.6666666666667</v>
      </c>
      <c r="AU7" s="317">
        <f>(AI7/AC7)*100</f>
        <v>18.5507246376812</v>
      </c>
      <c r="AV7" s="248">
        <f>(AJ7/AB7)*100</f>
        <v>82.7127659574468</v>
      </c>
      <c r="AW7" s="317">
        <f>(AK7/AC7)*100</f>
        <v>80.5797101449275</v>
      </c>
      <c r="AX7" s="248">
        <f>(AL7/AB7)*100</f>
        <v>0.620567375886525</v>
      </c>
      <c r="AY7" s="317">
        <f>(AM7/AC7)*100</f>
        <v>0.869565217391304</v>
      </c>
      <c r="AZ7" s="248" t="str">
        <f>IF(AT7&gt;(AV7+AX7),"HINDU","MINORITY")</f>
        <v>MINORITY</v>
      </c>
      <c r="BA7" s="318" t="str">
        <f>IF(AU7&gt;(AW7+AY7),"HIND","MINORITY")</f>
        <v>MINORITY</v>
      </c>
    </row>
    <row r="8" spans="2:53">
      <c r="B8">
        <v>149</v>
      </c>
      <c r="C8">
        <v>985</v>
      </c>
      <c r="D8">
        <v>308</v>
      </c>
      <c r="E8">
        <v>310</v>
      </c>
      <c r="F8">
        <v>3</v>
      </c>
      <c r="G8">
        <v>0</v>
      </c>
      <c r="H8">
        <v>0</v>
      </c>
      <c r="I8">
        <v>0</v>
      </c>
      <c r="J8">
        <v>1</v>
      </c>
      <c r="K8">
        <v>0</v>
      </c>
      <c r="L8">
        <v>622</v>
      </c>
      <c r="M8">
        <v>0</v>
      </c>
      <c r="N8">
        <v>3</v>
      </c>
      <c r="O8">
        <f t="shared" si="0"/>
        <v>625</v>
      </c>
      <c r="P8">
        <f t="shared" si="1"/>
        <v>63.4517766497462</v>
      </c>
      <c r="Q8">
        <f t="shared" si="2"/>
        <v>49.6</v>
      </c>
      <c r="R8">
        <f t="shared" si="3"/>
        <v>49.28</v>
      </c>
      <c r="S8">
        <f t="shared" si="4"/>
        <v>0.48</v>
      </c>
      <c r="T8">
        <f t="shared" si="5"/>
        <v>0</v>
      </c>
      <c r="U8">
        <f t="shared" si="6"/>
        <v>0.16</v>
      </c>
      <c r="V8">
        <f t="shared" si="7"/>
        <v>0.48</v>
      </c>
      <c r="W8">
        <f t="shared" ref="W8:W10" si="8">Q8-R8</f>
        <v>0.32</v>
      </c>
      <c r="X8">
        <f t="shared" ref="X8:X10" si="9">Q8-(R8+S8+T8+U8)</f>
        <v>-0.319999999999993</v>
      </c>
      <c r="Y8" t="str">
        <f t="shared" ref="Y8:Y11" si="10">IF(AND(W8&lt;0,W8&lt;=1),"LOST",IF(AND(W8&gt;1,W8&lt;=10),"NARROW",IF(AND(W8&gt;10,W8&lt;=40),"MEDIUM",IF(AND(W8&gt;40,W8&lt;=90),"STRONG",""))))</f>
        <v/>
      </c>
      <c r="Z8" s="285" t="str">
        <f t="shared" ref="Z8:Z11" si="11">IF(AND(P8&lt;0,P8&lt;=10),"WEAK",IF(AND(P8&gt;10,P8&lt;20),"BELOW AVG",IF(AND(P8&gt;20,P8&lt;=60),"MEDIUM",IF(AND(P8&gt;60,P8&lt;=90),"STRONG",""))))</f>
        <v>STRONG</v>
      </c>
      <c r="AA8" s="333" t="str">
        <f t="shared" ref="AA8:AA10" si="12">IF(Q8&gt;R8,"BJP","CONGRESS")</f>
        <v>BJP</v>
      </c>
      <c r="AB8">
        <v>981</v>
      </c>
      <c r="AC8">
        <v>604</v>
      </c>
      <c r="AD8">
        <v>381</v>
      </c>
      <c r="AE8">
        <v>250</v>
      </c>
      <c r="AF8">
        <v>600</v>
      </c>
      <c r="AG8">
        <v>354</v>
      </c>
      <c r="AH8">
        <v>486</v>
      </c>
      <c r="AI8">
        <v>325</v>
      </c>
      <c r="AJ8">
        <v>192</v>
      </c>
      <c r="AK8">
        <v>124</v>
      </c>
      <c r="AL8">
        <v>303</v>
      </c>
      <c r="AM8">
        <v>155</v>
      </c>
      <c r="AN8" s="248">
        <f t="shared" ref="AN8:AO10" si="13">(AD8/AB8)*100</f>
        <v>38.8379204892966</v>
      </c>
      <c r="AO8" s="316">
        <f t="shared" si="13"/>
        <v>41.3907284768212</v>
      </c>
      <c r="AP8" s="317">
        <f t="shared" ref="AP8:AQ10" si="14">(AF8/AB8)*100</f>
        <v>61.1620795107034</v>
      </c>
      <c r="AQ8" s="318">
        <f t="shared" si="14"/>
        <v>58.6092715231788</v>
      </c>
      <c r="AR8" s="318" t="str">
        <f t="shared" ref="AR8:AR10" si="15">IF(AN8&gt;AP8,"MALE DOM","FEMALE DOM")</f>
        <v>FEMALE DOM</v>
      </c>
      <c r="AS8" s="319" t="str">
        <f t="shared" ref="AS8:AS10" si="16">IF(AO8&gt;AP8,"MALE","FEMALE")</f>
        <v>FEMALE</v>
      </c>
      <c r="AT8" s="317">
        <f t="shared" ref="AT8:AU10" si="17">(AH8/AB8)*100</f>
        <v>49.5412844036697</v>
      </c>
      <c r="AU8" s="317">
        <f t="shared" si="17"/>
        <v>53.8079470198676</v>
      </c>
      <c r="AV8" s="248">
        <f t="shared" ref="AV8:AW10" si="18">(AJ8/AB8)*100</f>
        <v>19.5718654434251</v>
      </c>
      <c r="AW8" s="317">
        <f t="shared" si="18"/>
        <v>20.5298013245033</v>
      </c>
      <c r="AX8" s="248">
        <f t="shared" ref="AX8:AY10" si="19">(AL8/AB8)*100</f>
        <v>30.8868501529052</v>
      </c>
      <c r="AY8" s="317">
        <f t="shared" si="19"/>
        <v>25.6622516556291</v>
      </c>
      <c r="AZ8" s="248" t="str">
        <f t="shared" ref="AZ8:AZ10" si="20">IF(AT8&gt;(AV8+AX8),"HINDU","MINORITY")</f>
        <v>MINORITY</v>
      </c>
      <c r="BA8" s="318" t="str">
        <f t="shared" ref="BA8:BA10" si="21">IF(AU8&gt;(AW8+AY8),"HIND","MINORITY")</f>
        <v>HIND</v>
      </c>
    </row>
    <row r="9" spans="2:53">
      <c r="B9" s="332">
        <v>144</v>
      </c>
      <c r="C9" s="332">
        <v>1269</v>
      </c>
      <c r="D9" s="332">
        <v>364</v>
      </c>
      <c r="E9" s="332">
        <v>481</v>
      </c>
      <c r="F9" s="332">
        <v>3</v>
      </c>
      <c r="G9" s="332">
        <v>4</v>
      </c>
      <c r="H9" s="332">
        <v>0</v>
      </c>
      <c r="I9" s="332">
        <v>0</v>
      </c>
      <c r="J9" s="332">
        <v>0</v>
      </c>
      <c r="K9" s="332">
        <v>1</v>
      </c>
      <c r="L9" s="332">
        <v>853</v>
      </c>
      <c r="M9" s="332">
        <v>0</v>
      </c>
      <c r="N9" s="332">
        <v>4</v>
      </c>
      <c r="O9" s="332">
        <f t="shared" si="0"/>
        <v>857</v>
      </c>
      <c r="P9" s="332">
        <f t="shared" si="1"/>
        <v>67.5334909377463</v>
      </c>
      <c r="Q9" s="332">
        <f t="shared" si="2"/>
        <v>56.1260210035006</v>
      </c>
      <c r="R9" s="332">
        <f t="shared" si="3"/>
        <v>42.4737456242707</v>
      </c>
      <c r="S9" s="332">
        <f t="shared" si="4"/>
        <v>0.350058343057176</v>
      </c>
      <c r="T9" s="332">
        <f t="shared" si="5"/>
        <v>0.466744457409568</v>
      </c>
      <c r="U9" s="332">
        <f t="shared" si="6"/>
        <v>0.116686114352392</v>
      </c>
      <c r="V9" s="332">
        <f t="shared" si="7"/>
        <v>0.466744457409568</v>
      </c>
      <c r="W9" s="332">
        <f t="shared" si="8"/>
        <v>13.6522753792299</v>
      </c>
      <c r="X9" s="332">
        <f t="shared" si="9"/>
        <v>12.7187864644107</v>
      </c>
      <c r="Y9" s="332" t="str">
        <f t="shared" si="10"/>
        <v>MEDIUM</v>
      </c>
      <c r="Z9" s="283" t="str">
        <f t="shared" si="11"/>
        <v>STRONG</v>
      </c>
      <c r="AA9" s="289" t="str">
        <f t="shared" si="12"/>
        <v>BJP</v>
      </c>
      <c r="AB9" s="334">
        <v>1265</v>
      </c>
      <c r="AC9" s="334">
        <v>820</v>
      </c>
      <c r="AD9" s="334">
        <v>606</v>
      </c>
      <c r="AE9" s="334">
        <v>380</v>
      </c>
      <c r="AF9" s="334">
        <v>659</v>
      </c>
      <c r="AG9" s="334">
        <v>440</v>
      </c>
      <c r="AH9" s="334">
        <v>823</v>
      </c>
      <c r="AI9" s="334">
        <v>543</v>
      </c>
      <c r="AJ9" s="334">
        <v>321</v>
      </c>
      <c r="AK9" s="334">
        <v>202</v>
      </c>
      <c r="AL9" s="334">
        <v>121</v>
      </c>
      <c r="AM9" s="334">
        <v>75</v>
      </c>
      <c r="AN9" s="248">
        <f t="shared" si="13"/>
        <v>47.905138339921</v>
      </c>
      <c r="AO9" s="316">
        <f t="shared" si="13"/>
        <v>46.3414634146341</v>
      </c>
      <c r="AP9" s="317">
        <f t="shared" si="14"/>
        <v>52.094861660079</v>
      </c>
      <c r="AQ9" s="318">
        <f t="shared" si="14"/>
        <v>53.6585365853659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65.0592885375494</v>
      </c>
      <c r="AU9" s="317">
        <f t="shared" si="17"/>
        <v>66.219512195122</v>
      </c>
      <c r="AV9" s="248">
        <f t="shared" si="18"/>
        <v>25.3754940711462</v>
      </c>
      <c r="AW9" s="317">
        <f t="shared" si="18"/>
        <v>24.6341463414634</v>
      </c>
      <c r="AX9" s="248">
        <f t="shared" si="19"/>
        <v>9.56521739130435</v>
      </c>
      <c r="AY9" s="317">
        <f t="shared" si="19"/>
        <v>9.14634146341463</v>
      </c>
      <c r="AZ9" s="248" t="str">
        <f t="shared" si="20"/>
        <v>HINDU</v>
      </c>
      <c r="BA9" s="318" t="str">
        <f t="shared" si="21"/>
        <v>HIND</v>
      </c>
    </row>
    <row r="10" spans="2:53">
      <c r="B10" s="332">
        <v>234</v>
      </c>
      <c r="C10" s="332">
        <v>907</v>
      </c>
      <c r="D10" s="332">
        <v>248</v>
      </c>
      <c r="E10" s="332">
        <v>335</v>
      </c>
      <c r="F10" s="332">
        <v>1</v>
      </c>
      <c r="G10" s="332">
        <v>2</v>
      </c>
      <c r="H10" s="332">
        <v>0</v>
      </c>
      <c r="I10" s="332">
        <v>1</v>
      </c>
      <c r="J10" s="332">
        <v>0</v>
      </c>
      <c r="K10" s="332">
        <v>0</v>
      </c>
      <c r="L10" s="332">
        <v>587</v>
      </c>
      <c r="M10" s="332">
        <v>0</v>
      </c>
      <c r="N10" s="332">
        <v>5</v>
      </c>
      <c r="O10" s="332">
        <f t="shared" si="0"/>
        <v>592</v>
      </c>
      <c r="P10" s="332">
        <f t="shared" si="1"/>
        <v>65.2701212789416</v>
      </c>
      <c r="Q10" s="332">
        <f t="shared" si="2"/>
        <v>56.5878378378378</v>
      </c>
      <c r="R10" s="332">
        <f t="shared" si="3"/>
        <v>41.8918918918919</v>
      </c>
      <c r="S10" s="332">
        <f t="shared" si="4"/>
        <v>0.168918918918919</v>
      </c>
      <c r="T10" s="332">
        <f t="shared" si="5"/>
        <v>0.337837837837838</v>
      </c>
      <c r="U10" s="332">
        <f t="shared" si="6"/>
        <v>0.168918918918919</v>
      </c>
      <c r="V10" s="332">
        <f t="shared" si="7"/>
        <v>0.844594594594595</v>
      </c>
      <c r="W10" s="332">
        <f t="shared" si="8"/>
        <v>14.6959459459459</v>
      </c>
      <c r="X10" s="332">
        <f t="shared" si="9"/>
        <v>14.0202702702703</v>
      </c>
      <c r="Y10" s="332" t="str">
        <f t="shared" si="10"/>
        <v>MEDIUM</v>
      </c>
      <c r="Z10" s="285" t="str">
        <f t="shared" si="11"/>
        <v>STRONG</v>
      </c>
      <c r="AA10" s="289" t="str">
        <f t="shared" si="12"/>
        <v>BJP</v>
      </c>
      <c r="AB10">
        <v>905</v>
      </c>
      <c r="AC10">
        <v>588</v>
      </c>
      <c r="AD10">
        <v>437</v>
      </c>
      <c r="AE10">
        <v>270</v>
      </c>
      <c r="AF10">
        <v>468</v>
      </c>
      <c r="AG10">
        <v>318</v>
      </c>
      <c r="AH10">
        <v>545</v>
      </c>
      <c r="AI10">
        <v>390</v>
      </c>
      <c r="AJ10">
        <v>302</v>
      </c>
      <c r="AK10">
        <v>166</v>
      </c>
      <c r="AL10">
        <v>58</v>
      </c>
      <c r="AM10">
        <v>32</v>
      </c>
      <c r="AN10" s="248">
        <f t="shared" si="13"/>
        <v>48.2872928176796</v>
      </c>
      <c r="AO10" s="316">
        <f t="shared" si="13"/>
        <v>45.9183673469388</v>
      </c>
      <c r="AP10" s="317">
        <f t="shared" si="14"/>
        <v>51.7127071823204</v>
      </c>
      <c r="AQ10" s="318">
        <f t="shared" si="14"/>
        <v>54.0816326530612</v>
      </c>
      <c r="AR10" s="318" t="str">
        <f t="shared" si="15"/>
        <v>FEMALE DOM</v>
      </c>
      <c r="AS10" s="319" t="str">
        <f t="shared" si="16"/>
        <v>FEMALE</v>
      </c>
      <c r="AT10" s="317">
        <f t="shared" si="17"/>
        <v>60.2209944751381</v>
      </c>
      <c r="AU10" s="317">
        <f t="shared" si="17"/>
        <v>66.3265306122449</v>
      </c>
      <c r="AV10" s="248">
        <f t="shared" si="18"/>
        <v>33.3701657458564</v>
      </c>
      <c r="AW10" s="317">
        <f t="shared" si="18"/>
        <v>28.2312925170068</v>
      </c>
      <c r="AX10" s="248">
        <f t="shared" si="19"/>
        <v>6.40883977900552</v>
      </c>
      <c r="AY10" s="317">
        <f t="shared" si="19"/>
        <v>5.4421768707483</v>
      </c>
      <c r="AZ10" s="248" t="str">
        <f t="shared" si="20"/>
        <v>HINDU</v>
      </c>
      <c r="BA10" s="318" t="str">
        <f t="shared" si="21"/>
        <v>HIND</v>
      </c>
    </row>
    <row r="11" spans="3:27">
      <c r="C11" s="215">
        <f t="shared" ref="C11:O11" si="22">SUM(C7:C10)</f>
        <v>4295</v>
      </c>
      <c r="D11" s="215">
        <f t="shared" si="22"/>
        <v>1557</v>
      </c>
      <c r="E11" s="215">
        <f t="shared" si="22"/>
        <v>1254</v>
      </c>
      <c r="F11" s="215">
        <f t="shared" si="22"/>
        <v>11</v>
      </c>
      <c r="G11" s="215">
        <f t="shared" si="22"/>
        <v>10</v>
      </c>
      <c r="H11" s="215">
        <f t="shared" si="22"/>
        <v>0</v>
      </c>
      <c r="I11" s="215">
        <f t="shared" si="22"/>
        <v>1</v>
      </c>
      <c r="J11" s="215">
        <f t="shared" si="22"/>
        <v>1</v>
      </c>
      <c r="K11" s="215">
        <f t="shared" si="22"/>
        <v>1</v>
      </c>
      <c r="L11" s="215">
        <f t="shared" si="22"/>
        <v>2835</v>
      </c>
      <c r="M11" s="215">
        <f t="shared" si="22"/>
        <v>0</v>
      </c>
      <c r="N11" s="215">
        <f t="shared" si="22"/>
        <v>14</v>
      </c>
      <c r="O11" s="215">
        <f t="shared" si="22"/>
        <v>2849</v>
      </c>
      <c r="P11" s="215">
        <f t="shared" ref="P11:X11" si="23">AVERAGE(P7:P10)</f>
        <v>66.1493851354797</v>
      </c>
      <c r="Q11" s="215">
        <f t="shared" si="23"/>
        <v>44.7074969683991</v>
      </c>
      <c r="R11" s="215">
        <f t="shared" si="23"/>
        <v>53.9597964758148</v>
      </c>
      <c r="S11" s="215">
        <f t="shared" si="23"/>
        <v>0.37877657355854</v>
      </c>
      <c r="T11" s="215">
        <f t="shared" si="23"/>
        <v>0.330177831876368</v>
      </c>
      <c r="U11" s="215">
        <f t="shared" si="23"/>
        <v>0.111401258317828</v>
      </c>
      <c r="V11" s="215">
        <f t="shared" si="23"/>
        <v>0.512350892033299</v>
      </c>
      <c r="W11" s="215">
        <f t="shared" si="23"/>
        <v>-9.25229950741572</v>
      </c>
      <c r="X11" s="215">
        <f t="shared" si="23"/>
        <v>-10.0726551711685</v>
      </c>
      <c r="Y11" s="215" t="str">
        <f t="shared" si="10"/>
        <v>LOST</v>
      </c>
      <c r="Z11" s="285" t="str">
        <f t="shared" si="11"/>
        <v>STRONG</v>
      </c>
      <c r="AA11" s="284" t="str">
        <f t="shared" ref="AA11" si="24">IF(Q11&gt;R11,"BJP","CONGRESS")</f>
        <v>CONGRESS</v>
      </c>
    </row>
    <row r="13" spans="17:34">
      <c r="Q13" s="225" t="s">
        <v>205</v>
      </c>
      <c r="R13" s="237"/>
      <c r="S13" s="237"/>
      <c r="T13" s="238"/>
      <c r="V13" s="225" t="s">
        <v>97</v>
      </c>
      <c r="W13" s="237"/>
      <c r="X13" s="237"/>
      <c r="Y13" s="238"/>
      <c r="AA13" s="265" t="s">
        <v>98</v>
      </c>
      <c r="AB13" s="265"/>
      <c r="AC13" s="265"/>
      <c r="AD13" s="265"/>
      <c r="AE13" s="265"/>
      <c r="AF13" s="265"/>
      <c r="AG13" s="265"/>
      <c r="AH13" s="265"/>
    </row>
    <row r="14" spans="17:34">
      <c r="Q14" s="226"/>
      <c r="R14" s="239"/>
      <c r="S14" s="239"/>
      <c r="T14" s="240"/>
      <c r="V14" s="241"/>
      <c r="W14" s="242"/>
      <c r="X14" s="242"/>
      <c r="Y14" s="243"/>
      <c r="AA14" s="265"/>
      <c r="AB14" s="265"/>
      <c r="AC14" s="265"/>
      <c r="AD14" s="265"/>
      <c r="AE14" s="265"/>
      <c r="AF14" s="265"/>
      <c r="AG14" s="265"/>
      <c r="AH14" s="265"/>
    </row>
    <row r="15" spans="17:34">
      <c r="Q15" s="227" t="s">
        <v>99</v>
      </c>
      <c r="R15" s="244"/>
      <c r="S15" s="245"/>
      <c r="T15" s="245">
        <f>COUNTIF(AA7:AA10,"BJP")</f>
        <v>3</v>
      </c>
      <c r="V15" s="246" t="s">
        <v>100</v>
      </c>
      <c r="W15" s="247"/>
      <c r="X15" s="247"/>
      <c r="Y15" s="248">
        <f>COUNTIF(Y7:Y10,"NARROW")</f>
        <v>0</v>
      </c>
      <c r="AA15" s="265" t="s">
        <v>101</v>
      </c>
      <c r="AB15" s="265"/>
      <c r="AC15" s="265"/>
      <c r="AD15" s="265">
        <f>'PORT-18'!E8</f>
        <v>47.7005097894663</v>
      </c>
      <c r="AE15" s="265" t="s">
        <v>102</v>
      </c>
      <c r="AF15" s="265"/>
      <c r="AG15" s="265"/>
      <c r="AH15" s="265">
        <f>Q11</f>
        <v>44.7074969683991</v>
      </c>
    </row>
    <row r="16" spans="17:34">
      <c r="Q16" s="227"/>
      <c r="R16" s="244"/>
      <c r="S16" s="245"/>
      <c r="T16" s="245"/>
      <c r="V16" s="249"/>
      <c r="W16" s="250"/>
      <c r="X16" s="250"/>
      <c r="Y16" s="251"/>
      <c r="AA16" s="265"/>
      <c r="AB16" s="265"/>
      <c r="AC16" s="265"/>
      <c r="AD16" s="265"/>
      <c r="AE16" s="265"/>
      <c r="AF16" s="265"/>
      <c r="AG16" s="265"/>
      <c r="AH16" s="265"/>
    </row>
    <row r="17" spans="17:34">
      <c r="Q17" s="227"/>
      <c r="R17" s="244"/>
      <c r="S17" s="245"/>
      <c r="T17" s="245"/>
      <c r="V17" s="252" t="s">
        <v>103</v>
      </c>
      <c r="W17" s="253"/>
      <c r="X17" s="253"/>
      <c r="Y17" s="248">
        <f>COUNTIF(Y7:Y10,"MEDIUM")</f>
        <v>2</v>
      </c>
      <c r="AA17" s="265" t="s">
        <v>104</v>
      </c>
      <c r="AB17" s="265"/>
      <c r="AC17" s="265"/>
      <c r="AD17" s="265">
        <f>'PORT-18'!G8</f>
        <v>49.677676032436</v>
      </c>
      <c r="AE17" s="265" t="s">
        <v>105</v>
      </c>
      <c r="AF17" s="265"/>
      <c r="AG17" s="265"/>
      <c r="AH17" s="265">
        <f>R11</f>
        <v>53.9597964758148</v>
      </c>
    </row>
    <row r="18" spans="17:34">
      <c r="Q18" s="228" t="s">
        <v>106</v>
      </c>
      <c r="R18" s="254"/>
      <c r="S18" s="255"/>
      <c r="T18" s="255">
        <f>COUNTIF(AA7:AA10,"CONGRESS")</f>
        <v>1</v>
      </c>
      <c r="V18" s="252"/>
      <c r="W18" s="253"/>
      <c r="X18" s="253"/>
      <c r="Y18" s="251"/>
      <c r="AA18" s="265"/>
      <c r="AB18" s="265"/>
      <c r="AC18" s="265"/>
      <c r="AD18" s="265"/>
      <c r="AE18" s="265"/>
      <c r="AF18" s="265"/>
      <c r="AG18" s="265"/>
      <c r="AH18" s="265"/>
    </row>
    <row r="19" spans="17:34">
      <c r="Q19" s="229"/>
      <c r="R19" s="256"/>
      <c r="S19" s="257"/>
      <c r="T19" s="257"/>
      <c r="V19" s="258" t="s">
        <v>107</v>
      </c>
      <c r="W19" s="259"/>
      <c r="X19" s="259"/>
      <c r="Y19" s="248">
        <f>COUNTIF(Y7:Y10,"STRONG")</f>
        <v>0</v>
      </c>
      <c r="AA19" s="265" t="s">
        <v>108</v>
      </c>
      <c r="AB19" s="265"/>
      <c r="AC19" s="265"/>
      <c r="AD19" s="265">
        <f>'PORT-18'!C8</f>
        <v>4870</v>
      </c>
      <c r="AE19" s="265" t="s">
        <v>109</v>
      </c>
      <c r="AF19" s="265"/>
      <c r="AG19" s="265"/>
      <c r="AH19" s="265">
        <f>O11</f>
        <v>2849</v>
      </c>
    </row>
    <row r="20" spans="17:34">
      <c r="Q20" s="230"/>
      <c r="R20" s="260"/>
      <c r="S20" s="261"/>
      <c r="T20" s="261"/>
      <c r="V20" s="262"/>
      <c r="W20" s="263"/>
      <c r="X20" s="263"/>
      <c r="Y20" s="251"/>
      <c r="AA20" s="265"/>
      <c r="AB20" s="265"/>
      <c r="AC20" s="265"/>
      <c r="AD20" s="265"/>
      <c r="AE20" s="265"/>
      <c r="AF20" s="265"/>
      <c r="AG20" s="265"/>
      <c r="AH20" s="265"/>
    </row>
    <row r="21" spans="22:34">
      <c r="V21" s="229" t="s">
        <v>110</v>
      </c>
      <c r="W21" s="256"/>
      <c r="X21" s="256"/>
      <c r="Y21" s="248">
        <f>COUNTIF(Y7:Y10,"LOST")</f>
        <v>1</v>
      </c>
      <c r="AA21" s="265" t="s">
        <v>111</v>
      </c>
      <c r="AB21" s="265"/>
      <c r="AC21" s="265"/>
      <c r="AD21" s="265">
        <f>AD15-AD17</f>
        <v>-1.97716624296967</v>
      </c>
      <c r="AE21" s="265" t="s">
        <v>111</v>
      </c>
      <c r="AF21" s="265"/>
      <c r="AG21" s="265"/>
      <c r="AH21" s="265">
        <f>AH15-AH17</f>
        <v>-9.25229950741572</v>
      </c>
    </row>
    <row r="22" spans="22:34">
      <c r="V22" s="230"/>
      <c r="W22" s="260"/>
      <c r="X22" s="260"/>
      <c r="Y22" s="251"/>
      <c r="AA22" s="265"/>
      <c r="AB22" s="265"/>
      <c r="AC22" s="265"/>
      <c r="AD22" s="265"/>
      <c r="AE22" s="265"/>
      <c r="AF22" s="265"/>
      <c r="AG22" s="265"/>
      <c r="AH22" s="265"/>
    </row>
    <row r="23" spans="27:33">
      <c r="AA23" s="265" t="s">
        <v>112</v>
      </c>
      <c r="AB23" s="265"/>
      <c r="AC23" s="265"/>
      <c r="AD23" s="265">
        <f>AH15-AD15</f>
        <v>-2.99301282106722</v>
      </c>
      <c r="AE23" s="265"/>
      <c r="AF23" s="265"/>
      <c r="AG23" s="265"/>
    </row>
    <row r="24" spans="27:33">
      <c r="AA24" s="265"/>
      <c r="AB24" s="265"/>
      <c r="AC24" s="265"/>
      <c r="AD24" s="265"/>
      <c r="AE24" s="265"/>
      <c r="AF24" s="265"/>
      <c r="AG24" s="265"/>
    </row>
    <row r="25" spans="27:33">
      <c r="AA25" s="265" t="s">
        <v>113</v>
      </c>
      <c r="AB25" s="265"/>
      <c r="AC25" s="265"/>
      <c r="AD25" s="265">
        <f>AH17-AD17</f>
        <v>4.28212044337884</v>
      </c>
      <c r="AE25" s="265"/>
      <c r="AF25" s="265"/>
      <c r="AG25" s="265"/>
    </row>
    <row r="26" spans="27:33">
      <c r="AA26" s="265"/>
      <c r="AB26" s="265"/>
      <c r="AC26" s="265"/>
      <c r="AD26" s="265"/>
      <c r="AE26" s="265"/>
      <c r="AF26" s="265"/>
      <c r="AG26" s="265"/>
    </row>
    <row r="27" spans="27:33">
      <c r="AA27" s="265" t="s">
        <v>114</v>
      </c>
      <c r="AB27" s="265"/>
      <c r="AC27" s="265"/>
      <c r="AD27" s="265" t="str">
        <f>IF(AD23&gt;AD25,"INCREASE","DECREASE")</f>
        <v>DECREASE</v>
      </c>
      <c r="AE27" s="265"/>
      <c r="AF27" s="265"/>
      <c r="AG27" s="265"/>
    </row>
    <row r="28" spans="27:33">
      <c r="AA28" s="265"/>
      <c r="AB28" s="265"/>
      <c r="AC28" s="265"/>
      <c r="AD28" s="265"/>
      <c r="AE28" s="265"/>
      <c r="AF28" s="265"/>
      <c r="AG28" s="265"/>
    </row>
    <row r="29" spans="27:34">
      <c r="AA29" s="265">
        <v>0</v>
      </c>
      <c r="AB29" s="265"/>
      <c r="AC29" s="265"/>
      <c r="AD29" s="265"/>
      <c r="AE29" s="265"/>
      <c r="AF29" s="265"/>
      <c r="AG29" s="265"/>
      <c r="AH29" s="265"/>
    </row>
    <row r="30" spans="27:34">
      <c r="AA30" s="265"/>
      <c r="AB30" s="265"/>
      <c r="AC30" s="265"/>
      <c r="AD30" s="265"/>
      <c r="AE30" s="265"/>
      <c r="AF30" s="265"/>
      <c r="AG30" s="265"/>
      <c r="AH30" s="265"/>
    </row>
    <row r="31" spans="27:34">
      <c r="AA31" s="265"/>
      <c r="AB31" s="265"/>
      <c r="AC31" s="265"/>
      <c r="AD31" s="265"/>
      <c r="AE31" s="265"/>
      <c r="AF31" s="265"/>
      <c r="AG31" s="265"/>
      <c r="AH31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T15:T17"/>
    <mergeCell ref="T18:T20"/>
    <mergeCell ref="U1:U6"/>
    <mergeCell ref="V1:V6"/>
    <mergeCell ref="W1:W6"/>
    <mergeCell ref="X1:X6"/>
    <mergeCell ref="Y1:Y6"/>
    <mergeCell ref="Y15:Y16"/>
    <mergeCell ref="Y17:Y18"/>
    <mergeCell ref="Y19:Y20"/>
    <mergeCell ref="Y21:Y22"/>
    <mergeCell ref="Z1:Z6"/>
    <mergeCell ref="AA1:AA6"/>
    <mergeCell ref="AB1:AB6"/>
    <mergeCell ref="AC1:AC6"/>
    <mergeCell ref="AD1:AD6"/>
    <mergeCell ref="AD15:AD16"/>
    <mergeCell ref="AD17:AD18"/>
    <mergeCell ref="AD19:AD20"/>
    <mergeCell ref="AD21:AD22"/>
    <mergeCell ref="AE1:AE6"/>
    <mergeCell ref="AF1:AF6"/>
    <mergeCell ref="AG1:AG6"/>
    <mergeCell ref="AH1:AH6"/>
    <mergeCell ref="AH15:AH16"/>
    <mergeCell ref="AH17:AH18"/>
    <mergeCell ref="AH19:AH20"/>
    <mergeCell ref="AH21:AH22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V21:X22"/>
    <mergeCell ref="AE21:AG22"/>
    <mergeCell ref="Q13:T14"/>
    <mergeCell ref="V13:Y14"/>
    <mergeCell ref="Q15:S17"/>
    <mergeCell ref="V15:X16"/>
    <mergeCell ref="AE15:AG16"/>
    <mergeCell ref="V17:X18"/>
    <mergeCell ref="AE17:AG18"/>
    <mergeCell ref="Q18:S20"/>
    <mergeCell ref="V19:X20"/>
    <mergeCell ref="AE19:AG20"/>
    <mergeCell ref="D1:K2"/>
    <mergeCell ref="AA13:AH14"/>
    <mergeCell ref="AA15:AC16"/>
    <mergeCell ref="AA17:AC18"/>
    <mergeCell ref="AA19:AC20"/>
    <mergeCell ref="AA21:AC22"/>
    <mergeCell ref="AA23:AC24"/>
    <mergeCell ref="AD23:AG24"/>
    <mergeCell ref="AA29:AH31"/>
    <mergeCell ref="AA25:AC26"/>
    <mergeCell ref="AD25:AG26"/>
    <mergeCell ref="AA27:AC28"/>
    <mergeCell ref="AD27:AE28"/>
    <mergeCell ref="AF27:AG28"/>
  </mergeCells>
  <conditionalFormatting sqref="AR7:AR10">
    <cfRule type="containsText" dxfId="6" priority="1" operator="between" text="FEMALE DOM">
      <formula>NOT(ISERROR(SEARCH("FEMALE DOM",AR7)))</formula>
    </cfRule>
  </conditionalFormatting>
  <conditionalFormatting sqref="AZ7:AZ10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0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pageSetup paperSize="1" orientation="portrait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workbookViewId="0">
      <selection activeCell="I8" sqref="I8"/>
    </sheetView>
  </sheetViews>
  <sheetFormatPr defaultColWidth="9" defaultRowHeight="14.5" outlineLevelRow="7"/>
  <cols>
    <col min="1" max="1" width="14.2818181818182" customWidth="1"/>
  </cols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131</v>
      </c>
      <c r="B2" s="185" t="s">
        <v>353</v>
      </c>
      <c r="C2" s="184">
        <v>848</v>
      </c>
      <c r="D2" s="184">
        <v>468</v>
      </c>
      <c r="E2" s="184">
        <f t="shared" ref="E2:E7" si="0">(D2/C2)*100</f>
        <v>55.188679245283</v>
      </c>
      <c r="F2" s="184">
        <v>360</v>
      </c>
      <c r="G2" s="184">
        <f t="shared" ref="G2:G7" si="1">(F2/C2)*100</f>
        <v>42.4528301886792</v>
      </c>
      <c r="H2" s="184">
        <v>7</v>
      </c>
      <c r="I2" s="184">
        <f t="shared" ref="I2:I7" si="2">(H2/C2)*100</f>
        <v>0.825471698113208</v>
      </c>
      <c r="J2" s="184">
        <v>4</v>
      </c>
      <c r="K2" s="184">
        <f t="shared" ref="K2:K7" si="3">(J2/C2)*100</f>
        <v>0.471698113207547</v>
      </c>
      <c r="L2" s="189">
        <v>563</v>
      </c>
      <c r="M2" s="189">
        <v>638</v>
      </c>
      <c r="N2" s="189">
        <f t="shared" ref="N2:N7" si="4">L2+M2</f>
        <v>1201</v>
      </c>
      <c r="O2" s="184">
        <v>848</v>
      </c>
      <c r="P2" s="190">
        <f t="shared" ref="P2:P7" si="5">O2/N2*100</f>
        <v>70.6078268109908</v>
      </c>
      <c r="Q2" s="184"/>
      <c r="R2" s="184">
        <f t="shared" ref="R2:R7" si="6">(Q2/N2)*100</f>
        <v>0</v>
      </c>
      <c r="S2" s="184">
        <f t="shared" ref="S2:S7" si="7">Q2-U2</f>
        <v>0</v>
      </c>
      <c r="T2" s="184" t="e">
        <f t="shared" ref="T2:T7" si="8">(S2/Q2)*100</f>
        <v>#DIV/0!</v>
      </c>
      <c r="U2" s="184"/>
      <c r="V2" s="191">
        <f t="shared" ref="V2:V7" si="9">IFERROR(U2/Q2*100,0)</f>
        <v>0</v>
      </c>
      <c r="W2" s="184"/>
      <c r="X2" s="184">
        <f t="shared" ref="X2:X7" si="10">100-R2</f>
        <v>100</v>
      </c>
      <c r="Y2" s="184">
        <f t="shared" ref="Y2:Y7" si="11">W2-AA2</f>
        <v>0</v>
      </c>
      <c r="Z2" s="193" t="e">
        <f t="shared" ref="Z2:Z7" si="12">(Y2/W2)*100</f>
        <v>#DIV/0!</v>
      </c>
      <c r="AA2" s="193"/>
      <c r="AB2" s="194">
        <f t="shared" ref="AB2:AB7" si="13">IFERROR(AA2/W2*100,0)</f>
        <v>0</v>
      </c>
      <c r="AC2" s="193">
        <f t="shared" ref="AC2:AC7" si="14">U2+AA2</f>
        <v>0</v>
      </c>
      <c r="AD2" s="193" t="str">
        <f t="shared" ref="AD2:AD7" si="15">IF(P2&gt;80,"EXCELLENT",IF(P2&gt;70,"STRONG",IF(P2&gt;60,"AVG",IF(P2&gt;50,"WEAK",IF(P2&lt;50,"VLOW")))))</f>
        <v>STRONG</v>
      </c>
      <c r="AE2" s="195" t="str">
        <f t="shared" ref="AE2:AE7" si="16">IF(R2&gt;80,"EXCELLENT",IF(R2&gt;70,"STRONG",IF(R2&gt;60,"AVG",IF(R2&gt;50,"WEAK",IF(R2&lt;50,"VLOW")))))</f>
        <v>VLOW</v>
      </c>
      <c r="AF2" s="193" t="str">
        <f t="shared" ref="AF2:AF7" si="17">IF(X2&gt;80,"EXCELLENT",IF(X2&gt;70,"STRONG",IF(X2&gt;60,"AVG",IF(X2&gt;50,"WEAK",IF(X2&lt;50,"VLOW")))))</f>
        <v>EXCELLENT</v>
      </c>
      <c r="AG2" s="193" t="str">
        <f t="shared" ref="AG2:AG7" si="18">IF(M2&gt;L2,"FEMALE DOM","MEN")</f>
        <v>FEMALE DOM</v>
      </c>
      <c r="AH2" s="193" t="e">
        <f t="shared" ref="AH2:AH7" si="19">IF(T2&gt;Z2,"H","O")</f>
        <v>#DIV/0!</v>
      </c>
      <c r="AI2" s="197">
        <f>E2-G2</f>
        <v>12.7358490566038</v>
      </c>
      <c r="AJ2" s="199" t="str">
        <f t="shared" ref="AJ2:AJ7" si="20">IF(E2&gt;G2,"BJP GAIN","CONGRESSGAIN")</f>
        <v>BJP GAIN</v>
      </c>
    </row>
    <row r="3" spans="1:36">
      <c r="A3" s="184">
        <v>135</v>
      </c>
      <c r="B3" s="185" t="s">
        <v>354</v>
      </c>
      <c r="C3" s="184">
        <v>889</v>
      </c>
      <c r="D3" s="184">
        <v>175</v>
      </c>
      <c r="E3" s="184">
        <f t="shared" si="0"/>
        <v>19.6850393700787</v>
      </c>
      <c r="F3" s="184">
        <v>679</v>
      </c>
      <c r="G3" s="184">
        <f t="shared" si="1"/>
        <v>76.3779527559055</v>
      </c>
      <c r="H3" s="184">
        <v>21</v>
      </c>
      <c r="I3" s="184">
        <f t="shared" si="2"/>
        <v>2.36220472440945</v>
      </c>
      <c r="J3" s="184">
        <v>2</v>
      </c>
      <c r="K3" s="184">
        <f t="shared" si="3"/>
        <v>0.224971878515186</v>
      </c>
      <c r="L3" s="189">
        <v>700</v>
      </c>
      <c r="M3" s="189">
        <v>666</v>
      </c>
      <c r="N3" s="189">
        <f t="shared" si="4"/>
        <v>1366</v>
      </c>
      <c r="O3" s="184">
        <v>889</v>
      </c>
      <c r="P3" s="190">
        <f t="shared" si="5"/>
        <v>65.0805270863836</v>
      </c>
      <c r="Q3" s="184"/>
      <c r="R3" s="184">
        <f t="shared" si="6"/>
        <v>0</v>
      </c>
      <c r="S3" s="184">
        <f t="shared" si="7"/>
        <v>0</v>
      </c>
      <c r="T3" s="184" t="e">
        <f t="shared" si="8"/>
        <v>#DIV/0!</v>
      </c>
      <c r="U3" s="184"/>
      <c r="V3" s="191">
        <f t="shared" si="9"/>
        <v>0</v>
      </c>
      <c r="W3" s="184"/>
      <c r="X3" s="184">
        <f t="shared" si="10"/>
        <v>100</v>
      </c>
      <c r="Y3" s="184">
        <f t="shared" si="11"/>
        <v>0</v>
      </c>
      <c r="Z3" s="193" t="e">
        <f t="shared" si="12"/>
        <v>#DIV/0!</v>
      </c>
      <c r="AA3" s="193"/>
      <c r="AB3" s="194">
        <f t="shared" si="13"/>
        <v>0</v>
      </c>
      <c r="AC3" s="193">
        <f t="shared" si="14"/>
        <v>0</v>
      </c>
      <c r="AD3" s="193" t="str">
        <f t="shared" si="15"/>
        <v>AVG</v>
      </c>
      <c r="AE3" s="195" t="str">
        <f t="shared" si="16"/>
        <v>VLOW</v>
      </c>
      <c r="AF3" s="193" t="str">
        <f t="shared" si="17"/>
        <v>EXCELLENT</v>
      </c>
      <c r="AG3" s="193" t="str">
        <f t="shared" si="18"/>
        <v>MEN</v>
      </c>
      <c r="AH3" s="193" t="e">
        <f t="shared" si="19"/>
        <v>#DIV/0!</v>
      </c>
      <c r="AI3" s="197">
        <f>G3-E3</f>
        <v>56.6929133858268</v>
      </c>
      <c r="AJ3" s="198" t="str">
        <f t="shared" si="20"/>
        <v>CONGRESSGAIN</v>
      </c>
    </row>
    <row r="4" spans="1:36">
      <c r="A4" s="184">
        <v>136</v>
      </c>
      <c r="B4" s="185" t="s">
        <v>355</v>
      </c>
      <c r="C4" s="184">
        <v>744</v>
      </c>
      <c r="D4" s="184">
        <v>352</v>
      </c>
      <c r="E4" s="184">
        <f t="shared" si="0"/>
        <v>47.3118279569892</v>
      </c>
      <c r="F4" s="184">
        <v>370</v>
      </c>
      <c r="G4" s="184">
        <f t="shared" si="1"/>
        <v>49.7311827956989</v>
      </c>
      <c r="H4" s="184">
        <v>4</v>
      </c>
      <c r="I4" s="184">
        <f t="shared" si="2"/>
        <v>0.537634408602151</v>
      </c>
      <c r="J4" s="184">
        <v>12</v>
      </c>
      <c r="K4" s="184">
        <f t="shared" si="3"/>
        <v>1.61290322580645</v>
      </c>
      <c r="L4" s="189">
        <v>428</v>
      </c>
      <c r="M4" s="189">
        <v>725</v>
      </c>
      <c r="N4" s="189">
        <f t="shared" si="4"/>
        <v>1153</v>
      </c>
      <c r="O4" s="184">
        <v>744</v>
      </c>
      <c r="P4" s="190">
        <f t="shared" si="5"/>
        <v>64.5273200346921</v>
      </c>
      <c r="Q4" s="184">
        <f>405+174</f>
        <v>579</v>
      </c>
      <c r="R4" s="184">
        <f t="shared" si="6"/>
        <v>50.2168256721596</v>
      </c>
      <c r="S4" s="192">
        <f t="shared" si="7"/>
        <v>174</v>
      </c>
      <c r="T4" s="184">
        <f t="shared" si="8"/>
        <v>30.0518134715026</v>
      </c>
      <c r="U4" s="184">
        <v>405</v>
      </c>
      <c r="V4" s="191">
        <f t="shared" si="9"/>
        <v>69.9481865284974</v>
      </c>
      <c r="W4" s="184">
        <f>121+70+212+214</f>
        <v>617</v>
      </c>
      <c r="X4" s="184">
        <f t="shared" si="10"/>
        <v>49.7831743278404</v>
      </c>
      <c r="Y4" s="196">
        <f t="shared" si="11"/>
        <v>278</v>
      </c>
      <c r="Z4" s="193">
        <f t="shared" si="12"/>
        <v>45.0567260940032</v>
      </c>
      <c r="AA4" s="193">
        <v>339</v>
      </c>
      <c r="AB4" s="194">
        <f t="shared" si="13"/>
        <v>54.9432739059968</v>
      </c>
      <c r="AC4" s="193">
        <f t="shared" si="14"/>
        <v>744</v>
      </c>
      <c r="AD4" s="193" t="str">
        <f t="shared" si="15"/>
        <v>AVG</v>
      </c>
      <c r="AE4" s="195" t="str">
        <f t="shared" si="16"/>
        <v>WEAK</v>
      </c>
      <c r="AF4" s="193" t="str">
        <f t="shared" si="17"/>
        <v>VLOW</v>
      </c>
      <c r="AG4" s="193" t="str">
        <f t="shared" si="18"/>
        <v>FEMALE DOM</v>
      </c>
      <c r="AH4" s="193" t="str">
        <f t="shared" si="19"/>
        <v>O</v>
      </c>
      <c r="AI4" s="197">
        <f>G4-E4</f>
        <v>2.41935483870968</v>
      </c>
      <c r="AJ4" s="198" t="str">
        <f t="shared" si="20"/>
        <v>CONGRESSGAIN</v>
      </c>
    </row>
    <row r="5" spans="1:36">
      <c r="A5" s="184">
        <v>208</v>
      </c>
      <c r="B5" s="185" t="s">
        <v>356</v>
      </c>
      <c r="C5" s="184">
        <v>860</v>
      </c>
      <c r="D5" s="184">
        <v>496</v>
      </c>
      <c r="E5" s="184">
        <f t="shared" si="0"/>
        <v>57.6744186046512</v>
      </c>
      <c r="F5" s="184">
        <v>348</v>
      </c>
      <c r="G5" s="184">
        <f t="shared" si="1"/>
        <v>40.4651162790698</v>
      </c>
      <c r="H5" s="184">
        <v>2</v>
      </c>
      <c r="I5" s="184">
        <f t="shared" si="2"/>
        <v>0.232558139534884</v>
      </c>
      <c r="J5" s="184">
        <v>3</v>
      </c>
      <c r="K5" s="184">
        <f t="shared" si="3"/>
        <v>0.348837209302326</v>
      </c>
      <c r="L5" s="189">
        <v>560</v>
      </c>
      <c r="M5" s="189">
        <v>639</v>
      </c>
      <c r="N5" s="189">
        <f t="shared" si="4"/>
        <v>1199</v>
      </c>
      <c r="O5" s="184">
        <v>860</v>
      </c>
      <c r="P5" s="190">
        <f t="shared" si="5"/>
        <v>71.7264386989158</v>
      </c>
      <c r="Q5" s="184"/>
      <c r="R5" s="184">
        <f t="shared" si="6"/>
        <v>0</v>
      </c>
      <c r="S5" s="184">
        <f t="shared" si="7"/>
        <v>0</v>
      </c>
      <c r="T5" s="184" t="e">
        <f t="shared" si="8"/>
        <v>#DIV/0!</v>
      </c>
      <c r="U5" s="184"/>
      <c r="V5" s="191">
        <f t="shared" si="9"/>
        <v>0</v>
      </c>
      <c r="W5" s="184"/>
      <c r="X5" s="184">
        <f t="shared" si="10"/>
        <v>100</v>
      </c>
      <c r="Y5" s="196">
        <f t="shared" si="11"/>
        <v>0</v>
      </c>
      <c r="Z5" s="193" t="e">
        <f t="shared" si="12"/>
        <v>#DIV/0!</v>
      </c>
      <c r="AA5" s="193"/>
      <c r="AB5" s="194">
        <f t="shared" si="13"/>
        <v>0</v>
      </c>
      <c r="AC5" s="193">
        <f t="shared" si="14"/>
        <v>0</v>
      </c>
      <c r="AD5" s="193" t="str">
        <f t="shared" si="15"/>
        <v>STRONG</v>
      </c>
      <c r="AE5" s="195" t="str">
        <f t="shared" si="16"/>
        <v>VLOW</v>
      </c>
      <c r="AF5" s="193" t="str">
        <f t="shared" si="17"/>
        <v>EXCELLENT</v>
      </c>
      <c r="AG5" s="193" t="str">
        <f t="shared" si="18"/>
        <v>FEMALE DOM</v>
      </c>
      <c r="AH5" s="193" t="e">
        <f t="shared" si="19"/>
        <v>#DIV/0!</v>
      </c>
      <c r="AI5" s="197">
        <f t="shared" ref="AI5:AI7" si="21">E5-G5</f>
        <v>17.2093023255814</v>
      </c>
      <c r="AJ5" s="199" t="str">
        <f t="shared" si="20"/>
        <v>BJP GAIN</v>
      </c>
    </row>
    <row r="6" spans="1:36">
      <c r="A6" s="184">
        <v>209</v>
      </c>
      <c r="B6" s="185" t="s">
        <v>357</v>
      </c>
      <c r="C6" s="184">
        <v>887</v>
      </c>
      <c r="D6" s="184">
        <v>497</v>
      </c>
      <c r="E6" s="184">
        <f t="shared" si="0"/>
        <v>56.0315670800451</v>
      </c>
      <c r="F6" s="184">
        <v>367</v>
      </c>
      <c r="G6" s="184">
        <f t="shared" si="1"/>
        <v>41.3754227733935</v>
      </c>
      <c r="H6" s="184">
        <v>5</v>
      </c>
      <c r="I6" s="184">
        <f t="shared" si="2"/>
        <v>0.56369785794814</v>
      </c>
      <c r="J6" s="184">
        <v>4</v>
      </c>
      <c r="K6" s="184">
        <f t="shared" si="3"/>
        <v>0.450958286358512</v>
      </c>
      <c r="L6" s="189">
        <v>649</v>
      </c>
      <c r="M6" s="189">
        <v>669</v>
      </c>
      <c r="N6" s="189">
        <f t="shared" si="4"/>
        <v>1318</v>
      </c>
      <c r="O6" s="184">
        <v>887</v>
      </c>
      <c r="P6" s="190">
        <f t="shared" si="5"/>
        <v>67.298937784522</v>
      </c>
      <c r="Q6" s="184">
        <v>895</v>
      </c>
      <c r="R6" s="184">
        <f t="shared" si="6"/>
        <v>67.9059180576631</v>
      </c>
      <c r="S6" s="192">
        <f t="shared" si="7"/>
        <v>325</v>
      </c>
      <c r="T6" s="184">
        <f t="shared" si="8"/>
        <v>36.3128491620112</v>
      </c>
      <c r="U6" s="184">
        <v>570</v>
      </c>
      <c r="V6" s="191">
        <f t="shared" si="9"/>
        <v>63.6871508379888</v>
      </c>
      <c r="W6" s="184">
        <v>423</v>
      </c>
      <c r="X6" s="184">
        <f t="shared" si="10"/>
        <v>32.0940819423369</v>
      </c>
      <c r="Y6" s="184">
        <f t="shared" si="11"/>
        <v>108</v>
      </c>
      <c r="Z6" s="193">
        <f t="shared" si="12"/>
        <v>25.531914893617</v>
      </c>
      <c r="AA6" s="193">
        <v>315</v>
      </c>
      <c r="AB6" s="194">
        <f t="shared" si="13"/>
        <v>74.468085106383</v>
      </c>
      <c r="AC6" s="193">
        <f t="shared" si="14"/>
        <v>885</v>
      </c>
      <c r="AD6" s="193" t="str">
        <f t="shared" si="15"/>
        <v>AVG</v>
      </c>
      <c r="AE6" s="195" t="str">
        <f t="shared" si="16"/>
        <v>AVG</v>
      </c>
      <c r="AF6" s="193" t="str">
        <f t="shared" si="17"/>
        <v>VLOW</v>
      </c>
      <c r="AG6" s="193" t="str">
        <f t="shared" si="18"/>
        <v>FEMALE DOM</v>
      </c>
      <c r="AH6" s="193" t="str">
        <f t="shared" si="19"/>
        <v>H</v>
      </c>
      <c r="AI6" s="197">
        <f t="shared" si="21"/>
        <v>14.6561443066516</v>
      </c>
      <c r="AJ6" s="199" t="str">
        <f t="shared" si="20"/>
        <v>BJP GAIN</v>
      </c>
    </row>
    <row r="7" spans="1:36">
      <c r="A7" s="184">
        <v>210</v>
      </c>
      <c r="B7" s="185" t="s">
        <v>269</v>
      </c>
      <c r="C7" s="184">
        <v>642</v>
      </c>
      <c r="D7" s="184">
        <v>323</v>
      </c>
      <c r="E7" s="184">
        <f t="shared" si="0"/>
        <v>50.3115264797508</v>
      </c>
      <c r="F7" s="184">
        <v>306</v>
      </c>
      <c r="G7" s="184">
        <f t="shared" si="1"/>
        <v>47.6635514018692</v>
      </c>
      <c r="H7" s="184">
        <v>1</v>
      </c>
      <c r="I7" s="184">
        <f t="shared" si="2"/>
        <v>0.155763239875389</v>
      </c>
      <c r="J7" s="184">
        <v>7</v>
      </c>
      <c r="K7" s="184">
        <f t="shared" si="3"/>
        <v>1.09034267912773</v>
      </c>
      <c r="L7" s="189">
        <v>467</v>
      </c>
      <c r="M7" s="189">
        <v>496</v>
      </c>
      <c r="N7" s="189">
        <f t="shared" si="4"/>
        <v>963</v>
      </c>
      <c r="O7" s="184">
        <v>642</v>
      </c>
      <c r="P7" s="190">
        <f t="shared" si="5"/>
        <v>66.6666666666667</v>
      </c>
      <c r="Q7" s="184"/>
      <c r="R7" s="184">
        <f t="shared" si="6"/>
        <v>0</v>
      </c>
      <c r="S7" s="184">
        <f t="shared" si="7"/>
        <v>0</v>
      </c>
      <c r="T7" s="184" t="e">
        <f t="shared" si="8"/>
        <v>#DIV/0!</v>
      </c>
      <c r="U7" s="184"/>
      <c r="V7" s="191">
        <f t="shared" si="9"/>
        <v>0</v>
      </c>
      <c r="W7" s="184"/>
      <c r="X7" s="184">
        <f t="shared" si="10"/>
        <v>100</v>
      </c>
      <c r="Y7" s="184">
        <f t="shared" si="11"/>
        <v>0</v>
      </c>
      <c r="Z7" s="184" t="e">
        <f t="shared" si="12"/>
        <v>#DIV/0!</v>
      </c>
      <c r="AA7" s="184"/>
      <c r="AB7" s="191">
        <f t="shared" si="13"/>
        <v>0</v>
      </c>
      <c r="AC7" s="184">
        <f t="shared" si="14"/>
        <v>0</v>
      </c>
      <c r="AD7" s="184" t="str">
        <f t="shared" si="15"/>
        <v>AVG</v>
      </c>
      <c r="AE7" s="184" t="str">
        <f t="shared" si="16"/>
        <v>VLOW</v>
      </c>
      <c r="AF7" s="184" t="str">
        <f t="shared" si="17"/>
        <v>EXCELLENT</v>
      </c>
      <c r="AG7" s="184" t="str">
        <f t="shared" si="18"/>
        <v>FEMALE DOM</v>
      </c>
      <c r="AH7" s="184" t="e">
        <f t="shared" si="19"/>
        <v>#DIV/0!</v>
      </c>
      <c r="AI7" s="184">
        <f t="shared" si="21"/>
        <v>2.64797507788163</v>
      </c>
      <c r="AJ7" s="184" t="str">
        <f t="shared" si="20"/>
        <v>BJP GAIN</v>
      </c>
    </row>
    <row r="8" spans="3:11">
      <c r="C8">
        <f>SUM(C2:C7)</f>
        <v>4870</v>
      </c>
      <c r="D8">
        <f>SUM(D2:D7)</f>
        <v>2311</v>
      </c>
      <c r="E8" s="186">
        <f>AVERAGE(E2:E7)</f>
        <v>47.7005097894663</v>
      </c>
      <c r="F8">
        <f>SUM(F2:F7)</f>
        <v>2430</v>
      </c>
      <c r="G8" s="186">
        <f>AVERAGE(G2:G7)</f>
        <v>49.677676032436</v>
      </c>
      <c r="H8">
        <f>SUM(H2:H7)</f>
        <v>40</v>
      </c>
      <c r="I8" s="186">
        <f>AVERAGE(I2:I7)</f>
        <v>0.77955501141387</v>
      </c>
      <c r="J8">
        <f>SUM(J2:J7)</f>
        <v>32</v>
      </c>
      <c r="K8" s="186">
        <f>AVERAGE(K2:K7)</f>
        <v>0.699951898719625</v>
      </c>
    </row>
  </sheetData>
  <conditionalFormatting sqref="AD2">
    <cfRule type="containsText" dxfId="8" priority="45" operator="between" text="AVG">
      <formula>NOT(ISERROR(SEARCH("AVG",AD2)))</formula>
    </cfRule>
    <cfRule type="cellIs" dxfId="9" priority="44" operator="equal">
      <formula>"STRONG"</formula>
    </cfRule>
    <cfRule type="containsText" dxfId="3" priority="43" operator="between" text="VSTRONG">
      <formula>NOT(ISERROR(SEARCH("VSTRONG",AD2)))</formula>
    </cfRule>
    <cfRule type="containsText" dxfId="10" priority="35" operator="between" text="AVG">
      <formula>NOT(ISERROR(SEARCH("AVG",AD2)))</formula>
    </cfRule>
  </conditionalFormatting>
  <conditionalFormatting sqref="AE2">
    <cfRule type="containsText" dxfId="3" priority="39" operator="between" text="STRONG">
      <formula>NOT(ISERROR(SEARCH("STRONG",AE2)))</formula>
    </cfRule>
    <cfRule type="containsText" dxfId="1" priority="37" operator="between" text="VSTRONG">
      <formula>NOT(ISERROR(SEARCH("VSTRONG",AE2)))</formula>
    </cfRule>
  </conditionalFormatting>
  <conditionalFormatting sqref="AE2:AF2">
    <cfRule type="containsText" dxfId="2" priority="38" operator="between" text="AVG">
      <formula>NOT(ISERROR(SEARCH("AVG",AE2)))</formula>
    </cfRule>
  </conditionalFormatting>
  <conditionalFormatting sqref="AF2">
    <cfRule type="cellIs" dxfId="11" priority="33" operator="equal">
      <formula>"VWEAK"</formula>
    </cfRule>
    <cfRule type="containsText" dxfId="0" priority="32" operator="between" text="VSTRONG">
      <formula>NOT(ISERROR(SEARCH("VSTRONG",AF2)))</formula>
    </cfRule>
  </conditionalFormatting>
  <conditionalFormatting sqref="AG2">
    <cfRule type="containsText" dxfId="12" priority="36" operator="between" text="FEMALE DOM">
      <formula>NOT(ISERROR(SEARCH("FEMALE DOM",AG2)))</formula>
    </cfRule>
    <cfRule type="containsText" dxfId="10" priority="31" operator="between" text="MEN">
      <formula>NOT(ISERROR(SEARCH("MEN",AG2)))</formula>
    </cfRule>
  </conditionalFormatting>
  <conditionalFormatting sqref="AH2">
    <cfRule type="containsText" dxfId="0" priority="42" operator="between" text="O">
      <formula>NOT(ISERROR(SEARCH("O",AH2)))</formula>
    </cfRule>
    <cfRule type="containsText" dxfId="3" priority="40" operator="between" text="H">
      <formula>NOT(ISERROR(SEARCH("H",AH2)))</formula>
    </cfRule>
    <cfRule type="containsText" dxfId="13" priority="41" operator="between" text="H">
      <formula>NOT(ISERROR(SEARCH("H",AH2)))</formula>
    </cfRule>
    <cfRule type="containsText" dxfId="1" priority="34" operator="between" text="H">
      <formula>NOT(ISERROR(SEARCH("H",AH2)))</formula>
    </cfRule>
  </conditionalFormatting>
  <conditionalFormatting sqref="AD3:AD4">
    <cfRule type="containsText" dxfId="8" priority="30" operator="between" text="AVG">
      <formula>NOT(ISERROR(SEARCH("AVG",AD3)))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NOT(ISERROR(SEARCH("VSTRONG",AD3)))</formula>
    </cfRule>
    <cfRule type="containsText" dxfId="10" priority="20" operator="between" text="AVG">
      <formula>NOT(ISERROR(SEARCH("AVG",AD3)))</formula>
    </cfRule>
  </conditionalFormatting>
  <conditionalFormatting sqref="AD5:AD7">
    <cfRule type="containsText" dxfId="8" priority="15" operator="between" text="AVG">
      <formula>NOT(ISERROR(SEARCH("AVG",AD5)))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NOT(ISERROR(SEARCH("VSTRONG",AD5)))</formula>
    </cfRule>
    <cfRule type="containsText" dxfId="10" priority="5" operator="between" text="AVG">
      <formula>NOT(ISERROR(SEARCH("AVG",AD5)))</formula>
    </cfRule>
  </conditionalFormatting>
  <conditionalFormatting sqref="AE3:AE4">
    <cfRule type="containsText" dxfId="3" priority="24" operator="between" text="STRONG">
      <formula>NOT(ISERROR(SEARCH("STRONG",AE3)))</formula>
    </cfRule>
    <cfRule type="containsText" dxfId="1" priority="22" operator="between" text="VSTRONG">
      <formula>NOT(ISERROR(SEARCH("VSTRONG",AE3)))</formula>
    </cfRule>
  </conditionalFormatting>
  <conditionalFormatting sqref="AE5:AE7">
    <cfRule type="containsText" dxfId="3" priority="9" operator="between" text="STRONG">
      <formula>NOT(ISERROR(SEARCH("STRONG",AE5)))</formula>
    </cfRule>
    <cfRule type="containsText" dxfId="1" priority="7" operator="between" text="VSTRONG">
      <formula>NOT(ISERROR(SEARCH("VSTRONG",AE5)))</formula>
    </cfRule>
  </conditionalFormatting>
  <conditionalFormatting sqref="AF3:AF4">
    <cfRule type="cellIs" dxfId="11" priority="18" operator="equal">
      <formula>"VWEAK"</formula>
    </cfRule>
    <cfRule type="containsText" dxfId="0" priority="17" operator="between" text="VSTRONG">
      <formula>NOT(ISERROR(SEARCH("VSTRONG",AF3)))</formula>
    </cfRule>
  </conditionalFormatting>
  <conditionalFormatting sqref="AF5:AF7">
    <cfRule type="cellIs" dxfId="11" priority="3" operator="equal">
      <formula>"VWEAK"</formula>
    </cfRule>
    <cfRule type="containsText" dxfId="0" priority="2" operator="between" text="VSTRONG">
      <formula>NOT(ISERROR(SEARCH("VSTRONG",AF5)))</formula>
    </cfRule>
  </conditionalFormatting>
  <conditionalFormatting sqref="AG3:AG4">
    <cfRule type="containsText" dxfId="12" priority="21" operator="between" text="FEMALE DOM">
      <formula>NOT(ISERROR(SEARCH("FEMALE DOM",AG3)))</formula>
    </cfRule>
    <cfRule type="containsText" dxfId="10" priority="16" operator="between" text="MEN">
      <formula>NOT(ISERROR(SEARCH("MEN",AG3)))</formula>
    </cfRule>
  </conditionalFormatting>
  <conditionalFormatting sqref="AG5:AG7">
    <cfRule type="containsText" dxfId="12" priority="6" operator="between" text="FEMALE DOM">
      <formula>NOT(ISERROR(SEARCH("FEMALE DOM",AG5)))</formula>
    </cfRule>
    <cfRule type="containsText" dxfId="10" priority="1" operator="between" text="MEN">
      <formula>NOT(ISERROR(SEARCH("MEN",AG5)))</formula>
    </cfRule>
  </conditionalFormatting>
  <conditionalFormatting sqref="AH3:AH4">
    <cfRule type="containsText" dxfId="0" priority="27" operator="between" text="O">
      <formula>NOT(ISERROR(SEARCH("O",AH3)))</formula>
    </cfRule>
    <cfRule type="containsText" dxfId="3" priority="25" operator="between" text="H">
      <formula>NOT(ISERROR(SEARCH("H",AH3)))</formula>
    </cfRule>
    <cfRule type="containsText" dxfId="13" priority="26" operator="between" text="H">
      <formula>NOT(ISERROR(SEARCH("H",AH3)))</formula>
    </cfRule>
    <cfRule type="containsText" dxfId="1" priority="19" operator="between" text="H">
      <formula>NOT(ISERROR(SEARCH("H",AH3)))</formula>
    </cfRule>
  </conditionalFormatting>
  <conditionalFormatting sqref="AH5:AH7">
    <cfRule type="containsText" dxfId="0" priority="12" operator="between" text="O">
      <formula>NOT(ISERROR(SEARCH("O",AH5)))</formula>
    </cfRule>
    <cfRule type="containsText" dxfId="3" priority="10" operator="between" text="H">
      <formula>NOT(ISERROR(SEARCH("H",AH5)))</formula>
    </cfRule>
    <cfRule type="containsText" dxfId="13" priority="11" operator="between" text="H">
      <formula>NOT(ISERROR(SEARCH("H",AH5)))</formula>
    </cfRule>
    <cfRule type="containsText" dxfId="1" priority="4" operator="between" text="H">
      <formula>NOT(ISERROR(SEARCH("H",AH5)))</formula>
    </cfRule>
  </conditionalFormatting>
  <conditionalFormatting sqref="AE3:AF4">
    <cfRule type="containsText" dxfId="2" priority="23" operator="between" text="AVG">
      <formula>NOT(ISERROR(SEARCH("AVG",AE3)))</formula>
    </cfRule>
  </conditionalFormatting>
  <conditionalFormatting sqref="AE5:AF7">
    <cfRule type="containsText" dxfId="2" priority="8" operator="between" text="AVG">
      <formula>NOT(ISERROR(SEARCH("AVG",AE5)))</formula>
    </cfRule>
  </conditionalFormatting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2"/>
  <sheetViews>
    <sheetView zoomScale="71" zoomScaleNormal="71" workbookViewId="0">
      <selection activeCell="AC24" sqref="AC24:AF25"/>
    </sheetView>
  </sheetViews>
  <sheetFormatPr defaultColWidth="9" defaultRowHeight="14.5"/>
  <cols>
    <col min="26" max="26" width="13" customWidth="1"/>
    <col min="27" max="27" width="14.4272727272727" customWidth="1"/>
  </cols>
  <sheetData>
    <row r="1" spans="1:53">
      <c r="A1" s="201" t="s">
        <v>16</v>
      </c>
      <c r="B1" s="264" t="s">
        <v>177</v>
      </c>
      <c r="C1" s="201" t="s">
        <v>15</v>
      </c>
      <c r="D1" s="201" t="s">
        <v>1</v>
      </c>
      <c r="E1" s="201"/>
      <c r="F1" s="201"/>
      <c r="G1" s="201"/>
      <c r="H1" s="201"/>
      <c r="I1" s="201"/>
      <c r="J1" s="201"/>
      <c r="K1" s="201"/>
      <c r="L1" s="201" t="s">
        <v>2</v>
      </c>
      <c r="M1" s="201" t="s">
        <v>3</v>
      </c>
      <c r="N1" s="201" t="s">
        <v>4</v>
      </c>
      <c r="O1" s="201" t="s">
        <v>5</v>
      </c>
      <c r="P1" s="201" t="s">
        <v>17</v>
      </c>
      <c r="Q1" s="264" t="s">
        <v>18</v>
      </c>
      <c r="R1" s="201" t="s">
        <v>19</v>
      </c>
      <c r="S1" s="264" t="s">
        <v>20</v>
      </c>
      <c r="T1" s="264" t="s">
        <v>21</v>
      </c>
      <c r="U1" s="201" t="s">
        <v>22</v>
      </c>
      <c r="V1" s="264" t="s">
        <v>23</v>
      </c>
      <c r="W1" s="201" t="s">
        <v>286</v>
      </c>
      <c r="X1" s="201" t="s">
        <v>287</v>
      </c>
      <c r="Y1" s="201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64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64"/>
      <c r="R2" s="201"/>
      <c r="S2" s="264"/>
      <c r="T2" s="264"/>
      <c r="U2" s="201"/>
      <c r="V2" s="264"/>
      <c r="W2" s="201"/>
      <c r="X2" s="201"/>
      <c r="Y2" s="201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64"/>
      <c r="C3" s="201"/>
      <c r="D3" s="201" t="s">
        <v>7</v>
      </c>
      <c r="E3" s="201" t="s">
        <v>8</v>
      </c>
      <c r="F3" s="201" t="s">
        <v>9</v>
      </c>
      <c r="G3" s="201" t="s">
        <v>10</v>
      </c>
      <c r="H3" s="201" t="s">
        <v>11</v>
      </c>
      <c r="I3" s="201" t="s">
        <v>12</v>
      </c>
      <c r="J3" s="201" t="s">
        <v>9</v>
      </c>
      <c r="K3" s="201" t="s">
        <v>13</v>
      </c>
      <c r="L3" s="201"/>
      <c r="M3" s="201"/>
      <c r="N3" s="201"/>
      <c r="O3" s="201"/>
      <c r="P3" s="201"/>
      <c r="Q3" s="264"/>
      <c r="R3" s="201"/>
      <c r="S3" s="264"/>
      <c r="T3" s="264"/>
      <c r="U3" s="201"/>
      <c r="V3" s="264"/>
      <c r="W3" s="201"/>
      <c r="X3" s="201"/>
      <c r="Y3" s="201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64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64"/>
      <c r="R4" s="201"/>
      <c r="S4" s="264"/>
      <c r="T4" s="264"/>
      <c r="U4" s="201"/>
      <c r="V4" s="264"/>
      <c r="W4" s="201"/>
      <c r="X4" s="201"/>
      <c r="Y4" s="201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64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64"/>
      <c r="R5" s="201"/>
      <c r="S5" s="264"/>
      <c r="T5" s="264"/>
      <c r="U5" s="201"/>
      <c r="V5" s="264"/>
      <c r="W5" s="201"/>
      <c r="X5" s="201"/>
      <c r="Y5" s="201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64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64"/>
      <c r="R6" s="201"/>
      <c r="S6" s="264"/>
      <c r="T6" s="264"/>
      <c r="U6" s="201"/>
      <c r="V6" s="264"/>
      <c r="W6" s="201"/>
      <c r="X6" s="201"/>
      <c r="Y6" s="201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ht="29" spans="1:53">
      <c r="A7" s="330" t="s">
        <v>63</v>
      </c>
      <c r="B7" s="215">
        <v>128</v>
      </c>
      <c r="C7" s="215">
        <v>991</v>
      </c>
      <c r="D7" s="215">
        <v>311</v>
      </c>
      <c r="E7" s="215">
        <v>275</v>
      </c>
      <c r="F7" s="215">
        <v>2</v>
      </c>
      <c r="G7" s="215">
        <v>4</v>
      </c>
      <c r="H7" s="215">
        <v>0</v>
      </c>
      <c r="I7" s="215">
        <v>0</v>
      </c>
      <c r="J7" s="215">
        <v>1</v>
      </c>
      <c r="K7" s="215">
        <v>0</v>
      </c>
      <c r="L7" s="215">
        <v>593</v>
      </c>
      <c r="M7" s="215">
        <v>0</v>
      </c>
      <c r="N7" s="215">
        <v>6</v>
      </c>
      <c r="O7" s="215">
        <f t="shared" ref="O7:O11" si="0">D7+E7+F7+G7+H7+I7+J7+K7+N7</f>
        <v>599</v>
      </c>
      <c r="P7" s="215">
        <f t="shared" ref="P7:P11" si="1">(O7/C7)*100</f>
        <v>60.4439959636731</v>
      </c>
      <c r="Q7" s="215">
        <f t="shared" ref="Q7:Q11" si="2">(E7/O7)*100</f>
        <v>45.9098497495826</v>
      </c>
      <c r="R7" s="215">
        <f t="shared" ref="R7:R11" si="3">(D7/O7)*100</f>
        <v>51.9198664440735</v>
      </c>
      <c r="S7" s="215">
        <f t="shared" ref="S7:S11" si="4">(F7/O7)*100</f>
        <v>0.333889816360601</v>
      </c>
      <c r="T7" s="215">
        <f t="shared" ref="T7:T11" si="5">(G7/O7)*100</f>
        <v>0.667779632721202</v>
      </c>
      <c r="U7" s="215">
        <f t="shared" ref="U7:U11" si="6">((H7+I7+J7+K7)/O7)*100</f>
        <v>0.1669449081803</v>
      </c>
      <c r="V7" s="215">
        <f t="shared" ref="V7:V11" si="7">(N7/O7)*100</f>
        <v>1.0016694490818</v>
      </c>
      <c r="W7" s="215">
        <f>Q7-R7</f>
        <v>-6.01001669449082</v>
      </c>
      <c r="X7" s="215">
        <f>Q7-(R7+S7+T7+U7)</f>
        <v>-7.17863105175292</v>
      </c>
      <c r="Y7" s="215" t="str">
        <f>IF(AND(W7&lt;0,W7&lt;=1),"LOST",IF(AND(W7&gt;1,W7&lt;=10),"NARROW",IF(AND(W7&gt;10,W7&lt;=40),"MEDIUM",IF(AND(W7&gt;40,W7&lt;=90),"STRONG",""))))</f>
        <v>LOST</v>
      </c>
      <c r="Z7" s="283" t="str">
        <f>IF(AND(P7&lt;0,P7&lt;=10),"WEAK",IF(AND(P7&gt;10,P7&lt;20),"BELOW AVG",IF(AND(P7&gt;20,P7&lt;=60),"MEDIUM",IF(AND(P7&gt;60,P7&lt;=90),"STRONG",""))))</f>
        <v>STRONG</v>
      </c>
      <c r="AA7" s="284" t="str">
        <f>IF(Q7&gt;R7,"BJP","CONGRESS")</f>
        <v>CONGRESS</v>
      </c>
      <c r="AB7">
        <v>984</v>
      </c>
      <c r="AC7">
        <v>592</v>
      </c>
      <c r="AD7">
        <v>465</v>
      </c>
      <c r="AE7">
        <v>272</v>
      </c>
      <c r="AF7">
        <v>519</v>
      </c>
      <c r="AG7">
        <v>320</v>
      </c>
      <c r="AH7">
        <v>569</v>
      </c>
      <c r="AI7">
        <v>372</v>
      </c>
      <c r="AJ7">
        <v>175</v>
      </c>
      <c r="AK7">
        <v>91</v>
      </c>
      <c r="AL7">
        <v>240</v>
      </c>
      <c r="AM7">
        <v>129</v>
      </c>
      <c r="AN7" s="248">
        <f>(AD7/AB7)*100</f>
        <v>47.2560975609756</v>
      </c>
      <c r="AO7" s="316">
        <f>(AE7/AC7)*100</f>
        <v>45.945945945946</v>
      </c>
      <c r="AP7" s="317">
        <f>(AF7/AB7)*100</f>
        <v>52.7439024390244</v>
      </c>
      <c r="AQ7" s="318">
        <f>(AG7/AC7)*100</f>
        <v>54.0540540540541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57.8252032520325</v>
      </c>
      <c r="AU7" s="317">
        <f>(AI7/AC7)*100</f>
        <v>62.8378378378378</v>
      </c>
      <c r="AV7" s="248">
        <f>(AJ7/AB7)*100</f>
        <v>17.7845528455285</v>
      </c>
      <c r="AW7" s="317">
        <f>(AK7/AC7)*100</f>
        <v>15.3716216216216</v>
      </c>
      <c r="AX7" s="248">
        <f>(AL7/AB7)*100</f>
        <v>24.390243902439</v>
      </c>
      <c r="AY7" s="317">
        <f>(AM7/AC7)*100</f>
        <v>21.7905405405405</v>
      </c>
      <c r="AZ7" s="248" t="str">
        <f>IF(AT7&gt;(AV7+AX7),"HINDU","MINORITY")</f>
        <v>HINDU</v>
      </c>
      <c r="BA7" s="318" t="str">
        <f>IF(AU7&gt;(AW7+AY7),"HIND","MINORITY")</f>
        <v>HIND</v>
      </c>
    </row>
    <row r="8" spans="2:53">
      <c r="B8" s="215">
        <v>130</v>
      </c>
      <c r="C8" s="215">
        <v>881</v>
      </c>
      <c r="D8" s="215">
        <v>357</v>
      </c>
      <c r="E8" s="215">
        <v>111</v>
      </c>
      <c r="F8" s="215">
        <v>4</v>
      </c>
      <c r="G8" s="215">
        <v>6</v>
      </c>
      <c r="H8" s="215">
        <v>0</v>
      </c>
      <c r="I8" s="215">
        <v>1</v>
      </c>
      <c r="J8" s="215">
        <v>0</v>
      </c>
      <c r="K8" s="215">
        <v>0</v>
      </c>
      <c r="L8" s="215">
        <v>479</v>
      </c>
      <c r="M8" s="215">
        <v>0</v>
      </c>
      <c r="N8" s="215">
        <v>0</v>
      </c>
      <c r="O8" s="215">
        <f t="shared" si="0"/>
        <v>479</v>
      </c>
      <c r="P8" s="215">
        <f t="shared" si="1"/>
        <v>54.3700340522134</v>
      </c>
      <c r="Q8" s="215">
        <f t="shared" si="2"/>
        <v>23.1732776617954</v>
      </c>
      <c r="R8" s="215">
        <f t="shared" si="3"/>
        <v>74.5302713987474</v>
      </c>
      <c r="S8" s="215">
        <f t="shared" si="4"/>
        <v>0.835073068893528</v>
      </c>
      <c r="T8" s="215">
        <f t="shared" si="5"/>
        <v>1.25260960334029</v>
      </c>
      <c r="U8" s="215">
        <f t="shared" si="6"/>
        <v>0.208768267223382</v>
      </c>
      <c r="V8" s="215">
        <f t="shared" si="7"/>
        <v>0</v>
      </c>
      <c r="W8" s="215">
        <f t="shared" ref="W8:W11" si="8">Q8-R8</f>
        <v>-51.356993736952</v>
      </c>
      <c r="X8" s="215">
        <f t="shared" ref="X8:X11" si="9">Q8-(R8+S8+T8+U8)</f>
        <v>-53.6534446764092</v>
      </c>
      <c r="Y8" s="215" t="str">
        <f t="shared" ref="Y8:Y12" si="10">IF(AND(W8&lt;0,W8&lt;=1),"LOST",IF(AND(W8&gt;1,W8&lt;=10),"NARROW",IF(AND(W8&gt;10,W8&lt;=40),"MEDIUM",IF(AND(W8&gt;40,W8&lt;=90),"STRONG",""))))</f>
        <v>LOST</v>
      </c>
      <c r="Z8" s="291" t="str">
        <f t="shared" ref="Z8:Z12" si="11">IF(AND(P8&lt;0,P8&lt;=10),"WEAK",IF(AND(P8&gt;10,P8&lt;20),"BELOW AVG",IF(AND(P8&gt;20,P8&lt;=60),"MEDIUM",IF(AND(P8&gt;60,P8&lt;=90),"STRONG",""))))</f>
        <v>MEDIUM</v>
      </c>
      <c r="AA8" s="286" t="str">
        <f t="shared" ref="AA8:AA10" si="12">IF(Q8&gt;R8,"BJP","CONGRESS")</f>
        <v>CONGRESS</v>
      </c>
      <c r="AB8">
        <v>874</v>
      </c>
      <c r="AC8">
        <v>478</v>
      </c>
      <c r="AD8">
        <v>284</v>
      </c>
      <c r="AE8">
        <v>172</v>
      </c>
      <c r="AF8">
        <v>590</v>
      </c>
      <c r="AG8">
        <v>306</v>
      </c>
      <c r="AH8">
        <v>219</v>
      </c>
      <c r="AI8">
        <v>120</v>
      </c>
      <c r="AJ8">
        <v>14</v>
      </c>
      <c r="AK8">
        <v>9</v>
      </c>
      <c r="AL8">
        <v>641</v>
      </c>
      <c r="AM8">
        <v>349</v>
      </c>
      <c r="AN8" s="248">
        <f t="shared" ref="AN8:AO10" si="13">(AD8/AB8)*100</f>
        <v>32.4942791762014</v>
      </c>
      <c r="AO8" s="316">
        <f t="shared" si="13"/>
        <v>35.9832635983264</v>
      </c>
      <c r="AP8" s="317">
        <f t="shared" ref="AP8:AQ10" si="14">(AF8/AB8)*100</f>
        <v>67.5057208237986</v>
      </c>
      <c r="AQ8" s="318">
        <f t="shared" si="14"/>
        <v>64.0167364016736</v>
      </c>
      <c r="AR8" s="318" t="str">
        <f t="shared" ref="AR8:AR11" si="15">IF(AN8&gt;AP8,"MALE DOM","FEMALE DOM")</f>
        <v>FEMALE DOM</v>
      </c>
      <c r="AS8" s="319" t="str">
        <f t="shared" ref="AS8:AS11" si="16">IF(AO8&gt;AP8,"MALE","FEMALE")</f>
        <v>FEMALE</v>
      </c>
      <c r="AT8" s="317">
        <f t="shared" ref="AT8:AU10" si="17">(AH8/AB8)*100</f>
        <v>25.0572082379863</v>
      </c>
      <c r="AU8" s="317">
        <f t="shared" si="17"/>
        <v>25.1046025104602</v>
      </c>
      <c r="AV8" s="248">
        <f t="shared" ref="AV8:AW10" si="18">(AJ8/AB8)*100</f>
        <v>1.60183066361556</v>
      </c>
      <c r="AW8" s="317">
        <f t="shared" si="18"/>
        <v>1.88284518828452</v>
      </c>
      <c r="AX8" s="248">
        <f t="shared" ref="AX8:AY10" si="19">(AL8/AB8)*100</f>
        <v>73.3409610983982</v>
      </c>
      <c r="AY8" s="317">
        <f t="shared" si="19"/>
        <v>73.0125523012552</v>
      </c>
      <c r="AZ8" s="248" t="str">
        <f t="shared" ref="AZ8:AZ11" si="20">IF(AT8&gt;(AV8+AX8),"HINDU","MINORITY")</f>
        <v>MINORITY</v>
      </c>
      <c r="BA8" s="318" t="str">
        <f t="shared" ref="BA8:BA11" si="21">IF(AU8&gt;(AW8+AY8),"HIND","MINORITY")</f>
        <v>MINORITY</v>
      </c>
    </row>
    <row r="9" spans="2:53">
      <c r="B9" s="219">
        <v>58</v>
      </c>
      <c r="C9" s="219">
        <v>926</v>
      </c>
      <c r="D9" s="219">
        <v>247</v>
      </c>
      <c r="E9" s="219">
        <v>414</v>
      </c>
      <c r="F9" s="219">
        <v>1</v>
      </c>
      <c r="G9" s="219">
        <v>5</v>
      </c>
      <c r="H9" s="219">
        <v>0</v>
      </c>
      <c r="I9" s="219">
        <v>0</v>
      </c>
      <c r="J9" s="219">
        <v>0</v>
      </c>
      <c r="K9" s="219">
        <v>1</v>
      </c>
      <c r="L9" s="219">
        <v>668</v>
      </c>
      <c r="M9" s="219">
        <v>0</v>
      </c>
      <c r="N9" s="219">
        <v>4</v>
      </c>
      <c r="O9" s="219">
        <f t="shared" si="0"/>
        <v>672</v>
      </c>
      <c r="P9" s="219">
        <f t="shared" si="1"/>
        <v>72.5701943844493</v>
      </c>
      <c r="Q9" s="219">
        <f t="shared" si="2"/>
        <v>61.6071428571429</v>
      </c>
      <c r="R9" s="219">
        <f t="shared" si="3"/>
        <v>36.7559523809524</v>
      </c>
      <c r="S9" s="219">
        <f t="shared" si="4"/>
        <v>0.148809523809524</v>
      </c>
      <c r="T9" s="219">
        <f t="shared" si="5"/>
        <v>0.744047619047619</v>
      </c>
      <c r="U9" s="219">
        <f t="shared" si="6"/>
        <v>0.148809523809524</v>
      </c>
      <c r="V9" s="219">
        <f t="shared" si="7"/>
        <v>0.595238095238095</v>
      </c>
      <c r="W9" s="219">
        <f t="shared" si="8"/>
        <v>24.8511904761905</v>
      </c>
      <c r="X9" s="219">
        <f t="shared" si="9"/>
        <v>23.8095238095238</v>
      </c>
      <c r="Y9" s="219" t="str">
        <f t="shared" si="10"/>
        <v>MEDIUM</v>
      </c>
      <c r="Z9" s="283" t="str">
        <f t="shared" si="11"/>
        <v>STRONG</v>
      </c>
      <c r="AA9" s="289" t="str">
        <f t="shared" si="12"/>
        <v>BJP</v>
      </c>
      <c r="AB9">
        <v>923</v>
      </c>
      <c r="AC9">
        <v>630</v>
      </c>
      <c r="AD9">
        <v>446</v>
      </c>
      <c r="AE9">
        <v>307</v>
      </c>
      <c r="AF9">
        <v>477</v>
      </c>
      <c r="AG9">
        <v>323</v>
      </c>
      <c r="AH9">
        <v>598</v>
      </c>
      <c r="AI9">
        <v>446</v>
      </c>
      <c r="AJ9">
        <v>240</v>
      </c>
      <c r="AK9">
        <v>135</v>
      </c>
      <c r="AL9">
        <v>85</v>
      </c>
      <c r="AM9">
        <v>49</v>
      </c>
      <c r="AN9" s="248">
        <f t="shared" si="13"/>
        <v>48.3206933911159</v>
      </c>
      <c r="AO9" s="316">
        <f t="shared" si="13"/>
        <v>48.7301587301587</v>
      </c>
      <c r="AP9" s="317">
        <f t="shared" si="14"/>
        <v>51.6793066088841</v>
      </c>
      <c r="AQ9" s="318">
        <f t="shared" si="14"/>
        <v>51.2698412698413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64.7887323943662</v>
      </c>
      <c r="AU9" s="317">
        <f t="shared" si="17"/>
        <v>70.7936507936508</v>
      </c>
      <c r="AV9" s="248">
        <f t="shared" si="18"/>
        <v>26.0021668472373</v>
      </c>
      <c r="AW9" s="317">
        <f t="shared" si="18"/>
        <v>21.4285714285714</v>
      </c>
      <c r="AX9" s="248">
        <f t="shared" si="19"/>
        <v>9.20910075839653</v>
      </c>
      <c r="AY9" s="317">
        <f t="shared" si="19"/>
        <v>7.77777777777778</v>
      </c>
      <c r="AZ9" s="248" t="str">
        <f t="shared" si="20"/>
        <v>HINDU</v>
      </c>
      <c r="BA9" s="318" t="str">
        <f t="shared" si="21"/>
        <v>HIND</v>
      </c>
    </row>
    <row r="10" spans="2:53">
      <c r="B10" s="215">
        <v>135</v>
      </c>
      <c r="C10" s="215">
        <v>1241</v>
      </c>
      <c r="D10" s="215">
        <v>365</v>
      </c>
      <c r="E10" s="215">
        <v>327</v>
      </c>
      <c r="F10" s="215">
        <v>1</v>
      </c>
      <c r="G10" s="215">
        <v>2</v>
      </c>
      <c r="H10" s="215">
        <v>0</v>
      </c>
      <c r="I10" s="215">
        <v>1</v>
      </c>
      <c r="J10" s="215">
        <v>0</v>
      </c>
      <c r="K10" s="215">
        <v>0</v>
      </c>
      <c r="L10" s="215">
        <v>696</v>
      </c>
      <c r="M10" s="215">
        <v>0</v>
      </c>
      <c r="N10" s="215">
        <v>4</v>
      </c>
      <c r="O10" s="215">
        <f t="shared" si="0"/>
        <v>700</v>
      </c>
      <c r="P10" s="215">
        <f t="shared" si="1"/>
        <v>56.406124093473</v>
      </c>
      <c r="Q10" s="215">
        <f t="shared" si="2"/>
        <v>46.7142857142857</v>
      </c>
      <c r="R10" s="215">
        <f t="shared" si="3"/>
        <v>52.1428571428571</v>
      </c>
      <c r="S10" s="215">
        <f t="shared" si="4"/>
        <v>0.142857142857143</v>
      </c>
      <c r="T10" s="215">
        <f t="shared" si="5"/>
        <v>0.285714285714286</v>
      </c>
      <c r="U10" s="215">
        <f t="shared" si="6"/>
        <v>0.142857142857143</v>
      </c>
      <c r="V10" s="215">
        <f t="shared" si="7"/>
        <v>0.571428571428571</v>
      </c>
      <c r="W10" s="215">
        <f t="shared" si="8"/>
        <v>-5.42857142857143</v>
      </c>
      <c r="X10" s="215">
        <f t="shared" si="9"/>
        <v>-6.00000000000001</v>
      </c>
      <c r="Y10" s="215" t="str">
        <f t="shared" si="10"/>
        <v>LOST</v>
      </c>
      <c r="Z10" s="331" t="str">
        <f t="shared" si="11"/>
        <v>MEDIUM</v>
      </c>
      <c r="AA10" s="284" t="str">
        <f t="shared" si="12"/>
        <v>CONGRESS</v>
      </c>
      <c r="AB10">
        <v>1238</v>
      </c>
      <c r="AC10">
        <v>683</v>
      </c>
      <c r="AD10">
        <v>572</v>
      </c>
      <c r="AE10">
        <v>317</v>
      </c>
      <c r="AF10">
        <v>666</v>
      </c>
      <c r="AG10">
        <v>366</v>
      </c>
      <c r="AH10">
        <v>633</v>
      </c>
      <c r="AI10">
        <v>386</v>
      </c>
      <c r="AJ10">
        <v>69</v>
      </c>
      <c r="AK10">
        <v>24</v>
      </c>
      <c r="AL10">
        <v>536</v>
      </c>
      <c r="AM10">
        <v>273</v>
      </c>
      <c r="AN10" s="248">
        <f t="shared" si="13"/>
        <v>46.2035541195477</v>
      </c>
      <c r="AO10" s="316">
        <f t="shared" si="13"/>
        <v>46.4128843338214</v>
      </c>
      <c r="AP10" s="317">
        <f t="shared" si="14"/>
        <v>53.7964458804523</v>
      </c>
      <c r="AQ10" s="318">
        <f t="shared" si="14"/>
        <v>53.5871156661786</v>
      </c>
      <c r="AR10" s="318" t="str">
        <f t="shared" si="15"/>
        <v>FEMALE DOM</v>
      </c>
      <c r="AS10" s="319" t="str">
        <f t="shared" si="16"/>
        <v>FEMALE</v>
      </c>
      <c r="AT10" s="317">
        <f t="shared" si="17"/>
        <v>51.1308562197092</v>
      </c>
      <c r="AU10" s="317">
        <f t="shared" si="17"/>
        <v>56.5153733528551</v>
      </c>
      <c r="AV10" s="248">
        <f t="shared" si="18"/>
        <v>5.5735056542811</v>
      </c>
      <c r="AW10" s="317">
        <f t="shared" si="18"/>
        <v>3.51390922401171</v>
      </c>
      <c r="AX10" s="248">
        <f t="shared" si="19"/>
        <v>43.2956381260097</v>
      </c>
      <c r="AY10" s="317">
        <f t="shared" si="19"/>
        <v>39.9707174231332</v>
      </c>
      <c r="AZ10" s="248" t="str">
        <f t="shared" si="20"/>
        <v>HINDU</v>
      </c>
      <c r="BA10" s="318" t="str">
        <f t="shared" si="21"/>
        <v>HIND</v>
      </c>
    </row>
    <row r="11" spans="2:53">
      <c r="B11" s="219">
        <v>131</v>
      </c>
      <c r="C11" s="219">
        <v>712</v>
      </c>
      <c r="D11" s="219">
        <v>206</v>
      </c>
      <c r="E11" s="219">
        <v>273</v>
      </c>
      <c r="F11" s="219">
        <v>1</v>
      </c>
      <c r="G11" s="219">
        <v>2</v>
      </c>
      <c r="H11" s="219">
        <v>0</v>
      </c>
      <c r="I11" s="219">
        <v>1</v>
      </c>
      <c r="J11" s="219">
        <v>0</v>
      </c>
      <c r="K11" s="219">
        <v>0</v>
      </c>
      <c r="L11" s="219">
        <v>483</v>
      </c>
      <c r="M11" s="219">
        <v>0</v>
      </c>
      <c r="N11" s="219">
        <v>2</v>
      </c>
      <c r="O11" s="219">
        <f t="shared" si="0"/>
        <v>485</v>
      </c>
      <c r="P11" s="219">
        <f t="shared" si="1"/>
        <v>68.1179775280899</v>
      </c>
      <c r="Q11" s="219">
        <f t="shared" si="2"/>
        <v>56.2886597938144</v>
      </c>
      <c r="R11" s="219">
        <f t="shared" si="3"/>
        <v>42.4742268041237</v>
      </c>
      <c r="S11" s="219">
        <f t="shared" si="4"/>
        <v>0.206185567010309</v>
      </c>
      <c r="T11" s="219">
        <f t="shared" si="5"/>
        <v>0.412371134020619</v>
      </c>
      <c r="U11" s="219">
        <f t="shared" si="6"/>
        <v>0.206185567010309</v>
      </c>
      <c r="V11" s="219">
        <f t="shared" si="7"/>
        <v>0.412371134020619</v>
      </c>
      <c r="W11" s="219">
        <f t="shared" si="8"/>
        <v>13.8144329896907</v>
      </c>
      <c r="X11" s="219">
        <f t="shared" si="9"/>
        <v>12.9896907216495</v>
      </c>
      <c r="Y11" s="219" t="str">
        <f t="shared" si="10"/>
        <v>MEDIUM</v>
      </c>
      <c r="Z11" s="285" t="str">
        <f t="shared" si="11"/>
        <v>STRONG</v>
      </c>
      <c r="AA11" s="289" t="str">
        <f t="shared" ref="AA11:AA12" si="22">IF(Q11&gt;R11,"BJP","CONGRESS")</f>
        <v>BJP</v>
      </c>
      <c r="AB11">
        <v>708</v>
      </c>
      <c r="AC11">
        <v>482</v>
      </c>
      <c r="AD11">
        <v>326</v>
      </c>
      <c r="AE11">
        <v>222</v>
      </c>
      <c r="AF11">
        <v>382</v>
      </c>
      <c r="AG11">
        <v>260</v>
      </c>
      <c r="AH11">
        <v>451</v>
      </c>
      <c r="AI11">
        <v>327</v>
      </c>
      <c r="AJ11">
        <v>52</v>
      </c>
      <c r="AK11">
        <v>33</v>
      </c>
      <c r="AL11">
        <v>205</v>
      </c>
      <c r="AM11">
        <v>122</v>
      </c>
      <c r="AN11" s="248">
        <f>(AD11/AB11)*100</f>
        <v>46.045197740113</v>
      </c>
      <c r="AO11" s="316">
        <f>(AE11/AC11)*100</f>
        <v>46.0580912863071</v>
      </c>
      <c r="AP11" s="317">
        <f>(AF11/AB11)*100</f>
        <v>53.954802259887</v>
      </c>
      <c r="AQ11" s="318">
        <f>(AG11/AC11)*100</f>
        <v>53.9419087136929</v>
      </c>
      <c r="AR11" s="318" t="str">
        <f t="shared" si="15"/>
        <v>FEMALE DOM</v>
      </c>
      <c r="AS11" s="319" t="str">
        <f t="shared" si="16"/>
        <v>FEMALE</v>
      </c>
      <c r="AT11" s="317">
        <f>(AH11/AB11)*100</f>
        <v>63.7005649717514</v>
      </c>
      <c r="AU11" s="317">
        <f>(AI11/AC11)*100</f>
        <v>67.8423236514523</v>
      </c>
      <c r="AV11" s="248">
        <f>(AJ11/AB11)*100</f>
        <v>7.34463276836158</v>
      </c>
      <c r="AW11" s="317">
        <f>(AK11/AC11)*100</f>
        <v>6.84647302904564</v>
      </c>
      <c r="AX11" s="248">
        <f>(AL11/AB11)*100</f>
        <v>28.954802259887</v>
      </c>
      <c r="AY11" s="317">
        <f>(AM11/AC11)*100</f>
        <v>25.3112033195021</v>
      </c>
      <c r="AZ11" s="248" t="str">
        <f t="shared" si="20"/>
        <v>HINDU</v>
      </c>
      <c r="BA11" s="318" t="str">
        <f t="shared" si="21"/>
        <v>HIND</v>
      </c>
    </row>
    <row r="12" spans="3:53">
      <c r="C12" s="215">
        <f t="shared" ref="C12:O12" si="23">SUM(C7:C11)</f>
        <v>4751</v>
      </c>
      <c r="D12" s="215">
        <f t="shared" si="23"/>
        <v>1486</v>
      </c>
      <c r="E12" s="215">
        <f t="shared" si="23"/>
        <v>1400</v>
      </c>
      <c r="F12" s="215">
        <f t="shared" si="23"/>
        <v>9</v>
      </c>
      <c r="G12" s="215">
        <f t="shared" si="23"/>
        <v>19</v>
      </c>
      <c r="H12" s="215">
        <f t="shared" si="23"/>
        <v>0</v>
      </c>
      <c r="I12" s="215">
        <f t="shared" si="23"/>
        <v>3</v>
      </c>
      <c r="J12" s="215">
        <f t="shared" si="23"/>
        <v>1</v>
      </c>
      <c r="K12" s="215">
        <f t="shared" si="23"/>
        <v>1</v>
      </c>
      <c r="L12" s="215">
        <f t="shared" si="23"/>
        <v>2919</v>
      </c>
      <c r="M12" s="215">
        <f t="shared" si="23"/>
        <v>0</v>
      </c>
      <c r="N12" s="215">
        <f t="shared" si="23"/>
        <v>16</v>
      </c>
      <c r="O12" s="215">
        <f t="shared" si="23"/>
        <v>2935</v>
      </c>
      <c r="P12" s="215">
        <f t="shared" ref="P12:X12" si="24">AVERAGE(P7:P11)</f>
        <v>62.3816652043797</v>
      </c>
      <c r="Q12" s="215">
        <f t="shared" si="24"/>
        <v>46.7386431553242</v>
      </c>
      <c r="R12" s="215">
        <f t="shared" si="24"/>
        <v>51.5646348341508</v>
      </c>
      <c r="S12" s="215">
        <f t="shared" si="24"/>
        <v>0.333363023786221</v>
      </c>
      <c r="T12" s="215">
        <f t="shared" si="24"/>
        <v>0.672504454968803</v>
      </c>
      <c r="U12" s="215">
        <f t="shared" si="24"/>
        <v>0.174713081816132</v>
      </c>
      <c r="V12" s="215">
        <f t="shared" si="24"/>
        <v>0.516141449953818</v>
      </c>
      <c r="W12" s="215">
        <f t="shared" si="24"/>
        <v>-4.82599167882661</v>
      </c>
      <c r="X12" s="215">
        <f t="shared" si="24"/>
        <v>-6.00657223939776</v>
      </c>
      <c r="Y12" s="215" t="str">
        <f t="shared" si="10"/>
        <v>LOST</v>
      </c>
      <c r="Z12" s="285" t="str">
        <f t="shared" si="11"/>
        <v>STRONG</v>
      </c>
      <c r="AA12" s="284" t="str">
        <f t="shared" si="22"/>
        <v>CONGRESS</v>
      </c>
      <c r="AN12" s="248"/>
      <c r="AO12" s="316"/>
      <c r="AP12" s="317"/>
      <c r="AQ12" s="318"/>
      <c r="AR12" s="318"/>
      <c r="AS12" s="319"/>
      <c r="AT12" s="317"/>
      <c r="AU12" s="317"/>
      <c r="AV12" s="248"/>
      <c r="AW12" s="317"/>
      <c r="AX12" s="248"/>
      <c r="AY12" s="317"/>
      <c r="AZ12" s="248"/>
      <c r="BA12" s="318"/>
    </row>
    <row r="14" spans="16:33">
      <c r="P14" s="225" t="s">
        <v>205</v>
      </c>
      <c r="Q14" s="237"/>
      <c r="R14" s="237"/>
      <c r="S14" s="238"/>
      <c r="U14" s="225" t="s">
        <v>97</v>
      </c>
      <c r="V14" s="237"/>
      <c r="W14" s="237"/>
      <c r="X14" s="238"/>
      <c r="Z14" s="265" t="s">
        <v>98</v>
      </c>
      <c r="AA14" s="265"/>
      <c r="AB14" s="265"/>
      <c r="AC14" s="265"/>
      <c r="AD14" s="265"/>
      <c r="AE14" s="265"/>
      <c r="AF14" s="265"/>
      <c r="AG14" s="265"/>
    </row>
    <row r="15" spans="16:33">
      <c r="P15" s="226"/>
      <c r="Q15" s="239"/>
      <c r="R15" s="239"/>
      <c r="S15" s="240"/>
      <c r="U15" s="241"/>
      <c r="V15" s="242"/>
      <c r="W15" s="242"/>
      <c r="X15" s="243"/>
      <c r="Z15" s="265"/>
      <c r="AA15" s="265"/>
      <c r="AB15" s="265"/>
      <c r="AC15" s="265"/>
      <c r="AD15" s="265"/>
      <c r="AE15" s="265"/>
      <c r="AF15" s="265"/>
      <c r="AG15" s="265"/>
    </row>
    <row r="16" spans="16:33">
      <c r="P16" s="227" t="s">
        <v>99</v>
      </c>
      <c r="Q16" s="244"/>
      <c r="R16" s="245"/>
      <c r="S16" s="245">
        <f>COUNTIF(AA7:AA11,"BJP")</f>
        <v>2</v>
      </c>
      <c r="U16" s="246" t="s">
        <v>100</v>
      </c>
      <c r="V16" s="247"/>
      <c r="W16" s="247"/>
      <c r="X16" s="248">
        <f>COUNTIF(Y7:Y11,"NARROW")</f>
        <v>0</v>
      </c>
      <c r="Z16" s="265" t="s">
        <v>101</v>
      </c>
      <c r="AA16" s="265"/>
      <c r="AB16" s="265"/>
      <c r="AC16" s="265">
        <f>'SHIVABAGH-18'!E7</f>
        <v>43.5932794930482</v>
      </c>
      <c r="AD16" s="265" t="s">
        <v>102</v>
      </c>
      <c r="AE16" s="265"/>
      <c r="AF16" s="265"/>
      <c r="AG16" s="265">
        <f>Q12</f>
        <v>46.7386431553242</v>
      </c>
    </row>
    <row r="17" spans="16:33">
      <c r="P17" s="227"/>
      <c r="Q17" s="244"/>
      <c r="R17" s="245"/>
      <c r="S17" s="245"/>
      <c r="U17" s="249"/>
      <c r="V17" s="250"/>
      <c r="W17" s="250"/>
      <c r="X17" s="251"/>
      <c r="Z17" s="265"/>
      <c r="AA17" s="265"/>
      <c r="AB17" s="265"/>
      <c r="AC17" s="265"/>
      <c r="AD17" s="265"/>
      <c r="AE17" s="265"/>
      <c r="AF17" s="265"/>
      <c r="AG17" s="265"/>
    </row>
    <row r="18" spans="16:33">
      <c r="P18" s="227"/>
      <c r="Q18" s="244"/>
      <c r="R18" s="245"/>
      <c r="S18" s="245"/>
      <c r="U18" s="252" t="s">
        <v>103</v>
      </c>
      <c r="V18" s="253"/>
      <c r="W18" s="253"/>
      <c r="X18" s="248">
        <f>COUNTIF(Y7:Y11,"MEDIUM")</f>
        <v>2</v>
      </c>
      <c r="Z18" s="265" t="s">
        <v>104</v>
      </c>
      <c r="AA18" s="265"/>
      <c r="AB18" s="265"/>
      <c r="AC18" s="265">
        <f>'SHIVABAGH-18'!G7</f>
        <v>53.4028337621042</v>
      </c>
      <c r="AD18" s="265" t="s">
        <v>105</v>
      </c>
      <c r="AE18" s="265"/>
      <c r="AF18" s="265"/>
      <c r="AG18" s="265">
        <f>R12</f>
        <v>51.5646348341508</v>
      </c>
    </row>
    <row r="19" spans="16:33">
      <c r="P19" s="228" t="s">
        <v>106</v>
      </c>
      <c r="Q19" s="254"/>
      <c r="R19" s="255"/>
      <c r="S19" s="255">
        <f>COUNTIF(AA7:AA11,"CONGRESS")</f>
        <v>3</v>
      </c>
      <c r="U19" s="252"/>
      <c r="V19" s="253"/>
      <c r="W19" s="253"/>
      <c r="X19" s="251"/>
      <c r="Z19" s="265"/>
      <c r="AA19" s="265"/>
      <c r="AB19" s="265"/>
      <c r="AC19" s="265"/>
      <c r="AD19" s="265"/>
      <c r="AE19" s="265"/>
      <c r="AF19" s="265"/>
      <c r="AG19" s="265"/>
    </row>
    <row r="20" spans="16:33">
      <c r="P20" s="229"/>
      <c r="Q20" s="256"/>
      <c r="R20" s="257"/>
      <c r="S20" s="257"/>
      <c r="U20" s="258" t="s">
        <v>107</v>
      </c>
      <c r="V20" s="259"/>
      <c r="W20" s="259"/>
      <c r="X20" s="248">
        <f>COUNTIF(Y7:Y11,"STRONG")</f>
        <v>0</v>
      </c>
      <c r="Z20" s="265" t="s">
        <v>108</v>
      </c>
      <c r="AA20" s="265"/>
      <c r="AB20" s="265"/>
      <c r="AC20" s="265">
        <f>'SHIVABAGH-18'!C7</f>
        <v>3772</v>
      </c>
      <c r="AD20" s="265" t="s">
        <v>109</v>
      </c>
      <c r="AE20" s="265"/>
      <c r="AF20" s="265"/>
      <c r="AG20" s="265">
        <f>O12</f>
        <v>2935</v>
      </c>
    </row>
    <row r="21" spans="16:33">
      <c r="P21" s="230"/>
      <c r="Q21" s="260"/>
      <c r="R21" s="261"/>
      <c r="S21" s="261"/>
      <c r="U21" s="262"/>
      <c r="V21" s="263"/>
      <c r="W21" s="263"/>
      <c r="X21" s="251"/>
      <c r="Z21" s="265"/>
      <c r="AA21" s="265"/>
      <c r="AB21" s="265"/>
      <c r="AC21" s="265"/>
      <c r="AD21" s="265"/>
      <c r="AE21" s="265"/>
      <c r="AF21" s="265"/>
      <c r="AG21" s="265"/>
    </row>
    <row r="22" spans="21:33">
      <c r="U22" s="229" t="s">
        <v>110</v>
      </c>
      <c r="V22" s="256"/>
      <c r="W22" s="256"/>
      <c r="X22" s="248">
        <f>COUNTIF(Y7:Y11,"LOST")</f>
        <v>3</v>
      </c>
      <c r="Z22" s="265" t="s">
        <v>111</v>
      </c>
      <c r="AA22" s="265"/>
      <c r="AB22" s="265"/>
      <c r="AC22" s="265">
        <f>AC16-AC18</f>
        <v>-9.80955426905597</v>
      </c>
      <c r="AD22" s="265" t="s">
        <v>111</v>
      </c>
      <c r="AE22" s="265"/>
      <c r="AF22" s="265"/>
      <c r="AG22" s="265">
        <f>AG16-AG18</f>
        <v>-4.82599167882661</v>
      </c>
    </row>
    <row r="23" spans="21:33">
      <c r="U23" s="230"/>
      <c r="V23" s="260"/>
      <c r="W23" s="260"/>
      <c r="X23" s="251"/>
      <c r="Z23" s="265"/>
      <c r="AA23" s="265"/>
      <c r="AB23" s="265"/>
      <c r="AC23" s="265"/>
      <c r="AD23" s="265"/>
      <c r="AE23" s="265"/>
      <c r="AF23" s="265"/>
      <c r="AG23" s="265"/>
    </row>
    <row r="24" spans="26:32">
      <c r="Z24" s="265" t="s">
        <v>112</v>
      </c>
      <c r="AA24" s="265"/>
      <c r="AB24" s="265"/>
      <c r="AC24" s="265">
        <f>AG16-AC16</f>
        <v>3.145363662276</v>
      </c>
      <c r="AD24" s="265"/>
      <c r="AE24" s="265"/>
      <c r="AF24" s="265"/>
    </row>
    <row r="25" spans="26:32">
      <c r="Z25" s="265"/>
      <c r="AA25" s="265"/>
      <c r="AB25" s="265"/>
      <c r="AC25" s="265"/>
      <c r="AD25" s="265"/>
      <c r="AE25" s="265"/>
      <c r="AF25" s="265"/>
    </row>
    <row r="26" spans="26:32">
      <c r="Z26" s="265" t="s">
        <v>113</v>
      </c>
      <c r="AA26" s="265"/>
      <c r="AB26" s="265"/>
      <c r="AC26" s="265">
        <f>AG18-AC18</f>
        <v>-1.83819892795335</v>
      </c>
      <c r="AD26" s="265"/>
      <c r="AE26" s="265"/>
      <c r="AF26" s="265"/>
    </row>
    <row r="27" spans="26:32">
      <c r="Z27" s="265"/>
      <c r="AA27" s="265"/>
      <c r="AB27" s="265"/>
      <c r="AC27" s="265"/>
      <c r="AD27" s="265"/>
      <c r="AE27" s="265"/>
      <c r="AF27" s="265"/>
    </row>
    <row r="28" spans="26:32">
      <c r="Z28" s="265" t="s">
        <v>114</v>
      </c>
      <c r="AA28" s="265"/>
      <c r="AB28" s="265"/>
      <c r="AC28" s="265" t="str">
        <f>IF(AC24&gt;AC26,"INCREASE","DECREASE")</f>
        <v>INCREASE</v>
      </c>
      <c r="AD28" s="265"/>
      <c r="AE28" s="265"/>
      <c r="AF28" s="265"/>
    </row>
    <row r="29" spans="26:32">
      <c r="Z29" s="265"/>
      <c r="AA29" s="265"/>
      <c r="AB29" s="265"/>
      <c r="AC29" s="265"/>
      <c r="AD29" s="265"/>
      <c r="AE29" s="265"/>
      <c r="AF29" s="265"/>
    </row>
    <row r="30" spans="26:33">
      <c r="Z30" s="265">
        <v>0</v>
      </c>
      <c r="AA30" s="265"/>
      <c r="AB30" s="265"/>
      <c r="AC30" s="265"/>
      <c r="AD30" s="265"/>
      <c r="AE30" s="265"/>
      <c r="AF30" s="265"/>
      <c r="AG30" s="265"/>
    </row>
    <row r="31" spans="26:33">
      <c r="Z31" s="265"/>
      <c r="AA31" s="265"/>
      <c r="AB31" s="265"/>
      <c r="AC31" s="265"/>
      <c r="AD31" s="265"/>
      <c r="AE31" s="265"/>
      <c r="AF31" s="265"/>
      <c r="AG31" s="265"/>
    </row>
    <row r="32" spans="26:33">
      <c r="Z32" s="265"/>
      <c r="AA32" s="265"/>
      <c r="AB32" s="265"/>
      <c r="AC32" s="265"/>
      <c r="AD32" s="265"/>
      <c r="AE32" s="265"/>
      <c r="AF32" s="265"/>
      <c r="AG32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L1:L6"/>
    <mergeCell ref="M1:M6"/>
    <mergeCell ref="N1:N6"/>
    <mergeCell ref="O1:O6"/>
    <mergeCell ref="P1:P6"/>
    <mergeCell ref="Q1:Q6"/>
    <mergeCell ref="R1:R6"/>
    <mergeCell ref="S1:S6"/>
    <mergeCell ref="S16:S18"/>
    <mergeCell ref="S19:S21"/>
    <mergeCell ref="T1:T6"/>
    <mergeCell ref="U1:U6"/>
    <mergeCell ref="V1:V6"/>
    <mergeCell ref="W1:W6"/>
    <mergeCell ref="X1:X6"/>
    <mergeCell ref="X16:X17"/>
    <mergeCell ref="X18:X19"/>
    <mergeCell ref="X20:X21"/>
    <mergeCell ref="X22:X23"/>
    <mergeCell ref="Y1:Y6"/>
    <mergeCell ref="Z1:Z6"/>
    <mergeCell ref="AA1:AA6"/>
    <mergeCell ref="AB1:AB6"/>
    <mergeCell ref="AC1:AC6"/>
    <mergeCell ref="AC16:AC17"/>
    <mergeCell ref="AC18:AC19"/>
    <mergeCell ref="AC20:AC21"/>
    <mergeCell ref="AC22:AC23"/>
    <mergeCell ref="AD1:AD6"/>
    <mergeCell ref="AE1:AE6"/>
    <mergeCell ref="AF1:AF6"/>
    <mergeCell ref="AG1:AG6"/>
    <mergeCell ref="AG16:AG17"/>
    <mergeCell ref="AG18:AG19"/>
    <mergeCell ref="AG20:AG21"/>
    <mergeCell ref="AG22:AG23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U22:W23"/>
    <mergeCell ref="AD22:AF23"/>
    <mergeCell ref="P14:S15"/>
    <mergeCell ref="U14:X15"/>
    <mergeCell ref="P16:R18"/>
    <mergeCell ref="U16:W17"/>
    <mergeCell ref="AD16:AF17"/>
    <mergeCell ref="U18:W19"/>
    <mergeCell ref="AD18:AF19"/>
    <mergeCell ref="P19:R21"/>
    <mergeCell ref="U20:W21"/>
    <mergeCell ref="AD20:AF21"/>
    <mergeCell ref="D1:K2"/>
    <mergeCell ref="Z14:AG15"/>
    <mergeCell ref="Z16:AB17"/>
    <mergeCell ref="Z18:AB19"/>
    <mergeCell ref="Z20:AB21"/>
    <mergeCell ref="Z22:AB23"/>
    <mergeCell ref="Z24:AB25"/>
    <mergeCell ref="AC24:AF25"/>
    <mergeCell ref="Z30:AG32"/>
    <mergeCell ref="Z26:AB27"/>
    <mergeCell ref="AC26:AF27"/>
    <mergeCell ref="Z28:AB29"/>
    <mergeCell ref="AC28:AD29"/>
    <mergeCell ref="AE28:AF29"/>
  </mergeCells>
  <conditionalFormatting sqref="AR7:AR12">
    <cfRule type="containsText" dxfId="6" priority="1" operator="between" text="FEMALE DOM">
      <formula>NOT(ISERROR(SEARCH("FEMALE DOM",AR7)))</formula>
    </cfRule>
  </conditionalFormatting>
  <conditionalFormatting sqref="AZ7:AZ12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2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7"/>
  <sheetViews>
    <sheetView workbookViewId="0">
      <selection activeCell="E7" sqref="E7"/>
    </sheetView>
  </sheetViews>
  <sheetFormatPr defaultColWidth="9" defaultRowHeight="14.5" outlineLevelRow="6"/>
  <cols>
    <col min="1" max="1" width="15.2818181818182" customWidth="1"/>
  </cols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52</v>
      </c>
      <c r="B2" s="185" t="s">
        <v>358</v>
      </c>
      <c r="C2" s="184">
        <v>817</v>
      </c>
      <c r="D2" s="184">
        <v>278</v>
      </c>
      <c r="E2" s="184">
        <f t="shared" ref="E2:E6" si="0">(D2/C2)*100</f>
        <v>34.0269277845777</v>
      </c>
      <c r="F2" s="184">
        <v>501</v>
      </c>
      <c r="G2" s="184">
        <f t="shared" ref="G2:G6" si="1">(F2/C2)*100</f>
        <v>61.3219094247246</v>
      </c>
      <c r="H2" s="184">
        <v>4</v>
      </c>
      <c r="I2" s="184">
        <f t="shared" ref="I2:I6" si="2">(H2/C2)*100</f>
        <v>0.489596083231334</v>
      </c>
      <c r="J2" s="184">
        <v>19</v>
      </c>
      <c r="K2" s="184">
        <f t="shared" ref="K2:K6" si="3">(J2/C2)*100</f>
        <v>2.32558139534884</v>
      </c>
      <c r="L2" s="189">
        <v>647</v>
      </c>
      <c r="M2" s="189">
        <v>734</v>
      </c>
      <c r="N2" s="189">
        <f t="shared" ref="N2:N6" si="4">L2+M2</f>
        <v>1381</v>
      </c>
      <c r="O2" s="184">
        <v>817</v>
      </c>
      <c r="P2" s="190">
        <f t="shared" ref="P2:P6" si="5">O2/N2*100</f>
        <v>59.1600289645185</v>
      </c>
      <c r="Q2" s="184">
        <v>622</v>
      </c>
      <c r="R2" s="184">
        <f t="shared" ref="R2:R6" si="6">(Q2/N2)*100</f>
        <v>45.0398262128892</v>
      </c>
      <c r="S2" s="184">
        <f t="shared" ref="S2:S5" si="7">Q2-U2</f>
        <v>622</v>
      </c>
      <c r="T2" s="184">
        <f t="shared" ref="T2:T6" si="8">(S2/Q2)*100</f>
        <v>100</v>
      </c>
      <c r="U2" s="184"/>
      <c r="V2" s="191">
        <f t="shared" ref="V2:V6" si="9">IFERROR(U2/Q2*100,0)</f>
        <v>0</v>
      </c>
      <c r="W2" s="184">
        <v>759</v>
      </c>
      <c r="X2" s="184">
        <f t="shared" ref="X2:X6" si="10">100-R2</f>
        <v>54.9601737871108</v>
      </c>
      <c r="Y2" s="196">
        <f t="shared" ref="Y2:Y6" si="11">W2-AA2</f>
        <v>759</v>
      </c>
      <c r="Z2" s="193">
        <f t="shared" ref="Z2:Z6" si="12">(Y2/W2)*100</f>
        <v>100</v>
      </c>
      <c r="AA2" s="193"/>
      <c r="AB2" s="194">
        <f t="shared" ref="AB2:AB6" si="13">IFERROR(AA2/W2*100,0)</f>
        <v>0</v>
      </c>
      <c r="AC2" s="193">
        <f t="shared" ref="AC2:AC6" si="14">U2+AA2</f>
        <v>0</v>
      </c>
      <c r="AD2" s="193" t="str">
        <f t="shared" ref="AD2:AD6" si="15">IF(P2&gt;80,"EXCELLENT",IF(P2&gt;70,"STRONG",IF(P2&gt;60,"AVG",IF(P2&gt;50,"WEAK",IF(P2&lt;50,"VLOW")))))</f>
        <v>WEAK</v>
      </c>
      <c r="AE2" s="195" t="str">
        <f t="shared" ref="AE2:AE6" si="16">IF(R2&gt;80,"EXCELLENT",IF(R2&gt;70,"STRONG",IF(R2&gt;60,"AVG",IF(R2&gt;50,"WEAK",IF(R2&lt;50,"VLOW")))))</f>
        <v>VLOW</v>
      </c>
      <c r="AF2" s="193" t="str">
        <f t="shared" ref="AF2:AF6" si="17">IF(X2&gt;80,"EXCELLENT",IF(X2&gt;70,"STRONG",IF(X2&gt;60,"AVG",IF(X2&gt;50,"WEAK",IF(X2&lt;50,"VLOW")))))</f>
        <v>WEAK</v>
      </c>
      <c r="AG2" s="193" t="str">
        <f t="shared" ref="AG2:AG6" si="18">IF(M2&gt;L2,"FEMALE DOM","MEN")</f>
        <v>FEMALE DOM</v>
      </c>
      <c r="AH2" s="193" t="str">
        <f t="shared" ref="AH2:AH6" si="19">IF(T2&gt;Z2,"H","O")</f>
        <v>O</v>
      </c>
      <c r="AI2" s="197">
        <f>G2-E2</f>
        <v>27.2949816401469</v>
      </c>
      <c r="AJ2" s="198" t="str">
        <f t="shared" ref="AJ2:AJ7" si="20">IF(E2&gt;G2,"BJP GAIN","CONGRESSGAIN")</f>
        <v>CONGRESSGAIN</v>
      </c>
    </row>
    <row r="3" spans="1:36">
      <c r="A3" s="184">
        <v>53</v>
      </c>
      <c r="B3" s="185" t="s">
        <v>359</v>
      </c>
      <c r="C3" s="184">
        <v>660</v>
      </c>
      <c r="D3" s="184">
        <v>412</v>
      </c>
      <c r="E3" s="184">
        <f t="shared" si="0"/>
        <v>62.4242424242424</v>
      </c>
      <c r="F3" s="184">
        <v>226</v>
      </c>
      <c r="G3" s="184">
        <f t="shared" si="1"/>
        <v>34.2424242424242</v>
      </c>
      <c r="H3" s="184">
        <v>3</v>
      </c>
      <c r="I3" s="184">
        <f t="shared" si="2"/>
        <v>0.454545454545455</v>
      </c>
      <c r="J3" s="184">
        <v>10</v>
      </c>
      <c r="K3" s="184">
        <f t="shared" si="3"/>
        <v>1.51515151515152</v>
      </c>
      <c r="L3" s="189">
        <v>472</v>
      </c>
      <c r="M3" s="189">
        <v>493</v>
      </c>
      <c r="N3" s="189">
        <f t="shared" si="4"/>
        <v>965</v>
      </c>
      <c r="O3" s="184">
        <v>660</v>
      </c>
      <c r="P3" s="190">
        <f t="shared" si="5"/>
        <v>68.3937823834197</v>
      </c>
      <c r="Q3" s="184">
        <v>620</v>
      </c>
      <c r="R3" s="184">
        <f t="shared" si="6"/>
        <v>64.2487046632124</v>
      </c>
      <c r="S3" s="184">
        <f t="shared" si="7"/>
        <v>229</v>
      </c>
      <c r="T3" s="184">
        <f t="shared" si="8"/>
        <v>36.9354838709677</v>
      </c>
      <c r="U3" s="184">
        <v>391</v>
      </c>
      <c r="V3" s="191">
        <f t="shared" si="9"/>
        <v>63.0645161290323</v>
      </c>
      <c r="W3" s="184">
        <f>965-620</f>
        <v>345</v>
      </c>
      <c r="X3" s="184">
        <f t="shared" si="10"/>
        <v>35.7512953367876</v>
      </c>
      <c r="Y3" s="184">
        <f t="shared" si="11"/>
        <v>76</v>
      </c>
      <c r="Z3" s="193">
        <f t="shared" si="12"/>
        <v>22.0289855072464</v>
      </c>
      <c r="AA3" s="325">
        <f>660-391</f>
        <v>269</v>
      </c>
      <c r="AB3" s="194">
        <f t="shared" si="13"/>
        <v>77.9710144927536</v>
      </c>
      <c r="AC3" s="325">
        <f t="shared" si="14"/>
        <v>660</v>
      </c>
      <c r="AD3" s="193" t="str">
        <f t="shared" si="15"/>
        <v>AVG</v>
      </c>
      <c r="AE3" s="195" t="str">
        <f t="shared" si="16"/>
        <v>AVG</v>
      </c>
      <c r="AF3" s="193" t="str">
        <f t="shared" si="17"/>
        <v>VLOW</v>
      </c>
      <c r="AG3" s="193" t="str">
        <f t="shared" si="18"/>
        <v>FEMALE DOM</v>
      </c>
      <c r="AH3" s="193" t="str">
        <f t="shared" si="19"/>
        <v>H</v>
      </c>
      <c r="AI3" s="197">
        <f>E3-G3</f>
        <v>28.1818181818182</v>
      </c>
      <c r="AJ3" s="199" t="str">
        <f t="shared" si="20"/>
        <v>BJP GAIN</v>
      </c>
    </row>
    <row r="4" spans="1:36">
      <c r="A4" s="325">
        <v>117</v>
      </c>
      <c r="B4" s="326" t="s">
        <v>194</v>
      </c>
      <c r="C4" s="325">
        <v>634</v>
      </c>
      <c r="D4" s="325">
        <v>291</v>
      </c>
      <c r="E4" s="325">
        <f t="shared" si="0"/>
        <v>45.8990536277603</v>
      </c>
      <c r="F4" s="325">
        <v>318</v>
      </c>
      <c r="G4" s="325">
        <f t="shared" si="1"/>
        <v>50.1577287066246</v>
      </c>
      <c r="H4" s="325">
        <v>5</v>
      </c>
      <c r="I4" s="325">
        <f t="shared" si="2"/>
        <v>0.788643533123028</v>
      </c>
      <c r="J4" s="325">
        <v>6</v>
      </c>
      <c r="K4" s="325">
        <f t="shared" si="3"/>
        <v>0.946372239747634</v>
      </c>
      <c r="L4" s="327">
        <v>496</v>
      </c>
      <c r="M4" s="327">
        <v>549</v>
      </c>
      <c r="N4" s="327">
        <f t="shared" si="4"/>
        <v>1045</v>
      </c>
      <c r="O4" s="325">
        <v>634</v>
      </c>
      <c r="P4" s="328">
        <f t="shared" si="5"/>
        <v>60.6698564593301</v>
      </c>
      <c r="Q4" s="325">
        <v>531</v>
      </c>
      <c r="R4" s="325">
        <f t="shared" si="6"/>
        <v>50.8133971291866</v>
      </c>
      <c r="S4" s="325">
        <f t="shared" si="7"/>
        <v>148</v>
      </c>
      <c r="T4" s="325">
        <f t="shared" si="8"/>
        <v>27.8719397363465</v>
      </c>
      <c r="U4" s="325">
        <v>383</v>
      </c>
      <c r="V4" s="194">
        <f t="shared" si="9"/>
        <v>72.1280602636535</v>
      </c>
      <c r="W4" s="325">
        <v>438</v>
      </c>
      <c r="X4" s="325">
        <f t="shared" si="10"/>
        <v>49.1866028708134</v>
      </c>
      <c r="Y4" s="325">
        <f t="shared" si="11"/>
        <v>215</v>
      </c>
      <c r="Z4" s="325">
        <f t="shared" si="12"/>
        <v>49.0867579908676</v>
      </c>
      <c r="AA4" s="325">
        <v>223</v>
      </c>
      <c r="AB4" s="194">
        <f t="shared" si="13"/>
        <v>50.9132420091324</v>
      </c>
      <c r="AC4" s="325">
        <f t="shared" si="14"/>
        <v>606</v>
      </c>
      <c r="AD4" s="325" t="str">
        <f t="shared" si="15"/>
        <v>AVG</v>
      </c>
      <c r="AE4" s="325" t="str">
        <f t="shared" si="16"/>
        <v>WEAK</v>
      </c>
      <c r="AF4" s="325" t="str">
        <f t="shared" si="17"/>
        <v>VLOW</v>
      </c>
      <c r="AG4" s="325" t="str">
        <f t="shared" si="18"/>
        <v>FEMALE DOM</v>
      </c>
      <c r="AH4" s="325" t="str">
        <f t="shared" si="19"/>
        <v>O</v>
      </c>
      <c r="AI4" s="325">
        <f t="shared" ref="AI4:AI7" si="21">G4-E4</f>
        <v>4.25867507886435</v>
      </c>
      <c r="AJ4" s="325" t="str">
        <f t="shared" si="20"/>
        <v>CONGRESSGAIN</v>
      </c>
    </row>
    <row r="5" spans="1:36">
      <c r="A5" s="184">
        <v>119</v>
      </c>
      <c r="B5" s="185" t="s">
        <v>360</v>
      </c>
      <c r="C5" s="184">
        <v>961</v>
      </c>
      <c r="D5" s="184">
        <v>356</v>
      </c>
      <c r="E5" s="184">
        <f t="shared" si="0"/>
        <v>37.044745057232</v>
      </c>
      <c r="F5" s="184">
        <v>600</v>
      </c>
      <c r="G5" s="184">
        <f t="shared" si="1"/>
        <v>62.4349635796046</v>
      </c>
      <c r="H5" s="184">
        <v>1</v>
      </c>
      <c r="I5" s="184">
        <f t="shared" si="2"/>
        <v>0.104058272632674</v>
      </c>
      <c r="J5" s="184">
        <v>3</v>
      </c>
      <c r="K5" s="184">
        <f t="shared" si="3"/>
        <v>0.312174817898023</v>
      </c>
      <c r="L5" s="189">
        <v>641</v>
      </c>
      <c r="M5" s="189">
        <v>957</v>
      </c>
      <c r="N5" s="189">
        <f t="shared" si="4"/>
        <v>1598</v>
      </c>
      <c r="O5" s="184">
        <v>961</v>
      </c>
      <c r="P5" s="190">
        <f t="shared" si="5"/>
        <v>60.1376720901126</v>
      </c>
      <c r="Q5" s="184">
        <v>692</v>
      </c>
      <c r="R5" s="184">
        <f t="shared" si="6"/>
        <v>43.3041301627034</v>
      </c>
      <c r="S5" s="192">
        <f t="shared" si="7"/>
        <v>372</v>
      </c>
      <c r="T5" s="184">
        <f t="shared" si="8"/>
        <v>53.757225433526</v>
      </c>
      <c r="U5" s="184">
        <v>320</v>
      </c>
      <c r="V5" s="191">
        <f t="shared" si="9"/>
        <v>46.242774566474</v>
      </c>
      <c r="W5" s="184">
        <v>906</v>
      </c>
      <c r="X5" s="184">
        <f t="shared" si="10"/>
        <v>56.6958698372966</v>
      </c>
      <c r="Y5" s="184">
        <f t="shared" si="11"/>
        <v>261</v>
      </c>
      <c r="Z5" s="193">
        <f t="shared" si="12"/>
        <v>28.8079470198675</v>
      </c>
      <c r="AA5" s="193">
        <v>645</v>
      </c>
      <c r="AB5" s="194">
        <f t="shared" si="13"/>
        <v>71.1920529801324</v>
      </c>
      <c r="AC5" s="193">
        <f t="shared" si="14"/>
        <v>965</v>
      </c>
      <c r="AD5" s="193" t="str">
        <f t="shared" si="15"/>
        <v>AVG</v>
      </c>
      <c r="AE5" s="195" t="str">
        <f t="shared" si="16"/>
        <v>VLOW</v>
      </c>
      <c r="AF5" s="193" t="str">
        <f t="shared" si="17"/>
        <v>WEAK</v>
      </c>
      <c r="AG5" s="193" t="str">
        <f t="shared" si="18"/>
        <v>FEMALE DOM</v>
      </c>
      <c r="AH5" s="193" t="str">
        <f t="shared" si="19"/>
        <v>H</v>
      </c>
      <c r="AI5" s="197">
        <f t="shared" si="21"/>
        <v>25.3902185223725</v>
      </c>
      <c r="AJ5" s="198" t="str">
        <f t="shared" si="20"/>
        <v>CONGRESSGAIN</v>
      </c>
    </row>
    <row r="6" spans="1:36">
      <c r="A6" s="184">
        <v>123</v>
      </c>
      <c r="B6" s="185" t="s">
        <v>361</v>
      </c>
      <c r="C6" s="184">
        <v>700</v>
      </c>
      <c r="D6" s="184">
        <v>270</v>
      </c>
      <c r="E6" s="184">
        <f t="shared" si="0"/>
        <v>38.5714285714286</v>
      </c>
      <c r="F6" s="184">
        <v>412</v>
      </c>
      <c r="G6" s="184">
        <f t="shared" si="1"/>
        <v>58.8571428571429</v>
      </c>
      <c r="H6" s="184">
        <v>5</v>
      </c>
      <c r="I6" s="184">
        <f t="shared" si="2"/>
        <v>0.714285714285714</v>
      </c>
      <c r="J6" s="184">
        <v>2</v>
      </c>
      <c r="K6" s="184">
        <f t="shared" si="3"/>
        <v>0.285714285714286</v>
      </c>
      <c r="L6" s="189">
        <v>553</v>
      </c>
      <c r="M6" s="189">
        <v>649</v>
      </c>
      <c r="N6" s="189">
        <f t="shared" si="4"/>
        <v>1202</v>
      </c>
      <c r="O6" s="184">
        <v>700</v>
      </c>
      <c r="P6" s="190">
        <f t="shared" si="5"/>
        <v>58.2362728785358</v>
      </c>
      <c r="Q6" s="184" t="s">
        <v>362</v>
      </c>
      <c r="R6" s="184" t="e">
        <f t="shared" si="6"/>
        <v>#VALUE!</v>
      </c>
      <c r="S6" s="192">
        <v>0</v>
      </c>
      <c r="T6" s="184" t="e">
        <f t="shared" si="8"/>
        <v>#VALUE!</v>
      </c>
      <c r="U6" s="184">
        <v>366</v>
      </c>
      <c r="V6" s="191">
        <f t="shared" si="9"/>
        <v>0</v>
      </c>
      <c r="W6" s="184">
        <f>1202-603</f>
        <v>599</v>
      </c>
      <c r="X6" s="184" t="e">
        <f t="shared" si="10"/>
        <v>#VALUE!</v>
      </c>
      <c r="Y6" s="184">
        <f t="shared" si="11"/>
        <v>265</v>
      </c>
      <c r="Z6" s="193">
        <f t="shared" si="12"/>
        <v>44.2404006677796</v>
      </c>
      <c r="AA6" s="193">
        <f>700-366</f>
        <v>334</v>
      </c>
      <c r="AB6" s="194">
        <f t="shared" si="13"/>
        <v>55.7595993322204</v>
      </c>
      <c r="AC6" s="193">
        <f t="shared" si="14"/>
        <v>700</v>
      </c>
      <c r="AD6" s="193" t="str">
        <f t="shared" si="15"/>
        <v>WEAK</v>
      </c>
      <c r="AE6" s="195" t="e">
        <f t="shared" si="16"/>
        <v>#VALUE!</v>
      </c>
      <c r="AF6" s="193" t="e">
        <f t="shared" si="17"/>
        <v>#VALUE!</v>
      </c>
      <c r="AG6" s="193" t="str">
        <f t="shared" si="18"/>
        <v>FEMALE DOM</v>
      </c>
      <c r="AH6" s="193" t="e">
        <f t="shared" si="19"/>
        <v>#VALUE!</v>
      </c>
      <c r="AI6" s="197">
        <f t="shared" si="21"/>
        <v>20.2857142857143</v>
      </c>
      <c r="AJ6" s="198" t="str">
        <f t="shared" si="20"/>
        <v>CONGRESSGAIN</v>
      </c>
    </row>
    <row r="7" spans="3:36">
      <c r="C7">
        <f>SUM(C2:C6)</f>
        <v>3772</v>
      </c>
      <c r="D7">
        <f>SUM(D2:D6)</f>
        <v>1607</v>
      </c>
      <c r="E7" s="186">
        <f>AVERAGE(E2:E6)</f>
        <v>43.5932794930482</v>
      </c>
      <c r="F7">
        <f>SUM(F2:F6)</f>
        <v>2057</v>
      </c>
      <c r="G7" s="186">
        <f>AVERAGE(G2:G6)</f>
        <v>53.4028337621042</v>
      </c>
      <c r="H7">
        <f>SUM(H2:H6)</f>
        <v>18</v>
      </c>
      <c r="I7" s="186">
        <f>AVERAGE(I2:I6)</f>
        <v>0.510225811563641</v>
      </c>
      <c r="J7">
        <f>SUM(J2:J6)</f>
        <v>40</v>
      </c>
      <c r="K7" s="186">
        <f>AVERAGE(K2:K6)</f>
        <v>1.07699885077206</v>
      </c>
      <c r="AI7" s="329">
        <f t="shared" si="21"/>
        <v>9.80955426905597</v>
      </c>
      <c r="AJ7" s="200" t="str">
        <f t="shared" si="20"/>
        <v>CONGRESSGAIN</v>
      </c>
    </row>
  </sheetData>
  <conditionalFormatting sqref="AD4">
    <cfRule type="containsText" dxfId="8" priority="45" operator="between" text="AVG">
      <formula>NOT(ISERROR(SEARCH("AVG",AD4)))</formula>
    </cfRule>
    <cfRule type="cellIs" dxfId="9" priority="44" operator="equal">
      <formula>"STRONG"</formula>
    </cfRule>
    <cfRule type="containsText" dxfId="3" priority="43" operator="between" text="VSTRONG">
      <formula>NOT(ISERROR(SEARCH("VSTRONG",AD4)))</formula>
    </cfRule>
    <cfRule type="containsText" dxfId="10" priority="35" operator="between" text="AVG">
      <formula>NOT(ISERROR(SEARCH("AVG",AD4)))</formula>
    </cfRule>
  </conditionalFormatting>
  <conditionalFormatting sqref="AE4">
    <cfRule type="containsText" dxfId="3" priority="39" operator="between" text="STRONG">
      <formula>NOT(ISERROR(SEARCH("STRONG",AE4)))</formula>
    </cfRule>
    <cfRule type="containsText" dxfId="1" priority="37" operator="between" text="VSTRONG">
      <formula>NOT(ISERROR(SEARCH("VSTRONG",AE4)))</formula>
    </cfRule>
  </conditionalFormatting>
  <conditionalFormatting sqref="AE4:AF4">
    <cfRule type="containsText" dxfId="2" priority="38" operator="between" text="AVG">
      <formula>NOT(ISERROR(SEARCH("AVG",AE4)))</formula>
    </cfRule>
  </conditionalFormatting>
  <conditionalFormatting sqref="AF4">
    <cfRule type="cellIs" dxfId="11" priority="33" operator="equal">
      <formula>"VWEAK"</formula>
    </cfRule>
    <cfRule type="containsText" dxfId="0" priority="32" operator="between" text="VSTRONG">
      <formula>NOT(ISERROR(SEARCH("VSTRONG",AF4)))</formula>
    </cfRule>
  </conditionalFormatting>
  <conditionalFormatting sqref="AG4">
    <cfRule type="containsText" dxfId="12" priority="36" operator="between" text="FEMALE DOM">
      <formula>NOT(ISERROR(SEARCH("FEMALE DOM",AG4)))</formula>
    </cfRule>
    <cfRule type="containsText" dxfId="10" priority="31" operator="between" text="MEN">
      <formula>NOT(ISERROR(SEARCH("MEN",AG4)))</formula>
    </cfRule>
  </conditionalFormatting>
  <conditionalFormatting sqref="AH4">
    <cfRule type="containsText" dxfId="0" priority="42" operator="between" text="O">
      <formula>NOT(ISERROR(SEARCH("O",AH4)))</formula>
    </cfRule>
    <cfRule type="containsText" dxfId="3" priority="40" operator="between" text="H">
      <formula>NOT(ISERROR(SEARCH("H",AH4)))</formula>
    </cfRule>
    <cfRule type="containsText" dxfId="13" priority="41" operator="between" text="H">
      <formula>NOT(ISERROR(SEARCH("H",AH4)))</formula>
    </cfRule>
    <cfRule type="containsText" dxfId="1" priority="34" operator="between" text="H">
      <formula>NOT(ISERROR(SEARCH("H",AH4)))</formula>
    </cfRule>
  </conditionalFormatting>
  <conditionalFormatting sqref="AD5">
    <cfRule type="containsText" dxfId="8" priority="30" operator="between" text="AVG">
      <formula>NOT(ISERROR(SEARCH("AVG",AD5)))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NOT(ISERROR(SEARCH("VSTRONG",AD5)))</formula>
    </cfRule>
    <cfRule type="containsText" dxfId="10" priority="20" operator="between" text="AVG">
      <formula>NOT(ISERROR(SEARCH("AVG",AD5)))</formula>
    </cfRule>
  </conditionalFormatting>
  <conditionalFormatting sqref="AE5">
    <cfRule type="containsText" dxfId="3" priority="24" operator="between" text="STRONG">
      <formula>NOT(ISERROR(SEARCH("STRONG",AE5)))</formula>
    </cfRule>
    <cfRule type="containsText" dxfId="1" priority="22" operator="between" text="VSTRONG">
      <formula>NOT(ISERROR(SEARCH("VSTRONG",AE5)))</formula>
    </cfRule>
  </conditionalFormatting>
  <conditionalFormatting sqref="AE5:AF5">
    <cfRule type="containsText" dxfId="2" priority="23" operator="between" text="AVG">
      <formula>NOT(ISERROR(SEARCH("AVG",AE5)))</formula>
    </cfRule>
  </conditionalFormatting>
  <conditionalFormatting sqref="AF5">
    <cfRule type="cellIs" dxfId="11" priority="18" operator="equal">
      <formula>"VWEAK"</formula>
    </cfRule>
    <cfRule type="containsText" dxfId="0" priority="17" operator="between" text="VSTRONG">
      <formula>NOT(ISERROR(SEARCH("VSTRONG",AF5)))</formula>
    </cfRule>
  </conditionalFormatting>
  <conditionalFormatting sqref="AG5">
    <cfRule type="containsText" dxfId="12" priority="21" operator="between" text="FEMALE DOM">
      <formula>NOT(ISERROR(SEARCH("FEMALE DOM",AG5)))</formula>
    </cfRule>
    <cfRule type="containsText" dxfId="10" priority="16" operator="between" text="MEN">
      <formula>NOT(ISERROR(SEARCH("MEN",AG5)))</formula>
    </cfRule>
  </conditionalFormatting>
  <conditionalFormatting sqref="AH5">
    <cfRule type="containsText" dxfId="0" priority="27" operator="between" text="O">
      <formula>NOT(ISERROR(SEARCH("O",AH5)))</formula>
    </cfRule>
    <cfRule type="containsText" dxfId="3" priority="25" operator="between" text="H">
      <formula>NOT(ISERROR(SEARCH("H",AH5)))</formula>
    </cfRule>
    <cfRule type="containsText" dxfId="13" priority="26" operator="between" text="H">
      <formula>NOT(ISERROR(SEARCH("H",AH5)))</formula>
    </cfRule>
    <cfRule type="containsText" dxfId="1" priority="19" operator="between" text="H">
      <formula>NOT(ISERROR(SEARCH("H",AH5)))</formula>
    </cfRule>
  </conditionalFormatting>
  <conditionalFormatting sqref="AD6">
    <cfRule type="containsText" dxfId="8" priority="15" operator="between" text="AVG">
      <formula>NOT(ISERROR(SEARCH("AVG",AD6)))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NOT(ISERROR(SEARCH("VSTRONG",AD6)))</formula>
    </cfRule>
    <cfRule type="containsText" dxfId="10" priority="5" operator="between" text="AVG">
      <formula>NOT(ISERROR(SEARCH("AVG",AD6)))</formula>
    </cfRule>
  </conditionalFormatting>
  <conditionalFormatting sqref="AE6">
    <cfRule type="containsText" dxfId="3" priority="9" operator="between" text="STRONG">
      <formula>NOT(ISERROR(SEARCH("STRONG",AE6)))</formula>
    </cfRule>
    <cfRule type="containsText" dxfId="1" priority="7" operator="between" text="VSTRONG">
      <formula>NOT(ISERROR(SEARCH("VSTRONG",AE6)))</formula>
    </cfRule>
  </conditionalFormatting>
  <conditionalFormatting sqref="AE6:AF6">
    <cfRule type="containsText" dxfId="2" priority="8" operator="between" text="AVG">
      <formula>NOT(ISERROR(SEARCH("AVG",AE6)))</formula>
    </cfRule>
  </conditionalFormatting>
  <conditionalFormatting sqref="AF6">
    <cfRule type="cellIs" dxfId="11" priority="3" operator="equal">
      <formula>"VWEAK"</formula>
    </cfRule>
    <cfRule type="containsText" dxfId="0" priority="2" operator="between" text="VSTRONG">
      <formula>NOT(ISERROR(SEARCH("VSTRONG",AF6)))</formula>
    </cfRule>
  </conditionalFormatting>
  <conditionalFormatting sqref="AG6">
    <cfRule type="containsText" dxfId="12" priority="6" operator="between" text="FEMALE DOM">
      <formula>NOT(ISERROR(SEARCH("FEMALE DOM",AG6)))</formula>
    </cfRule>
    <cfRule type="containsText" dxfId="10" priority="1" operator="between" text="MEN">
      <formula>NOT(ISERROR(SEARCH("MEN",AG6)))</formula>
    </cfRule>
  </conditionalFormatting>
  <conditionalFormatting sqref="AH6">
    <cfRule type="containsText" dxfId="0" priority="12" operator="between" text="O">
      <formula>NOT(ISERROR(SEARCH("O",AH6)))</formula>
    </cfRule>
    <cfRule type="containsText" dxfId="3" priority="10" operator="between" text="H">
      <formula>NOT(ISERROR(SEARCH("H",AH6)))</formula>
    </cfRule>
    <cfRule type="containsText" dxfId="13" priority="11" operator="between" text="H">
      <formula>NOT(ISERROR(SEARCH("H",AH6)))</formula>
    </cfRule>
    <cfRule type="containsText" dxfId="1" priority="4" operator="between" text="H">
      <formula>NOT(ISERROR(SEARCH("H",AH6)))</formula>
    </cfRule>
  </conditionalFormatting>
  <conditionalFormatting sqref="AD2:AD3">
    <cfRule type="containsText" dxfId="8" priority="60" operator="between" text="AVG">
      <formula>NOT(ISERROR(SEARCH("AVG",AD2)))</formula>
    </cfRule>
    <cfRule type="cellIs" dxfId="9" priority="59" operator="equal">
      <formula>"STRONG"</formula>
    </cfRule>
    <cfRule type="containsText" dxfId="3" priority="58" operator="between" text="VSTRONG">
      <formula>NOT(ISERROR(SEARCH("VSTRONG",AD2)))</formula>
    </cfRule>
    <cfRule type="containsText" dxfId="10" priority="50" operator="between" text="AVG">
      <formula>NOT(ISERROR(SEARCH("AVG",AD2)))</formula>
    </cfRule>
  </conditionalFormatting>
  <conditionalFormatting sqref="AE2:AE3">
    <cfRule type="containsText" dxfId="3" priority="54" operator="between" text="STRONG">
      <formula>NOT(ISERROR(SEARCH("STRONG",AE2)))</formula>
    </cfRule>
    <cfRule type="containsText" dxfId="1" priority="52" operator="between" text="VSTRONG">
      <formula>NOT(ISERROR(SEARCH("VSTRONG",AE2)))</formula>
    </cfRule>
  </conditionalFormatting>
  <conditionalFormatting sqref="AF2:AF3">
    <cfRule type="cellIs" dxfId="11" priority="48" operator="equal">
      <formula>"VWEAK"</formula>
    </cfRule>
    <cfRule type="containsText" dxfId="0" priority="47" operator="between" text="VSTRONG">
      <formula>NOT(ISERROR(SEARCH("VSTRONG",AF2)))</formula>
    </cfRule>
  </conditionalFormatting>
  <conditionalFormatting sqref="AG2:AG3">
    <cfRule type="containsText" dxfId="12" priority="51" operator="between" text="FEMALE DOM">
      <formula>NOT(ISERROR(SEARCH("FEMALE DOM",AG2)))</formula>
    </cfRule>
    <cfRule type="containsText" dxfId="10" priority="46" operator="between" text="MEN">
      <formula>NOT(ISERROR(SEARCH("MEN",AG2)))</formula>
    </cfRule>
  </conditionalFormatting>
  <conditionalFormatting sqref="AH2:AH3">
    <cfRule type="containsText" dxfId="0" priority="57" operator="between" text="O">
      <formula>NOT(ISERROR(SEARCH("O",AH2)))</formula>
    </cfRule>
    <cfRule type="containsText" dxfId="3" priority="55" operator="between" text="H">
      <formula>NOT(ISERROR(SEARCH("H",AH2)))</formula>
    </cfRule>
    <cfRule type="containsText" dxfId="13" priority="56" operator="between" text="H">
      <formula>NOT(ISERROR(SEARCH("H",AH2)))</formula>
    </cfRule>
    <cfRule type="containsText" dxfId="1" priority="49" operator="between" text="H">
      <formula>NOT(ISERROR(SEARCH("H",AH2)))</formula>
    </cfRule>
  </conditionalFormatting>
  <conditionalFormatting sqref="AE2:AF3">
    <cfRule type="containsText" dxfId="2" priority="53" operator="between" text="AVG">
      <formula>NOT(ISERROR(SEARCH("AVG",AE2)))</formula>
    </cfRule>
  </conditionalFormatting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33"/>
  <sheetViews>
    <sheetView zoomScale="78" zoomScaleNormal="78" topLeftCell="AF10" workbookViewId="0">
      <selection activeCell="U25" sqref="U25:X26"/>
    </sheetView>
  </sheetViews>
  <sheetFormatPr defaultColWidth="9" defaultRowHeight="14.5"/>
  <sheetData>
    <row r="1" spans="1:53">
      <c r="A1" s="201" t="s">
        <v>16</v>
      </c>
      <c r="B1" s="202" t="s">
        <v>177</v>
      </c>
      <c r="C1" s="201" t="s">
        <v>15</v>
      </c>
      <c r="D1" s="203" t="s">
        <v>1</v>
      </c>
      <c r="E1" s="204"/>
      <c r="F1" s="204"/>
      <c r="G1" s="204"/>
      <c r="H1" s="204"/>
      <c r="I1" s="204"/>
      <c r="J1" s="204"/>
      <c r="K1" s="209"/>
      <c r="L1" s="210" t="s">
        <v>2</v>
      </c>
      <c r="M1" s="201" t="s">
        <v>3</v>
      </c>
      <c r="N1" s="208" t="s">
        <v>4</v>
      </c>
      <c r="O1" s="210" t="s">
        <v>5</v>
      </c>
      <c r="P1" s="201" t="s">
        <v>17</v>
      </c>
      <c r="Q1" s="202" t="s">
        <v>18</v>
      </c>
      <c r="R1" s="201" t="s">
        <v>19</v>
      </c>
      <c r="S1" s="202" t="s">
        <v>20</v>
      </c>
      <c r="T1" s="264" t="s">
        <v>21</v>
      </c>
      <c r="U1" s="208" t="s">
        <v>22</v>
      </c>
      <c r="V1" s="264" t="s">
        <v>23</v>
      </c>
      <c r="W1" s="208" t="s">
        <v>286</v>
      </c>
      <c r="X1" s="201" t="s">
        <v>287</v>
      </c>
      <c r="Y1" s="208" t="s">
        <v>274</v>
      </c>
      <c r="Z1" s="266" t="s">
        <v>159</v>
      </c>
      <c r="AA1" s="266" t="s">
        <v>69</v>
      </c>
      <c r="AB1" s="267" t="s">
        <v>70</v>
      </c>
      <c r="AC1" s="268" t="s">
        <v>71</v>
      </c>
      <c r="AD1" s="269" t="s">
        <v>72</v>
      </c>
      <c r="AE1" s="270" t="s">
        <v>73</v>
      </c>
      <c r="AF1" s="271" t="s">
        <v>74</v>
      </c>
      <c r="AG1" s="271" t="s">
        <v>75</v>
      </c>
      <c r="AH1" s="292" t="s">
        <v>76</v>
      </c>
      <c r="AI1" s="292" t="s">
        <v>77</v>
      </c>
      <c r="AJ1" s="293" t="s">
        <v>78</v>
      </c>
      <c r="AK1" s="293" t="s">
        <v>79</v>
      </c>
      <c r="AL1" s="294" t="s">
        <v>80</v>
      </c>
      <c r="AM1" s="295" t="s">
        <v>81</v>
      </c>
      <c r="AN1" s="296" t="s">
        <v>82</v>
      </c>
      <c r="AO1" s="275" t="s">
        <v>83</v>
      </c>
      <c r="AP1" s="306" t="s">
        <v>84</v>
      </c>
      <c r="AQ1" s="271" t="s">
        <v>85</v>
      </c>
      <c r="AR1" s="307" t="s">
        <v>86</v>
      </c>
      <c r="AS1" s="308" t="s">
        <v>87</v>
      </c>
      <c r="AT1" s="33" t="s">
        <v>88</v>
      </c>
      <c r="AU1" s="292" t="s">
        <v>89</v>
      </c>
      <c r="AV1" s="47" t="s">
        <v>90</v>
      </c>
      <c r="AW1" s="293" t="s">
        <v>91</v>
      </c>
      <c r="AX1" s="320" t="s">
        <v>92</v>
      </c>
      <c r="AY1" s="271" t="s">
        <v>93</v>
      </c>
      <c r="AZ1" s="321" t="s">
        <v>94</v>
      </c>
      <c r="BA1" s="322" t="s">
        <v>95</v>
      </c>
    </row>
    <row r="2" spans="1:53">
      <c r="A2" s="201"/>
      <c r="B2" s="205"/>
      <c r="C2" s="201"/>
      <c r="D2" s="206"/>
      <c r="E2" s="207"/>
      <c r="F2" s="207"/>
      <c r="G2" s="207"/>
      <c r="H2" s="207"/>
      <c r="I2" s="207"/>
      <c r="J2" s="207"/>
      <c r="K2" s="211"/>
      <c r="L2" s="210"/>
      <c r="M2" s="201"/>
      <c r="N2" s="210"/>
      <c r="O2" s="210"/>
      <c r="P2" s="201"/>
      <c r="Q2" s="205"/>
      <c r="R2" s="201"/>
      <c r="S2" s="205"/>
      <c r="T2" s="264"/>
      <c r="U2" s="210"/>
      <c r="V2" s="264"/>
      <c r="W2" s="210"/>
      <c r="X2" s="201"/>
      <c r="Y2" s="210"/>
      <c r="Z2" s="272"/>
      <c r="AA2" s="272"/>
      <c r="AB2" s="273"/>
      <c r="AC2" s="274"/>
      <c r="AD2" s="275"/>
      <c r="AE2" s="276"/>
      <c r="AF2" s="277"/>
      <c r="AG2" s="277"/>
      <c r="AH2" s="297"/>
      <c r="AI2" s="297"/>
      <c r="AJ2" s="298"/>
      <c r="AK2" s="298"/>
      <c r="AL2" s="299"/>
      <c r="AM2" s="300"/>
      <c r="AN2" s="296"/>
      <c r="AO2" s="275"/>
      <c r="AP2" s="309"/>
      <c r="AQ2" s="277"/>
      <c r="AR2" s="310"/>
      <c r="AS2" s="308"/>
      <c r="AT2" s="33"/>
      <c r="AU2" s="297"/>
      <c r="AV2" s="47"/>
      <c r="AW2" s="298"/>
      <c r="AX2" s="320"/>
      <c r="AY2" s="277"/>
      <c r="AZ2" s="321"/>
      <c r="BA2" s="321"/>
    </row>
    <row r="3" spans="1:53">
      <c r="A3" s="201"/>
      <c r="B3" s="205"/>
      <c r="C3" s="201"/>
      <c r="D3" s="208" t="s">
        <v>7</v>
      </c>
      <c r="E3" s="208" t="s">
        <v>8</v>
      </c>
      <c r="F3" s="208" t="s">
        <v>9</v>
      </c>
      <c r="G3" s="209" t="s">
        <v>10</v>
      </c>
      <c r="H3" s="208" t="s">
        <v>11</v>
      </c>
      <c r="I3" s="208" t="s">
        <v>12</v>
      </c>
      <c r="J3" s="208" t="s">
        <v>9</v>
      </c>
      <c r="K3" s="208" t="s">
        <v>13</v>
      </c>
      <c r="L3" s="210"/>
      <c r="M3" s="201"/>
      <c r="N3" s="210"/>
      <c r="O3" s="210"/>
      <c r="P3" s="201"/>
      <c r="Q3" s="205"/>
      <c r="R3" s="201"/>
      <c r="S3" s="205"/>
      <c r="T3" s="264"/>
      <c r="U3" s="210"/>
      <c r="V3" s="264"/>
      <c r="W3" s="210"/>
      <c r="X3" s="201"/>
      <c r="Y3" s="210"/>
      <c r="Z3" s="272"/>
      <c r="AA3" s="272"/>
      <c r="AB3" s="273"/>
      <c r="AC3" s="274"/>
      <c r="AD3" s="275"/>
      <c r="AE3" s="276"/>
      <c r="AF3" s="277"/>
      <c r="AG3" s="277"/>
      <c r="AH3" s="297"/>
      <c r="AI3" s="297"/>
      <c r="AJ3" s="298"/>
      <c r="AK3" s="298"/>
      <c r="AL3" s="299"/>
      <c r="AM3" s="300"/>
      <c r="AN3" s="296"/>
      <c r="AO3" s="275"/>
      <c r="AP3" s="309"/>
      <c r="AQ3" s="277"/>
      <c r="AR3" s="310"/>
      <c r="AS3" s="308"/>
      <c r="AT3" s="33"/>
      <c r="AU3" s="297"/>
      <c r="AV3" s="47"/>
      <c r="AW3" s="298"/>
      <c r="AX3" s="320"/>
      <c r="AY3" s="277"/>
      <c r="AZ3" s="321"/>
      <c r="BA3" s="321"/>
    </row>
    <row r="4" spans="1:53">
      <c r="A4" s="201"/>
      <c r="B4" s="205"/>
      <c r="C4" s="201"/>
      <c r="D4" s="210"/>
      <c r="E4" s="210"/>
      <c r="F4" s="210"/>
      <c r="G4" s="211"/>
      <c r="H4" s="210"/>
      <c r="I4" s="210"/>
      <c r="J4" s="210"/>
      <c r="K4" s="210"/>
      <c r="L4" s="210"/>
      <c r="M4" s="201"/>
      <c r="N4" s="210"/>
      <c r="O4" s="210"/>
      <c r="P4" s="201"/>
      <c r="Q4" s="205"/>
      <c r="R4" s="201"/>
      <c r="S4" s="205"/>
      <c r="T4" s="264"/>
      <c r="U4" s="210"/>
      <c r="V4" s="264"/>
      <c r="W4" s="210"/>
      <c r="X4" s="201"/>
      <c r="Y4" s="210"/>
      <c r="Z4" s="272"/>
      <c r="AA4" s="272"/>
      <c r="AB4" s="273"/>
      <c r="AC4" s="274"/>
      <c r="AD4" s="275"/>
      <c r="AE4" s="276"/>
      <c r="AF4" s="277"/>
      <c r="AG4" s="277"/>
      <c r="AH4" s="297"/>
      <c r="AI4" s="297"/>
      <c r="AJ4" s="298"/>
      <c r="AK4" s="298"/>
      <c r="AL4" s="299"/>
      <c r="AM4" s="300"/>
      <c r="AN4" s="296"/>
      <c r="AO4" s="275"/>
      <c r="AP4" s="309"/>
      <c r="AQ4" s="277"/>
      <c r="AR4" s="310"/>
      <c r="AS4" s="308"/>
      <c r="AT4" s="33"/>
      <c r="AU4" s="297"/>
      <c r="AV4" s="47"/>
      <c r="AW4" s="298"/>
      <c r="AX4" s="320"/>
      <c r="AY4" s="277"/>
      <c r="AZ4" s="321"/>
      <c r="BA4" s="321"/>
    </row>
    <row r="5" spans="1:53">
      <c r="A5" s="201"/>
      <c r="B5" s="205"/>
      <c r="C5" s="201"/>
      <c r="D5" s="210"/>
      <c r="E5" s="210"/>
      <c r="F5" s="210"/>
      <c r="G5" s="211"/>
      <c r="H5" s="210"/>
      <c r="I5" s="210"/>
      <c r="J5" s="210"/>
      <c r="K5" s="210"/>
      <c r="L5" s="210"/>
      <c r="M5" s="201"/>
      <c r="N5" s="210"/>
      <c r="O5" s="210"/>
      <c r="P5" s="201"/>
      <c r="Q5" s="205"/>
      <c r="R5" s="201"/>
      <c r="S5" s="205"/>
      <c r="T5" s="264"/>
      <c r="U5" s="210"/>
      <c r="V5" s="264"/>
      <c r="W5" s="210"/>
      <c r="X5" s="201"/>
      <c r="Y5" s="210"/>
      <c r="Z5" s="272"/>
      <c r="AA5" s="272"/>
      <c r="AB5" s="273"/>
      <c r="AC5" s="274"/>
      <c r="AD5" s="275"/>
      <c r="AE5" s="276"/>
      <c r="AF5" s="277"/>
      <c r="AG5" s="277"/>
      <c r="AH5" s="297"/>
      <c r="AI5" s="297"/>
      <c r="AJ5" s="298"/>
      <c r="AK5" s="298"/>
      <c r="AL5" s="299"/>
      <c r="AM5" s="300"/>
      <c r="AN5" s="296"/>
      <c r="AO5" s="275"/>
      <c r="AP5" s="309"/>
      <c r="AQ5" s="277"/>
      <c r="AR5" s="310"/>
      <c r="AS5" s="308"/>
      <c r="AT5" s="33"/>
      <c r="AU5" s="297"/>
      <c r="AV5" s="47"/>
      <c r="AW5" s="298"/>
      <c r="AX5" s="320"/>
      <c r="AY5" s="277"/>
      <c r="AZ5" s="321"/>
      <c r="BA5" s="321"/>
    </row>
    <row r="6" spans="1:53">
      <c r="A6" s="201"/>
      <c r="B6" s="212"/>
      <c r="C6" s="201"/>
      <c r="D6" s="213"/>
      <c r="E6" s="213"/>
      <c r="F6" s="213"/>
      <c r="G6" s="214"/>
      <c r="H6" s="213"/>
      <c r="I6" s="213"/>
      <c r="J6" s="213"/>
      <c r="K6" s="213"/>
      <c r="L6" s="213"/>
      <c r="M6" s="201"/>
      <c r="N6" s="213"/>
      <c r="O6" s="213"/>
      <c r="P6" s="201"/>
      <c r="Q6" s="212"/>
      <c r="R6" s="201"/>
      <c r="S6" s="212"/>
      <c r="T6" s="264"/>
      <c r="U6" s="213"/>
      <c r="V6" s="264"/>
      <c r="W6" s="213"/>
      <c r="X6" s="201"/>
      <c r="Y6" s="213"/>
      <c r="Z6" s="272"/>
      <c r="AA6" s="272"/>
      <c r="AB6" s="278"/>
      <c r="AC6" s="279"/>
      <c r="AD6" s="280"/>
      <c r="AE6" s="281"/>
      <c r="AF6" s="282"/>
      <c r="AG6" s="282"/>
      <c r="AH6" s="301"/>
      <c r="AI6" s="301"/>
      <c r="AJ6" s="302"/>
      <c r="AK6" s="302"/>
      <c r="AL6" s="303"/>
      <c r="AM6" s="304"/>
      <c r="AN6" s="305"/>
      <c r="AO6" s="280"/>
      <c r="AP6" s="311"/>
      <c r="AQ6" s="282"/>
      <c r="AR6" s="312"/>
      <c r="AS6" s="313"/>
      <c r="AT6" s="314"/>
      <c r="AU6" s="301"/>
      <c r="AV6" s="315"/>
      <c r="AW6" s="302"/>
      <c r="AX6" s="323"/>
      <c r="AY6" s="282"/>
      <c r="AZ6" s="324"/>
      <c r="BA6" s="324"/>
    </row>
    <row r="7" spans="1:53">
      <c r="A7" s="215" t="s">
        <v>64</v>
      </c>
      <c r="B7" s="215">
        <v>173</v>
      </c>
      <c r="C7" s="216">
        <v>586</v>
      </c>
      <c r="D7" s="216">
        <v>253</v>
      </c>
      <c r="E7" s="216">
        <v>153</v>
      </c>
      <c r="F7" s="216">
        <v>0</v>
      </c>
      <c r="G7" s="216">
        <v>2</v>
      </c>
      <c r="H7" s="216">
        <v>0</v>
      </c>
      <c r="I7" s="216">
        <v>0</v>
      </c>
      <c r="J7" s="216">
        <v>0</v>
      </c>
      <c r="K7" s="216">
        <v>1</v>
      </c>
      <c r="L7" s="216">
        <v>409</v>
      </c>
      <c r="M7" s="216">
        <v>0</v>
      </c>
      <c r="N7" s="231">
        <v>2</v>
      </c>
      <c r="O7" s="216">
        <f t="shared" ref="O7:O12" si="0">D7+E7+F7+G7+H7+I7+J7+K7+N7</f>
        <v>411</v>
      </c>
      <c r="P7" s="231">
        <f t="shared" ref="P7:P12" si="1">(O7/C7)*100</f>
        <v>70.1365187713311</v>
      </c>
      <c r="Q7" s="218">
        <f t="shared" ref="Q7:Q12" si="2">(E7/O7)*100</f>
        <v>37.2262773722628</v>
      </c>
      <c r="R7" s="231">
        <f t="shared" ref="R7:R12" si="3">(D7/O7)*100</f>
        <v>61.5571776155718</v>
      </c>
      <c r="S7" s="218">
        <f t="shared" ref="S7:S12" si="4">(F7/O7)*100</f>
        <v>0</v>
      </c>
      <c r="T7" s="231">
        <f t="shared" ref="T7:T12" si="5">(G7/O7)*100</f>
        <v>0.48661800486618</v>
      </c>
      <c r="U7" s="218">
        <f t="shared" ref="U7:U12" si="6">((H7+I7+J7+K7)/O7)*100</f>
        <v>0.24330900243309</v>
      </c>
      <c r="V7" s="231">
        <f t="shared" ref="V7:V12" si="7">(N7/O7)*100</f>
        <v>0.48661800486618</v>
      </c>
      <c r="W7" s="218">
        <f>Q7-R7</f>
        <v>-24.330900243309</v>
      </c>
      <c r="X7" s="231">
        <f>Q7-(R7+S7+T7+U7)</f>
        <v>-25.0608272506083</v>
      </c>
      <c r="Y7" s="218" t="str">
        <f>IF(AND(W7&lt;0,W7&lt;=1),"LOST",IF(AND(W7&gt;1,W7&lt;=10),"NARROW",IF(AND(W7&gt;10,W7&lt;=40),"MEDIUM",IF(AND(W7&gt;40,W7&lt;=90),"STRONG",""))))</f>
        <v>LOST</v>
      </c>
      <c r="Z7" s="283" t="str">
        <f>IF(AND(P7&lt;0,P7&lt;=10),"WEAK",IF(AND(P7&gt;10,P7&lt;20),"BELOW AVG",IF(AND(P7&gt;20,P7&lt;=60),"MEDIUM",IF(AND(P7&gt;60,P7&lt;=90),"STRONG",""))))</f>
        <v>STRONG</v>
      </c>
      <c r="AA7" s="284" t="str">
        <f>IF(Q7&gt;R7,"BJP","CONGRESS")</f>
        <v>CONGRESS</v>
      </c>
      <c r="AB7">
        <v>583</v>
      </c>
      <c r="AC7">
        <v>423</v>
      </c>
      <c r="AD7">
        <v>269</v>
      </c>
      <c r="AE7">
        <v>180</v>
      </c>
      <c r="AF7">
        <v>314</v>
      </c>
      <c r="AG7">
        <v>243</v>
      </c>
      <c r="AH7">
        <v>211</v>
      </c>
      <c r="AI7">
        <v>162</v>
      </c>
      <c r="AJ7">
        <v>11</v>
      </c>
      <c r="AK7">
        <v>5</v>
      </c>
      <c r="AL7">
        <v>361</v>
      </c>
      <c r="AM7">
        <v>256</v>
      </c>
      <c r="AN7" s="248">
        <f>(AD7/AB7)*100</f>
        <v>46.1406518010292</v>
      </c>
      <c r="AO7" s="316">
        <f>(AE7/AC7)*100</f>
        <v>42.5531914893617</v>
      </c>
      <c r="AP7" s="317">
        <f>(AF7/AB7)*100</f>
        <v>53.8593481989708</v>
      </c>
      <c r="AQ7" s="318">
        <f>(AG7/AC7)*100</f>
        <v>57.4468085106383</v>
      </c>
      <c r="AR7" s="318" t="str">
        <f>IF(AN7&gt;AP7,"MALE DOM","FEMALE DOM")</f>
        <v>FEMALE DOM</v>
      </c>
      <c r="AS7" s="319" t="str">
        <f>IF(AO7&gt;AP7,"MALE","FEMALE")</f>
        <v>FEMALE</v>
      </c>
      <c r="AT7" s="317">
        <f>(AH7/AB7)*100</f>
        <v>36.1921097770154</v>
      </c>
      <c r="AU7" s="317">
        <f>(AI7/AC7)*100</f>
        <v>38.2978723404255</v>
      </c>
      <c r="AV7" s="248">
        <f>(AJ7/AB7)*100</f>
        <v>1.88679245283019</v>
      </c>
      <c r="AW7" s="317">
        <f>(AK7/AC7)*100</f>
        <v>1.18203309692671</v>
      </c>
      <c r="AX7" s="248">
        <f>(AL7/AB7)*100</f>
        <v>61.9210977701544</v>
      </c>
      <c r="AY7" s="317">
        <f>(AM7/AC7)*100</f>
        <v>60.5200945626478</v>
      </c>
      <c r="AZ7" s="248" t="str">
        <f>IF(AT7&gt;(AV7+AX7),"HINDU","MINORITY")</f>
        <v>MINORITY</v>
      </c>
      <c r="BA7" s="318" t="str">
        <f>IF(AU7&gt;(AW7+AY7),"HIND","MINORITY")</f>
        <v>MINORITY</v>
      </c>
    </row>
    <row r="8" spans="2:53">
      <c r="B8" s="217">
        <v>172</v>
      </c>
      <c r="C8" s="218">
        <v>881</v>
      </c>
      <c r="D8" s="218">
        <v>272</v>
      </c>
      <c r="E8" s="218">
        <v>254</v>
      </c>
      <c r="F8" s="218">
        <v>0</v>
      </c>
      <c r="G8" s="218">
        <v>9</v>
      </c>
      <c r="H8" s="218">
        <v>0</v>
      </c>
      <c r="I8" s="218">
        <v>1</v>
      </c>
      <c r="J8" s="218">
        <v>0</v>
      </c>
      <c r="K8" s="218">
        <v>1</v>
      </c>
      <c r="L8" s="218">
        <v>537</v>
      </c>
      <c r="M8" s="218">
        <v>0</v>
      </c>
      <c r="N8" s="232">
        <v>3</v>
      </c>
      <c r="O8" s="218">
        <f t="shared" si="0"/>
        <v>540</v>
      </c>
      <c r="P8" s="232">
        <f t="shared" si="1"/>
        <v>61.2939841089671</v>
      </c>
      <c r="Q8" s="218">
        <f t="shared" si="2"/>
        <v>47.037037037037</v>
      </c>
      <c r="R8" s="232">
        <f t="shared" si="3"/>
        <v>50.3703703703704</v>
      </c>
      <c r="S8" s="218">
        <f t="shared" si="4"/>
        <v>0</v>
      </c>
      <c r="T8" s="232">
        <f t="shared" si="5"/>
        <v>1.66666666666667</v>
      </c>
      <c r="U8" s="218">
        <f t="shared" si="6"/>
        <v>0.37037037037037</v>
      </c>
      <c r="V8" s="232">
        <f t="shared" si="7"/>
        <v>0.555555555555556</v>
      </c>
      <c r="W8" s="218">
        <f t="shared" ref="W8:W12" si="8">Q8-R8</f>
        <v>-3.33333333333333</v>
      </c>
      <c r="X8" s="232">
        <f t="shared" ref="X8:X12" si="9">Q8-(R8+S8+T8+U8)</f>
        <v>-5.37037037037037</v>
      </c>
      <c r="Y8" s="218" t="str">
        <f t="shared" ref="Y8:Y13" si="10">IF(AND(W8&lt;0,W8&lt;=1),"LOST",IF(AND(W8&gt;1,W8&lt;=10),"NARROW",IF(AND(W8&gt;10,W8&lt;=40),"MEDIUM",IF(AND(W8&gt;40,W8&lt;=90),"STRONG",""))))</f>
        <v>LOST</v>
      </c>
      <c r="Z8" s="285" t="str">
        <f t="shared" ref="Z8:Z13" si="11">IF(AND(P8&lt;0,P8&lt;=10),"WEAK",IF(AND(P8&gt;10,P8&lt;20),"BELOW AVG",IF(AND(P8&gt;20,P8&lt;=60),"MEDIUM",IF(AND(P8&gt;60,P8&lt;=90),"STRONG",""))))</f>
        <v>STRONG</v>
      </c>
      <c r="AA8" s="286" t="str">
        <f t="shared" ref="AA8:AA10" si="12">IF(Q8&gt;R8,"BJP","CONGRESS")</f>
        <v>CONGRESS</v>
      </c>
      <c r="AB8" s="287">
        <v>879</v>
      </c>
      <c r="AC8" s="287">
        <v>540</v>
      </c>
      <c r="AD8" s="287">
        <v>391</v>
      </c>
      <c r="AE8" s="287">
        <v>242</v>
      </c>
      <c r="AF8" s="287">
        <v>488</v>
      </c>
      <c r="AG8" s="287">
        <v>298</v>
      </c>
      <c r="AH8" s="287">
        <v>392</v>
      </c>
      <c r="AI8" s="287">
        <v>275</v>
      </c>
      <c r="AJ8" s="287">
        <v>73</v>
      </c>
      <c r="AK8" s="287">
        <v>29</v>
      </c>
      <c r="AL8" s="287">
        <v>414</v>
      </c>
      <c r="AM8" s="287">
        <v>236</v>
      </c>
      <c r="AN8" s="248">
        <f t="shared" ref="AN8:AO10" si="13">(AD8/AB8)*100</f>
        <v>44.4823663253697</v>
      </c>
      <c r="AO8" s="316">
        <f t="shared" si="13"/>
        <v>44.8148148148148</v>
      </c>
      <c r="AP8" s="317">
        <f t="shared" ref="AP8:AQ10" si="14">(AF8/AB8)*100</f>
        <v>55.5176336746303</v>
      </c>
      <c r="AQ8" s="318">
        <f t="shared" si="14"/>
        <v>55.1851851851852</v>
      </c>
      <c r="AR8" s="318" t="str">
        <f t="shared" ref="AR8:AR12" si="15">IF(AN8&gt;AP8,"MALE DOM","FEMALE DOM")</f>
        <v>FEMALE DOM</v>
      </c>
      <c r="AS8" s="319" t="str">
        <f t="shared" ref="AS8:AS12" si="16">IF(AO8&gt;AP8,"MALE","FEMALE")</f>
        <v>FEMALE</v>
      </c>
      <c r="AT8" s="317">
        <f t="shared" ref="AT8:AU10" si="17">(AH8/AB8)*100</f>
        <v>44.5961319681456</v>
      </c>
      <c r="AU8" s="317">
        <f t="shared" si="17"/>
        <v>50.9259259259259</v>
      </c>
      <c r="AV8" s="248">
        <f t="shared" ref="AV8:AW10" si="18">(AJ8/AB8)*100</f>
        <v>8.30489192263936</v>
      </c>
      <c r="AW8" s="317">
        <f t="shared" si="18"/>
        <v>5.37037037037037</v>
      </c>
      <c r="AX8" s="248">
        <f t="shared" ref="AX8:AY10" si="19">(AL8/AB8)*100</f>
        <v>47.098976109215</v>
      </c>
      <c r="AY8" s="317">
        <f t="shared" si="19"/>
        <v>43.7037037037037</v>
      </c>
      <c r="AZ8" s="248" t="str">
        <f t="shared" ref="AZ8:AZ12" si="20">IF(AT8&gt;(AV8+AX8),"HINDU","MINORITY")</f>
        <v>MINORITY</v>
      </c>
      <c r="BA8" s="318" t="str">
        <f t="shared" ref="BA8:BA12" si="21">IF(AU8&gt;(AW8+AY8),"HIND","MINORITY")</f>
        <v>HIND</v>
      </c>
    </row>
    <row r="9" spans="2:53">
      <c r="B9" s="219">
        <v>183</v>
      </c>
      <c r="C9" s="220">
        <v>1446</v>
      </c>
      <c r="D9" s="220">
        <v>297</v>
      </c>
      <c r="E9" s="220">
        <v>511</v>
      </c>
      <c r="F9" s="220">
        <v>2</v>
      </c>
      <c r="G9" s="220">
        <v>3</v>
      </c>
      <c r="H9" s="220">
        <v>0</v>
      </c>
      <c r="I9" s="220">
        <v>0</v>
      </c>
      <c r="J9" s="220">
        <v>0</v>
      </c>
      <c r="K9" s="220">
        <v>1</v>
      </c>
      <c r="L9" s="220">
        <v>814</v>
      </c>
      <c r="M9" s="220">
        <v>0</v>
      </c>
      <c r="N9" s="233">
        <v>7</v>
      </c>
      <c r="O9" s="220">
        <f t="shared" si="0"/>
        <v>821</v>
      </c>
      <c r="P9" s="233">
        <f t="shared" si="1"/>
        <v>56.777316735823</v>
      </c>
      <c r="Q9" s="220">
        <f t="shared" si="2"/>
        <v>62.2411693057247</v>
      </c>
      <c r="R9" s="233">
        <f t="shared" si="3"/>
        <v>36.1753958587089</v>
      </c>
      <c r="S9" s="220">
        <f t="shared" si="4"/>
        <v>0.243605359317905</v>
      </c>
      <c r="T9" s="233">
        <f t="shared" si="5"/>
        <v>0.365408038976857</v>
      </c>
      <c r="U9" s="220">
        <f t="shared" si="6"/>
        <v>0.121802679658952</v>
      </c>
      <c r="V9" s="233">
        <f t="shared" si="7"/>
        <v>0.852618757612667</v>
      </c>
      <c r="W9" s="220">
        <f t="shared" si="8"/>
        <v>26.0657734470158</v>
      </c>
      <c r="X9" s="222">
        <f t="shared" si="9"/>
        <v>25.3349573690621</v>
      </c>
      <c r="Y9" s="220" t="str">
        <f t="shared" si="10"/>
        <v>MEDIUM</v>
      </c>
      <c r="Z9" s="288" t="str">
        <f t="shared" si="11"/>
        <v>MEDIUM</v>
      </c>
      <c r="AA9" s="289" t="str">
        <f t="shared" si="12"/>
        <v>BJP</v>
      </c>
      <c r="AB9">
        <v>1432</v>
      </c>
      <c r="AC9">
        <v>793</v>
      </c>
      <c r="AD9">
        <v>701</v>
      </c>
      <c r="AE9">
        <v>351</v>
      </c>
      <c r="AF9">
        <v>730</v>
      </c>
      <c r="AG9">
        <v>441</v>
      </c>
      <c r="AH9">
        <v>996</v>
      </c>
      <c r="AI9">
        <v>578</v>
      </c>
      <c r="AJ9">
        <v>53</v>
      </c>
      <c r="AK9">
        <v>36</v>
      </c>
      <c r="AL9">
        <v>383</v>
      </c>
      <c r="AM9">
        <v>179</v>
      </c>
      <c r="AN9" s="248">
        <f t="shared" si="13"/>
        <v>48.9525139664804</v>
      </c>
      <c r="AO9" s="316">
        <f t="shared" si="13"/>
        <v>44.2622950819672</v>
      </c>
      <c r="AP9" s="317">
        <f t="shared" si="14"/>
        <v>50.9776536312849</v>
      </c>
      <c r="AQ9" s="318">
        <f t="shared" si="14"/>
        <v>55.6116015132409</v>
      </c>
      <c r="AR9" s="318" t="str">
        <f t="shared" si="15"/>
        <v>FEMALE DOM</v>
      </c>
      <c r="AS9" s="319" t="str">
        <f t="shared" si="16"/>
        <v>FEMALE</v>
      </c>
      <c r="AT9" s="317">
        <f t="shared" si="17"/>
        <v>69.5530726256983</v>
      </c>
      <c r="AU9" s="317">
        <f t="shared" si="17"/>
        <v>72.8877679697352</v>
      </c>
      <c r="AV9" s="248">
        <f t="shared" si="18"/>
        <v>3.70111731843575</v>
      </c>
      <c r="AW9" s="317">
        <f t="shared" si="18"/>
        <v>4.53972257250946</v>
      </c>
      <c r="AX9" s="248">
        <f t="shared" si="19"/>
        <v>26.7458100558659</v>
      </c>
      <c r="AY9" s="317">
        <f t="shared" si="19"/>
        <v>22.5725094577554</v>
      </c>
      <c r="AZ9" s="248" t="str">
        <f t="shared" si="20"/>
        <v>HINDU</v>
      </c>
      <c r="BA9" s="318" t="str">
        <f t="shared" si="21"/>
        <v>HIND</v>
      </c>
    </row>
    <row r="10" spans="2:53">
      <c r="B10" s="221">
        <v>174</v>
      </c>
      <c r="C10" s="222">
        <v>1329</v>
      </c>
      <c r="D10" s="222">
        <v>363</v>
      </c>
      <c r="E10" s="222">
        <v>500</v>
      </c>
      <c r="F10" s="222">
        <v>3</v>
      </c>
      <c r="G10" s="222">
        <v>2</v>
      </c>
      <c r="H10" s="222">
        <v>0</v>
      </c>
      <c r="I10" s="222">
        <v>2</v>
      </c>
      <c r="J10" s="222">
        <v>1</v>
      </c>
      <c r="K10" s="222">
        <v>0</v>
      </c>
      <c r="L10" s="222">
        <v>871</v>
      </c>
      <c r="M10" s="222">
        <v>0</v>
      </c>
      <c r="N10" s="234">
        <v>2</v>
      </c>
      <c r="O10" s="222">
        <f t="shared" si="0"/>
        <v>873</v>
      </c>
      <c r="P10" s="234">
        <f t="shared" si="1"/>
        <v>65.6884875846501</v>
      </c>
      <c r="Q10" s="222">
        <f t="shared" si="2"/>
        <v>57.2737686139748</v>
      </c>
      <c r="R10" s="234">
        <f t="shared" si="3"/>
        <v>41.5807560137457</v>
      </c>
      <c r="S10" s="222">
        <f t="shared" si="4"/>
        <v>0.343642611683849</v>
      </c>
      <c r="T10" s="234">
        <f t="shared" si="5"/>
        <v>0.229095074455899</v>
      </c>
      <c r="U10" s="222">
        <f t="shared" si="6"/>
        <v>0.343642611683849</v>
      </c>
      <c r="V10" s="234">
        <f t="shared" si="7"/>
        <v>0.229095074455899</v>
      </c>
      <c r="W10" s="222">
        <f t="shared" si="8"/>
        <v>15.6930126002291</v>
      </c>
      <c r="X10" s="234">
        <f t="shared" si="9"/>
        <v>14.7766323024055</v>
      </c>
      <c r="Y10" s="222" t="str">
        <f t="shared" si="10"/>
        <v>MEDIUM</v>
      </c>
      <c r="Z10" s="290" t="str">
        <f t="shared" si="11"/>
        <v>STRONG</v>
      </c>
      <c r="AA10" s="289" t="str">
        <f t="shared" si="12"/>
        <v>BJP</v>
      </c>
      <c r="AB10">
        <v>1323</v>
      </c>
      <c r="AC10">
        <v>710</v>
      </c>
      <c r="AD10">
        <v>618</v>
      </c>
      <c r="AE10">
        <v>337</v>
      </c>
      <c r="AF10">
        <v>705</v>
      </c>
      <c r="AG10">
        <v>373</v>
      </c>
      <c r="AH10">
        <v>870</v>
      </c>
      <c r="AI10">
        <v>501</v>
      </c>
      <c r="AJ10">
        <v>32</v>
      </c>
      <c r="AK10">
        <v>8</v>
      </c>
      <c r="AL10">
        <v>421</v>
      </c>
      <c r="AM10">
        <v>201</v>
      </c>
      <c r="AN10" s="248">
        <f t="shared" si="13"/>
        <v>46.7120181405896</v>
      </c>
      <c r="AO10" s="316">
        <f t="shared" si="13"/>
        <v>47.4647887323944</v>
      </c>
      <c r="AP10" s="317">
        <f t="shared" si="14"/>
        <v>53.2879818594104</v>
      </c>
      <c r="AQ10" s="318">
        <f t="shared" si="14"/>
        <v>52.5352112676056</v>
      </c>
      <c r="AR10" s="318" t="str">
        <f t="shared" si="15"/>
        <v>FEMALE DOM</v>
      </c>
      <c r="AS10" s="319" t="str">
        <f t="shared" si="16"/>
        <v>FEMALE</v>
      </c>
      <c r="AT10" s="317">
        <f t="shared" si="17"/>
        <v>65.7596371882086</v>
      </c>
      <c r="AU10" s="317">
        <f t="shared" si="17"/>
        <v>70.5633802816901</v>
      </c>
      <c r="AV10" s="248">
        <f t="shared" si="18"/>
        <v>2.41874527588813</v>
      </c>
      <c r="AW10" s="317">
        <f t="shared" si="18"/>
        <v>1.12676056338028</v>
      </c>
      <c r="AX10" s="248">
        <f t="shared" si="19"/>
        <v>31.8216175359033</v>
      </c>
      <c r="AY10" s="317">
        <f t="shared" si="19"/>
        <v>28.3098591549296</v>
      </c>
      <c r="AZ10" s="248" t="str">
        <f t="shared" si="20"/>
        <v>HINDU</v>
      </c>
      <c r="BA10" s="318" t="str">
        <f t="shared" si="21"/>
        <v>HIND</v>
      </c>
    </row>
    <row r="11" spans="2:53">
      <c r="B11" s="215">
        <v>132</v>
      </c>
      <c r="C11" s="223">
        <v>1202</v>
      </c>
      <c r="D11" s="223">
        <v>447</v>
      </c>
      <c r="E11" s="223">
        <v>315</v>
      </c>
      <c r="F11" s="223">
        <v>2</v>
      </c>
      <c r="G11" s="223">
        <v>3</v>
      </c>
      <c r="H11" s="223">
        <v>0</v>
      </c>
      <c r="I11" s="223">
        <v>1</v>
      </c>
      <c r="J11" s="223">
        <v>0</v>
      </c>
      <c r="K11" s="223">
        <v>1</v>
      </c>
      <c r="L11" s="223">
        <v>769</v>
      </c>
      <c r="M11" s="223">
        <v>0</v>
      </c>
      <c r="N11" s="235">
        <v>5</v>
      </c>
      <c r="O11" s="223">
        <f t="shared" si="0"/>
        <v>774</v>
      </c>
      <c r="P11" s="235">
        <f t="shared" si="1"/>
        <v>64.3926788685524</v>
      </c>
      <c r="Q11" s="223">
        <f t="shared" si="2"/>
        <v>40.6976744186046</v>
      </c>
      <c r="R11" s="235">
        <f t="shared" si="3"/>
        <v>57.7519379844961</v>
      </c>
      <c r="S11" s="223">
        <f t="shared" si="4"/>
        <v>0.258397932816538</v>
      </c>
      <c r="T11" s="235">
        <f t="shared" si="5"/>
        <v>0.387596899224806</v>
      </c>
      <c r="U11" s="223">
        <f t="shared" si="6"/>
        <v>0.258397932816538</v>
      </c>
      <c r="V11" s="235">
        <f t="shared" si="7"/>
        <v>0.645994832041344</v>
      </c>
      <c r="W11" s="223">
        <f t="shared" si="8"/>
        <v>-17.0542635658915</v>
      </c>
      <c r="X11" s="217">
        <f t="shared" si="9"/>
        <v>-17.9586563307493</v>
      </c>
      <c r="Y11" s="218" t="str">
        <f t="shared" si="10"/>
        <v>LOST</v>
      </c>
      <c r="Z11" s="285" t="str">
        <f t="shared" si="11"/>
        <v>STRONG</v>
      </c>
      <c r="AA11" s="284" t="str">
        <f t="shared" ref="AA11:AA13" si="22">IF(Q11&gt;R11,"BJP","CONGRESS")</f>
        <v>CONGRESS</v>
      </c>
      <c r="AB11">
        <v>1195</v>
      </c>
      <c r="AC11">
        <v>769</v>
      </c>
      <c r="AD11">
        <v>553</v>
      </c>
      <c r="AE11">
        <v>340</v>
      </c>
      <c r="AF11">
        <v>642</v>
      </c>
      <c r="AG11">
        <v>429</v>
      </c>
      <c r="AH11">
        <v>677</v>
      </c>
      <c r="AI11">
        <v>471</v>
      </c>
      <c r="AJ11">
        <v>289</v>
      </c>
      <c r="AK11">
        <v>170</v>
      </c>
      <c r="AL11">
        <v>229</v>
      </c>
      <c r="AM11">
        <v>128</v>
      </c>
      <c r="AN11" s="248">
        <f>(AD11/AB11)*100</f>
        <v>46.2761506276151</v>
      </c>
      <c r="AO11" s="316">
        <f>(AE11/AC11)*100</f>
        <v>44.2132639791938</v>
      </c>
      <c r="AP11" s="317">
        <f>(AF11/AB11)*100</f>
        <v>53.7238493723849</v>
      </c>
      <c r="AQ11" s="318">
        <f>(AG11/AC11)*100</f>
        <v>55.7867360208062</v>
      </c>
      <c r="AR11" s="318" t="str">
        <f t="shared" si="15"/>
        <v>FEMALE DOM</v>
      </c>
      <c r="AS11" s="319" t="str">
        <f t="shared" si="16"/>
        <v>FEMALE</v>
      </c>
      <c r="AT11" s="317">
        <f>(AH11/AB11)*100</f>
        <v>56.652719665272</v>
      </c>
      <c r="AU11" s="317">
        <f>(AI11/AC11)*100</f>
        <v>61.2483745123537</v>
      </c>
      <c r="AV11" s="248">
        <f>(AJ11/AB11)*100</f>
        <v>24.18410041841</v>
      </c>
      <c r="AW11" s="317">
        <f>(AK11/AC11)*100</f>
        <v>22.1066319895969</v>
      </c>
      <c r="AX11" s="248">
        <f>(AL11/AB11)*100</f>
        <v>19.163179916318</v>
      </c>
      <c r="AY11" s="317">
        <f>(AM11/AC11)*100</f>
        <v>16.6449934980494</v>
      </c>
      <c r="AZ11" s="248" t="str">
        <f t="shared" si="20"/>
        <v>HINDU</v>
      </c>
      <c r="BA11" s="318" t="str">
        <f t="shared" si="21"/>
        <v>HIND</v>
      </c>
    </row>
    <row r="12" spans="2:53">
      <c r="B12" s="217">
        <v>133</v>
      </c>
      <c r="C12" s="218">
        <v>972</v>
      </c>
      <c r="D12" s="218">
        <v>302</v>
      </c>
      <c r="E12" s="218">
        <v>96</v>
      </c>
      <c r="F12" s="218">
        <v>0</v>
      </c>
      <c r="G12" s="218">
        <v>8</v>
      </c>
      <c r="H12" s="218">
        <v>2</v>
      </c>
      <c r="I12" s="218">
        <v>0</v>
      </c>
      <c r="J12" s="218">
        <v>0</v>
      </c>
      <c r="K12" s="218">
        <v>0</v>
      </c>
      <c r="L12" s="218">
        <v>408</v>
      </c>
      <c r="M12" s="218">
        <v>0</v>
      </c>
      <c r="N12" s="232">
        <v>3</v>
      </c>
      <c r="O12" s="218">
        <f t="shared" si="0"/>
        <v>411</v>
      </c>
      <c r="P12" s="232">
        <f t="shared" si="1"/>
        <v>42.2839506172839</v>
      </c>
      <c r="Q12" s="218">
        <f t="shared" si="2"/>
        <v>23.3576642335766</v>
      </c>
      <c r="R12" s="232">
        <f t="shared" si="3"/>
        <v>73.4793187347932</v>
      </c>
      <c r="S12" s="218">
        <f t="shared" si="4"/>
        <v>0</v>
      </c>
      <c r="T12" s="232">
        <f t="shared" si="5"/>
        <v>1.94647201946472</v>
      </c>
      <c r="U12" s="218">
        <f t="shared" si="6"/>
        <v>0.48661800486618</v>
      </c>
      <c r="V12" s="232">
        <f t="shared" si="7"/>
        <v>0.72992700729927</v>
      </c>
      <c r="W12" s="218">
        <f t="shared" si="8"/>
        <v>-50.1216545012165</v>
      </c>
      <c r="X12" s="218">
        <f t="shared" si="9"/>
        <v>-52.5547445255474</v>
      </c>
      <c r="Y12" s="218" t="str">
        <f t="shared" si="10"/>
        <v>LOST</v>
      </c>
      <c r="Z12" s="291" t="str">
        <f t="shared" si="11"/>
        <v>MEDIUM</v>
      </c>
      <c r="AA12" s="284" t="str">
        <f t="shared" si="22"/>
        <v>CONGRESS</v>
      </c>
      <c r="AB12">
        <v>970</v>
      </c>
      <c r="AC12">
        <v>409</v>
      </c>
      <c r="AD12">
        <v>381</v>
      </c>
      <c r="AE12">
        <v>172</v>
      </c>
      <c r="AF12">
        <v>589</v>
      </c>
      <c r="AG12">
        <v>237</v>
      </c>
      <c r="AH12">
        <v>275</v>
      </c>
      <c r="AI12">
        <v>130</v>
      </c>
      <c r="AJ12">
        <v>274</v>
      </c>
      <c r="AK12">
        <v>140</v>
      </c>
      <c r="AL12">
        <v>421</v>
      </c>
      <c r="AM12">
        <v>139</v>
      </c>
      <c r="AN12" s="248">
        <f>(AD12/AB12)*100</f>
        <v>39.2783505154639</v>
      </c>
      <c r="AO12" s="316">
        <f>(AE12/AC12)*100</f>
        <v>42.0537897310513</v>
      </c>
      <c r="AP12" s="317">
        <f>(AF12/AB12)*100</f>
        <v>60.7216494845361</v>
      </c>
      <c r="AQ12" s="318">
        <f>(AG12/AC12)*100</f>
        <v>57.9462102689486</v>
      </c>
      <c r="AR12" s="318" t="str">
        <f t="shared" si="15"/>
        <v>FEMALE DOM</v>
      </c>
      <c r="AS12" s="319" t="str">
        <f t="shared" si="16"/>
        <v>FEMALE</v>
      </c>
      <c r="AT12" s="317">
        <f>(AH12/AB12)*100</f>
        <v>28.3505154639175</v>
      </c>
      <c r="AU12" s="317">
        <f>(AI12/AC12)*100</f>
        <v>31.7848410757946</v>
      </c>
      <c r="AV12" s="248">
        <f>(AJ12/AB12)*100</f>
        <v>28.2474226804124</v>
      </c>
      <c r="AW12" s="317">
        <f>(AK12/AC12)*100</f>
        <v>34.2298288508557</v>
      </c>
      <c r="AX12" s="248">
        <f>(AL12/AB12)*100</f>
        <v>43.4020618556701</v>
      </c>
      <c r="AY12" s="317">
        <f>(AM12/AC12)*100</f>
        <v>33.9853300733496</v>
      </c>
      <c r="AZ12" s="248" t="str">
        <f t="shared" si="20"/>
        <v>MINORITY</v>
      </c>
      <c r="BA12" s="318" t="str">
        <f t="shared" si="21"/>
        <v>MINORITY</v>
      </c>
    </row>
    <row r="13" spans="3:53">
      <c r="C13" s="224">
        <f t="shared" ref="C13:O13" si="23">SUM(C7:C12)</f>
        <v>6416</v>
      </c>
      <c r="D13" s="224">
        <f t="shared" si="23"/>
        <v>1934</v>
      </c>
      <c r="E13" s="224">
        <f t="shared" si="23"/>
        <v>1829</v>
      </c>
      <c r="F13" s="224">
        <f t="shared" si="23"/>
        <v>7</v>
      </c>
      <c r="G13" s="224">
        <f t="shared" si="23"/>
        <v>27</v>
      </c>
      <c r="H13" s="224">
        <f t="shared" si="23"/>
        <v>2</v>
      </c>
      <c r="I13" s="224">
        <f t="shared" si="23"/>
        <v>4</v>
      </c>
      <c r="J13" s="224">
        <f t="shared" si="23"/>
        <v>1</v>
      </c>
      <c r="K13" s="224">
        <f t="shared" si="23"/>
        <v>4</v>
      </c>
      <c r="L13" s="224">
        <f t="shared" si="23"/>
        <v>3808</v>
      </c>
      <c r="M13" s="224">
        <f t="shared" si="23"/>
        <v>0</v>
      </c>
      <c r="N13" s="236">
        <f t="shared" si="23"/>
        <v>22</v>
      </c>
      <c r="O13" s="224">
        <f t="shared" si="23"/>
        <v>3830</v>
      </c>
      <c r="P13" s="236">
        <f t="shared" ref="P13:X13" si="24">AVERAGE(P7:P12)</f>
        <v>60.0954894477679</v>
      </c>
      <c r="Q13" s="224">
        <f t="shared" si="24"/>
        <v>44.6389318301968</v>
      </c>
      <c r="R13" s="236">
        <f t="shared" si="24"/>
        <v>53.485826096281</v>
      </c>
      <c r="S13" s="224">
        <f t="shared" si="24"/>
        <v>0.140940983969715</v>
      </c>
      <c r="T13" s="236">
        <f t="shared" si="24"/>
        <v>0.846976117275855</v>
      </c>
      <c r="U13" s="224">
        <f t="shared" si="24"/>
        <v>0.304023433638163</v>
      </c>
      <c r="V13" s="236">
        <f t="shared" si="24"/>
        <v>0.583301538638486</v>
      </c>
      <c r="W13" s="224">
        <f t="shared" si="24"/>
        <v>-8.84689426608424</v>
      </c>
      <c r="X13" s="236">
        <f t="shared" si="24"/>
        <v>-10.138834800968</v>
      </c>
      <c r="Y13" s="224" t="str">
        <f t="shared" si="10"/>
        <v>LOST</v>
      </c>
      <c r="Z13" s="285" t="str">
        <f t="shared" si="11"/>
        <v>STRONG</v>
      </c>
      <c r="AA13" s="284" t="str">
        <f t="shared" si="22"/>
        <v>CONGRESS</v>
      </c>
      <c r="AN13" s="248"/>
      <c r="AO13" s="316"/>
      <c r="AP13" s="317"/>
      <c r="AQ13" s="318"/>
      <c r="AR13" s="318"/>
      <c r="AS13" s="319"/>
      <c r="AT13" s="317"/>
      <c r="AU13" s="317"/>
      <c r="AV13" s="248"/>
      <c r="AW13" s="317"/>
      <c r="AX13" s="248"/>
      <c r="AY13" s="317"/>
      <c r="AZ13" s="248"/>
      <c r="BA13" s="318"/>
    </row>
    <row r="15" spans="8:25">
      <c r="H15" s="225" t="s">
        <v>205</v>
      </c>
      <c r="I15" s="237"/>
      <c r="J15" s="237"/>
      <c r="K15" s="238"/>
      <c r="M15" s="225" t="s">
        <v>97</v>
      </c>
      <c r="N15" s="237"/>
      <c r="O15" s="237"/>
      <c r="P15" s="238"/>
      <c r="R15" s="265" t="s">
        <v>98</v>
      </c>
      <c r="S15" s="265"/>
      <c r="T15" s="265"/>
      <c r="U15" s="265"/>
      <c r="V15" s="265"/>
      <c r="W15" s="265"/>
      <c r="X15" s="265"/>
      <c r="Y15" s="265"/>
    </row>
    <row r="16" spans="8:25">
      <c r="H16" s="226"/>
      <c r="I16" s="239"/>
      <c r="J16" s="239"/>
      <c r="K16" s="240"/>
      <c r="M16" s="241"/>
      <c r="N16" s="242"/>
      <c r="O16" s="242"/>
      <c r="P16" s="243"/>
      <c r="R16" s="265"/>
      <c r="S16" s="265"/>
      <c r="T16" s="265"/>
      <c r="U16" s="265"/>
      <c r="V16" s="265"/>
      <c r="W16" s="265"/>
      <c r="X16" s="265"/>
      <c r="Y16" s="265"/>
    </row>
    <row r="17" spans="8:25">
      <c r="H17" s="227" t="s">
        <v>99</v>
      </c>
      <c r="I17" s="244"/>
      <c r="J17" s="245"/>
      <c r="K17" s="245">
        <f>COUNTIF(AA7:AA12,"BJP")</f>
        <v>2</v>
      </c>
      <c r="M17" s="246" t="s">
        <v>100</v>
      </c>
      <c r="N17" s="247"/>
      <c r="O17" s="247"/>
      <c r="P17" s="248">
        <f>COUNTIF(Y7:Y12,"NARROW")</f>
        <v>0</v>
      </c>
      <c r="R17" s="265" t="s">
        <v>101</v>
      </c>
      <c r="S17" s="265"/>
      <c r="T17" s="265"/>
      <c r="U17" s="265">
        <f>'VALENCIA-18'!E8</f>
        <v>41.4936399095169</v>
      </c>
      <c r="V17" s="265" t="s">
        <v>102</v>
      </c>
      <c r="W17" s="265"/>
      <c r="X17" s="265"/>
      <c r="Y17" s="265"/>
    </row>
    <row r="18" spans="8:25">
      <c r="H18" s="227"/>
      <c r="I18" s="244"/>
      <c r="J18" s="245"/>
      <c r="K18" s="245"/>
      <c r="M18" s="249"/>
      <c r="N18" s="250"/>
      <c r="O18" s="250"/>
      <c r="P18" s="251"/>
      <c r="R18" s="265"/>
      <c r="S18" s="265"/>
      <c r="T18" s="265"/>
      <c r="U18" s="265"/>
      <c r="V18" s="265"/>
      <c r="W18" s="265"/>
      <c r="X18" s="265"/>
      <c r="Y18" s="265"/>
    </row>
    <row r="19" spans="8:25">
      <c r="H19" s="227"/>
      <c r="I19" s="244"/>
      <c r="J19" s="245"/>
      <c r="K19" s="245"/>
      <c r="M19" s="252" t="s">
        <v>103</v>
      </c>
      <c r="N19" s="253"/>
      <c r="O19" s="253"/>
      <c r="P19" s="248">
        <f>COUNTIF(Y7:Y12,"MEDIUM")</f>
        <v>2</v>
      </c>
      <c r="R19" s="265" t="s">
        <v>104</v>
      </c>
      <c r="S19" s="265"/>
      <c r="T19" s="265"/>
      <c r="U19" s="265">
        <f>'VALENCIA-18'!G8</f>
        <v>55.9939406794061</v>
      </c>
      <c r="V19" s="265" t="s">
        <v>105</v>
      </c>
      <c r="W19" s="265"/>
      <c r="X19" s="265"/>
      <c r="Y19" s="265">
        <f>O11</f>
        <v>774</v>
      </c>
    </row>
    <row r="20" spans="8:25">
      <c r="H20" s="228" t="s">
        <v>106</v>
      </c>
      <c r="I20" s="254"/>
      <c r="J20" s="255"/>
      <c r="K20" s="255">
        <f>COUNTIF(AA7:AA12,"CONGRESS")</f>
        <v>4</v>
      </c>
      <c r="M20" s="252"/>
      <c r="N20" s="253"/>
      <c r="O20" s="253"/>
      <c r="P20" s="251"/>
      <c r="R20" s="265"/>
      <c r="S20" s="265"/>
      <c r="T20" s="265"/>
      <c r="U20" s="265"/>
      <c r="V20" s="265"/>
      <c r="W20" s="265"/>
      <c r="X20" s="265"/>
      <c r="Y20" s="265"/>
    </row>
    <row r="21" spans="8:25">
      <c r="H21" s="229"/>
      <c r="I21" s="256"/>
      <c r="J21" s="257"/>
      <c r="K21" s="257"/>
      <c r="M21" s="258" t="s">
        <v>107</v>
      </c>
      <c r="N21" s="259"/>
      <c r="O21" s="259"/>
      <c r="P21" s="248">
        <f>COUNTIF(Y7:Y12,"STRONG")</f>
        <v>0</v>
      </c>
      <c r="R21" s="265" t="s">
        <v>108</v>
      </c>
      <c r="S21" s="265"/>
      <c r="T21" s="265"/>
      <c r="U21" s="265">
        <f>'VALENCIA-18'!C8</f>
        <v>4156</v>
      </c>
      <c r="V21" s="265" t="s">
        <v>109</v>
      </c>
      <c r="W21" s="265"/>
      <c r="X21" s="265"/>
      <c r="Y21" s="265">
        <f>L11</f>
        <v>769</v>
      </c>
    </row>
    <row r="22" spans="8:25">
      <c r="H22" s="230"/>
      <c r="I22" s="260"/>
      <c r="J22" s="261"/>
      <c r="K22" s="261"/>
      <c r="M22" s="262"/>
      <c r="N22" s="263"/>
      <c r="O22" s="263"/>
      <c r="P22" s="251"/>
      <c r="R22" s="265"/>
      <c r="S22" s="265"/>
      <c r="T22" s="265"/>
      <c r="U22" s="265"/>
      <c r="V22" s="265"/>
      <c r="W22" s="265"/>
      <c r="X22" s="265"/>
      <c r="Y22" s="265"/>
    </row>
    <row r="23" spans="13:25">
      <c r="M23" s="229" t="s">
        <v>110</v>
      </c>
      <c r="N23" s="256"/>
      <c r="O23" s="256"/>
      <c r="P23" s="248">
        <f>COUNTIF(Y7:Y12,"LOST")</f>
        <v>4</v>
      </c>
      <c r="R23" s="265" t="s">
        <v>111</v>
      </c>
      <c r="S23" s="265"/>
      <c r="T23" s="265"/>
      <c r="U23" s="265">
        <f>U17-U19</f>
        <v>-14.5003007698892</v>
      </c>
      <c r="V23" s="265" t="s">
        <v>111</v>
      </c>
      <c r="W23" s="265"/>
      <c r="X23" s="265"/>
      <c r="Y23" s="265">
        <f>Y17-Y19</f>
        <v>-774</v>
      </c>
    </row>
    <row r="24" spans="13:25">
      <c r="M24" s="230"/>
      <c r="N24" s="260"/>
      <c r="O24" s="260"/>
      <c r="P24" s="251"/>
      <c r="R24" s="265"/>
      <c r="S24" s="265"/>
      <c r="T24" s="265"/>
      <c r="U24" s="265"/>
      <c r="V24" s="265"/>
      <c r="W24" s="265"/>
      <c r="X24" s="265"/>
      <c r="Y24" s="265"/>
    </row>
    <row r="25" spans="18:24">
      <c r="R25" s="265" t="s">
        <v>112</v>
      </c>
      <c r="S25" s="265"/>
      <c r="T25" s="265"/>
      <c r="U25" s="265">
        <f>Y17-U17</f>
        <v>-41.4936399095169</v>
      </c>
      <c r="V25" s="265"/>
      <c r="W25" s="265"/>
      <c r="X25" s="265"/>
    </row>
    <row r="26" spans="18:24">
      <c r="R26" s="265"/>
      <c r="S26" s="265"/>
      <c r="T26" s="265"/>
      <c r="U26" s="265"/>
      <c r="V26" s="265"/>
      <c r="W26" s="265"/>
      <c r="X26" s="265"/>
    </row>
    <row r="27" spans="18:24">
      <c r="R27" s="265" t="s">
        <v>113</v>
      </c>
      <c r="S27" s="265"/>
      <c r="T27" s="265"/>
      <c r="U27" s="265">
        <f>Y19-U19</f>
        <v>718.006059320594</v>
      </c>
      <c r="V27" s="265"/>
      <c r="W27" s="265"/>
      <c r="X27" s="265"/>
    </row>
    <row r="28" spans="18:24">
      <c r="R28" s="265"/>
      <c r="S28" s="265"/>
      <c r="T28" s="265"/>
      <c r="U28" s="265"/>
      <c r="V28" s="265"/>
      <c r="W28" s="265"/>
      <c r="X28" s="265"/>
    </row>
    <row r="29" spans="18:24">
      <c r="R29" s="265" t="s">
        <v>114</v>
      </c>
      <c r="S29" s="265"/>
      <c r="T29" s="265"/>
      <c r="U29" s="265" t="str">
        <f>IF(U25&gt;U27,"INCREASE","DECREASE")</f>
        <v>DECREASE</v>
      </c>
      <c r="V29" s="265"/>
      <c r="W29" s="265"/>
      <c r="X29" s="265"/>
    </row>
    <row r="30" spans="18:24">
      <c r="R30" s="265"/>
      <c r="S30" s="265"/>
      <c r="T30" s="265"/>
      <c r="U30" s="265"/>
      <c r="V30" s="265"/>
      <c r="W30" s="265"/>
      <c r="X30" s="265"/>
    </row>
    <row r="31" spans="18:25">
      <c r="R31" s="265">
        <v>0</v>
      </c>
      <c r="S31" s="265"/>
      <c r="T31" s="265"/>
      <c r="U31" s="265"/>
      <c r="V31" s="265"/>
      <c r="W31" s="265"/>
      <c r="X31" s="265"/>
      <c r="Y31" s="265"/>
    </row>
    <row r="32" spans="18:25">
      <c r="R32" s="265"/>
      <c r="S32" s="265"/>
      <c r="T32" s="265"/>
      <c r="U32" s="265"/>
      <c r="V32" s="265"/>
      <c r="W32" s="265"/>
      <c r="X32" s="265"/>
      <c r="Y32" s="265"/>
    </row>
    <row r="33" spans="18:25">
      <c r="R33" s="265"/>
      <c r="S33" s="265"/>
      <c r="T33" s="265"/>
      <c r="U33" s="265"/>
      <c r="V33" s="265"/>
      <c r="W33" s="265"/>
      <c r="X33" s="265"/>
      <c r="Y33" s="265"/>
    </row>
  </sheetData>
  <mergeCells count="93">
    <mergeCell ref="A1:A6"/>
    <mergeCell ref="B1:B6"/>
    <mergeCell ref="C1:C6"/>
    <mergeCell ref="D3:D6"/>
    <mergeCell ref="E3:E6"/>
    <mergeCell ref="F3:F6"/>
    <mergeCell ref="G3:G6"/>
    <mergeCell ref="H3:H6"/>
    <mergeCell ref="I3:I6"/>
    <mergeCell ref="J3:J6"/>
    <mergeCell ref="K3:K6"/>
    <mergeCell ref="K17:K19"/>
    <mergeCell ref="K20:K22"/>
    <mergeCell ref="L1:L6"/>
    <mergeCell ref="M1:M6"/>
    <mergeCell ref="N1:N6"/>
    <mergeCell ref="O1:O6"/>
    <mergeCell ref="P1:P6"/>
    <mergeCell ref="P17:P18"/>
    <mergeCell ref="P19:P20"/>
    <mergeCell ref="P21:P22"/>
    <mergeCell ref="P23:P24"/>
    <mergeCell ref="Q1:Q6"/>
    <mergeCell ref="R1:R6"/>
    <mergeCell ref="S1:S6"/>
    <mergeCell ref="T1:T6"/>
    <mergeCell ref="U1:U6"/>
    <mergeCell ref="U17:U18"/>
    <mergeCell ref="U19:U20"/>
    <mergeCell ref="U21:U22"/>
    <mergeCell ref="U23:U24"/>
    <mergeCell ref="V1:V6"/>
    <mergeCell ref="W1:W6"/>
    <mergeCell ref="X1:X6"/>
    <mergeCell ref="Y1:Y6"/>
    <mergeCell ref="Y17:Y18"/>
    <mergeCell ref="Y19:Y20"/>
    <mergeCell ref="Y21:Y22"/>
    <mergeCell ref="Y23:Y24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1:AS6"/>
    <mergeCell ref="AT1:AT6"/>
    <mergeCell ref="AU1:AU6"/>
    <mergeCell ref="AV1:AV6"/>
    <mergeCell ref="AW1:AW6"/>
    <mergeCell ref="AX1:AX6"/>
    <mergeCell ref="AY1:AY6"/>
    <mergeCell ref="AZ1:AZ6"/>
    <mergeCell ref="BA1:BA6"/>
    <mergeCell ref="M23:O24"/>
    <mergeCell ref="V23:X24"/>
    <mergeCell ref="H15:K16"/>
    <mergeCell ref="M15:P16"/>
    <mergeCell ref="H17:J19"/>
    <mergeCell ref="M17:O18"/>
    <mergeCell ref="V17:X18"/>
    <mergeCell ref="M19:O20"/>
    <mergeCell ref="V19:X20"/>
    <mergeCell ref="H20:J22"/>
    <mergeCell ref="M21:O22"/>
    <mergeCell ref="V21:X22"/>
    <mergeCell ref="D1:K2"/>
    <mergeCell ref="U25:X26"/>
    <mergeCell ref="R19:T20"/>
    <mergeCell ref="R21:T22"/>
    <mergeCell ref="R31:Y33"/>
    <mergeCell ref="R15:Y16"/>
    <mergeCell ref="R17:T18"/>
    <mergeCell ref="R27:T28"/>
    <mergeCell ref="U27:X28"/>
    <mergeCell ref="R29:T30"/>
    <mergeCell ref="U29:V30"/>
    <mergeCell ref="W29:X30"/>
    <mergeCell ref="R23:T24"/>
    <mergeCell ref="R25:T26"/>
  </mergeCells>
  <conditionalFormatting sqref="AR7:AR13">
    <cfRule type="containsText" dxfId="6" priority="1" operator="between" text="FEMALE DOM">
      <formula>NOT(ISERROR(SEARCH("FEMALE DOM",AR7)))</formula>
    </cfRule>
  </conditionalFormatting>
  <conditionalFormatting sqref="AZ7:AZ13">
    <cfRule type="containsText" dxfId="7" priority="3" operator="between" text="MINORITY">
      <formula>NOT(ISERROR(SEARCH("MINORITY",AZ7)))</formula>
    </cfRule>
    <cfRule type="containsText" dxfId="1" priority="5" operator="between" text="HINDU">
      <formula>NOT(ISERROR(SEARCH("HINDU",AZ7)))</formula>
    </cfRule>
  </conditionalFormatting>
  <conditionalFormatting sqref="BA7:BA13">
    <cfRule type="containsText" dxfId="0" priority="2" operator="between" text="MINORITY">
      <formula>NOT(ISERROR(SEARCH("MINORITY",BA7)))</formula>
    </cfRule>
    <cfRule type="containsText" dxfId="1" priority="4" operator="between" text="HIND">
      <formula>NOT(ISERROR(SEARCH("HIND",BA7)))</formula>
    </cfRule>
  </conditionalFormatting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8"/>
  <sheetViews>
    <sheetView workbookViewId="0">
      <selection activeCell="F9" sqref="F9"/>
    </sheetView>
  </sheetViews>
  <sheetFormatPr defaultColWidth="9" defaultRowHeight="14.5" outlineLevelRow="7"/>
  <cols>
    <col min="1" max="1" width="12.2818181818182" customWidth="1"/>
  </cols>
  <sheetData>
    <row r="1" ht="87" spans="1:36">
      <c r="A1" s="182" t="s">
        <v>116</v>
      </c>
      <c r="B1" s="183" t="s">
        <v>117</v>
      </c>
      <c r="C1" s="182" t="s">
        <v>118</v>
      </c>
      <c r="D1" s="182" t="s">
        <v>119</v>
      </c>
      <c r="E1" s="182" t="s">
        <v>120</v>
      </c>
      <c r="F1" s="182" t="s">
        <v>121</v>
      </c>
      <c r="G1" s="182" t="s">
        <v>122</v>
      </c>
      <c r="H1" s="182" t="s">
        <v>123</v>
      </c>
      <c r="I1" s="182" t="s">
        <v>20</v>
      </c>
      <c r="J1" s="182" t="s">
        <v>124</v>
      </c>
      <c r="K1" s="182" t="s">
        <v>125</v>
      </c>
      <c r="L1" s="187" t="s">
        <v>126</v>
      </c>
      <c r="M1" s="187" t="s">
        <v>127</v>
      </c>
      <c r="N1" s="187" t="s">
        <v>15</v>
      </c>
      <c r="O1" s="188" t="s">
        <v>118</v>
      </c>
      <c r="P1" s="188" t="s">
        <v>128</v>
      </c>
      <c r="Q1" s="188" t="s">
        <v>129</v>
      </c>
      <c r="R1" s="188" t="s">
        <v>130</v>
      </c>
      <c r="S1" s="188" t="s">
        <v>131</v>
      </c>
      <c r="T1" s="188" t="s">
        <v>132</v>
      </c>
      <c r="U1" s="188" t="s">
        <v>133</v>
      </c>
      <c r="V1" s="188" t="s">
        <v>134</v>
      </c>
      <c r="W1" s="188" t="s">
        <v>135</v>
      </c>
      <c r="X1" s="188" t="s">
        <v>136</v>
      </c>
      <c r="Y1" s="188" t="s">
        <v>137</v>
      </c>
      <c r="Z1" s="188" t="s">
        <v>138</v>
      </c>
      <c r="AA1" s="188" t="s">
        <v>139</v>
      </c>
      <c r="AB1" s="188" t="s">
        <v>140</v>
      </c>
      <c r="AC1" s="188"/>
      <c r="AD1" s="188" t="s">
        <v>141</v>
      </c>
      <c r="AE1" s="188" t="s">
        <v>142</v>
      </c>
      <c r="AF1" s="188" t="s">
        <v>143</v>
      </c>
      <c r="AG1" s="188" t="s">
        <v>144</v>
      </c>
      <c r="AH1" s="188" t="s">
        <v>145</v>
      </c>
      <c r="AI1" s="182" t="s">
        <v>146</v>
      </c>
      <c r="AJ1" s="182" t="s">
        <v>147</v>
      </c>
    </row>
    <row r="2" spans="1:36">
      <c r="A2" s="184">
        <v>120</v>
      </c>
      <c r="B2" s="185" t="s">
        <v>363</v>
      </c>
      <c r="C2" s="184">
        <v>694</v>
      </c>
      <c r="D2" s="184">
        <v>279</v>
      </c>
      <c r="E2" s="184">
        <f t="shared" ref="E2:E7" si="0">(D2/C2)*100</f>
        <v>40.2017291066282</v>
      </c>
      <c r="F2" s="184">
        <v>398</v>
      </c>
      <c r="G2" s="184">
        <f t="shared" ref="G2:G7" si="1">(F2/C2)*100</f>
        <v>57.3487031700288</v>
      </c>
      <c r="H2" s="184">
        <v>5</v>
      </c>
      <c r="I2" s="184">
        <f t="shared" ref="I2:I7" si="2">(H2/C2)*100</f>
        <v>0.720461095100865</v>
      </c>
      <c r="J2" s="184">
        <v>2</v>
      </c>
      <c r="K2" s="184">
        <f t="shared" ref="K2:K7" si="3">(J2/C2)*100</f>
        <v>0.288184438040346</v>
      </c>
      <c r="L2" s="189">
        <v>478</v>
      </c>
      <c r="M2" s="189">
        <v>553</v>
      </c>
      <c r="N2" s="189">
        <f t="shared" ref="N2:N7" si="4">L2+M2</f>
        <v>1031</v>
      </c>
      <c r="O2" s="184">
        <v>694</v>
      </c>
      <c r="P2" s="190">
        <f t="shared" ref="P2:P7" si="5">O2/N2*100</f>
        <v>67.3132880698351</v>
      </c>
      <c r="Q2" s="184">
        <v>609</v>
      </c>
      <c r="R2" s="184">
        <f t="shared" ref="R2:R7" si="6">(Q2/N2)*100</f>
        <v>59.0688651794374</v>
      </c>
      <c r="S2" s="184">
        <f t="shared" ref="S2:S7" si="7">Q2-U2</f>
        <v>205</v>
      </c>
      <c r="T2" s="184">
        <f t="shared" ref="T2:T7" si="8">(S2/Q2)*100</f>
        <v>33.6617405582923</v>
      </c>
      <c r="U2" s="184">
        <v>404</v>
      </c>
      <c r="V2" s="191">
        <f t="shared" ref="V2:V7" si="9">IFERROR(U2/Q2*100,0)</f>
        <v>66.3382594417077</v>
      </c>
      <c r="W2" s="184">
        <f>1031-609</f>
        <v>422</v>
      </c>
      <c r="X2" s="184">
        <f t="shared" ref="X2:X7" si="10">100-R2</f>
        <v>40.9311348205626</v>
      </c>
      <c r="Y2" s="184">
        <f t="shared" ref="Y2:Y7" si="11">W2-AA2</f>
        <v>132</v>
      </c>
      <c r="Z2" s="193">
        <f t="shared" ref="Z2:Z7" si="12">(Y2/W2)*100</f>
        <v>31.2796208530806</v>
      </c>
      <c r="AA2" s="193">
        <f>694-404</f>
        <v>290</v>
      </c>
      <c r="AB2" s="194">
        <f t="shared" ref="AB2:AB7" si="13">IFERROR(AA2/W2*100,0)</f>
        <v>68.7203791469194</v>
      </c>
      <c r="AC2" s="193">
        <f t="shared" ref="AC2:AC7" si="14">U2+AA2</f>
        <v>694</v>
      </c>
      <c r="AD2" s="193" t="str">
        <f t="shared" ref="AD2:AD7" si="15">IF(P2&gt;80,"EXCELLENT",IF(P2&gt;70,"STRONG",IF(P2&gt;60,"AVG",IF(P2&gt;50,"WEAK",IF(P2&lt;50,"VLOW")))))</f>
        <v>AVG</v>
      </c>
      <c r="AE2" s="195" t="str">
        <f t="shared" ref="AE2:AE7" si="16">IF(R2&gt;80,"EXCELLENT",IF(R2&gt;70,"STRONG",IF(R2&gt;60,"AVG",IF(R2&gt;50,"WEAK",IF(R2&lt;50,"VLOW")))))</f>
        <v>WEAK</v>
      </c>
      <c r="AF2" s="193" t="str">
        <f t="shared" ref="AF2:AF7" si="17">IF(X2&gt;80,"EXCELLENT",IF(X2&gt;70,"STRONG",IF(X2&gt;60,"AVG",IF(X2&gt;50,"WEAK",IF(X2&lt;50,"VLOW")))))</f>
        <v>VLOW</v>
      </c>
      <c r="AG2" s="193" t="str">
        <f t="shared" ref="AG2:AG7" si="18">IF(M2&gt;L2,"FEMALE DOM","MEN")</f>
        <v>FEMALE DOM</v>
      </c>
      <c r="AH2" s="193" t="str">
        <f t="shared" ref="AH2:AH7" si="19">IF(T2&gt;Z2,"H","O")</f>
        <v>H</v>
      </c>
      <c r="AI2" s="197">
        <f t="shared" ref="AI2:AI5" si="20">G2-E2</f>
        <v>17.1469740634006</v>
      </c>
      <c r="AJ2" s="198" t="str">
        <f t="shared" ref="AJ2:AJ8" si="21">IF(E2&gt;G2,"BJP GAIN","CONGRESSGAIN")</f>
        <v>CONGRESSGAIN</v>
      </c>
    </row>
    <row r="3" spans="1:36">
      <c r="A3" s="184">
        <v>121</v>
      </c>
      <c r="B3" s="185" t="s">
        <v>364</v>
      </c>
      <c r="C3" s="184">
        <v>527</v>
      </c>
      <c r="D3" s="184">
        <v>86</v>
      </c>
      <c r="E3" s="184">
        <f t="shared" si="0"/>
        <v>16.3187855787476</v>
      </c>
      <c r="F3" s="184">
        <v>430</v>
      </c>
      <c r="G3" s="184">
        <f t="shared" si="1"/>
        <v>81.5939278937381</v>
      </c>
      <c r="H3" s="184">
        <v>4</v>
      </c>
      <c r="I3" s="184">
        <f t="shared" si="2"/>
        <v>0.759013282732448</v>
      </c>
      <c r="J3" s="184">
        <v>1</v>
      </c>
      <c r="K3" s="184">
        <f t="shared" si="3"/>
        <v>0.189753320683112</v>
      </c>
      <c r="L3" s="189">
        <v>408</v>
      </c>
      <c r="M3" s="189">
        <v>662</v>
      </c>
      <c r="N3" s="189">
        <f t="shared" si="4"/>
        <v>1070</v>
      </c>
      <c r="O3" s="184">
        <v>527</v>
      </c>
      <c r="P3" s="190">
        <f t="shared" si="5"/>
        <v>49.2523364485981</v>
      </c>
      <c r="Q3" s="184">
        <v>335</v>
      </c>
      <c r="R3" s="184">
        <f t="shared" si="6"/>
        <v>31.3084112149533</v>
      </c>
      <c r="S3" s="184">
        <f t="shared" si="7"/>
        <v>130</v>
      </c>
      <c r="T3" s="184">
        <f t="shared" si="8"/>
        <v>38.8059701492537</v>
      </c>
      <c r="U3" s="184">
        <v>205</v>
      </c>
      <c r="V3" s="191">
        <f t="shared" si="9"/>
        <v>61.1940298507463</v>
      </c>
      <c r="W3" s="184">
        <v>735</v>
      </c>
      <c r="X3" s="184">
        <f t="shared" si="10"/>
        <v>68.6915887850467</v>
      </c>
      <c r="Y3" s="196">
        <f t="shared" si="11"/>
        <v>413</v>
      </c>
      <c r="Z3" s="193">
        <f t="shared" si="12"/>
        <v>56.1904761904762</v>
      </c>
      <c r="AA3" s="193">
        <v>322</v>
      </c>
      <c r="AB3" s="194">
        <f t="shared" si="13"/>
        <v>43.8095238095238</v>
      </c>
      <c r="AC3" s="193">
        <f t="shared" si="14"/>
        <v>527</v>
      </c>
      <c r="AD3" s="193" t="str">
        <f t="shared" si="15"/>
        <v>VLOW</v>
      </c>
      <c r="AE3" s="195" t="str">
        <f t="shared" si="16"/>
        <v>VLOW</v>
      </c>
      <c r="AF3" s="193" t="str">
        <f t="shared" si="17"/>
        <v>AVG</v>
      </c>
      <c r="AG3" s="193" t="str">
        <f t="shared" si="18"/>
        <v>FEMALE DOM</v>
      </c>
      <c r="AH3" s="193" t="str">
        <f t="shared" si="19"/>
        <v>O</v>
      </c>
      <c r="AI3" s="197">
        <f t="shared" si="20"/>
        <v>65.2751423149905</v>
      </c>
      <c r="AJ3" s="198" t="str">
        <f t="shared" si="21"/>
        <v>CONGRESSGAIN</v>
      </c>
    </row>
    <row r="4" spans="1:36">
      <c r="A4" s="184">
        <v>156</v>
      </c>
      <c r="B4" s="185" t="s">
        <v>365</v>
      </c>
      <c r="C4" s="184">
        <v>559</v>
      </c>
      <c r="D4" s="184">
        <v>229</v>
      </c>
      <c r="E4" s="184">
        <f t="shared" si="0"/>
        <v>40.9660107334526</v>
      </c>
      <c r="F4" s="184">
        <v>317</v>
      </c>
      <c r="G4" s="184">
        <f t="shared" si="1"/>
        <v>56.7084078711986</v>
      </c>
      <c r="H4" s="184">
        <v>7</v>
      </c>
      <c r="I4" s="184">
        <f t="shared" si="2"/>
        <v>1.25223613595707</v>
      </c>
      <c r="J4" s="184">
        <v>5</v>
      </c>
      <c r="K4" s="184">
        <f t="shared" si="3"/>
        <v>0.894454382826476</v>
      </c>
      <c r="L4" s="189">
        <v>353</v>
      </c>
      <c r="M4" s="189">
        <v>461</v>
      </c>
      <c r="N4" s="189">
        <f t="shared" si="4"/>
        <v>814</v>
      </c>
      <c r="O4" s="184">
        <v>559</v>
      </c>
      <c r="P4" s="190">
        <f t="shared" si="5"/>
        <v>68.6732186732187</v>
      </c>
      <c r="Q4" s="184"/>
      <c r="R4" s="184">
        <f t="shared" si="6"/>
        <v>0</v>
      </c>
      <c r="S4" s="192">
        <f t="shared" si="7"/>
        <v>0</v>
      </c>
      <c r="T4" s="184" t="e">
        <f t="shared" si="8"/>
        <v>#DIV/0!</v>
      </c>
      <c r="U4" s="184"/>
      <c r="V4" s="191">
        <f t="shared" si="9"/>
        <v>0</v>
      </c>
      <c r="W4" s="184"/>
      <c r="X4" s="184">
        <f t="shared" si="10"/>
        <v>100</v>
      </c>
      <c r="Y4" s="184">
        <f t="shared" si="11"/>
        <v>0</v>
      </c>
      <c r="Z4" s="193" t="e">
        <f t="shared" si="12"/>
        <v>#DIV/0!</v>
      </c>
      <c r="AA4" s="193"/>
      <c r="AB4" s="194">
        <f t="shared" si="13"/>
        <v>0</v>
      </c>
      <c r="AC4" s="193">
        <f t="shared" si="14"/>
        <v>0</v>
      </c>
      <c r="AD4" s="193" t="str">
        <f t="shared" si="15"/>
        <v>AVG</v>
      </c>
      <c r="AE4" s="195" t="str">
        <f t="shared" si="16"/>
        <v>VLOW</v>
      </c>
      <c r="AF4" s="193" t="str">
        <f t="shared" si="17"/>
        <v>EXCELLENT</v>
      </c>
      <c r="AG4" s="193" t="str">
        <f t="shared" si="18"/>
        <v>FEMALE DOM</v>
      </c>
      <c r="AH4" s="193" t="e">
        <f t="shared" si="19"/>
        <v>#DIV/0!</v>
      </c>
      <c r="AI4" s="197">
        <f t="shared" si="20"/>
        <v>15.742397137746</v>
      </c>
      <c r="AJ4" s="198" t="str">
        <f t="shared" si="21"/>
        <v>CONGRESSGAIN</v>
      </c>
    </row>
    <row r="5" spans="1:36">
      <c r="A5" s="184">
        <v>157</v>
      </c>
      <c r="B5" s="185" t="s">
        <v>301</v>
      </c>
      <c r="C5" s="184">
        <v>425</v>
      </c>
      <c r="D5" s="184">
        <v>128</v>
      </c>
      <c r="E5" s="184">
        <f t="shared" si="0"/>
        <v>30.1176470588235</v>
      </c>
      <c r="F5" s="184">
        <v>289</v>
      </c>
      <c r="G5" s="184">
        <f t="shared" si="1"/>
        <v>68</v>
      </c>
      <c r="H5" s="184">
        <v>2</v>
      </c>
      <c r="I5" s="184">
        <f t="shared" si="2"/>
        <v>0.470588235294118</v>
      </c>
      <c r="J5" s="184">
        <v>2</v>
      </c>
      <c r="K5" s="184">
        <f t="shared" si="3"/>
        <v>0.470588235294118</v>
      </c>
      <c r="L5" s="189">
        <v>318</v>
      </c>
      <c r="M5" s="189">
        <v>377</v>
      </c>
      <c r="N5" s="189">
        <f t="shared" si="4"/>
        <v>695</v>
      </c>
      <c r="O5" s="184">
        <v>425</v>
      </c>
      <c r="P5" s="190">
        <f t="shared" si="5"/>
        <v>61.1510791366906</v>
      </c>
      <c r="Q5" s="184">
        <v>784</v>
      </c>
      <c r="R5" s="184">
        <f t="shared" si="6"/>
        <v>112.805755395683</v>
      </c>
      <c r="S5" s="184">
        <f t="shared" si="7"/>
        <v>484</v>
      </c>
      <c r="T5" s="184">
        <f t="shared" si="8"/>
        <v>61.734693877551</v>
      </c>
      <c r="U5" s="184">
        <v>300</v>
      </c>
      <c r="V5" s="191">
        <f t="shared" si="9"/>
        <v>38.265306122449</v>
      </c>
      <c r="W5" s="184">
        <v>223</v>
      </c>
      <c r="X5" s="184">
        <f t="shared" si="10"/>
        <v>-12.8057553956834</v>
      </c>
      <c r="Y5" s="196">
        <f t="shared" si="11"/>
        <v>118</v>
      </c>
      <c r="Z5" s="193">
        <f t="shared" si="12"/>
        <v>52.914798206278</v>
      </c>
      <c r="AA5" s="193">
        <v>105</v>
      </c>
      <c r="AB5" s="194">
        <f t="shared" si="13"/>
        <v>47.085201793722</v>
      </c>
      <c r="AC5" s="193">
        <f t="shared" si="14"/>
        <v>405</v>
      </c>
      <c r="AD5" s="193" t="str">
        <f t="shared" si="15"/>
        <v>AVG</v>
      </c>
      <c r="AE5" s="195" t="str">
        <f t="shared" si="16"/>
        <v>EXCELLENT</v>
      </c>
      <c r="AF5" s="193" t="str">
        <f t="shared" si="17"/>
        <v>VLOW</v>
      </c>
      <c r="AG5" s="193" t="str">
        <f t="shared" si="18"/>
        <v>FEMALE DOM</v>
      </c>
      <c r="AH5" s="193" t="str">
        <f t="shared" si="19"/>
        <v>H</v>
      </c>
      <c r="AI5" s="197">
        <f t="shared" si="20"/>
        <v>37.8823529411765</v>
      </c>
      <c r="AJ5" s="198" t="str">
        <f t="shared" si="21"/>
        <v>CONGRESSGAIN</v>
      </c>
    </row>
    <row r="6" spans="1:36">
      <c r="A6" s="184">
        <v>158</v>
      </c>
      <c r="B6" s="185" t="s">
        <v>366</v>
      </c>
      <c r="C6" s="184">
        <v>903</v>
      </c>
      <c r="D6" s="184">
        <v>466</v>
      </c>
      <c r="E6" s="184">
        <f t="shared" si="0"/>
        <v>51.6057585825028</v>
      </c>
      <c r="F6" s="184">
        <v>410</v>
      </c>
      <c r="G6" s="184">
        <f t="shared" si="1"/>
        <v>45.4042081949059</v>
      </c>
      <c r="H6" s="184">
        <v>2</v>
      </c>
      <c r="I6" s="184">
        <f t="shared" si="2"/>
        <v>0.221483942414175</v>
      </c>
      <c r="J6" s="184">
        <v>12</v>
      </c>
      <c r="K6" s="184">
        <f t="shared" si="3"/>
        <v>1.32890365448505</v>
      </c>
      <c r="L6" s="189">
        <v>618</v>
      </c>
      <c r="M6" s="189">
        <v>720</v>
      </c>
      <c r="N6" s="189">
        <f t="shared" si="4"/>
        <v>1338</v>
      </c>
      <c r="O6" s="184">
        <v>903</v>
      </c>
      <c r="P6" s="190">
        <f t="shared" si="5"/>
        <v>67.4887892376682</v>
      </c>
      <c r="Q6" s="184">
        <v>900</v>
      </c>
      <c r="R6" s="184">
        <f t="shared" si="6"/>
        <v>67.2645739910314</v>
      </c>
      <c r="S6" s="184">
        <f t="shared" si="7"/>
        <v>331</v>
      </c>
      <c r="T6" s="184">
        <f t="shared" si="8"/>
        <v>36.7777777777778</v>
      </c>
      <c r="U6" s="184">
        <v>569</v>
      </c>
      <c r="V6" s="191">
        <f t="shared" si="9"/>
        <v>63.2222222222222</v>
      </c>
      <c r="W6" s="184">
        <f>1338-900</f>
        <v>438</v>
      </c>
      <c r="X6" s="184">
        <f t="shared" si="10"/>
        <v>32.7354260089686</v>
      </c>
      <c r="Y6" s="184">
        <f t="shared" si="11"/>
        <v>104</v>
      </c>
      <c r="Z6" s="193">
        <f t="shared" si="12"/>
        <v>23.7442922374429</v>
      </c>
      <c r="AA6" s="193">
        <f>903-569</f>
        <v>334</v>
      </c>
      <c r="AB6" s="194">
        <f t="shared" si="13"/>
        <v>76.2557077625571</v>
      </c>
      <c r="AC6" s="193">
        <f t="shared" si="14"/>
        <v>903</v>
      </c>
      <c r="AD6" s="193" t="str">
        <f t="shared" si="15"/>
        <v>AVG</v>
      </c>
      <c r="AE6" s="195" t="str">
        <f t="shared" si="16"/>
        <v>AVG</v>
      </c>
      <c r="AF6" s="193" t="str">
        <f t="shared" si="17"/>
        <v>VLOW</v>
      </c>
      <c r="AG6" s="193" t="str">
        <f t="shared" si="18"/>
        <v>FEMALE DOM</v>
      </c>
      <c r="AH6" s="193" t="str">
        <f t="shared" si="19"/>
        <v>H</v>
      </c>
      <c r="AI6" s="197">
        <f>E6-G6</f>
        <v>6.2015503875969</v>
      </c>
      <c r="AJ6" s="199" t="str">
        <f t="shared" si="21"/>
        <v>BJP GAIN</v>
      </c>
    </row>
    <row r="7" spans="1:36">
      <c r="A7" s="184">
        <v>165</v>
      </c>
      <c r="B7" s="185" t="s">
        <v>367</v>
      </c>
      <c r="C7" s="184">
        <v>1048</v>
      </c>
      <c r="D7" s="184">
        <v>731</v>
      </c>
      <c r="E7" s="184">
        <f t="shared" si="0"/>
        <v>69.7519083969466</v>
      </c>
      <c r="F7" s="184">
        <v>282</v>
      </c>
      <c r="G7" s="184">
        <f t="shared" si="1"/>
        <v>26.9083969465649</v>
      </c>
      <c r="H7" s="184">
        <v>4</v>
      </c>
      <c r="I7" s="184">
        <f t="shared" si="2"/>
        <v>0.381679389312977</v>
      </c>
      <c r="J7" s="184">
        <v>14</v>
      </c>
      <c r="K7" s="184">
        <f t="shared" si="3"/>
        <v>1.33587786259542</v>
      </c>
      <c r="L7" s="189">
        <v>670</v>
      </c>
      <c r="M7" s="189">
        <v>784</v>
      </c>
      <c r="N7" s="189">
        <f t="shared" si="4"/>
        <v>1454</v>
      </c>
      <c r="O7" s="184">
        <v>1048</v>
      </c>
      <c r="P7" s="190">
        <f t="shared" si="5"/>
        <v>72.0770288858322</v>
      </c>
      <c r="Q7" s="184">
        <v>1165</v>
      </c>
      <c r="R7" s="184">
        <f t="shared" si="6"/>
        <v>80.1237964236589</v>
      </c>
      <c r="S7" s="184">
        <f t="shared" si="7"/>
        <v>365</v>
      </c>
      <c r="T7" s="184">
        <f t="shared" si="8"/>
        <v>31.3304721030043</v>
      </c>
      <c r="U7" s="184">
        <v>800</v>
      </c>
      <c r="V7" s="191">
        <f t="shared" si="9"/>
        <v>68.6695278969957</v>
      </c>
      <c r="W7" s="184">
        <v>289</v>
      </c>
      <c r="X7" s="184">
        <f t="shared" si="10"/>
        <v>19.8762035763411</v>
      </c>
      <c r="Y7" s="184">
        <f t="shared" si="11"/>
        <v>227</v>
      </c>
      <c r="Z7" s="193">
        <f t="shared" si="12"/>
        <v>78.5467128027682</v>
      </c>
      <c r="AA7" s="193">
        <v>62</v>
      </c>
      <c r="AB7" s="194">
        <f t="shared" si="13"/>
        <v>21.4532871972318</v>
      </c>
      <c r="AC7" s="193">
        <f t="shared" si="14"/>
        <v>862</v>
      </c>
      <c r="AD7" s="193" t="str">
        <f t="shared" si="15"/>
        <v>STRONG</v>
      </c>
      <c r="AE7" s="195" t="str">
        <f t="shared" si="16"/>
        <v>EXCELLENT</v>
      </c>
      <c r="AF7" s="193" t="str">
        <f t="shared" si="17"/>
        <v>VLOW</v>
      </c>
      <c r="AG7" s="193" t="str">
        <f t="shared" si="18"/>
        <v>FEMALE DOM</v>
      </c>
      <c r="AH7" s="193" t="str">
        <f t="shared" si="19"/>
        <v>O</v>
      </c>
      <c r="AI7" s="197">
        <f t="shared" ref="AI7" si="22">E7-G7</f>
        <v>42.8435114503817</v>
      </c>
      <c r="AJ7" s="199" t="str">
        <f t="shared" si="21"/>
        <v>BJP GAIN</v>
      </c>
    </row>
    <row r="8" spans="3:36">
      <c r="C8">
        <f>SUM(C2:C7)</f>
        <v>4156</v>
      </c>
      <c r="D8">
        <f>SUM(D2:D7)</f>
        <v>1919</v>
      </c>
      <c r="E8" s="186">
        <f>AVERAGE(E2:E7)</f>
        <v>41.4936399095169</v>
      </c>
      <c r="F8">
        <f>SUM(F2:F7)</f>
        <v>2126</v>
      </c>
      <c r="G8" s="186">
        <f>AVERAGE(G2:G7)</f>
        <v>55.9939406794061</v>
      </c>
      <c r="H8">
        <f>SUM(H2:H7)</f>
        <v>24</v>
      </c>
      <c r="I8" s="186">
        <f>AVERAGE(I2:I7)</f>
        <v>0.634243680135275</v>
      </c>
      <c r="J8">
        <f>SUM(J2:J7)</f>
        <v>36</v>
      </c>
      <c r="K8" s="186">
        <f>AVERAGE(K2:K7)</f>
        <v>0.75129364898742</v>
      </c>
      <c r="AJ8" s="200" t="str">
        <f t="shared" si="21"/>
        <v>CONGRESSGAIN</v>
      </c>
    </row>
  </sheetData>
  <conditionalFormatting sqref="AD7">
    <cfRule type="containsText" dxfId="8" priority="15" operator="between" text="AVG">
      <formula>NOT(ISERROR(SEARCH("AVG",AD7)))</formula>
    </cfRule>
    <cfRule type="cellIs" dxfId="9" priority="14" operator="equal">
      <formula>"STRONG"</formula>
    </cfRule>
    <cfRule type="containsText" dxfId="3" priority="13" operator="between" text="VSTRONG">
      <formula>NOT(ISERROR(SEARCH("VSTRONG",AD7)))</formula>
    </cfRule>
    <cfRule type="containsText" dxfId="10" priority="5" operator="between" text="AVG">
      <formula>NOT(ISERROR(SEARCH("AVG",AD7)))</formula>
    </cfRule>
  </conditionalFormatting>
  <conditionalFormatting sqref="AE7">
    <cfRule type="containsText" dxfId="3" priority="9" operator="between" text="STRONG">
      <formula>NOT(ISERROR(SEARCH("STRONG",AE7)))</formula>
    </cfRule>
    <cfRule type="containsText" dxfId="1" priority="7" operator="between" text="VSTRONG">
      <formula>NOT(ISERROR(SEARCH("VSTRONG",AE7)))</formula>
    </cfRule>
  </conditionalFormatting>
  <conditionalFormatting sqref="AE7:AF7">
    <cfRule type="containsText" dxfId="2" priority="8" operator="between" text="AVG">
      <formula>NOT(ISERROR(SEARCH("AVG",AE7)))</formula>
    </cfRule>
  </conditionalFormatting>
  <conditionalFormatting sqref="AF7">
    <cfRule type="cellIs" dxfId="11" priority="3" operator="equal">
      <formula>"VWEAK"</formula>
    </cfRule>
    <cfRule type="containsText" dxfId="0" priority="2" operator="between" text="VSTRONG">
      <formula>NOT(ISERROR(SEARCH("VSTRONG",AF7)))</formula>
    </cfRule>
  </conditionalFormatting>
  <conditionalFormatting sqref="AG7">
    <cfRule type="containsText" dxfId="12" priority="6" operator="between" text="FEMALE DOM">
      <formula>NOT(ISERROR(SEARCH("FEMALE DOM",AG7)))</formula>
    </cfRule>
    <cfRule type="containsText" dxfId="10" priority="1" operator="between" text="MEN">
      <formula>NOT(ISERROR(SEARCH("MEN",AG7)))</formula>
    </cfRule>
  </conditionalFormatting>
  <conditionalFormatting sqref="AH7">
    <cfRule type="containsText" dxfId="0" priority="12" operator="between" text="O">
      <formula>NOT(ISERROR(SEARCH("O",AH7)))</formula>
    </cfRule>
    <cfRule type="containsText" dxfId="3" priority="10" operator="between" text="H">
      <formula>NOT(ISERROR(SEARCH("H",AH7)))</formula>
    </cfRule>
    <cfRule type="containsText" dxfId="13" priority="11" operator="between" text="H">
      <formula>NOT(ISERROR(SEARCH("H",AH7)))</formula>
    </cfRule>
    <cfRule type="containsText" dxfId="1" priority="4" operator="between" text="H">
      <formula>NOT(ISERROR(SEARCH("H",AH7)))</formula>
    </cfRule>
  </conditionalFormatting>
  <conditionalFormatting sqref="AD2:AD3">
    <cfRule type="containsText" dxfId="8" priority="45" operator="between" text="AVG">
      <formula>NOT(ISERROR(SEARCH("AVG",AD2)))</formula>
    </cfRule>
    <cfRule type="cellIs" dxfId="9" priority="44" operator="equal">
      <formula>"STRONG"</formula>
    </cfRule>
    <cfRule type="containsText" dxfId="3" priority="43" operator="between" text="VSTRONG">
      <formula>NOT(ISERROR(SEARCH("VSTRONG",AD2)))</formula>
    </cfRule>
    <cfRule type="containsText" dxfId="10" priority="35" operator="between" text="AVG">
      <formula>NOT(ISERROR(SEARCH("AVG",AD2)))</formula>
    </cfRule>
  </conditionalFormatting>
  <conditionalFormatting sqref="AD4:AD6">
    <cfRule type="containsText" dxfId="8" priority="30" operator="between" text="AVG">
      <formula>NOT(ISERROR(SEARCH("AVG",AD4)))</formula>
    </cfRule>
    <cfRule type="cellIs" dxfId="9" priority="29" operator="equal">
      <formula>"STRONG"</formula>
    </cfRule>
    <cfRule type="containsText" dxfId="3" priority="28" operator="between" text="VSTRONG">
      <formula>NOT(ISERROR(SEARCH("VSTRONG",AD4)))</formula>
    </cfRule>
    <cfRule type="containsText" dxfId="10" priority="20" operator="between" text="AVG">
      <formula>NOT(ISERROR(SEARCH("AVG",AD4)))</formula>
    </cfRule>
  </conditionalFormatting>
  <conditionalFormatting sqref="AE2:AE3">
    <cfRule type="containsText" dxfId="3" priority="39" operator="between" text="STRONG">
      <formula>NOT(ISERROR(SEARCH("STRONG",AE2)))</formula>
    </cfRule>
    <cfRule type="containsText" dxfId="1" priority="37" operator="between" text="VSTRONG">
      <formula>NOT(ISERROR(SEARCH("VSTRONG",AE2)))</formula>
    </cfRule>
  </conditionalFormatting>
  <conditionalFormatting sqref="AE4:AE6">
    <cfRule type="containsText" dxfId="3" priority="24" operator="between" text="STRONG">
      <formula>NOT(ISERROR(SEARCH("STRONG",AE4)))</formula>
    </cfRule>
    <cfRule type="containsText" dxfId="1" priority="22" operator="between" text="VSTRONG">
      <formula>NOT(ISERROR(SEARCH("VSTRONG",AE4)))</formula>
    </cfRule>
  </conditionalFormatting>
  <conditionalFormatting sqref="AF2:AF3">
    <cfRule type="cellIs" dxfId="11" priority="33" operator="equal">
      <formula>"VWEAK"</formula>
    </cfRule>
    <cfRule type="containsText" dxfId="0" priority="32" operator="between" text="VSTRONG">
      <formula>NOT(ISERROR(SEARCH("VSTRONG",AF2)))</formula>
    </cfRule>
  </conditionalFormatting>
  <conditionalFormatting sqref="AF4:AF6">
    <cfRule type="cellIs" dxfId="11" priority="18" operator="equal">
      <formula>"VWEAK"</formula>
    </cfRule>
    <cfRule type="containsText" dxfId="0" priority="17" operator="between" text="VSTRONG">
      <formula>NOT(ISERROR(SEARCH("VSTRONG",AF4)))</formula>
    </cfRule>
  </conditionalFormatting>
  <conditionalFormatting sqref="AG2:AG3">
    <cfRule type="containsText" dxfId="12" priority="36" operator="between" text="FEMALE DOM">
      <formula>NOT(ISERROR(SEARCH("FEMALE DOM",AG2)))</formula>
    </cfRule>
    <cfRule type="containsText" dxfId="10" priority="31" operator="between" text="MEN">
      <formula>NOT(ISERROR(SEARCH("MEN",AG2)))</formula>
    </cfRule>
  </conditionalFormatting>
  <conditionalFormatting sqref="AG4:AG6">
    <cfRule type="containsText" dxfId="12" priority="21" operator="between" text="FEMALE DOM">
      <formula>NOT(ISERROR(SEARCH("FEMALE DOM",AG4)))</formula>
    </cfRule>
    <cfRule type="containsText" dxfId="10" priority="16" operator="between" text="MEN">
      <formula>NOT(ISERROR(SEARCH("MEN",AG4)))</formula>
    </cfRule>
  </conditionalFormatting>
  <conditionalFormatting sqref="AH2:AH3">
    <cfRule type="containsText" dxfId="0" priority="42" operator="between" text="O">
      <formula>NOT(ISERROR(SEARCH("O",AH2)))</formula>
    </cfRule>
    <cfRule type="containsText" dxfId="3" priority="40" operator="between" text="H">
      <formula>NOT(ISERROR(SEARCH("H",AH2)))</formula>
    </cfRule>
    <cfRule type="containsText" dxfId="13" priority="41" operator="between" text="H">
      <formula>NOT(ISERROR(SEARCH("H",AH2)))</formula>
    </cfRule>
    <cfRule type="containsText" dxfId="1" priority="34" operator="between" text="H">
      <formula>NOT(ISERROR(SEARCH("H",AH2)))</formula>
    </cfRule>
  </conditionalFormatting>
  <conditionalFormatting sqref="AH4:AH6">
    <cfRule type="containsText" dxfId="0" priority="27" operator="between" text="O">
      <formula>NOT(ISERROR(SEARCH("O",AH4)))</formula>
    </cfRule>
    <cfRule type="containsText" dxfId="3" priority="25" operator="between" text="H">
      <formula>NOT(ISERROR(SEARCH("H",AH4)))</formula>
    </cfRule>
    <cfRule type="containsText" dxfId="13" priority="26" operator="between" text="H">
      <formula>NOT(ISERROR(SEARCH("H",AH4)))</formula>
    </cfRule>
    <cfRule type="containsText" dxfId="1" priority="19" operator="between" text="H">
      <formula>NOT(ISERROR(SEARCH("H",AH4)))</formula>
    </cfRule>
  </conditionalFormatting>
  <conditionalFormatting sqref="AE2:AF3">
    <cfRule type="containsText" dxfId="2" priority="38" operator="between" text="AVG">
      <formula>NOT(ISERROR(SEARCH("AVG",AE2)))</formula>
    </cfRule>
  </conditionalFormatting>
  <conditionalFormatting sqref="AE4:AF6">
    <cfRule type="containsText" dxfId="2" priority="23" operator="between" text="AVG">
      <formula>NOT(ISERROR(SEARCH("AVG",AE4)))</formula>
    </cfRule>
  </conditionalFormatting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0"/>
  <sheetViews>
    <sheetView zoomScale="82" zoomScaleNormal="82" workbookViewId="0">
      <selection activeCell="Z8" sqref="Z8"/>
    </sheetView>
  </sheetViews>
  <sheetFormatPr defaultColWidth="9" defaultRowHeight="14.5"/>
  <cols>
    <col min="1" max="1" width="9.13636363636364"/>
    <col min="2" max="2" width="14.7090909090909" customWidth="1"/>
    <col min="3" max="3" width="11.5727272727273" customWidth="1"/>
    <col min="4" max="5" width="9.85454545454546" customWidth="1"/>
    <col min="6" max="11" width="9.28181818181818" customWidth="1"/>
    <col min="12" max="12" width="11.5727272727273" customWidth="1"/>
    <col min="13" max="13" width="9.28181818181818" customWidth="1"/>
    <col min="14" max="14" width="9" customWidth="1"/>
    <col min="15" max="15" width="11.5727272727273" customWidth="1"/>
    <col min="16" max="23" width="9.28181818181818" customWidth="1"/>
    <col min="24" max="24" width="11.7090909090909" customWidth="1"/>
    <col min="27" max="27" width="11" customWidth="1"/>
  </cols>
  <sheetData>
    <row r="1" customFormat="1" ht="16" spans="2:2">
      <c r="B1" s="1"/>
    </row>
    <row r="2" ht="15.25" spans="2:27">
      <c r="B2" s="2" t="s">
        <v>16</v>
      </c>
      <c r="C2" s="3" t="s">
        <v>15</v>
      </c>
      <c r="D2" s="4" t="s">
        <v>1</v>
      </c>
      <c r="E2" s="3"/>
      <c r="F2" s="3"/>
      <c r="G2" s="3"/>
      <c r="H2" s="3"/>
      <c r="I2" s="3"/>
      <c r="J2" s="3"/>
      <c r="K2" s="104"/>
      <c r="L2" s="104" t="s">
        <v>2</v>
      </c>
      <c r="M2" s="104" t="s">
        <v>3</v>
      </c>
      <c r="N2" s="2" t="s">
        <v>4</v>
      </c>
      <c r="O2" s="3" t="s">
        <v>5</v>
      </c>
      <c r="P2" s="2" t="s">
        <v>17</v>
      </c>
      <c r="Q2" s="3" t="s">
        <v>18</v>
      </c>
      <c r="R2" s="2" t="s">
        <v>19</v>
      </c>
      <c r="S2" s="2" t="s">
        <v>20</v>
      </c>
      <c r="T2" s="2" t="s">
        <v>21</v>
      </c>
      <c r="U2" s="3" t="s">
        <v>22</v>
      </c>
      <c r="V2" s="2" t="s">
        <v>23</v>
      </c>
      <c r="W2" s="2" t="s">
        <v>65</v>
      </c>
      <c r="X2" s="2" t="s">
        <v>66</v>
      </c>
      <c r="Y2" s="2" t="s">
        <v>67</v>
      </c>
      <c r="Z2" s="2" t="s">
        <v>368</v>
      </c>
      <c r="AA2" s="2" t="s">
        <v>369</v>
      </c>
    </row>
    <row r="3" ht="15.25" spans="2:27">
      <c r="B3" s="5"/>
      <c r="C3" s="6"/>
      <c r="D3" s="7"/>
      <c r="E3" s="8"/>
      <c r="F3" s="8"/>
      <c r="G3" s="8"/>
      <c r="H3" s="8"/>
      <c r="I3" s="8"/>
      <c r="J3" s="8"/>
      <c r="K3" s="105"/>
      <c r="L3" s="106"/>
      <c r="M3" s="106"/>
      <c r="N3" s="5"/>
      <c r="O3" s="6"/>
      <c r="P3" s="5"/>
      <c r="Q3" s="6"/>
      <c r="R3" s="5"/>
      <c r="S3" s="5"/>
      <c r="T3" s="5"/>
      <c r="U3" s="6"/>
      <c r="V3" s="5"/>
      <c r="W3" s="5"/>
      <c r="X3" s="5"/>
      <c r="Y3" s="5"/>
      <c r="Z3" s="5"/>
      <c r="AA3" s="5"/>
    </row>
    <row r="4" ht="15.25" spans="2:27">
      <c r="B4" s="5"/>
      <c r="C4" s="6"/>
      <c r="D4" s="5" t="s">
        <v>7</v>
      </c>
      <c r="E4" s="6" t="s">
        <v>8</v>
      </c>
      <c r="F4" s="5" t="s">
        <v>9</v>
      </c>
      <c r="G4" s="5" t="s">
        <v>10</v>
      </c>
      <c r="H4" s="6" t="s">
        <v>11</v>
      </c>
      <c r="I4" s="5" t="s">
        <v>12</v>
      </c>
      <c r="J4" s="6" t="s">
        <v>9</v>
      </c>
      <c r="K4" s="2" t="s">
        <v>13</v>
      </c>
      <c r="L4" s="106"/>
      <c r="M4" s="106"/>
      <c r="N4" s="5"/>
      <c r="O4" s="6"/>
      <c r="P4" s="5"/>
      <c r="Q4" s="6"/>
      <c r="R4" s="5"/>
      <c r="S4" s="5"/>
      <c r="T4" s="5"/>
      <c r="U4" s="6"/>
      <c r="V4" s="5"/>
      <c r="W4" s="5"/>
      <c r="X4" s="5"/>
      <c r="Y4" s="5"/>
      <c r="Z4" s="5"/>
      <c r="AA4" s="5"/>
    </row>
    <row r="5" spans="2:27">
      <c r="B5" s="5"/>
      <c r="C5" s="6"/>
      <c r="D5" s="5"/>
      <c r="E5" s="6"/>
      <c r="F5" s="5"/>
      <c r="G5" s="5"/>
      <c r="H5" s="6"/>
      <c r="I5" s="5"/>
      <c r="J5" s="6"/>
      <c r="K5" s="5"/>
      <c r="L5" s="106"/>
      <c r="M5" s="106"/>
      <c r="N5" s="5"/>
      <c r="O5" s="6"/>
      <c r="P5" s="5"/>
      <c r="Q5" s="6"/>
      <c r="R5" s="5"/>
      <c r="S5" s="5"/>
      <c r="T5" s="5"/>
      <c r="U5" s="6"/>
      <c r="V5" s="5"/>
      <c r="W5" s="5"/>
      <c r="X5" s="5"/>
      <c r="Y5" s="5"/>
      <c r="Z5" s="5"/>
      <c r="AA5" s="5"/>
    </row>
    <row r="6" spans="2:27">
      <c r="B6" s="5"/>
      <c r="C6" s="6"/>
      <c r="D6" s="5"/>
      <c r="E6" s="6"/>
      <c r="F6" s="5"/>
      <c r="G6" s="5"/>
      <c r="H6" s="6"/>
      <c r="I6" s="5"/>
      <c r="J6" s="6"/>
      <c r="K6" s="5"/>
      <c r="L6" s="106"/>
      <c r="M6" s="106"/>
      <c r="N6" s="5"/>
      <c r="O6" s="6"/>
      <c r="P6" s="5"/>
      <c r="Q6" s="6"/>
      <c r="R6" s="5"/>
      <c r="S6" s="5"/>
      <c r="T6" s="5"/>
      <c r="U6" s="6"/>
      <c r="V6" s="5"/>
      <c r="W6" s="5"/>
      <c r="X6" s="5"/>
      <c r="Y6" s="5"/>
      <c r="Z6" s="5"/>
      <c r="AA6" s="5"/>
    </row>
    <row r="7" ht="15.25" spans="2:27">
      <c r="B7" s="9"/>
      <c r="C7" s="6"/>
      <c r="D7" s="9"/>
      <c r="E7" s="8"/>
      <c r="F7" s="9"/>
      <c r="G7" s="9"/>
      <c r="H7" s="8"/>
      <c r="I7" s="9"/>
      <c r="J7" s="8"/>
      <c r="K7" s="9"/>
      <c r="L7" s="105"/>
      <c r="M7" s="105"/>
      <c r="N7" s="9"/>
      <c r="O7" s="6"/>
      <c r="P7" s="9"/>
      <c r="Q7" s="6"/>
      <c r="R7" s="9"/>
      <c r="S7" s="9"/>
      <c r="T7" s="9"/>
      <c r="U7" s="6"/>
      <c r="V7" s="9"/>
      <c r="W7" s="9"/>
      <c r="X7" s="9"/>
      <c r="Y7" s="9"/>
      <c r="Z7" s="9"/>
      <c r="AA7" s="9"/>
    </row>
    <row r="8" ht="16" spans="2:27">
      <c r="B8" s="10" t="s">
        <v>370</v>
      </c>
      <c r="C8" s="11">
        <v>6626</v>
      </c>
      <c r="D8" s="12">
        <v>1907</v>
      </c>
      <c r="E8" s="11">
        <v>2279</v>
      </c>
      <c r="F8" s="12">
        <v>12</v>
      </c>
      <c r="G8" s="12">
        <v>16</v>
      </c>
      <c r="H8" s="11">
        <v>1</v>
      </c>
      <c r="I8" s="12">
        <v>4</v>
      </c>
      <c r="J8" s="11">
        <v>4</v>
      </c>
      <c r="K8" s="12">
        <v>2</v>
      </c>
      <c r="L8" s="11">
        <v>4225</v>
      </c>
      <c r="M8" s="12">
        <v>0</v>
      </c>
      <c r="N8" s="12">
        <v>20</v>
      </c>
      <c r="O8" s="11">
        <v>4245</v>
      </c>
      <c r="P8" s="12">
        <v>64.2285848095294</v>
      </c>
      <c r="Q8" s="11">
        <v>54.2921223787781</v>
      </c>
      <c r="R8" s="12">
        <v>44.3535633959669</v>
      </c>
      <c r="S8" s="12">
        <v>0.273471192071468</v>
      </c>
      <c r="T8" s="11">
        <v>0.356809300745084</v>
      </c>
      <c r="U8" s="10">
        <v>0.253059799636301</v>
      </c>
      <c r="V8" s="58">
        <v>0.470973932802065</v>
      </c>
      <c r="W8" s="10">
        <v>9.93855898281117</v>
      </c>
      <c r="X8" s="10">
        <v>9.05521869035832</v>
      </c>
      <c r="Y8" s="169" t="s">
        <v>100</v>
      </c>
      <c r="Z8" s="170" t="str">
        <f>IF(AND(P8&lt;0,P8&gt;=1),"POOR",IF(AND(P8&gt;10,P8&lt;=40),"WEAK",IF(AND(P8&gt;40,P8&lt;=60),"AVG",IF(AND(P8&gt;60,P8&lt;=100),"STRONG"))))</f>
        <v>STRONG</v>
      </c>
      <c r="AA8" s="1" t="str">
        <f>IF(Q8&gt;R8,"BJP","CONGRESS")</f>
        <v>BJP</v>
      </c>
    </row>
    <row r="9" ht="16" spans="2:27">
      <c r="B9" s="13" t="s">
        <v>28</v>
      </c>
      <c r="C9" s="14">
        <v>5712</v>
      </c>
      <c r="D9" s="15">
        <v>1194</v>
      </c>
      <c r="E9" s="14">
        <v>2746</v>
      </c>
      <c r="F9" s="15">
        <v>14</v>
      </c>
      <c r="G9" s="15">
        <v>25</v>
      </c>
      <c r="H9" s="14">
        <v>1</v>
      </c>
      <c r="I9" s="15">
        <v>0</v>
      </c>
      <c r="J9" s="14">
        <v>2</v>
      </c>
      <c r="K9" s="15">
        <v>9</v>
      </c>
      <c r="L9" s="14">
        <v>3992</v>
      </c>
      <c r="M9" s="15">
        <v>0</v>
      </c>
      <c r="N9" s="107">
        <v>25</v>
      </c>
      <c r="O9" s="14">
        <v>4016</v>
      </c>
      <c r="P9" s="15">
        <v>69.9850747454614</v>
      </c>
      <c r="Q9" s="14">
        <v>67.0455683703663</v>
      </c>
      <c r="R9" s="15">
        <v>31.0156203000957</v>
      </c>
      <c r="S9" s="15">
        <v>0.372278804481345</v>
      </c>
      <c r="T9" s="14">
        <v>0.613681648339097</v>
      </c>
      <c r="U9" s="52">
        <v>0.288489258653051</v>
      </c>
      <c r="V9" s="51">
        <v>0.664361618064449</v>
      </c>
      <c r="W9" s="52">
        <v>36.0299480702705</v>
      </c>
      <c r="X9" s="52">
        <v>34.755498358797</v>
      </c>
      <c r="Y9" s="171" t="s">
        <v>103</v>
      </c>
      <c r="Z9" s="170" t="str">
        <f t="shared" ref="Z9:Z45" si="0">IF(AND(P9&lt;0,P9&gt;=1),"POOR",IF(AND(P9&gt;10,P9&lt;=40),"WEAK",IF(AND(P9&gt;40,P9&lt;=60),"AVG",IF(AND(P9&gt;60,P9&lt;=100),"STRONG"))))</f>
        <v>STRONG</v>
      </c>
      <c r="AA9" s="1" t="str">
        <f t="shared" ref="AA9:AA45" si="1">IF(Q9&gt;R9,"BJP","CONGRESS")</f>
        <v>BJP</v>
      </c>
    </row>
    <row r="10" ht="16" spans="2:27">
      <c r="B10" s="16" t="s">
        <v>371</v>
      </c>
      <c r="C10" s="17">
        <v>7133</v>
      </c>
      <c r="D10" s="13">
        <v>1952</v>
      </c>
      <c r="E10" s="17">
        <v>2739</v>
      </c>
      <c r="F10" s="13">
        <v>14</v>
      </c>
      <c r="G10" s="13">
        <v>8</v>
      </c>
      <c r="H10" s="17">
        <v>4</v>
      </c>
      <c r="I10" s="13">
        <v>2</v>
      </c>
      <c r="J10" s="17">
        <v>11</v>
      </c>
      <c r="K10" s="13">
        <v>6</v>
      </c>
      <c r="L10" s="17">
        <v>4736</v>
      </c>
      <c r="M10" s="13">
        <v>0</v>
      </c>
      <c r="N10" s="108">
        <v>31</v>
      </c>
      <c r="O10" s="17">
        <v>4767</v>
      </c>
      <c r="P10" s="13">
        <v>67.1</v>
      </c>
      <c r="Q10" s="17">
        <v>57.13</v>
      </c>
      <c r="R10" s="13">
        <v>41.39</v>
      </c>
      <c r="S10" s="13">
        <v>0.272</v>
      </c>
      <c r="T10" s="17">
        <v>0.131</v>
      </c>
      <c r="U10" s="13">
        <v>0.45</v>
      </c>
      <c r="V10" s="17">
        <v>0.605</v>
      </c>
      <c r="W10" s="13">
        <v>15.74</v>
      </c>
      <c r="X10" s="13">
        <v>14.86</v>
      </c>
      <c r="Y10" s="172" t="s">
        <v>103</v>
      </c>
      <c r="Z10" s="170" t="str">
        <f t="shared" si="0"/>
        <v>STRONG</v>
      </c>
      <c r="AA10" s="1" t="str">
        <f t="shared" si="1"/>
        <v>BJP</v>
      </c>
    </row>
    <row r="11" ht="16" spans="2:27">
      <c r="B11" s="18" t="s">
        <v>30</v>
      </c>
      <c r="C11" s="19">
        <v>8173</v>
      </c>
      <c r="D11" s="20">
        <v>3162</v>
      </c>
      <c r="E11" s="19">
        <v>2406</v>
      </c>
      <c r="F11" s="20">
        <v>94</v>
      </c>
      <c r="G11" s="20">
        <v>4</v>
      </c>
      <c r="H11" s="19">
        <v>1</v>
      </c>
      <c r="I11" s="20">
        <v>5</v>
      </c>
      <c r="J11" s="19">
        <v>6</v>
      </c>
      <c r="K11" s="20">
        <v>9</v>
      </c>
      <c r="L11" s="19">
        <v>5687</v>
      </c>
      <c r="M11" s="20">
        <v>0</v>
      </c>
      <c r="N11" s="109">
        <v>28</v>
      </c>
      <c r="O11" s="19">
        <v>5715</v>
      </c>
      <c r="P11" s="20">
        <v>69.5278191039712</v>
      </c>
      <c r="Q11" s="19">
        <v>44.5374016462231</v>
      </c>
      <c r="R11" s="20">
        <v>52.9320206199365</v>
      </c>
      <c r="S11" s="20">
        <v>1.62783728356325</v>
      </c>
      <c r="T11" s="19">
        <v>0.0803978421101057</v>
      </c>
      <c r="U11" s="18">
        <v>0.348805092792739</v>
      </c>
      <c r="V11" s="35">
        <v>0.473537515374275</v>
      </c>
      <c r="W11" s="18">
        <v>-11.3575186860075</v>
      </c>
      <c r="X11" s="18">
        <v>-13.6202383713092</v>
      </c>
      <c r="Y11" s="171" t="s">
        <v>110</v>
      </c>
      <c r="Z11" s="170" t="str">
        <f t="shared" si="0"/>
        <v>STRONG</v>
      </c>
      <c r="AA11" s="1" t="str">
        <f t="shared" si="1"/>
        <v>CONGRESS</v>
      </c>
    </row>
    <row r="12" ht="16" spans="2:27">
      <c r="B12" s="13" t="s">
        <v>31</v>
      </c>
      <c r="C12" s="21">
        <v>7216</v>
      </c>
      <c r="D12" s="22">
        <v>1690</v>
      </c>
      <c r="E12" s="21">
        <v>2652</v>
      </c>
      <c r="F12" s="22">
        <v>14</v>
      </c>
      <c r="G12" s="22">
        <v>21</v>
      </c>
      <c r="H12" s="21">
        <v>2</v>
      </c>
      <c r="I12" s="22">
        <v>4</v>
      </c>
      <c r="J12" s="21">
        <v>7</v>
      </c>
      <c r="K12" s="22">
        <v>1</v>
      </c>
      <c r="L12" s="21">
        <v>4391</v>
      </c>
      <c r="M12" s="22">
        <v>0</v>
      </c>
      <c r="N12" s="110">
        <v>47</v>
      </c>
      <c r="O12" s="21">
        <v>4438</v>
      </c>
      <c r="P12" s="22">
        <v>61.4857674481428</v>
      </c>
      <c r="Q12" s="21">
        <v>59.4435488833538</v>
      </c>
      <c r="R12" s="22">
        <v>38.3320382837234</v>
      </c>
      <c r="S12" s="22">
        <v>0.332816668537308</v>
      </c>
      <c r="T12" s="21">
        <v>0.521000850728979</v>
      </c>
      <c r="U12" s="13">
        <v>0.367593677221856</v>
      </c>
      <c r="V12" s="17">
        <v>1.00300163643453</v>
      </c>
      <c r="W12" s="13">
        <v>21.1115105996303</v>
      </c>
      <c r="X12" s="13">
        <v>19.8900994031422</v>
      </c>
      <c r="Y12" s="171" t="s">
        <v>103</v>
      </c>
      <c r="Z12" s="170" t="str">
        <f t="shared" si="0"/>
        <v>STRONG</v>
      </c>
      <c r="AA12" s="1" t="str">
        <f t="shared" si="1"/>
        <v>BJP</v>
      </c>
    </row>
    <row r="13" ht="16" spans="2:27">
      <c r="B13" s="18" t="s">
        <v>32</v>
      </c>
      <c r="C13" s="23">
        <v>5932</v>
      </c>
      <c r="D13" s="24">
        <v>2306</v>
      </c>
      <c r="E13" s="23">
        <v>999</v>
      </c>
      <c r="F13" s="24">
        <v>17</v>
      </c>
      <c r="G13" s="24">
        <v>16</v>
      </c>
      <c r="H13" s="23">
        <v>0</v>
      </c>
      <c r="I13" s="24">
        <v>3</v>
      </c>
      <c r="J13" s="23">
        <v>0</v>
      </c>
      <c r="K13" s="24">
        <v>1</v>
      </c>
      <c r="L13" s="23">
        <v>3342</v>
      </c>
      <c r="M13" s="24">
        <v>0</v>
      </c>
      <c r="N13" s="111">
        <v>24</v>
      </c>
      <c r="O13" s="23">
        <v>3366</v>
      </c>
      <c r="P13" s="24">
        <v>56.8850405667046</v>
      </c>
      <c r="Q13" s="23">
        <v>29.4039759370852</v>
      </c>
      <c r="R13" s="24">
        <v>68.8169403879051</v>
      </c>
      <c r="S13" s="24">
        <v>0.516728067143016</v>
      </c>
      <c r="T13" s="23">
        <v>0.438447161002526</v>
      </c>
      <c r="U13" s="50">
        <v>0.118660841612587</v>
      </c>
      <c r="V13" s="156">
        <v>0.70524760525147</v>
      </c>
      <c r="W13" s="18">
        <v>-39.4129644508199</v>
      </c>
      <c r="X13" s="18">
        <v>-40.486800520578</v>
      </c>
      <c r="Y13" s="171" t="s">
        <v>110</v>
      </c>
      <c r="Z13" s="170" t="str">
        <f t="shared" si="0"/>
        <v>AVG</v>
      </c>
      <c r="AA13" s="1" t="str">
        <f t="shared" si="1"/>
        <v>CONGRESS</v>
      </c>
    </row>
    <row r="14" ht="16" spans="2:27">
      <c r="B14" s="18" t="s">
        <v>33</v>
      </c>
      <c r="C14" s="25">
        <v>10686</v>
      </c>
      <c r="D14" s="26">
        <v>4694</v>
      </c>
      <c r="E14" s="25">
        <v>2693</v>
      </c>
      <c r="F14" s="26">
        <v>109</v>
      </c>
      <c r="G14" s="26">
        <v>11</v>
      </c>
      <c r="H14" s="25">
        <v>1</v>
      </c>
      <c r="I14" s="26">
        <v>2</v>
      </c>
      <c r="J14" s="25">
        <v>8</v>
      </c>
      <c r="K14" s="26">
        <v>9</v>
      </c>
      <c r="L14" s="25">
        <v>7527</v>
      </c>
      <c r="M14" s="26">
        <v>0</v>
      </c>
      <c r="N14" s="112">
        <v>42</v>
      </c>
      <c r="O14" s="25">
        <v>7569</v>
      </c>
      <c r="P14" s="26">
        <v>71.5575598918875</v>
      </c>
      <c r="Q14" s="25">
        <v>36.3689101800539</v>
      </c>
      <c r="R14" s="26">
        <v>61.3240131872355</v>
      </c>
      <c r="S14" s="26">
        <v>1.36833246423796</v>
      </c>
      <c r="T14" s="112">
        <v>0.145663068950055</v>
      </c>
      <c r="U14" s="46">
        <v>0.246513242536322</v>
      </c>
      <c r="V14" s="157">
        <v>0.546567856986226</v>
      </c>
      <c r="W14" s="46">
        <v>-24.9551030071816</v>
      </c>
      <c r="X14" s="46">
        <v>-26.7156117829059</v>
      </c>
      <c r="Y14" s="173" t="s">
        <v>110</v>
      </c>
      <c r="Z14" s="170" t="str">
        <f t="shared" si="0"/>
        <v>STRONG</v>
      </c>
      <c r="AA14" s="1" t="str">
        <f t="shared" si="1"/>
        <v>CONGRESS</v>
      </c>
    </row>
    <row r="15" ht="16" spans="2:27">
      <c r="B15" s="16" t="s">
        <v>34</v>
      </c>
      <c r="C15" s="27">
        <v>6289</v>
      </c>
      <c r="D15" s="28">
        <v>1460</v>
      </c>
      <c r="E15" s="29">
        <v>2642</v>
      </c>
      <c r="F15" s="28">
        <v>9</v>
      </c>
      <c r="G15" s="28">
        <v>15</v>
      </c>
      <c r="H15" s="29">
        <v>1</v>
      </c>
      <c r="I15" s="28">
        <v>4</v>
      </c>
      <c r="J15" s="29">
        <v>1</v>
      </c>
      <c r="K15" s="28">
        <v>6</v>
      </c>
      <c r="L15" s="29">
        <v>4138</v>
      </c>
      <c r="M15" s="28">
        <v>0</v>
      </c>
      <c r="N15" s="113">
        <v>25</v>
      </c>
      <c r="O15" s="29">
        <v>4163</v>
      </c>
      <c r="P15" s="28">
        <v>65.4132653811639</v>
      </c>
      <c r="Q15" s="29">
        <v>62.4213481907637</v>
      </c>
      <c r="R15" s="28">
        <v>36.2101674281623</v>
      </c>
      <c r="S15" s="28">
        <v>0.190416833280702</v>
      </c>
      <c r="T15" s="113">
        <v>0.356097218426785</v>
      </c>
      <c r="U15" s="13">
        <v>0.284863976019279</v>
      </c>
      <c r="V15" s="17">
        <v>0.537106353347179</v>
      </c>
      <c r="W15" s="13">
        <v>26.2111807626014</v>
      </c>
      <c r="X15" s="13">
        <v>25.3798027348746</v>
      </c>
      <c r="Y15" s="171" t="s">
        <v>103</v>
      </c>
      <c r="Z15" s="170" t="str">
        <f t="shared" si="0"/>
        <v>STRONG</v>
      </c>
      <c r="AA15" s="1" t="str">
        <f t="shared" si="1"/>
        <v>BJP</v>
      </c>
    </row>
    <row r="16" ht="16" spans="2:27">
      <c r="B16" s="30" t="s">
        <v>35</v>
      </c>
      <c r="C16" s="31">
        <v>5050</v>
      </c>
      <c r="D16" s="32">
        <v>946</v>
      </c>
      <c r="E16" s="33">
        <v>2575</v>
      </c>
      <c r="F16" s="32">
        <v>10</v>
      </c>
      <c r="G16" s="32">
        <v>15</v>
      </c>
      <c r="H16" s="33">
        <v>0</v>
      </c>
      <c r="I16" s="32">
        <v>1</v>
      </c>
      <c r="J16" s="33">
        <v>5</v>
      </c>
      <c r="K16" s="32">
        <v>6</v>
      </c>
      <c r="L16" s="33">
        <v>3558</v>
      </c>
      <c r="M16" s="32">
        <v>0</v>
      </c>
      <c r="N16" s="114">
        <v>30</v>
      </c>
      <c r="O16" s="33">
        <v>3588</v>
      </c>
      <c r="P16" s="32">
        <v>72.9780479739908</v>
      </c>
      <c r="Q16" s="33">
        <v>71.3066767234729</v>
      </c>
      <c r="R16" s="32">
        <v>26.8751993959213</v>
      </c>
      <c r="S16" s="32">
        <v>0.240981501295928</v>
      </c>
      <c r="T16" s="114">
        <v>0.370399702752928</v>
      </c>
      <c r="U16" s="32">
        <v>0.303372972980063</v>
      </c>
      <c r="V16" s="158">
        <v>0.903369703576833</v>
      </c>
      <c r="W16" s="32">
        <v>44.4314773275516</v>
      </c>
      <c r="X16" s="32">
        <v>43.5167231505227</v>
      </c>
      <c r="Y16" s="173" t="s">
        <v>107</v>
      </c>
      <c r="Z16" s="170" t="str">
        <f t="shared" si="0"/>
        <v>STRONG</v>
      </c>
      <c r="AA16" s="1" t="str">
        <f t="shared" si="1"/>
        <v>BJP</v>
      </c>
    </row>
    <row r="17" ht="16" spans="2:27">
      <c r="B17" s="18" t="s">
        <v>36</v>
      </c>
      <c r="C17" s="34">
        <v>5630</v>
      </c>
      <c r="D17" s="18">
        <v>2329</v>
      </c>
      <c r="E17" s="35">
        <v>1150</v>
      </c>
      <c r="F17" s="18">
        <v>29</v>
      </c>
      <c r="G17" s="18">
        <v>11</v>
      </c>
      <c r="H17" s="35">
        <v>3</v>
      </c>
      <c r="I17" s="18">
        <v>0</v>
      </c>
      <c r="J17" s="35">
        <v>4</v>
      </c>
      <c r="K17" s="18">
        <v>1</v>
      </c>
      <c r="L17" s="35">
        <v>3526</v>
      </c>
      <c r="M17" s="18">
        <v>0</v>
      </c>
      <c r="N17" s="34">
        <v>35</v>
      </c>
      <c r="O17" s="35">
        <v>3562</v>
      </c>
      <c r="P17" s="18">
        <v>63.300733532878</v>
      </c>
      <c r="Q17" s="35">
        <v>36.0613209980646</v>
      </c>
      <c r="R17" s="18">
        <v>61.7099163936061</v>
      </c>
      <c r="S17" s="18">
        <v>0.726179901973619</v>
      </c>
      <c r="T17" s="34">
        <v>0.318123067599442</v>
      </c>
      <c r="U17" s="18">
        <v>0.219891207449731</v>
      </c>
      <c r="V17" s="156">
        <v>0.964568431306351</v>
      </c>
      <c r="W17" s="18">
        <v>-25.6485953955414</v>
      </c>
      <c r="X17" s="18">
        <v>-26.9127895725642</v>
      </c>
      <c r="Y17" s="171" t="s">
        <v>110</v>
      </c>
      <c r="Z17" s="170" t="str">
        <f t="shared" si="0"/>
        <v>STRONG</v>
      </c>
      <c r="AA17" s="1" t="str">
        <f t="shared" si="1"/>
        <v>CONGRESS</v>
      </c>
    </row>
    <row r="18" ht="16" spans="2:27">
      <c r="B18" s="36" t="s">
        <v>37</v>
      </c>
      <c r="C18" s="33">
        <v>4808</v>
      </c>
      <c r="D18" s="32">
        <v>538</v>
      </c>
      <c r="E18" s="33">
        <v>2426</v>
      </c>
      <c r="F18" s="32">
        <v>6</v>
      </c>
      <c r="G18" s="32">
        <v>24</v>
      </c>
      <c r="H18" s="33">
        <v>0</v>
      </c>
      <c r="I18" s="32">
        <v>1</v>
      </c>
      <c r="J18" s="33">
        <v>0</v>
      </c>
      <c r="K18" s="32">
        <v>2</v>
      </c>
      <c r="L18" s="33">
        <v>2998</v>
      </c>
      <c r="M18" s="32">
        <v>0</v>
      </c>
      <c r="N18" s="114">
        <v>30</v>
      </c>
      <c r="O18" s="33">
        <v>3027</v>
      </c>
      <c r="P18" s="32">
        <v>62.8645351331003</v>
      </c>
      <c r="Q18" s="33">
        <v>78.2189196518793</v>
      </c>
      <c r="R18" s="32">
        <v>19.6093972905815</v>
      </c>
      <c r="S18" s="32">
        <v>0.216008263975004</v>
      </c>
      <c r="T18" s="114">
        <v>0.818953258528975</v>
      </c>
      <c r="U18" s="32">
        <v>0.102022572354453</v>
      </c>
      <c r="V18" s="158">
        <v>1.03469896268071</v>
      </c>
      <c r="W18" s="32">
        <v>58.6095223612978</v>
      </c>
      <c r="X18" s="32">
        <v>57.4725382664393</v>
      </c>
      <c r="Y18" s="173" t="s">
        <v>107</v>
      </c>
      <c r="Z18" s="170" t="str">
        <f t="shared" si="0"/>
        <v>STRONG</v>
      </c>
      <c r="AA18" s="1" t="str">
        <f t="shared" si="1"/>
        <v>BJP</v>
      </c>
    </row>
    <row r="19" ht="16" spans="2:27">
      <c r="B19" s="13" t="s">
        <v>38</v>
      </c>
      <c r="C19" s="37">
        <v>5070</v>
      </c>
      <c r="D19" s="38">
        <v>1112</v>
      </c>
      <c r="E19" s="37">
        <v>1917</v>
      </c>
      <c r="F19" s="38">
        <v>9</v>
      </c>
      <c r="G19" s="38">
        <v>3</v>
      </c>
      <c r="H19" s="37">
        <v>0</v>
      </c>
      <c r="I19" s="38">
        <v>3</v>
      </c>
      <c r="J19" s="37">
        <v>7</v>
      </c>
      <c r="K19" s="38">
        <v>1</v>
      </c>
      <c r="L19" s="37">
        <v>3052</v>
      </c>
      <c r="M19" s="38">
        <v>0</v>
      </c>
      <c r="N19" s="115">
        <v>24</v>
      </c>
      <c r="O19" s="37">
        <v>3076</v>
      </c>
      <c r="P19" s="38">
        <v>60.10720411</v>
      </c>
      <c r="Q19" s="37">
        <v>63.81874278</v>
      </c>
      <c r="R19" s="38">
        <v>34.70583395</v>
      </c>
      <c r="S19" s="38">
        <v>0.295936603</v>
      </c>
      <c r="T19" s="115">
        <v>0.114015977</v>
      </c>
      <c r="U19" s="13">
        <v>0.31438073</v>
      </c>
      <c r="V19" s="17">
        <v>0.751089957</v>
      </c>
      <c r="W19" s="13">
        <v>29.11290883</v>
      </c>
      <c r="X19" s="13">
        <v>28.38857552</v>
      </c>
      <c r="Y19" s="171" t="s">
        <v>103</v>
      </c>
      <c r="Z19" s="170" t="str">
        <f t="shared" si="0"/>
        <v>STRONG</v>
      </c>
      <c r="AA19" s="1" t="str">
        <f t="shared" si="1"/>
        <v>BJP</v>
      </c>
    </row>
    <row r="20" ht="16" spans="2:27">
      <c r="B20" s="39" t="s">
        <v>39</v>
      </c>
      <c r="C20" s="40">
        <v>4766</v>
      </c>
      <c r="D20" s="41">
        <v>1313</v>
      </c>
      <c r="E20" s="40">
        <v>986</v>
      </c>
      <c r="F20" s="41">
        <v>6</v>
      </c>
      <c r="G20" s="41">
        <v>12</v>
      </c>
      <c r="H20" s="40">
        <v>0</v>
      </c>
      <c r="I20" s="41">
        <v>1</v>
      </c>
      <c r="J20" s="40">
        <v>1</v>
      </c>
      <c r="K20" s="41">
        <v>0</v>
      </c>
      <c r="L20" s="40">
        <v>2319</v>
      </c>
      <c r="M20" s="41">
        <v>0</v>
      </c>
      <c r="N20" s="116">
        <v>8</v>
      </c>
      <c r="O20" s="40">
        <v>2327</v>
      </c>
      <c r="P20" s="41">
        <v>48.75787084</v>
      </c>
      <c r="Q20" s="40">
        <v>43.76218083</v>
      </c>
      <c r="R20" s="41">
        <v>54.79623597</v>
      </c>
      <c r="S20" s="41">
        <v>0.291417707</v>
      </c>
      <c r="T20" s="116">
        <v>0.584045851</v>
      </c>
      <c r="U20" s="46">
        <v>0.137800647</v>
      </c>
      <c r="V20" s="157">
        <v>0.428319001</v>
      </c>
      <c r="W20" s="46">
        <v>-11.03405514</v>
      </c>
      <c r="X20" s="46">
        <v>-12.04731935</v>
      </c>
      <c r="Y20" s="173" t="s">
        <v>110</v>
      </c>
      <c r="Z20" s="170" t="str">
        <f t="shared" si="0"/>
        <v>AVG</v>
      </c>
      <c r="AA20" s="1" t="str">
        <f t="shared" si="1"/>
        <v>CONGRESS</v>
      </c>
    </row>
    <row r="21" ht="30.5" spans="2:27">
      <c r="B21" s="36" t="s">
        <v>40</v>
      </c>
      <c r="C21" s="42">
        <v>8457</v>
      </c>
      <c r="D21" s="36">
        <v>1429</v>
      </c>
      <c r="E21" s="42">
        <v>3946</v>
      </c>
      <c r="F21" s="36">
        <v>16</v>
      </c>
      <c r="G21" s="36">
        <v>27</v>
      </c>
      <c r="H21" s="42">
        <v>4</v>
      </c>
      <c r="I21" s="36">
        <v>2</v>
      </c>
      <c r="J21" s="42">
        <v>7</v>
      </c>
      <c r="K21" s="36">
        <v>5</v>
      </c>
      <c r="L21" s="42">
        <v>5436</v>
      </c>
      <c r="M21" s="36">
        <v>0</v>
      </c>
      <c r="N21" s="117">
        <v>47</v>
      </c>
      <c r="O21" s="42">
        <v>5483</v>
      </c>
      <c r="P21" s="36">
        <v>64.4727716607644</v>
      </c>
      <c r="Q21" s="42">
        <v>71.7562442351673</v>
      </c>
      <c r="R21" s="36">
        <v>26.3173857721979</v>
      </c>
      <c r="S21" s="36">
        <v>0.323446062759885</v>
      </c>
      <c r="T21" s="117">
        <v>0.468960645967523</v>
      </c>
      <c r="U21" s="36">
        <v>0.360817874809949</v>
      </c>
      <c r="V21" s="42">
        <v>0.773145409097304</v>
      </c>
      <c r="W21" s="36">
        <v>45.4388584629694</v>
      </c>
      <c r="X21" s="36">
        <v>44.285633879432</v>
      </c>
      <c r="Y21" s="171" t="s">
        <v>107</v>
      </c>
      <c r="Z21" s="170" t="str">
        <f t="shared" si="0"/>
        <v>STRONG</v>
      </c>
      <c r="AA21" s="1" t="str">
        <f t="shared" si="1"/>
        <v>BJP</v>
      </c>
    </row>
    <row r="22" ht="30.5" spans="2:27">
      <c r="B22" s="13" t="s">
        <v>41</v>
      </c>
      <c r="C22" s="43">
        <v>7504</v>
      </c>
      <c r="D22" s="16">
        <v>1546</v>
      </c>
      <c r="E22" s="43">
        <v>2923</v>
      </c>
      <c r="F22" s="16">
        <v>25</v>
      </c>
      <c r="G22" s="16">
        <v>23</v>
      </c>
      <c r="H22" s="43">
        <v>2</v>
      </c>
      <c r="I22" s="16">
        <v>5</v>
      </c>
      <c r="J22" s="43">
        <v>4</v>
      </c>
      <c r="K22" s="16">
        <v>1</v>
      </c>
      <c r="L22" s="43">
        <v>4529</v>
      </c>
      <c r="M22" s="16">
        <v>0</v>
      </c>
      <c r="N22" s="118">
        <v>49</v>
      </c>
      <c r="O22" s="43">
        <v>4578</v>
      </c>
      <c r="P22" s="16">
        <v>59.9765182535507</v>
      </c>
      <c r="Q22" s="43">
        <v>64.6255758010078</v>
      </c>
      <c r="R22" s="16">
        <v>32.9835867228202</v>
      </c>
      <c r="S22" s="16">
        <v>0.55198894716965</v>
      </c>
      <c r="T22" s="118">
        <v>0.578248161775098</v>
      </c>
      <c r="U22" s="16">
        <v>0.242395228557672</v>
      </c>
      <c r="V22" s="43">
        <v>1.01820513866951</v>
      </c>
      <c r="W22" s="16">
        <v>31.6419890781875</v>
      </c>
      <c r="X22" s="16">
        <v>30.2693567406851</v>
      </c>
      <c r="Y22" s="173" t="s">
        <v>103</v>
      </c>
      <c r="Z22" s="170" t="str">
        <f t="shared" si="0"/>
        <v>AVG</v>
      </c>
      <c r="AA22" s="1" t="str">
        <f t="shared" si="1"/>
        <v>BJP</v>
      </c>
    </row>
    <row r="23" ht="16" spans="2:27">
      <c r="B23" s="16" t="s">
        <v>42</v>
      </c>
      <c r="C23" s="17">
        <v>6198</v>
      </c>
      <c r="D23" s="13">
        <v>1370</v>
      </c>
      <c r="E23" s="17">
        <v>2769</v>
      </c>
      <c r="F23" s="13">
        <v>14</v>
      </c>
      <c r="G23" s="13">
        <v>7</v>
      </c>
      <c r="H23" s="17">
        <v>2</v>
      </c>
      <c r="I23" s="13">
        <v>3</v>
      </c>
      <c r="J23" s="17">
        <v>9</v>
      </c>
      <c r="K23" s="13">
        <v>4</v>
      </c>
      <c r="L23" s="17">
        <v>4178</v>
      </c>
      <c r="M23" s="13">
        <v>0</v>
      </c>
      <c r="N23" s="108">
        <v>35</v>
      </c>
      <c r="O23" s="17">
        <v>4213</v>
      </c>
      <c r="P23" s="13">
        <v>67.3571999188562</v>
      </c>
      <c r="Q23" s="17">
        <v>65.9739898397489</v>
      </c>
      <c r="R23" s="13">
        <v>32.3138464690226</v>
      </c>
      <c r="S23" s="13">
        <v>0.335437640235413</v>
      </c>
      <c r="T23" s="108">
        <v>0.15951539384587</v>
      </c>
      <c r="U23" s="13">
        <v>0.408041242905913</v>
      </c>
      <c r="V23" s="17">
        <v>0.809169414241181</v>
      </c>
      <c r="W23" s="13">
        <v>33.6601433707262</v>
      </c>
      <c r="X23" s="13">
        <v>32.757149093739</v>
      </c>
      <c r="Y23" s="171" t="s">
        <v>103</v>
      </c>
      <c r="Z23" s="170" t="str">
        <f t="shared" si="0"/>
        <v>STRONG</v>
      </c>
      <c r="AA23" s="1" t="str">
        <f t="shared" si="1"/>
        <v>BJP</v>
      </c>
    </row>
    <row r="24" ht="16" spans="2:27">
      <c r="B24" s="36" t="s">
        <v>43</v>
      </c>
      <c r="C24" s="44">
        <v>7613</v>
      </c>
      <c r="D24" s="45">
        <v>1068</v>
      </c>
      <c r="E24" s="44">
        <v>3555</v>
      </c>
      <c r="F24" s="45">
        <v>13</v>
      </c>
      <c r="G24" s="45">
        <v>21</v>
      </c>
      <c r="H24" s="44">
        <v>1</v>
      </c>
      <c r="I24" s="45">
        <v>1</v>
      </c>
      <c r="J24" s="44">
        <v>4</v>
      </c>
      <c r="K24" s="45">
        <v>4</v>
      </c>
      <c r="L24" s="44">
        <v>8827</v>
      </c>
      <c r="M24" s="45">
        <v>0</v>
      </c>
      <c r="N24" s="119">
        <v>51</v>
      </c>
      <c r="O24" s="44">
        <v>4718</v>
      </c>
      <c r="P24" s="45">
        <v>62.1987948795938</v>
      </c>
      <c r="Q24" s="44">
        <v>71.2645982201454</v>
      </c>
      <c r="R24" s="45">
        <v>26.8206962396134</v>
      </c>
      <c r="S24" s="45">
        <v>0.261163642063965</v>
      </c>
      <c r="T24" s="119">
        <v>0.403124814529246</v>
      </c>
      <c r="U24" s="45">
        <v>0.194837673301525</v>
      </c>
      <c r="V24" s="44">
        <v>1.05557941034641</v>
      </c>
      <c r="W24" s="45">
        <v>44.443901980532</v>
      </c>
      <c r="X24" s="45">
        <v>43.5847758506372</v>
      </c>
      <c r="Y24" s="172" t="s">
        <v>107</v>
      </c>
      <c r="Z24" s="170" t="str">
        <f t="shared" si="0"/>
        <v>STRONG</v>
      </c>
      <c r="AA24" s="1" t="str">
        <f t="shared" si="1"/>
        <v>BJP</v>
      </c>
    </row>
    <row r="25" ht="16" spans="2:27">
      <c r="B25" s="46" t="s">
        <v>44</v>
      </c>
      <c r="C25" s="47">
        <v>6373</v>
      </c>
      <c r="D25" s="46">
        <v>2452</v>
      </c>
      <c r="E25" s="47">
        <v>1116</v>
      </c>
      <c r="F25" s="46">
        <v>8</v>
      </c>
      <c r="G25" s="46">
        <v>14</v>
      </c>
      <c r="H25" s="47">
        <v>2</v>
      </c>
      <c r="I25" s="46">
        <v>14</v>
      </c>
      <c r="J25" s="47">
        <v>1</v>
      </c>
      <c r="K25" s="46">
        <v>1</v>
      </c>
      <c r="L25" s="47">
        <v>3608</v>
      </c>
      <c r="M25" s="46">
        <v>0</v>
      </c>
      <c r="N25" s="120">
        <v>24</v>
      </c>
      <c r="O25" s="47">
        <v>3632</v>
      </c>
      <c r="P25" s="46">
        <v>58.8415302883397</v>
      </c>
      <c r="Q25" s="47">
        <v>32.0725677253497</v>
      </c>
      <c r="R25" s="46">
        <v>66.1170868071928</v>
      </c>
      <c r="S25" s="46">
        <v>0.228211562379768</v>
      </c>
      <c r="T25" s="120">
        <v>0.382959946707154</v>
      </c>
      <c r="U25" s="46">
        <v>0.517889714276401</v>
      </c>
      <c r="V25" s="157">
        <v>0.681284244094107</v>
      </c>
      <c r="W25" s="46">
        <v>-34.0445190818431</v>
      </c>
      <c r="X25" s="46">
        <v>-35.1735803052064</v>
      </c>
      <c r="Y25" s="173" t="s">
        <v>110</v>
      </c>
      <c r="Z25" s="170" t="str">
        <f t="shared" si="0"/>
        <v>AVG</v>
      </c>
      <c r="AA25" s="1" t="str">
        <f t="shared" si="1"/>
        <v>CONGRESS</v>
      </c>
    </row>
    <row r="26" ht="16" spans="2:27">
      <c r="B26" s="13" t="s">
        <v>45</v>
      </c>
      <c r="C26" s="48">
        <v>5937</v>
      </c>
      <c r="D26" s="49">
        <v>1583</v>
      </c>
      <c r="E26" s="48">
        <v>2200</v>
      </c>
      <c r="F26" s="49">
        <v>10</v>
      </c>
      <c r="G26" s="49">
        <v>8</v>
      </c>
      <c r="H26" s="48">
        <v>0</v>
      </c>
      <c r="I26" s="49">
        <v>1</v>
      </c>
      <c r="J26" s="48">
        <v>5</v>
      </c>
      <c r="K26" s="49">
        <v>1</v>
      </c>
      <c r="L26" s="48">
        <v>3808</v>
      </c>
      <c r="M26" s="49">
        <v>0</v>
      </c>
      <c r="N26" s="121">
        <v>19</v>
      </c>
      <c r="O26" s="48">
        <v>3827</v>
      </c>
      <c r="P26" s="49">
        <v>65.0322375780221</v>
      </c>
      <c r="Q26" s="48">
        <v>58.1608715733461</v>
      </c>
      <c r="R26" s="49">
        <v>40.6934915959031</v>
      </c>
      <c r="S26" s="49">
        <v>0.261518678194137</v>
      </c>
      <c r="T26" s="121">
        <v>0.203946539283949</v>
      </c>
      <c r="U26" s="49">
        <v>0.191057619370838</v>
      </c>
      <c r="V26" s="48">
        <v>0.489113993901709</v>
      </c>
      <c r="W26" s="49">
        <v>17.467379977443</v>
      </c>
      <c r="X26" s="49">
        <v>16.810857140594</v>
      </c>
      <c r="Y26" s="169" t="s">
        <v>103</v>
      </c>
      <c r="Z26" s="170" t="str">
        <f t="shared" si="0"/>
        <v>STRONG</v>
      </c>
      <c r="AA26" s="1" t="str">
        <f t="shared" si="1"/>
        <v>BJP</v>
      </c>
    </row>
    <row r="27" ht="16" spans="2:27">
      <c r="B27" s="13" t="s">
        <v>46</v>
      </c>
      <c r="C27" s="48">
        <v>7227</v>
      </c>
      <c r="D27" s="49">
        <v>1856</v>
      </c>
      <c r="E27" s="48">
        <v>3038</v>
      </c>
      <c r="F27" s="49">
        <v>13</v>
      </c>
      <c r="G27" s="49">
        <v>5</v>
      </c>
      <c r="H27" s="48">
        <v>2</v>
      </c>
      <c r="I27" s="49">
        <v>4</v>
      </c>
      <c r="J27" s="48">
        <v>6</v>
      </c>
      <c r="K27" s="49">
        <v>6</v>
      </c>
      <c r="L27" s="48">
        <v>4930</v>
      </c>
      <c r="M27" s="49">
        <v>0</v>
      </c>
      <c r="N27" s="121">
        <v>38</v>
      </c>
      <c r="O27" s="48">
        <v>4968</v>
      </c>
      <c r="P27" s="49">
        <v>69.2915144038746</v>
      </c>
      <c r="Q27" s="48">
        <v>60.4685668828025</v>
      </c>
      <c r="R27" s="49">
        <v>38.0896759697483</v>
      </c>
      <c r="S27" s="49">
        <v>0.24903448338903</v>
      </c>
      <c r="T27" s="121">
        <v>0.0940688877937128</v>
      </c>
      <c r="U27" s="49">
        <v>0.362376341479239</v>
      </c>
      <c r="V27" s="48">
        <v>0.736277434787039</v>
      </c>
      <c r="W27" s="49">
        <v>22.3788909130542</v>
      </c>
      <c r="X27" s="49">
        <v>21.6734112003922</v>
      </c>
      <c r="Y27" s="169" t="s">
        <v>103</v>
      </c>
      <c r="Z27" s="170" t="str">
        <f t="shared" si="0"/>
        <v>STRONG</v>
      </c>
      <c r="AA27" s="1" t="str">
        <f t="shared" si="1"/>
        <v>BJP</v>
      </c>
    </row>
    <row r="28" ht="16" spans="2:27">
      <c r="B28" s="50" t="s">
        <v>47</v>
      </c>
      <c r="C28" s="35">
        <v>7458</v>
      </c>
      <c r="D28" s="18">
        <v>2362</v>
      </c>
      <c r="E28" s="35">
        <v>2075</v>
      </c>
      <c r="F28" s="18">
        <v>15</v>
      </c>
      <c r="G28" s="18">
        <v>15</v>
      </c>
      <c r="H28" s="35">
        <v>8</v>
      </c>
      <c r="I28" s="18">
        <v>6</v>
      </c>
      <c r="J28" s="35">
        <v>15</v>
      </c>
      <c r="K28" s="18">
        <v>6</v>
      </c>
      <c r="L28" s="35">
        <v>4502</v>
      </c>
      <c r="M28" s="18">
        <v>0</v>
      </c>
      <c r="N28" s="34">
        <v>26</v>
      </c>
      <c r="O28" s="35">
        <v>4528</v>
      </c>
      <c r="P28" s="18">
        <v>60.3130178016433</v>
      </c>
      <c r="Q28" s="35">
        <v>44.8323624490561</v>
      </c>
      <c r="R28" s="18">
        <v>52.8976239696616</v>
      </c>
      <c r="S28" s="18">
        <v>0.338049154488911</v>
      </c>
      <c r="T28" s="34">
        <v>0.368712719215519</v>
      </c>
      <c r="U28" s="18">
        <v>0.875741626157657</v>
      </c>
      <c r="V28" s="35">
        <v>0.687510081420099</v>
      </c>
      <c r="W28" s="18">
        <v>-8.06526152060555</v>
      </c>
      <c r="X28" s="18">
        <v>-9.64776502046763</v>
      </c>
      <c r="Y28" s="171" t="s">
        <v>110</v>
      </c>
      <c r="Z28" s="170" t="str">
        <f t="shared" si="0"/>
        <v>STRONG</v>
      </c>
      <c r="AA28" s="1" t="str">
        <f t="shared" si="1"/>
        <v>CONGRESS</v>
      </c>
    </row>
    <row r="29" ht="16" spans="2:27">
      <c r="B29" s="36" t="s">
        <v>48</v>
      </c>
      <c r="C29" s="44">
        <v>6796</v>
      </c>
      <c r="D29" s="45">
        <v>1165</v>
      </c>
      <c r="E29" s="44">
        <v>3196</v>
      </c>
      <c r="F29" s="45">
        <v>11</v>
      </c>
      <c r="G29" s="45">
        <v>28</v>
      </c>
      <c r="H29" s="44">
        <v>3</v>
      </c>
      <c r="I29" s="45">
        <v>4</v>
      </c>
      <c r="J29" s="44">
        <v>4</v>
      </c>
      <c r="K29" s="45">
        <v>4</v>
      </c>
      <c r="L29" s="44">
        <v>4415</v>
      </c>
      <c r="M29" s="45">
        <v>0</v>
      </c>
      <c r="N29" s="119">
        <v>30</v>
      </c>
      <c r="O29" s="44">
        <v>4445</v>
      </c>
      <c r="P29" s="45">
        <v>65.5009237452602</v>
      </c>
      <c r="Q29" s="44">
        <v>71.9734294155525</v>
      </c>
      <c r="R29" s="45">
        <v>26.1322704540767</v>
      </c>
      <c r="S29" s="45">
        <v>0.242632029022098</v>
      </c>
      <c r="T29" s="119">
        <v>0.657384683837038</v>
      </c>
      <c r="U29" s="45">
        <v>0.323549897228223</v>
      </c>
      <c r="V29" s="44">
        <v>0.670733520283278</v>
      </c>
      <c r="W29" s="45">
        <v>45.8411589614758</v>
      </c>
      <c r="X29" s="45">
        <v>44.6175923513884</v>
      </c>
      <c r="Y29" s="172" t="s">
        <v>107</v>
      </c>
      <c r="Z29" s="170" t="str">
        <f t="shared" si="0"/>
        <v>STRONG</v>
      </c>
      <c r="AA29" s="1" t="str">
        <f t="shared" si="1"/>
        <v>BJP</v>
      </c>
    </row>
    <row r="30" ht="16" spans="2:27">
      <c r="B30" s="16" t="s">
        <v>49</v>
      </c>
      <c r="C30" s="51">
        <v>5183</v>
      </c>
      <c r="D30" s="52">
        <v>1234</v>
      </c>
      <c r="E30" s="51">
        <v>1851</v>
      </c>
      <c r="F30" s="52">
        <v>7</v>
      </c>
      <c r="G30" s="52">
        <v>24</v>
      </c>
      <c r="H30" s="51">
        <v>5</v>
      </c>
      <c r="I30" s="52">
        <v>2</v>
      </c>
      <c r="J30" s="51">
        <v>2</v>
      </c>
      <c r="K30" s="52">
        <v>0</v>
      </c>
      <c r="L30" s="51">
        <v>3125</v>
      </c>
      <c r="M30" s="52">
        <v>0</v>
      </c>
      <c r="N30" s="122">
        <v>20</v>
      </c>
      <c r="O30" s="51">
        <v>3145</v>
      </c>
      <c r="P30" s="52">
        <v>61.1865346587568</v>
      </c>
      <c r="Q30" s="51">
        <v>59.1722018459534</v>
      </c>
      <c r="R30" s="52">
        <v>38.9092834155905</v>
      </c>
      <c r="S30" s="52">
        <v>0.213260928610241</v>
      </c>
      <c r="T30" s="122">
        <v>0.771391914907653</v>
      </c>
      <c r="U30" s="52">
        <v>0.270919479469602</v>
      </c>
      <c r="V30" s="51">
        <v>0.662942415468508</v>
      </c>
      <c r="W30" s="52">
        <v>20.2629184303629</v>
      </c>
      <c r="X30" s="52">
        <v>19.0073461073754</v>
      </c>
      <c r="Y30" s="172" t="s">
        <v>103</v>
      </c>
      <c r="Z30" s="170" t="str">
        <f t="shared" si="0"/>
        <v>STRONG</v>
      </c>
      <c r="AA30" s="1" t="str">
        <f t="shared" si="1"/>
        <v>BJP</v>
      </c>
    </row>
    <row r="31" ht="16" spans="2:27">
      <c r="B31" s="13" t="s">
        <v>51</v>
      </c>
      <c r="C31" s="43">
        <v>7452</v>
      </c>
      <c r="D31" s="16">
        <v>1959</v>
      </c>
      <c r="E31" s="43">
        <v>3289</v>
      </c>
      <c r="F31" s="16">
        <v>13</v>
      </c>
      <c r="G31" s="16">
        <v>20</v>
      </c>
      <c r="H31" s="43">
        <v>3</v>
      </c>
      <c r="I31" s="16">
        <v>6</v>
      </c>
      <c r="J31" s="43">
        <v>2</v>
      </c>
      <c r="K31" s="16">
        <v>4</v>
      </c>
      <c r="L31" s="43">
        <v>5296</v>
      </c>
      <c r="M31" s="16">
        <v>0</v>
      </c>
      <c r="N31" s="118">
        <v>47</v>
      </c>
      <c r="O31" s="43">
        <v>5343</v>
      </c>
      <c r="P31" s="16">
        <v>71.5246197483588</v>
      </c>
      <c r="Q31" s="43">
        <v>61.7066911428643</v>
      </c>
      <c r="R31" s="16">
        <v>36.5148116518492</v>
      </c>
      <c r="S31" s="16">
        <v>0.255039872753354</v>
      </c>
      <c r="T31" s="118">
        <v>0.358709751906815</v>
      </c>
      <c r="U31" s="16">
        <v>0.305119431318599</v>
      </c>
      <c r="V31" s="159">
        <v>0.859628149307653</v>
      </c>
      <c r="W31" s="16">
        <v>25.1918794910151</v>
      </c>
      <c r="X31" s="16">
        <v>24.2730104350363</v>
      </c>
      <c r="Y31" s="173" t="s">
        <v>103</v>
      </c>
      <c r="Z31" s="170" t="str">
        <f t="shared" si="0"/>
        <v>STRONG</v>
      </c>
      <c r="AA31" s="1" t="str">
        <f t="shared" si="1"/>
        <v>BJP</v>
      </c>
    </row>
    <row r="32" ht="16" spans="2:27">
      <c r="B32" s="36" t="s">
        <v>50</v>
      </c>
      <c r="C32" s="53">
        <v>5471</v>
      </c>
      <c r="D32" s="30">
        <v>573</v>
      </c>
      <c r="E32" s="53">
        <v>2768</v>
      </c>
      <c r="F32" s="30">
        <v>6</v>
      </c>
      <c r="G32" s="30">
        <v>21</v>
      </c>
      <c r="H32" s="53">
        <v>2</v>
      </c>
      <c r="I32" s="30">
        <v>0</v>
      </c>
      <c r="J32" s="53">
        <v>3</v>
      </c>
      <c r="K32" s="30">
        <v>2</v>
      </c>
      <c r="L32" s="53">
        <v>3375</v>
      </c>
      <c r="M32" s="30">
        <v>0</v>
      </c>
      <c r="N32" s="31">
        <v>48</v>
      </c>
      <c r="O32" s="53">
        <v>3423</v>
      </c>
      <c r="P32" s="30">
        <v>62.0605410969051</v>
      </c>
      <c r="Q32" s="53">
        <v>80.0760490832537</v>
      </c>
      <c r="R32" s="30">
        <v>17.5813298819798</v>
      </c>
      <c r="S32" s="30">
        <v>0.158055588006374</v>
      </c>
      <c r="T32" s="31">
        <v>0.687225544286533</v>
      </c>
      <c r="U32" s="30">
        <v>0.201582797099157</v>
      </c>
      <c r="V32" s="53">
        <v>1.29575710537434</v>
      </c>
      <c r="W32" s="30">
        <v>62.4947192012738</v>
      </c>
      <c r="X32" s="30">
        <v>61.4478552718817</v>
      </c>
      <c r="Y32" s="169" t="s">
        <v>107</v>
      </c>
      <c r="Z32" s="170" t="str">
        <f t="shared" si="0"/>
        <v>STRONG</v>
      </c>
      <c r="AA32" s="1" t="str">
        <f t="shared" si="1"/>
        <v>BJP</v>
      </c>
    </row>
    <row r="33" ht="16" spans="2:27">
      <c r="B33" s="18" t="s">
        <v>52</v>
      </c>
      <c r="C33" s="54">
        <v>6929</v>
      </c>
      <c r="D33" s="39">
        <v>2768</v>
      </c>
      <c r="E33" s="54">
        <v>1807</v>
      </c>
      <c r="F33" s="39">
        <v>52</v>
      </c>
      <c r="G33" s="39">
        <v>2</v>
      </c>
      <c r="H33" s="54">
        <v>3</v>
      </c>
      <c r="I33" s="39">
        <v>2</v>
      </c>
      <c r="J33" s="54">
        <v>11</v>
      </c>
      <c r="K33" s="39">
        <v>8</v>
      </c>
      <c r="L33" s="54">
        <v>4653</v>
      </c>
      <c r="M33" s="39">
        <v>0</v>
      </c>
      <c r="N33" s="123">
        <v>29</v>
      </c>
      <c r="O33" s="54">
        <v>4682</v>
      </c>
      <c r="P33" s="39">
        <v>67.7753878020005</v>
      </c>
      <c r="Q33" s="54">
        <v>40.6313796300031</v>
      </c>
      <c r="R33" s="39">
        <v>57.0171100015272</v>
      </c>
      <c r="S33" s="39">
        <v>1.15551612409772</v>
      </c>
      <c r="T33" s="123">
        <v>0.0372651077811882</v>
      </c>
      <c r="U33" s="39">
        <v>0.53829078845958</v>
      </c>
      <c r="V33" s="54">
        <v>0.620438348131117</v>
      </c>
      <c r="W33" s="39">
        <v>-16.385730371524</v>
      </c>
      <c r="X33" s="39">
        <v>-18.1168023918625</v>
      </c>
      <c r="Y33" s="169" t="s">
        <v>110</v>
      </c>
      <c r="Z33" s="170" t="str">
        <f t="shared" si="0"/>
        <v>STRONG</v>
      </c>
      <c r="AA33" s="1" t="str">
        <f t="shared" si="1"/>
        <v>CONGRESS</v>
      </c>
    </row>
    <row r="34" ht="16" spans="2:27">
      <c r="B34" s="13" t="s">
        <v>53</v>
      </c>
      <c r="C34" s="48">
        <v>5908</v>
      </c>
      <c r="D34" s="49">
        <v>1188</v>
      </c>
      <c r="E34" s="48">
        <v>2543</v>
      </c>
      <c r="F34" s="49">
        <v>14</v>
      </c>
      <c r="G34" s="49">
        <v>18</v>
      </c>
      <c r="H34" s="48">
        <v>0</v>
      </c>
      <c r="I34" s="49">
        <v>0</v>
      </c>
      <c r="J34" s="48">
        <v>5</v>
      </c>
      <c r="K34" s="49">
        <v>4</v>
      </c>
      <c r="L34" s="48">
        <v>3772</v>
      </c>
      <c r="M34" s="49">
        <v>0</v>
      </c>
      <c r="N34" s="121">
        <v>36</v>
      </c>
      <c r="O34" s="48">
        <v>3808</v>
      </c>
      <c r="P34" s="49">
        <v>65.1197200118715</v>
      </c>
      <c r="Q34" s="48">
        <v>66.4069680960702</v>
      </c>
      <c r="R34" s="49">
        <v>31.6397108193735</v>
      </c>
      <c r="S34" s="49">
        <v>0.352112833215927</v>
      </c>
      <c r="T34" s="121">
        <v>2.81504132208628</v>
      </c>
      <c r="U34" s="49">
        <v>0.227151809881278</v>
      </c>
      <c r="V34" s="48">
        <v>0.904882887777889</v>
      </c>
      <c r="W34" s="49">
        <v>34.7672572766966</v>
      </c>
      <c r="X34" s="49">
        <v>33.7188190799184</v>
      </c>
      <c r="Y34" s="169" t="s">
        <v>103</v>
      </c>
      <c r="Z34" s="170" t="str">
        <f t="shared" si="0"/>
        <v>STRONG</v>
      </c>
      <c r="AA34" s="1" t="str">
        <f t="shared" si="1"/>
        <v>BJP</v>
      </c>
    </row>
    <row r="35" ht="16" spans="2:27">
      <c r="B35" s="18" t="s">
        <v>54</v>
      </c>
      <c r="C35" s="35">
        <v>5552</v>
      </c>
      <c r="D35" s="18">
        <v>2669</v>
      </c>
      <c r="E35" s="35">
        <v>1024</v>
      </c>
      <c r="F35" s="18">
        <v>10</v>
      </c>
      <c r="G35" s="18">
        <v>5</v>
      </c>
      <c r="H35" s="35">
        <v>1</v>
      </c>
      <c r="I35" s="18">
        <v>0</v>
      </c>
      <c r="J35" s="35">
        <v>6</v>
      </c>
      <c r="K35" s="18">
        <v>0</v>
      </c>
      <c r="L35" s="35">
        <v>3715</v>
      </c>
      <c r="M35" s="18">
        <v>0</v>
      </c>
      <c r="N35" s="34">
        <v>12</v>
      </c>
      <c r="O35" s="35">
        <v>3727</v>
      </c>
      <c r="P35" s="18">
        <v>67.2248490371215</v>
      </c>
      <c r="Q35" s="35">
        <v>28.9548396223637</v>
      </c>
      <c r="R35" s="18">
        <v>70.1679970202623</v>
      </c>
      <c r="S35" s="18">
        <v>0.261895304111364</v>
      </c>
      <c r="T35" s="34">
        <v>0.119199561822512</v>
      </c>
      <c r="U35" s="18">
        <v>0.189885614454616</v>
      </c>
      <c r="V35" s="35">
        <v>0.30618287698537</v>
      </c>
      <c r="W35" s="18">
        <v>-41.2131573978986</v>
      </c>
      <c r="X35" s="18">
        <v>-41.7841378782871</v>
      </c>
      <c r="Y35" s="171" t="s">
        <v>110</v>
      </c>
      <c r="Z35" s="170" t="str">
        <f t="shared" si="0"/>
        <v>STRONG</v>
      </c>
      <c r="AA35" s="1" t="str">
        <f t="shared" si="1"/>
        <v>CONGRESS</v>
      </c>
    </row>
    <row r="36" ht="16" spans="2:27">
      <c r="B36" s="55" t="s">
        <v>55</v>
      </c>
      <c r="C36" s="56">
        <v>6107</v>
      </c>
      <c r="D36" s="57">
        <v>1722</v>
      </c>
      <c r="E36" s="56">
        <v>2180</v>
      </c>
      <c r="F36" s="57">
        <v>15</v>
      </c>
      <c r="G36" s="57">
        <v>9</v>
      </c>
      <c r="H36" s="56">
        <v>2</v>
      </c>
      <c r="I36" s="57">
        <v>0</v>
      </c>
      <c r="J36" s="56">
        <v>7</v>
      </c>
      <c r="K36" s="57">
        <v>2</v>
      </c>
      <c r="L36" s="56">
        <v>3937</v>
      </c>
      <c r="M36" s="57">
        <v>0</v>
      </c>
      <c r="N36" s="124">
        <v>30</v>
      </c>
      <c r="O36" s="56">
        <v>3967</v>
      </c>
      <c r="P36" s="57">
        <v>65.0839727217539</v>
      </c>
      <c r="Q36" s="56">
        <v>54.0810892322415</v>
      </c>
      <c r="R36" s="57">
        <v>44.3269874742898</v>
      </c>
      <c r="S36" s="57">
        <v>0.362196171870873</v>
      </c>
      <c r="T36" s="124">
        <v>0.225438321080118</v>
      </c>
      <c r="U36" s="57">
        <v>0.247207965978329</v>
      </c>
      <c r="V36" s="56">
        <v>0.757080834539305</v>
      </c>
      <c r="W36" s="57">
        <v>9.75410175795173</v>
      </c>
      <c r="X36" s="57">
        <v>8.91925929902241</v>
      </c>
      <c r="Y36" s="172" t="s">
        <v>100</v>
      </c>
      <c r="Z36" s="170" t="str">
        <f t="shared" si="0"/>
        <v>STRONG</v>
      </c>
      <c r="AA36" s="1" t="str">
        <f t="shared" si="1"/>
        <v>BJP</v>
      </c>
    </row>
    <row r="37" ht="16" spans="2:27">
      <c r="B37" s="36" t="s">
        <v>372</v>
      </c>
      <c r="C37" s="44">
        <v>7740</v>
      </c>
      <c r="D37" s="45">
        <v>889</v>
      </c>
      <c r="E37" s="44">
        <v>3839</v>
      </c>
      <c r="F37" s="45">
        <v>9</v>
      </c>
      <c r="G37" s="45">
        <v>27</v>
      </c>
      <c r="H37" s="44">
        <v>1</v>
      </c>
      <c r="I37" s="45">
        <v>1</v>
      </c>
      <c r="J37" s="44">
        <v>3</v>
      </c>
      <c r="K37" s="45">
        <v>5</v>
      </c>
      <c r="L37" s="44">
        <v>4774</v>
      </c>
      <c r="M37" s="45">
        <v>0</v>
      </c>
      <c r="N37" s="119">
        <v>55</v>
      </c>
      <c r="O37" s="44">
        <v>4829</v>
      </c>
      <c r="P37" s="45">
        <v>61.7463993982335</v>
      </c>
      <c r="Q37" s="44">
        <v>79.2515702619659</v>
      </c>
      <c r="R37" s="45">
        <v>18.7065857709949</v>
      </c>
      <c r="S37" s="45">
        <v>0.167876421527776</v>
      </c>
      <c r="T37" s="119">
        <v>0.505539793885806</v>
      </c>
      <c r="U37" s="45">
        <v>0.188331217418498</v>
      </c>
      <c r="V37" s="44">
        <v>1.18009653420703</v>
      </c>
      <c r="W37" s="45">
        <v>60.544984490971</v>
      </c>
      <c r="X37" s="45">
        <v>59.6832370581389</v>
      </c>
      <c r="Y37" s="172" t="s">
        <v>107</v>
      </c>
      <c r="Z37" s="174" t="str">
        <f t="shared" si="0"/>
        <v>STRONG</v>
      </c>
      <c r="AA37" s="1" t="str">
        <f t="shared" si="1"/>
        <v>BJP</v>
      </c>
    </row>
    <row r="38" ht="16" spans="2:27">
      <c r="B38" s="16" t="s">
        <v>57</v>
      </c>
      <c r="C38" s="43">
        <v>6847</v>
      </c>
      <c r="D38" s="16">
        <v>1597</v>
      </c>
      <c r="E38" s="43">
        <v>2864</v>
      </c>
      <c r="F38" s="16">
        <v>15</v>
      </c>
      <c r="G38" s="16">
        <v>17</v>
      </c>
      <c r="H38" s="43">
        <v>3</v>
      </c>
      <c r="I38" s="16">
        <v>3</v>
      </c>
      <c r="J38" s="43">
        <v>5</v>
      </c>
      <c r="K38" s="16">
        <v>2</v>
      </c>
      <c r="L38" s="43">
        <v>4506</v>
      </c>
      <c r="M38" s="16">
        <v>0</v>
      </c>
      <c r="N38" s="118">
        <v>28</v>
      </c>
      <c r="O38" s="43">
        <v>4534</v>
      </c>
      <c r="P38" s="16">
        <v>64.8418097033532</v>
      </c>
      <c r="Q38" s="43">
        <v>62.0247516357123</v>
      </c>
      <c r="R38" s="16">
        <v>36.4248184235061</v>
      </c>
      <c r="S38" s="16">
        <v>0.332924349688568</v>
      </c>
      <c r="T38" s="118">
        <v>0.394255745691112</v>
      </c>
      <c r="U38" s="16">
        <v>0.23790785541283</v>
      </c>
      <c r="V38" s="159">
        <v>0.585341989989049</v>
      </c>
      <c r="W38" s="16">
        <v>25.5999332122062</v>
      </c>
      <c r="X38" s="16">
        <v>24.6348452614137</v>
      </c>
      <c r="Y38" s="172" t="s">
        <v>103</v>
      </c>
      <c r="Z38" s="175" t="str">
        <f t="shared" si="0"/>
        <v>STRONG</v>
      </c>
      <c r="AA38" s="1" t="str">
        <f t="shared" si="1"/>
        <v>BJP</v>
      </c>
    </row>
    <row r="39" ht="16" spans="2:27">
      <c r="B39" s="18" t="s">
        <v>58</v>
      </c>
      <c r="C39" s="35">
        <v>6738</v>
      </c>
      <c r="D39" s="18">
        <v>2200</v>
      </c>
      <c r="E39" s="35">
        <v>1467</v>
      </c>
      <c r="F39" s="18">
        <v>7</v>
      </c>
      <c r="G39" s="18">
        <v>25</v>
      </c>
      <c r="H39" s="35">
        <v>0</v>
      </c>
      <c r="I39" s="18">
        <v>2</v>
      </c>
      <c r="J39" s="35">
        <v>3</v>
      </c>
      <c r="K39" s="18">
        <v>4</v>
      </c>
      <c r="L39" s="35">
        <v>3708</v>
      </c>
      <c r="M39" s="18">
        <v>0</v>
      </c>
      <c r="N39" s="34">
        <v>27</v>
      </c>
      <c r="O39" s="35">
        <v>3735</v>
      </c>
      <c r="P39" s="18">
        <v>55.3578608287367</v>
      </c>
      <c r="Q39" s="35">
        <v>38.1276484823644</v>
      </c>
      <c r="R39" s="18">
        <v>60.0763058484431</v>
      </c>
      <c r="S39" s="18">
        <v>0.197103951032963</v>
      </c>
      <c r="T39" s="34">
        <v>0.714483815967819</v>
      </c>
      <c r="U39" s="18">
        <v>0.222102020046155</v>
      </c>
      <c r="V39" s="35">
        <v>0.662355882145484</v>
      </c>
      <c r="W39" s="18">
        <v>-21.9486573660787</v>
      </c>
      <c r="X39" s="18">
        <v>-23.0823471531257</v>
      </c>
      <c r="Y39" s="176" t="s">
        <v>110</v>
      </c>
      <c r="Z39" s="170" t="str">
        <f t="shared" si="0"/>
        <v>AVG</v>
      </c>
      <c r="AA39" s="1" t="str">
        <f t="shared" si="1"/>
        <v>CONGRESS</v>
      </c>
    </row>
    <row r="40" ht="16" spans="2:27">
      <c r="B40" s="49" t="s">
        <v>59</v>
      </c>
      <c r="C40" s="48">
        <v>9255</v>
      </c>
      <c r="D40" s="49">
        <v>2498</v>
      </c>
      <c r="E40" s="48">
        <v>3799</v>
      </c>
      <c r="F40" s="49">
        <v>16</v>
      </c>
      <c r="G40" s="49">
        <v>22</v>
      </c>
      <c r="H40" s="48">
        <v>4</v>
      </c>
      <c r="I40" s="49">
        <v>3</v>
      </c>
      <c r="J40" s="48">
        <v>2</v>
      </c>
      <c r="K40" s="49">
        <v>7</v>
      </c>
      <c r="L40" s="48">
        <v>6351</v>
      </c>
      <c r="M40" s="49">
        <v>0</v>
      </c>
      <c r="N40" s="121">
        <v>41</v>
      </c>
      <c r="O40" s="48">
        <v>6392</v>
      </c>
      <c r="P40" s="49">
        <v>68.8481185700335</v>
      </c>
      <c r="Q40" s="48">
        <v>59.0086646854371</v>
      </c>
      <c r="R40" s="49">
        <v>39.5366549662194</v>
      </c>
      <c r="S40" s="49">
        <v>0.240011146552493</v>
      </c>
      <c r="T40" s="121">
        <v>0.346906157717732</v>
      </c>
      <c r="U40" s="49">
        <v>0.235068202656834</v>
      </c>
      <c r="V40" s="48">
        <v>0.632694841416387</v>
      </c>
      <c r="W40" s="49">
        <v>19.4720097192176</v>
      </c>
      <c r="X40" s="49">
        <v>18.6500242122905</v>
      </c>
      <c r="Y40" s="177" t="s">
        <v>103</v>
      </c>
      <c r="Z40" s="170" t="str">
        <f t="shared" si="0"/>
        <v>STRONG</v>
      </c>
      <c r="AA40" s="1" t="str">
        <f t="shared" si="1"/>
        <v>BJP</v>
      </c>
    </row>
    <row r="41" ht="16" spans="2:27">
      <c r="B41" s="10" t="s">
        <v>60</v>
      </c>
      <c r="C41" s="58">
        <v>4204</v>
      </c>
      <c r="D41" s="10">
        <v>1247</v>
      </c>
      <c r="E41" s="58">
        <v>1388</v>
      </c>
      <c r="F41" s="10">
        <v>7</v>
      </c>
      <c r="G41" s="10">
        <v>26</v>
      </c>
      <c r="H41" s="58">
        <v>1</v>
      </c>
      <c r="I41" s="10">
        <v>0</v>
      </c>
      <c r="J41" s="58">
        <v>3</v>
      </c>
      <c r="K41" s="10">
        <v>0</v>
      </c>
      <c r="L41" s="58">
        <v>2672</v>
      </c>
      <c r="M41" s="10">
        <v>0</v>
      </c>
      <c r="N41" s="125">
        <v>30</v>
      </c>
      <c r="O41" s="58">
        <v>2702</v>
      </c>
      <c r="P41" s="10">
        <v>64.981023740073</v>
      </c>
      <c r="Q41" s="58">
        <v>52.5036976409868</v>
      </c>
      <c r="R41" s="10">
        <v>44.9768327738523</v>
      </c>
      <c r="S41" s="10">
        <v>0.258854277397623</v>
      </c>
      <c r="T41" s="125">
        <v>0.93525029597964</v>
      </c>
      <c r="U41" s="10">
        <v>0.158365759795506</v>
      </c>
      <c r="V41" s="58">
        <v>1.16699925198799</v>
      </c>
      <c r="W41" s="10">
        <v>7.52686486713451</v>
      </c>
      <c r="X41" s="10">
        <v>6.17439453396174</v>
      </c>
      <c r="Y41" s="171" t="s">
        <v>100</v>
      </c>
      <c r="Z41" s="170" t="str">
        <f t="shared" si="0"/>
        <v>STRONG</v>
      </c>
      <c r="AA41" s="1" t="str">
        <f t="shared" si="1"/>
        <v>BJP</v>
      </c>
    </row>
    <row r="42" ht="16" spans="2:27">
      <c r="B42" s="30" t="s">
        <v>61</v>
      </c>
      <c r="C42" s="53">
        <v>7450</v>
      </c>
      <c r="D42" s="30">
        <v>1496</v>
      </c>
      <c r="E42" s="53">
        <v>3668</v>
      </c>
      <c r="F42" s="30">
        <v>23</v>
      </c>
      <c r="G42" s="30">
        <v>15</v>
      </c>
      <c r="H42" s="53">
        <v>3</v>
      </c>
      <c r="I42" s="30">
        <v>4</v>
      </c>
      <c r="J42" s="53">
        <v>9</v>
      </c>
      <c r="K42" s="30">
        <v>6</v>
      </c>
      <c r="L42" s="53">
        <v>5224</v>
      </c>
      <c r="M42" s="30">
        <v>0</v>
      </c>
      <c r="N42" s="31">
        <v>44</v>
      </c>
      <c r="O42" s="53">
        <v>5268</v>
      </c>
      <c r="P42" s="30">
        <v>70.9439250942619</v>
      </c>
      <c r="Q42" s="53">
        <v>69.7960810482962</v>
      </c>
      <c r="R42" s="30">
        <v>28.2648482582951</v>
      </c>
      <c r="S42" s="30">
        <v>0.445904249515835</v>
      </c>
      <c r="T42" s="31">
        <v>1.81203304216236</v>
      </c>
      <c r="U42" s="30">
        <v>0.391858581358593</v>
      </c>
      <c r="V42" s="53">
        <v>0.842445999368122</v>
      </c>
      <c r="W42" s="30">
        <v>41.531232790001</v>
      </c>
      <c r="X42" s="30">
        <v>40.4346080959605</v>
      </c>
      <c r="Y42" s="178" t="s">
        <v>107</v>
      </c>
      <c r="Z42" s="170" t="str">
        <f t="shared" si="0"/>
        <v>STRONG</v>
      </c>
      <c r="AA42" s="1" t="str">
        <f t="shared" si="1"/>
        <v>BJP</v>
      </c>
    </row>
    <row r="43" ht="16" spans="2:27">
      <c r="B43" s="18" t="s">
        <v>62</v>
      </c>
      <c r="C43" s="35">
        <v>4295</v>
      </c>
      <c r="D43" s="18">
        <v>1557</v>
      </c>
      <c r="E43" s="35">
        <v>1254</v>
      </c>
      <c r="F43" s="18">
        <v>11</v>
      </c>
      <c r="G43" s="18">
        <v>10</v>
      </c>
      <c r="H43" s="35">
        <v>0</v>
      </c>
      <c r="I43" s="18">
        <v>1</v>
      </c>
      <c r="J43" s="35">
        <v>1</v>
      </c>
      <c r="K43" s="18">
        <v>1</v>
      </c>
      <c r="L43" s="35">
        <v>2835</v>
      </c>
      <c r="M43" s="18">
        <v>0</v>
      </c>
      <c r="N43" s="34">
        <v>14</v>
      </c>
      <c r="O43" s="35">
        <v>2849</v>
      </c>
      <c r="P43" s="18">
        <v>66.1493851354797</v>
      </c>
      <c r="Q43" s="35">
        <v>44.7074969683991</v>
      </c>
      <c r="R43" s="18">
        <v>53.9597964758148</v>
      </c>
      <c r="S43" s="18">
        <v>0.378776573558539</v>
      </c>
      <c r="T43" s="34">
        <v>0.330177831876367</v>
      </c>
      <c r="U43" s="18">
        <v>0.111401258317827</v>
      </c>
      <c r="V43" s="35">
        <v>0.512350892033298</v>
      </c>
      <c r="W43" s="18">
        <v>-9.25229950741572</v>
      </c>
      <c r="X43" s="18">
        <v>-10.0726551711684</v>
      </c>
      <c r="Y43" s="176" t="s">
        <v>110</v>
      </c>
      <c r="Z43" s="170" t="str">
        <f t="shared" si="0"/>
        <v>STRONG</v>
      </c>
      <c r="AA43" s="1" t="str">
        <f t="shared" si="1"/>
        <v>CONGRESS</v>
      </c>
    </row>
    <row r="44" ht="16" spans="2:27">
      <c r="B44" s="18" t="s">
        <v>63</v>
      </c>
      <c r="C44" s="35">
        <v>4751</v>
      </c>
      <c r="D44" s="18">
        <v>1486</v>
      </c>
      <c r="E44" s="35">
        <v>1400</v>
      </c>
      <c r="F44" s="18">
        <v>9</v>
      </c>
      <c r="G44" s="18">
        <v>19</v>
      </c>
      <c r="H44" s="35">
        <v>0</v>
      </c>
      <c r="I44" s="18">
        <v>3</v>
      </c>
      <c r="J44" s="35">
        <v>1</v>
      </c>
      <c r="K44" s="18">
        <v>1</v>
      </c>
      <c r="L44" s="35">
        <v>2919</v>
      </c>
      <c r="M44" s="18">
        <v>0</v>
      </c>
      <c r="N44" s="34">
        <v>16</v>
      </c>
      <c r="O44" s="35">
        <v>2935</v>
      </c>
      <c r="P44" s="18">
        <v>62.3816652043797</v>
      </c>
      <c r="Q44" s="35">
        <v>46.7386431553242</v>
      </c>
      <c r="R44" s="18">
        <v>51.5646348341508</v>
      </c>
      <c r="S44" s="18">
        <v>0.33336302378622</v>
      </c>
      <c r="T44" s="34">
        <v>0.672504454968803</v>
      </c>
      <c r="U44" s="18">
        <v>0.174713081816131</v>
      </c>
      <c r="V44" s="35">
        <v>0.516141449953817</v>
      </c>
      <c r="W44" s="18">
        <v>-4.8259916788266</v>
      </c>
      <c r="X44" s="18">
        <v>-6.00657223939776</v>
      </c>
      <c r="Y44" s="176" t="s">
        <v>110</v>
      </c>
      <c r="Z44" s="170" t="str">
        <f t="shared" si="0"/>
        <v>STRONG</v>
      </c>
      <c r="AA44" s="1" t="str">
        <f t="shared" si="1"/>
        <v>CONGRESS</v>
      </c>
    </row>
    <row r="45" ht="16" spans="2:27">
      <c r="B45" s="18" t="s">
        <v>64</v>
      </c>
      <c r="C45" s="35">
        <v>6416</v>
      </c>
      <c r="D45" s="18">
        <v>1934</v>
      </c>
      <c r="E45" s="35">
        <v>1829</v>
      </c>
      <c r="F45" s="18">
        <v>7</v>
      </c>
      <c r="G45" s="18">
        <v>27</v>
      </c>
      <c r="H45" s="18">
        <v>2</v>
      </c>
      <c r="I45" s="18">
        <v>4</v>
      </c>
      <c r="J45" s="35">
        <v>1</v>
      </c>
      <c r="K45" s="18">
        <v>4</v>
      </c>
      <c r="L45" s="35">
        <v>3808</v>
      </c>
      <c r="M45" s="18">
        <v>0</v>
      </c>
      <c r="N45" s="34">
        <v>22</v>
      </c>
      <c r="O45" s="34">
        <v>3830</v>
      </c>
      <c r="P45" s="34">
        <v>60.0954894477679</v>
      </c>
      <c r="Q45" s="34">
        <v>44.6389318301967</v>
      </c>
      <c r="R45" s="34">
        <v>53.485826096281</v>
      </c>
      <c r="S45" s="34">
        <v>0.140940983969715</v>
      </c>
      <c r="T45" s="34">
        <v>0.846976117275855</v>
      </c>
      <c r="U45" s="34">
        <v>0.304023433638163</v>
      </c>
      <c r="V45" s="34">
        <v>0.583301538638486</v>
      </c>
      <c r="W45" s="34">
        <v>-8.84689426608423</v>
      </c>
      <c r="X45" s="18">
        <v>-10.1388348009679</v>
      </c>
      <c r="Y45" s="176" t="s">
        <v>110</v>
      </c>
      <c r="Z45" s="174" t="str">
        <f t="shared" si="0"/>
        <v>STRONG</v>
      </c>
      <c r="AA45" s="1" t="str">
        <f t="shared" si="1"/>
        <v>CONGRESS</v>
      </c>
    </row>
    <row r="46" ht="15.25" spans="2:24">
      <c r="B46" s="59" t="s">
        <v>373</v>
      </c>
      <c r="C46" s="59">
        <f t="shared" ref="C46:L46" si="2">SUM(C8:C45)</f>
        <v>246952</v>
      </c>
      <c r="D46" s="59">
        <f t="shared" si="2"/>
        <v>66451</v>
      </c>
      <c r="E46" s="59">
        <f t="shared" si="2"/>
        <v>89998</v>
      </c>
      <c r="F46" s="59">
        <f t="shared" si="2"/>
        <v>689</v>
      </c>
      <c r="G46" s="59">
        <f t="shared" si="2"/>
        <v>616</v>
      </c>
      <c r="H46" s="59">
        <f t="shared" si="2"/>
        <v>68</v>
      </c>
      <c r="I46" s="59">
        <f t="shared" si="2"/>
        <v>101</v>
      </c>
      <c r="J46" s="59">
        <f t="shared" si="2"/>
        <v>175</v>
      </c>
      <c r="K46" s="59">
        <f t="shared" si="2"/>
        <v>135</v>
      </c>
      <c r="L46" s="59">
        <f t="shared" si="2"/>
        <v>162394</v>
      </c>
      <c r="M46" s="59">
        <f t="shared" ref="M46:O46" si="3">SUM(M8:M45)</f>
        <v>0</v>
      </c>
      <c r="N46" s="126">
        <f t="shared" si="3"/>
        <v>1187</v>
      </c>
      <c r="O46" s="126">
        <f t="shared" si="3"/>
        <v>159420</v>
      </c>
      <c r="P46" s="126">
        <f t="shared" ref="P46:X46" si="4">AVERAGE(P8:P45)</f>
        <v>64.2762451122585</v>
      </c>
      <c r="Q46" s="126">
        <f t="shared" si="4"/>
        <v>56.1254112387803</v>
      </c>
      <c r="R46" s="126">
        <f t="shared" si="4"/>
        <v>42.0418459030474</v>
      </c>
      <c r="S46" s="126">
        <f t="shared" si="4"/>
        <v>0.388676823419948</v>
      </c>
      <c r="T46" s="126">
        <f t="shared" si="4"/>
        <v>0.519419882093044</v>
      </c>
      <c r="U46" s="126">
        <f t="shared" si="4"/>
        <v>0.287265540354355</v>
      </c>
      <c r="V46" s="126">
        <f t="shared" si="4"/>
        <v>0.739407953104962</v>
      </c>
      <c r="W46" s="126">
        <f t="shared" si="4"/>
        <v>14.0055942906725</v>
      </c>
      <c r="X46" s="126">
        <f t="shared" si="4"/>
        <v>12.906715188899</v>
      </c>
    </row>
    <row r="47" ht="15.25" spans="2:24"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</row>
    <row r="48" customFormat="1" ht="24.25" spans="2:24"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</row>
    <row r="51" ht="15.25"/>
    <row r="52" ht="15" customHeight="1" spans="1:19">
      <c r="A52" s="62" t="s">
        <v>374</v>
      </c>
      <c r="B52" s="63"/>
      <c r="C52" s="64"/>
      <c r="D52" s="65">
        <f>COUNTIF(AA8:AA45,"BJP")</f>
        <v>25</v>
      </c>
      <c r="E52" s="66"/>
      <c r="G52" s="67" t="s">
        <v>375</v>
      </c>
      <c r="H52" s="68"/>
      <c r="I52" s="68"/>
      <c r="J52" s="68"/>
      <c r="K52" s="128">
        <f>COUNTIF(Z8:Z45,"AVG")</f>
        <v>5</v>
      </c>
      <c r="L52" s="129"/>
      <c r="N52" s="130" t="s">
        <v>376</v>
      </c>
      <c r="O52" s="131"/>
      <c r="P52" s="131"/>
      <c r="Q52" s="160"/>
      <c r="R52" s="130">
        <f>COUNTIF(Y8:Y45,"NARROW")</f>
        <v>3</v>
      </c>
      <c r="S52" s="160"/>
    </row>
    <row r="53" ht="15" customHeight="1" spans="1:19">
      <c r="A53" s="69"/>
      <c r="B53" s="70"/>
      <c r="C53" s="71"/>
      <c r="D53" s="72"/>
      <c r="E53" s="73"/>
      <c r="G53" s="74"/>
      <c r="H53" s="75"/>
      <c r="I53" s="75"/>
      <c r="J53" s="75"/>
      <c r="K53" s="132"/>
      <c r="L53" s="133"/>
      <c r="N53" s="134"/>
      <c r="O53" s="135"/>
      <c r="P53" s="135"/>
      <c r="Q53" s="161"/>
      <c r="R53" s="134"/>
      <c r="S53" s="161"/>
    </row>
    <row r="54" spans="1:19">
      <c r="A54" s="69"/>
      <c r="B54" s="70"/>
      <c r="C54" s="71"/>
      <c r="D54" s="72"/>
      <c r="E54" s="73"/>
      <c r="G54" s="74"/>
      <c r="H54" s="75"/>
      <c r="I54" s="75"/>
      <c r="J54" s="75"/>
      <c r="K54" s="132"/>
      <c r="L54" s="133"/>
      <c r="N54" s="134"/>
      <c r="O54" s="135"/>
      <c r="P54" s="135"/>
      <c r="Q54" s="161"/>
      <c r="R54" s="134"/>
      <c r="S54" s="161"/>
    </row>
    <row r="55" ht="15.25" spans="1:19">
      <c r="A55" s="76"/>
      <c r="B55" s="77"/>
      <c r="C55" s="78"/>
      <c r="D55" s="79"/>
      <c r="E55" s="80"/>
      <c r="G55" s="74"/>
      <c r="H55" s="75"/>
      <c r="I55" s="75"/>
      <c r="J55" s="75"/>
      <c r="K55" s="132"/>
      <c r="L55" s="133"/>
      <c r="N55" s="134"/>
      <c r="O55" s="135"/>
      <c r="P55" s="135"/>
      <c r="Q55" s="161"/>
      <c r="R55" s="134"/>
      <c r="S55" s="161"/>
    </row>
    <row r="56" ht="15.25" spans="1:19">
      <c r="A56" s="81" t="s">
        <v>377</v>
      </c>
      <c r="B56" s="82"/>
      <c r="C56" s="83"/>
      <c r="D56" s="84">
        <f>COUNTIF(AA8:AA45,"CONGRESS")</f>
        <v>13</v>
      </c>
      <c r="E56" s="85"/>
      <c r="G56" s="67" t="s">
        <v>378</v>
      </c>
      <c r="H56" s="68"/>
      <c r="I56" s="68"/>
      <c r="J56" s="68"/>
      <c r="K56" s="136">
        <f>COUNTIF(Z8:Z45,"STRONG")</f>
        <v>33</v>
      </c>
      <c r="L56" s="137"/>
      <c r="N56" s="138" t="s">
        <v>379</v>
      </c>
      <c r="O56" s="139"/>
      <c r="P56" s="139"/>
      <c r="Q56" s="162"/>
      <c r="R56" s="138">
        <f>COUNTIF(Y8:Y45,"MEDIUM")</f>
        <v>14</v>
      </c>
      <c r="S56" s="162"/>
    </row>
    <row r="57" spans="1:19">
      <c r="A57" s="86"/>
      <c r="B57" s="87"/>
      <c r="C57" s="88"/>
      <c r="D57" s="89"/>
      <c r="E57" s="90"/>
      <c r="G57" s="74"/>
      <c r="H57" s="75"/>
      <c r="I57" s="75"/>
      <c r="J57" s="75"/>
      <c r="K57" s="140"/>
      <c r="L57" s="141"/>
      <c r="N57" s="142"/>
      <c r="O57" s="143"/>
      <c r="P57" s="143"/>
      <c r="Q57" s="163"/>
      <c r="R57" s="142"/>
      <c r="S57" s="163"/>
    </row>
    <row r="58" spans="1:19">
      <c r="A58" s="86"/>
      <c r="B58" s="87"/>
      <c r="C58" s="88"/>
      <c r="D58" s="89"/>
      <c r="E58" s="90"/>
      <c r="G58" s="74"/>
      <c r="H58" s="75"/>
      <c r="I58" s="75"/>
      <c r="J58" s="75"/>
      <c r="K58" s="140"/>
      <c r="L58" s="141"/>
      <c r="N58" s="142"/>
      <c r="O58" s="143"/>
      <c r="P58" s="143"/>
      <c r="Q58" s="163"/>
      <c r="R58" s="142"/>
      <c r="S58" s="163"/>
    </row>
    <row r="59" ht="15.25" spans="1:19">
      <c r="A59" s="91"/>
      <c r="B59" s="92"/>
      <c r="C59" s="93"/>
      <c r="D59" s="94"/>
      <c r="E59" s="95"/>
      <c r="G59" s="96"/>
      <c r="H59" s="97"/>
      <c r="I59" s="97"/>
      <c r="J59" s="97"/>
      <c r="K59" s="144"/>
      <c r="L59" s="145"/>
      <c r="N59" s="146"/>
      <c r="O59" s="147"/>
      <c r="P59" s="147"/>
      <c r="Q59" s="164"/>
      <c r="R59" s="146"/>
      <c r="S59" s="164"/>
    </row>
    <row r="60" ht="15.25" spans="1:19">
      <c r="A60" s="98" t="s">
        <v>380</v>
      </c>
      <c r="B60" s="99"/>
      <c r="C60" s="99"/>
      <c r="D60" s="99"/>
      <c r="E60" s="100"/>
      <c r="G60" s="98" t="s">
        <v>381</v>
      </c>
      <c r="H60" s="99"/>
      <c r="I60" s="99"/>
      <c r="J60" s="99"/>
      <c r="K60" s="99"/>
      <c r="L60" s="100"/>
      <c r="N60" s="148" t="s">
        <v>382</v>
      </c>
      <c r="O60" s="149"/>
      <c r="P60" s="149"/>
      <c r="Q60" s="165"/>
      <c r="R60" s="148">
        <f>COUNTIF(Y8:Y45,"STRONG")</f>
        <v>8</v>
      </c>
      <c r="S60" s="165"/>
    </row>
    <row r="61" ht="15.25" spans="1:19">
      <c r="A61" s="101"/>
      <c r="B61" s="102"/>
      <c r="C61" s="102"/>
      <c r="D61" s="102"/>
      <c r="E61" s="103"/>
      <c r="G61" s="101"/>
      <c r="H61" s="102"/>
      <c r="I61" s="102"/>
      <c r="J61" s="102"/>
      <c r="K61" s="102"/>
      <c r="L61" s="103"/>
      <c r="N61" s="150"/>
      <c r="O61" s="151"/>
      <c r="P61" s="151"/>
      <c r="Q61" s="166"/>
      <c r="R61" s="150"/>
      <c r="S61" s="166"/>
    </row>
    <row r="62" ht="15.25" spans="14:19">
      <c r="N62" s="150"/>
      <c r="O62" s="151"/>
      <c r="P62" s="151"/>
      <c r="Q62" s="166"/>
      <c r="R62" s="150"/>
      <c r="S62" s="166"/>
    </row>
    <row r="63" ht="15.25" spans="14:19">
      <c r="N63" s="152"/>
      <c r="O63" s="153"/>
      <c r="P63" s="153"/>
      <c r="Q63" s="167"/>
      <c r="R63" s="152"/>
      <c r="S63" s="167"/>
    </row>
    <row r="64" ht="15.25" spans="14:19">
      <c r="N64" s="154" t="s">
        <v>383</v>
      </c>
      <c r="O64" s="155"/>
      <c r="P64" s="155"/>
      <c r="Q64" s="168"/>
      <c r="R64" s="154">
        <f>COUNTIF(Y8:Y45,"LOST")</f>
        <v>13</v>
      </c>
      <c r="S64" s="168"/>
    </row>
    <row r="65" spans="14:19">
      <c r="N65" s="154"/>
      <c r="O65" s="155"/>
      <c r="P65" s="155"/>
      <c r="Q65" s="168"/>
      <c r="R65" s="154"/>
      <c r="S65" s="168"/>
    </row>
    <row r="66" spans="14:19">
      <c r="N66" s="154"/>
      <c r="O66" s="155"/>
      <c r="P66" s="155"/>
      <c r="Q66" s="168"/>
      <c r="R66" s="154"/>
      <c r="S66" s="168"/>
    </row>
    <row r="67" ht="15.25" spans="14:19">
      <c r="N67" s="179"/>
      <c r="O67" s="180"/>
      <c r="P67" s="180"/>
      <c r="Q67" s="181"/>
      <c r="R67" s="179"/>
      <c r="S67" s="181"/>
    </row>
    <row r="68" ht="15.25" spans="14:19">
      <c r="N68" s="98" t="s">
        <v>384</v>
      </c>
      <c r="O68" s="99"/>
      <c r="P68" s="99"/>
      <c r="Q68" s="99"/>
      <c r="R68" s="99"/>
      <c r="S68" s="100"/>
    </row>
    <row r="69" ht="15.25" spans="14:19">
      <c r="N69" s="101"/>
      <c r="O69" s="102"/>
      <c r="P69" s="102"/>
      <c r="Q69" s="102"/>
      <c r="R69" s="102"/>
      <c r="S69" s="103"/>
    </row>
    <row r="70" ht="15.25"/>
  </sheetData>
  <mergeCells count="69">
    <mergeCell ref="B2:B7"/>
    <mergeCell ref="B46:B47"/>
    <mergeCell ref="C2:C7"/>
    <mergeCell ref="C46:C47"/>
    <mergeCell ref="D4:D7"/>
    <mergeCell ref="D46:D47"/>
    <mergeCell ref="E4:E7"/>
    <mergeCell ref="E46:E47"/>
    <mergeCell ref="F4:F7"/>
    <mergeCell ref="F46:F47"/>
    <mergeCell ref="G4:G7"/>
    <mergeCell ref="G46:G47"/>
    <mergeCell ref="H4:H7"/>
    <mergeCell ref="H46:H47"/>
    <mergeCell ref="I4:I7"/>
    <mergeCell ref="I46:I47"/>
    <mergeCell ref="J4:J7"/>
    <mergeCell ref="J46:J47"/>
    <mergeCell ref="K4:K7"/>
    <mergeCell ref="K46:K47"/>
    <mergeCell ref="L2:L7"/>
    <mergeCell ref="L46:L47"/>
    <mergeCell ref="M2:M7"/>
    <mergeCell ref="M46:M47"/>
    <mergeCell ref="N2:N7"/>
    <mergeCell ref="N46:N47"/>
    <mergeCell ref="O2:O7"/>
    <mergeCell ref="O46:O47"/>
    <mergeCell ref="P2:P7"/>
    <mergeCell ref="P46:P47"/>
    <mergeCell ref="Q2:Q7"/>
    <mergeCell ref="Q46:Q47"/>
    <mergeCell ref="R2:R7"/>
    <mergeCell ref="R46:R47"/>
    <mergeCell ref="S2:S7"/>
    <mergeCell ref="S46:S47"/>
    <mergeCell ref="T2:T7"/>
    <mergeCell ref="T46:T47"/>
    <mergeCell ref="U2:U7"/>
    <mergeCell ref="U46:U47"/>
    <mergeCell ref="V2:V7"/>
    <mergeCell ref="V46:V47"/>
    <mergeCell ref="W2:W7"/>
    <mergeCell ref="W46:W47"/>
    <mergeCell ref="X2:X7"/>
    <mergeCell ref="X46:X47"/>
    <mergeCell ref="Y2:Y7"/>
    <mergeCell ref="Z2:Z7"/>
    <mergeCell ref="AA2:AA7"/>
    <mergeCell ref="D52:E55"/>
    <mergeCell ref="R52:S55"/>
    <mergeCell ref="D56:E59"/>
    <mergeCell ref="R56:S59"/>
    <mergeCell ref="R60:S63"/>
    <mergeCell ref="R64:S67"/>
    <mergeCell ref="N68:S69"/>
    <mergeCell ref="N52:Q55"/>
    <mergeCell ref="N56:Q59"/>
    <mergeCell ref="N60:Q63"/>
    <mergeCell ref="N64:Q67"/>
    <mergeCell ref="A60:E61"/>
    <mergeCell ref="G52:J55"/>
    <mergeCell ref="G56:J59"/>
    <mergeCell ref="K52:L55"/>
    <mergeCell ref="K56:L59"/>
    <mergeCell ref="G60:L61"/>
    <mergeCell ref="A52:C55"/>
    <mergeCell ref="A56:C59"/>
    <mergeCell ref="D2:K3"/>
  </mergeCells>
  <conditionalFormatting sqref="Y8:Y45">
    <cfRule type="containsText" dxfId="7" priority="4" operator="between" text="LOST">
      <formula>NOT(ISERROR(SEARCH("LOST",Y8)))</formula>
    </cfRule>
    <cfRule type="containsText" dxfId="1" priority="5" operator="between" text="STRONG">
      <formula>NOT(ISERROR(SEARCH("STRONG",Y8)))</formula>
    </cfRule>
    <cfRule type="containsText" dxfId="2" priority="6" operator="between" text="MEDIUM">
      <formula>NOT(ISERROR(SEARCH("MEDIUM",Y8)))</formula>
    </cfRule>
    <cfRule type="containsText" dxfId="3" priority="7" operator="between" text="NARROW">
      <formula>NOT(ISERROR(SEARCH("NARROW",Y8)))</formula>
    </cfRule>
  </conditionalFormatting>
  <conditionalFormatting sqref="Z8:Z45">
    <cfRule type="containsText" dxfId="10" priority="1" operator="between" text="STRONG">
      <formula>NOT(ISERROR(SEARCH("STRONG",Z8)))</formula>
    </cfRule>
  </conditionalFormatting>
  <conditionalFormatting sqref="AA8:AA45">
    <cfRule type="containsText" dxfId="7" priority="2" operator="between" text="CONGRESS">
      <formula>NOT(ISERROR(SEARCH("CONGRESS",AA8)))</formula>
    </cfRule>
    <cfRule type="containsText" dxfId="1" priority="3" operator="between" text="BJP">
      <formula>NOT(ISERROR(SEARCH("BJP",AA8)))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77</vt:i4>
      </vt:variant>
    </vt:vector>
  </HeadingPairs>
  <TitlesOfParts>
    <vt:vector size="77" baseType="lpstr">
      <vt:lpstr>BOOTHWISE</vt:lpstr>
      <vt:lpstr>WARD-BOOTH</vt:lpstr>
      <vt:lpstr>ATTAVARA</vt:lpstr>
      <vt:lpstr>ATTAVARA-18</vt:lpstr>
      <vt:lpstr>ALAPE-S</vt:lpstr>
      <vt:lpstr>ALAPE-S18</vt:lpstr>
      <vt:lpstr> ALAPE-N</vt:lpstr>
      <vt:lpstr>ALAPE-N18</vt:lpstr>
      <vt:lpstr>BAJAL</vt:lpstr>
      <vt:lpstr>BAJAL-18</vt:lpstr>
      <vt:lpstr>BEJAI</vt:lpstr>
      <vt:lpstr>BEJAI-18</vt:lpstr>
      <vt:lpstr>BENDUR</vt:lpstr>
      <vt:lpstr>BENDR-18</vt:lpstr>
      <vt:lpstr>BENGRE</vt:lpstr>
      <vt:lpstr>BENGRE-18</vt:lpstr>
      <vt:lpstr>BOLAR</vt:lpstr>
      <vt:lpstr>BOLAR-18</vt:lpstr>
      <vt:lpstr>BOLOOR</vt:lpstr>
      <vt:lpstr>BOLOOR-18</vt:lpstr>
      <vt:lpstr>BUNDER</vt:lpstr>
      <vt:lpstr>BNDER-18</vt:lpstr>
      <vt:lpstr>CENTRAL</vt:lpstr>
      <vt:lpstr>CENTRAL-18</vt:lpstr>
      <vt:lpstr>CONTONMENT</vt:lpstr>
      <vt:lpstr>CONTONMENT-18</vt:lpstr>
      <vt:lpstr>COURT</vt:lpstr>
      <vt:lpstr>CORT-18</vt:lpstr>
      <vt:lpstr>DEREBAIL NAIRTHYA</vt:lpstr>
      <vt:lpstr>DEREBAILNAIRTYHYA18</vt:lpstr>
      <vt:lpstr>DEREBAIL SOUTH</vt:lpstr>
      <vt:lpstr>DEREBAIL SOTH18</vt:lpstr>
      <vt:lpstr>DEREBAIL WEST</vt:lpstr>
      <vt:lpstr>DEREBAIL WEST18</vt:lpstr>
      <vt:lpstr>DONGARAKERI</vt:lpstr>
      <vt:lpstr>DONGARKERI-18</vt:lpstr>
      <vt:lpstr>FALNIR</vt:lpstr>
      <vt:lpstr>FALNIR-18</vt:lpstr>
      <vt:lpstr>HOIGE BAZAR</vt:lpstr>
      <vt:lpstr>HOIGE BAZAR-18</vt:lpstr>
      <vt:lpstr>JEPPINAMOGAR</vt:lpstr>
      <vt:lpstr>JEPPINAMOGAR-18</vt:lpstr>
      <vt:lpstr>JEPPU</vt:lpstr>
      <vt:lpstr>JEPPU-18</vt:lpstr>
      <vt:lpstr>KADRI NORTH</vt:lpstr>
      <vt:lpstr>KADRI-18</vt:lpstr>
      <vt:lpstr>KADRI SOUTH</vt:lpstr>
      <vt:lpstr>KADRI(S)-18</vt:lpstr>
      <vt:lpstr>KAMBALA</vt:lpstr>
      <vt:lpstr>KAMBALA-18</vt:lpstr>
      <vt:lpstr>KANKANADY</vt:lpstr>
      <vt:lpstr>KANKANADY-18</vt:lpstr>
      <vt:lpstr>KANNUR</vt:lpstr>
      <vt:lpstr>KANNUR-18</vt:lpstr>
      <vt:lpstr>KODIALBAIL</vt:lpstr>
      <vt:lpstr>KODIALBAIL-18</vt:lpstr>
      <vt:lpstr>KUDROLI</vt:lpstr>
      <vt:lpstr>KUDROLI-18</vt:lpstr>
      <vt:lpstr>MANNAGUDA</vt:lpstr>
      <vt:lpstr>MANNAGDA-18</vt:lpstr>
      <vt:lpstr>MAROLI</vt:lpstr>
      <vt:lpstr>MAROLI-18</vt:lpstr>
      <vt:lpstr>MILAGRESS</vt:lpstr>
      <vt:lpstr>MILAGRESS-18</vt:lpstr>
      <vt:lpstr>PADAV CENTRAL</vt:lpstr>
      <vt:lpstr>PADAV CENTRAL-18</vt:lpstr>
      <vt:lpstr>PADAV EAST</vt:lpstr>
      <vt:lpstr>PADAV EAST-18</vt:lpstr>
      <vt:lpstr>PADAV WEST</vt:lpstr>
      <vt:lpstr>PADAV WEST-18</vt:lpstr>
      <vt:lpstr>PORT</vt:lpstr>
      <vt:lpstr>PORT-18</vt:lpstr>
      <vt:lpstr>SHIVABAGH</vt:lpstr>
      <vt:lpstr>SHIVABAGH-18</vt:lpstr>
      <vt:lpstr>VALENCIA</vt:lpstr>
      <vt:lpstr>VALENCIA-18</vt:lpstr>
      <vt:lpstr>MAIN 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</cp:lastModifiedBy>
  <dcterms:created xsi:type="dcterms:W3CDTF">2023-05-15T10:49:00Z</dcterms:created>
  <dcterms:modified xsi:type="dcterms:W3CDTF">2024-12-21T05:53:59Z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FDD8C182E2464822B5117367B1333301_12</vt:lpwstr>
  </property>
  <property fmtid="{D5CDD505-2E9C-101B-9397-08002B2CF9AE}" pid="3" name="KSOProductBuildVer">
    <vt:lpwstr>1033-12.2.0.18607</vt:lpwstr>
  </property>
</Properties>
</file>