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30" windowWidth="20055" windowHeight="7680"/>
  </bookViews>
  <sheets>
    <sheet name="2014 BOOTH WISE" sheetId="5" r:id="rId1"/>
    <sheet name="2018 BOOTH WISE" sheetId="6" r:id="rId2"/>
    <sheet name="2014 AND 2018 SATATISTICAL ANLY" sheetId="1" r:id="rId3"/>
    <sheet name="BJP WIN OR LOSS" sheetId="7" r:id="rId4"/>
    <sheet name="BJP" sheetId="3" r:id="rId5"/>
    <sheet name="CONGRESS" sheetId="4" r:id="rId6"/>
  </sheets>
  <definedNames>
    <definedName name="_xlnm._FilterDatabase" localSheetId="2" hidden="1">'2014 AND 2018 SATATISTICAL ANLY'!$A$3:$AB$47</definedName>
    <definedName name="_xlnm._FilterDatabase" localSheetId="1" hidden="1">'2018 BOOTH WISE'!$A$3:$AK$226</definedName>
  </definedNames>
  <calcPr calcId="124519"/>
</workbook>
</file>

<file path=xl/calcChain.xml><?xml version="1.0" encoding="utf-8"?>
<calcChain xmlns="http://schemas.openxmlformats.org/spreadsheetml/2006/main">
  <c r="AA23" i="4"/>
  <c r="AB23" s="1"/>
  <c r="Z23"/>
  <c r="R23"/>
  <c r="M23"/>
  <c r="AA38" i="3"/>
  <c r="AB38" s="1"/>
  <c r="Z38"/>
  <c r="R38"/>
  <c r="M38"/>
  <c r="P29" i="4" l="1"/>
  <c r="K29"/>
  <c r="G29"/>
  <c r="F29"/>
  <c r="P19"/>
  <c r="K19"/>
  <c r="G19"/>
  <c r="F19"/>
  <c r="P11"/>
  <c r="K11"/>
  <c r="G11"/>
  <c r="F11"/>
  <c r="P45" i="3"/>
  <c r="K45"/>
  <c r="G45"/>
  <c r="F45"/>
  <c r="P34"/>
  <c r="K34"/>
  <c r="G34"/>
  <c r="F34"/>
  <c r="P26"/>
  <c r="K26"/>
  <c r="G26"/>
  <c r="F26"/>
  <c r="P9"/>
  <c r="K9"/>
  <c r="G9"/>
  <c r="F9"/>
  <c r="D222" i="5"/>
  <c r="E222"/>
  <c r="F222"/>
  <c r="G222"/>
  <c r="H222"/>
  <c r="I222"/>
  <c r="J222"/>
  <c r="K222"/>
  <c r="L222"/>
  <c r="M222"/>
  <c r="N222"/>
  <c r="O222"/>
  <c r="P222"/>
  <c r="Q222"/>
  <c r="R222"/>
  <c r="S222"/>
  <c r="C222"/>
  <c r="AL229" i="6"/>
  <c r="AL228"/>
  <c r="AL227"/>
  <c r="AL226"/>
  <c r="AL225"/>
  <c r="U221" i="5"/>
  <c r="V221" s="1"/>
  <c r="T221"/>
  <c r="V220"/>
  <c r="U220"/>
  <c r="T220"/>
  <c r="U219"/>
  <c r="V219" s="1"/>
  <c r="T219"/>
  <c r="V218"/>
  <c r="U218"/>
  <c r="T218"/>
  <c r="U217"/>
  <c r="V217" s="1"/>
  <c r="T217"/>
  <c r="V216"/>
  <c r="U216"/>
  <c r="T216"/>
  <c r="U215"/>
  <c r="V215" s="1"/>
  <c r="T215"/>
  <c r="V214"/>
  <c r="U214"/>
  <c r="T214"/>
  <c r="U213"/>
  <c r="V213" s="1"/>
  <c r="T213"/>
  <c r="V212"/>
  <c r="U212"/>
  <c r="T212"/>
  <c r="U211"/>
  <c r="V211" s="1"/>
  <c r="T211"/>
  <c r="V210"/>
  <c r="U210"/>
  <c r="T210"/>
  <c r="U209"/>
  <c r="V209" s="1"/>
  <c r="T209"/>
  <c r="V208"/>
  <c r="U208"/>
  <c r="T208"/>
  <c r="U207"/>
  <c r="V207" s="1"/>
  <c r="T207"/>
  <c r="V206"/>
  <c r="U206"/>
  <c r="T206"/>
  <c r="U205"/>
  <c r="V205" s="1"/>
  <c r="T205"/>
  <c r="V204"/>
  <c r="U204"/>
  <c r="T204"/>
  <c r="U203"/>
  <c r="V203" s="1"/>
  <c r="T203"/>
  <c r="V202"/>
  <c r="U202"/>
  <c r="T202"/>
  <c r="U201"/>
  <c r="V201" s="1"/>
  <c r="T201"/>
  <c r="V200"/>
  <c r="U200"/>
  <c r="T200"/>
  <c r="U199"/>
  <c r="V199" s="1"/>
  <c r="T199"/>
  <c r="V198"/>
  <c r="U198"/>
  <c r="T198"/>
  <c r="U197"/>
  <c r="V197" s="1"/>
  <c r="T197"/>
  <c r="V196"/>
  <c r="U196"/>
  <c r="T196"/>
  <c r="U195"/>
  <c r="V195" s="1"/>
  <c r="T195"/>
  <c r="V194"/>
  <c r="U194"/>
  <c r="T194"/>
  <c r="U193"/>
  <c r="V193" s="1"/>
  <c r="T193"/>
  <c r="V192"/>
  <c r="U192"/>
  <c r="T192"/>
  <c r="U191"/>
  <c r="V191" s="1"/>
  <c r="T191"/>
  <c r="V190"/>
  <c r="U190"/>
  <c r="T190"/>
  <c r="U189"/>
  <c r="V189" s="1"/>
  <c r="T189"/>
  <c r="V188"/>
  <c r="U188"/>
  <c r="T188"/>
  <c r="U187"/>
  <c r="V187" s="1"/>
  <c r="T187"/>
  <c r="V186"/>
  <c r="U186"/>
  <c r="T186"/>
  <c r="U185"/>
  <c r="V185" s="1"/>
  <c r="T185"/>
  <c r="V184"/>
  <c r="U184"/>
  <c r="T184"/>
  <c r="U183"/>
  <c r="V183" s="1"/>
  <c r="T183"/>
  <c r="V182"/>
  <c r="U182"/>
  <c r="T182"/>
  <c r="U181"/>
  <c r="V181" s="1"/>
  <c r="T181"/>
  <c r="V180"/>
  <c r="U180"/>
  <c r="T180"/>
  <c r="U179"/>
  <c r="V179" s="1"/>
  <c r="T179"/>
  <c r="V178"/>
  <c r="U178"/>
  <c r="T178"/>
  <c r="U177"/>
  <c r="V177" s="1"/>
  <c r="T177"/>
  <c r="V176"/>
  <c r="U176"/>
  <c r="T176"/>
  <c r="U175"/>
  <c r="V175" s="1"/>
  <c r="T175"/>
  <c r="V174"/>
  <c r="U174"/>
  <c r="T174"/>
  <c r="U173"/>
  <c r="V173" s="1"/>
  <c r="T173"/>
  <c r="V172"/>
  <c r="U172"/>
  <c r="T172"/>
  <c r="U171"/>
  <c r="V171" s="1"/>
  <c r="T171"/>
  <c r="V170"/>
  <c r="U170"/>
  <c r="T170"/>
  <c r="U169"/>
  <c r="V169" s="1"/>
  <c r="T169"/>
  <c r="V168"/>
  <c r="U168"/>
  <c r="T168"/>
  <c r="U167"/>
  <c r="V167" s="1"/>
  <c r="T167"/>
  <c r="V166"/>
  <c r="U166"/>
  <c r="T166"/>
  <c r="U165"/>
  <c r="V165" s="1"/>
  <c r="T165"/>
  <c r="V164"/>
  <c r="U164"/>
  <c r="T164"/>
  <c r="U163"/>
  <c r="V163" s="1"/>
  <c r="T163"/>
  <c r="V162"/>
  <c r="U162"/>
  <c r="T162"/>
  <c r="U161"/>
  <c r="V161" s="1"/>
  <c r="T161"/>
  <c r="V160"/>
  <c r="U160"/>
  <c r="T160"/>
  <c r="U159"/>
  <c r="V159" s="1"/>
  <c r="T159"/>
  <c r="V158"/>
  <c r="U158"/>
  <c r="T158"/>
  <c r="U157"/>
  <c r="V157" s="1"/>
  <c r="T157"/>
  <c r="V156"/>
  <c r="U156"/>
  <c r="T156"/>
  <c r="U155"/>
  <c r="V155" s="1"/>
  <c r="T155"/>
  <c r="V154"/>
  <c r="U154"/>
  <c r="T154"/>
  <c r="U153"/>
  <c r="V153" s="1"/>
  <c r="T153"/>
  <c r="V152"/>
  <c r="U152"/>
  <c r="T152"/>
  <c r="U151"/>
  <c r="V151" s="1"/>
  <c r="T151"/>
  <c r="V150"/>
  <c r="U150"/>
  <c r="T150"/>
  <c r="U149"/>
  <c r="V149" s="1"/>
  <c r="T149"/>
  <c r="V148"/>
  <c r="U148"/>
  <c r="T148"/>
  <c r="U147"/>
  <c r="V147" s="1"/>
  <c r="T147"/>
  <c r="V146"/>
  <c r="U146"/>
  <c r="T146"/>
  <c r="U145"/>
  <c r="V145" s="1"/>
  <c r="T145"/>
  <c r="V144"/>
  <c r="U144"/>
  <c r="T144"/>
  <c r="U143"/>
  <c r="V143" s="1"/>
  <c r="T143"/>
  <c r="V142"/>
  <c r="U142"/>
  <c r="T142"/>
  <c r="U141"/>
  <c r="V141" s="1"/>
  <c r="T141"/>
  <c r="V140"/>
  <c r="U140"/>
  <c r="T140"/>
  <c r="U139"/>
  <c r="V139" s="1"/>
  <c r="T139"/>
  <c r="V138"/>
  <c r="U138"/>
  <c r="T138"/>
  <c r="U137"/>
  <c r="V137" s="1"/>
  <c r="T137"/>
  <c r="V136"/>
  <c r="U136"/>
  <c r="T136"/>
  <c r="U135"/>
  <c r="V135" s="1"/>
  <c r="T135"/>
  <c r="V134"/>
  <c r="U134"/>
  <c r="T134"/>
  <c r="U133"/>
  <c r="V133" s="1"/>
  <c r="T133"/>
  <c r="V132"/>
  <c r="U132"/>
  <c r="T132"/>
  <c r="U131"/>
  <c r="V131" s="1"/>
  <c r="T131"/>
  <c r="V130"/>
  <c r="U130"/>
  <c r="T130"/>
  <c r="U129"/>
  <c r="V129" s="1"/>
  <c r="T129"/>
  <c r="V128"/>
  <c r="U128"/>
  <c r="T128"/>
  <c r="U127"/>
  <c r="V127" s="1"/>
  <c r="T127"/>
  <c r="V126"/>
  <c r="U126"/>
  <c r="T126"/>
  <c r="U125"/>
  <c r="V125" s="1"/>
  <c r="T125"/>
  <c r="V124"/>
  <c r="U124"/>
  <c r="T124"/>
  <c r="U123"/>
  <c r="V123" s="1"/>
  <c r="T123"/>
  <c r="V122"/>
  <c r="U122"/>
  <c r="T122"/>
  <c r="U121"/>
  <c r="V121" s="1"/>
  <c r="T121"/>
  <c r="V120"/>
  <c r="U120"/>
  <c r="T120"/>
  <c r="U119"/>
  <c r="V119" s="1"/>
  <c r="T119"/>
  <c r="V118"/>
  <c r="U118"/>
  <c r="T118"/>
  <c r="U117"/>
  <c r="V117" s="1"/>
  <c r="T117"/>
  <c r="V116"/>
  <c r="U116"/>
  <c r="T116"/>
  <c r="U115"/>
  <c r="V115" s="1"/>
  <c r="T115"/>
  <c r="V114"/>
  <c r="U114"/>
  <c r="T114"/>
  <c r="U113"/>
  <c r="V113" s="1"/>
  <c r="T113"/>
  <c r="V112"/>
  <c r="U112"/>
  <c r="T112"/>
  <c r="U111"/>
  <c r="V111" s="1"/>
  <c r="T111"/>
  <c r="V110"/>
  <c r="U110"/>
  <c r="T110"/>
  <c r="U109"/>
  <c r="V109" s="1"/>
  <c r="T109"/>
  <c r="V108"/>
  <c r="U108"/>
  <c r="T108"/>
  <c r="U107"/>
  <c r="V107" s="1"/>
  <c r="T107"/>
  <c r="V106"/>
  <c r="U106"/>
  <c r="T106"/>
  <c r="U105"/>
  <c r="V105" s="1"/>
  <c r="T105"/>
  <c r="V104"/>
  <c r="U104"/>
  <c r="T104"/>
  <c r="U103"/>
  <c r="V103" s="1"/>
  <c r="T103"/>
  <c r="V102"/>
  <c r="U102"/>
  <c r="T102"/>
  <c r="U101"/>
  <c r="V101" s="1"/>
  <c r="T101"/>
  <c r="V100"/>
  <c r="U100"/>
  <c r="T100"/>
  <c r="U99"/>
  <c r="V99" s="1"/>
  <c r="T99"/>
  <c r="V98"/>
  <c r="U98"/>
  <c r="T98"/>
  <c r="U97"/>
  <c r="V97" s="1"/>
  <c r="T97"/>
  <c r="V96"/>
  <c r="U96"/>
  <c r="T96"/>
  <c r="U95"/>
  <c r="V95" s="1"/>
  <c r="T95"/>
  <c r="V94"/>
  <c r="U94"/>
  <c r="T94"/>
  <c r="U93"/>
  <c r="V93" s="1"/>
  <c r="T93"/>
  <c r="V92"/>
  <c r="U92"/>
  <c r="T92"/>
  <c r="U91"/>
  <c r="V91" s="1"/>
  <c r="T91"/>
  <c r="V90"/>
  <c r="U90"/>
  <c r="T90"/>
  <c r="U89"/>
  <c r="V89" s="1"/>
  <c r="T89"/>
  <c r="V88"/>
  <c r="U88"/>
  <c r="T88"/>
  <c r="U87"/>
  <c r="V87" s="1"/>
  <c r="T87"/>
  <c r="V86"/>
  <c r="U86"/>
  <c r="T86"/>
  <c r="U85"/>
  <c r="V85" s="1"/>
  <c r="T85"/>
  <c r="V84"/>
  <c r="U84"/>
  <c r="T84"/>
  <c r="U83"/>
  <c r="V83" s="1"/>
  <c r="T83"/>
  <c r="V82"/>
  <c r="U82"/>
  <c r="T82"/>
  <c r="U81"/>
  <c r="V81" s="1"/>
  <c r="T81"/>
  <c r="V80"/>
  <c r="U80"/>
  <c r="T80"/>
  <c r="U79"/>
  <c r="V79" s="1"/>
  <c r="T79"/>
  <c r="V78"/>
  <c r="U78"/>
  <c r="T78"/>
  <c r="U77"/>
  <c r="V77" s="1"/>
  <c r="T77"/>
  <c r="V76"/>
  <c r="U76"/>
  <c r="T76"/>
  <c r="U75"/>
  <c r="V75" s="1"/>
  <c r="T75"/>
  <c r="V74"/>
  <c r="U74"/>
  <c r="T74"/>
  <c r="U73"/>
  <c r="V73" s="1"/>
  <c r="T73"/>
  <c r="V72"/>
  <c r="U72"/>
  <c r="T72"/>
  <c r="U71"/>
  <c r="V71" s="1"/>
  <c r="T71"/>
  <c r="V70"/>
  <c r="U70"/>
  <c r="T70"/>
  <c r="U69"/>
  <c r="V69" s="1"/>
  <c r="T69"/>
  <c r="V68"/>
  <c r="U68"/>
  <c r="T68"/>
  <c r="U67"/>
  <c r="V67" s="1"/>
  <c r="T67"/>
  <c r="V66"/>
  <c r="U66"/>
  <c r="T66"/>
  <c r="U65"/>
  <c r="V65" s="1"/>
  <c r="T65"/>
  <c r="V64"/>
  <c r="U64"/>
  <c r="T64"/>
  <c r="U63"/>
  <c r="V63" s="1"/>
  <c r="T63"/>
  <c r="V62"/>
  <c r="U62"/>
  <c r="T62"/>
  <c r="U61"/>
  <c r="V61" s="1"/>
  <c r="T61"/>
  <c r="V60"/>
  <c r="U60"/>
  <c r="T60"/>
  <c r="U59"/>
  <c r="V59" s="1"/>
  <c r="T59"/>
  <c r="V58"/>
  <c r="U58"/>
  <c r="T58"/>
  <c r="U57"/>
  <c r="V57" s="1"/>
  <c r="T57"/>
  <c r="V56"/>
  <c r="U56"/>
  <c r="T56"/>
  <c r="U55"/>
  <c r="V55" s="1"/>
  <c r="T55"/>
  <c r="V54"/>
  <c r="U54"/>
  <c r="T54"/>
  <c r="U53"/>
  <c r="V53" s="1"/>
  <c r="T53"/>
  <c r="V52"/>
  <c r="U52"/>
  <c r="T52"/>
  <c r="U51"/>
  <c r="V51" s="1"/>
  <c r="T51"/>
  <c r="V50"/>
  <c r="U50"/>
  <c r="T50"/>
  <c r="U49"/>
  <c r="V49" s="1"/>
  <c r="T49"/>
  <c r="V48"/>
  <c r="U48"/>
  <c r="T48"/>
  <c r="U47"/>
  <c r="V47" s="1"/>
  <c r="T47"/>
  <c r="V46"/>
  <c r="U46"/>
  <c r="T46"/>
  <c r="U45"/>
  <c r="V45" s="1"/>
  <c r="T45"/>
  <c r="V44"/>
  <c r="U44"/>
  <c r="T44"/>
  <c r="U43"/>
  <c r="V43" s="1"/>
  <c r="T43"/>
  <c r="V42"/>
  <c r="U42"/>
  <c r="T42"/>
  <c r="U41"/>
  <c r="V41" s="1"/>
  <c r="T41"/>
  <c r="V40"/>
  <c r="U40"/>
  <c r="T40"/>
  <c r="U39"/>
  <c r="V39" s="1"/>
  <c r="T39"/>
  <c r="V38"/>
  <c r="U38"/>
  <c r="T38"/>
  <c r="U37"/>
  <c r="V37" s="1"/>
  <c r="T37"/>
  <c r="V36"/>
  <c r="U36"/>
  <c r="T36"/>
  <c r="U35"/>
  <c r="V35" s="1"/>
  <c r="T35"/>
  <c r="V34"/>
  <c r="U34"/>
  <c r="T34"/>
  <c r="U33"/>
  <c r="V33" s="1"/>
  <c r="T33"/>
  <c r="V32"/>
  <c r="U32"/>
  <c r="T32"/>
  <c r="U31"/>
  <c r="V31" s="1"/>
  <c r="T31"/>
  <c r="V30"/>
  <c r="U30"/>
  <c r="T30"/>
  <c r="U29"/>
  <c r="V29" s="1"/>
  <c r="T29"/>
  <c r="V28"/>
  <c r="U28"/>
  <c r="T28"/>
  <c r="U27"/>
  <c r="V27" s="1"/>
  <c r="T27"/>
  <c r="V26"/>
  <c r="U26"/>
  <c r="T26"/>
  <c r="U25"/>
  <c r="V25" s="1"/>
  <c r="T25"/>
  <c r="V24"/>
  <c r="U24"/>
  <c r="T24"/>
  <c r="U23"/>
  <c r="V23" s="1"/>
  <c r="T23"/>
  <c r="V22"/>
  <c r="U22"/>
  <c r="T22"/>
  <c r="U21"/>
  <c r="V21" s="1"/>
  <c r="T21"/>
  <c r="V20"/>
  <c r="U20"/>
  <c r="T20"/>
  <c r="U19"/>
  <c r="V19" s="1"/>
  <c r="T19"/>
  <c r="V18"/>
  <c r="U18"/>
  <c r="T18"/>
  <c r="U17"/>
  <c r="V17" s="1"/>
  <c r="T17"/>
  <c r="V16"/>
  <c r="U16"/>
  <c r="T16"/>
  <c r="U15"/>
  <c r="V15" s="1"/>
  <c r="T15"/>
  <c r="V14"/>
  <c r="U14"/>
  <c r="T14"/>
  <c r="U13"/>
  <c r="V13" s="1"/>
  <c r="T13"/>
  <c r="V12"/>
  <c r="U12"/>
  <c r="T12"/>
  <c r="U11"/>
  <c r="V11" s="1"/>
  <c r="T11"/>
  <c r="V10"/>
  <c r="U10"/>
  <c r="T10"/>
  <c r="U9"/>
  <c r="V9" s="1"/>
  <c r="T9"/>
  <c r="V8"/>
  <c r="U8"/>
  <c r="T8"/>
  <c r="U7"/>
  <c r="V7" s="1"/>
  <c r="T7"/>
  <c r="V6"/>
  <c r="U6"/>
  <c r="T6"/>
  <c r="U5"/>
  <c r="V5" s="1"/>
  <c r="T5"/>
  <c r="V4"/>
  <c r="U4"/>
  <c r="T4"/>
  <c r="U3"/>
  <c r="V3" s="1"/>
  <c r="T3"/>
  <c r="U223" s="1"/>
  <c r="W224" l="1"/>
  <c r="W225"/>
  <c r="W226"/>
  <c r="W223"/>
  <c r="W227"/>
  <c r="U224"/>
  <c r="J26" i="7" l="1"/>
  <c r="J25" l="1"/>
  <c r="J23"/>
  <c r="J22"/>
  <c r="J24"/>
  <c r="B38"/>
  <c r="B36"/>
  <c r="B35"/>
  <c r="B34"/>
  <c r="B37"/>
  <c r="G42" i="1"/>
  <c r="P42" l="1"/>
  <c r="K42"/>
  <c r="O224" i="6" l="1"/>
  <c r="M224"/>
  <c r="L224"/>
  <c r="J224"/>
  <c r="H224"/>
  <c r="F224"/>
  <c r="D224"/>
  <c r="C224"/>
  <c r="AG223"/>
  <c r="AC223"/>
  <c r="AB223"/>
  <c r="Y223"/>
  <c r="Z223" s="1"/>
  <c r="V223"/>
  <c r="S223"/>
  <c r="T223" s="1"/>
  <c r="N223"/>
  <c r="P223" s="1"/>
  <c r="AD223" s="1"/>
  <c r="K223"/>
  <c r="I223"/>
  <c r="G223"/>
  <c r="E223"/>
  <c r="AG222"/>
  <c r="AC222"/>
  <c r="AB222"/>
  <c r="Y222"/>
  <c r="Z222" s="1"/>
  <c r="V222"/>
  <c r="S222"/>
  <c r="T222" s="1"/>
  <c r="N222"/>
  <c r="R222" s="1"/>
  <c r="K222"/>
  <c r="I222"/>
  <c r="G222"/>
  <c r="E222"/>
  <c r="AG221"/>
  <c r="AC221"/>
  <c r="AB221"/>
  <c r="Y221"/>
  <c r="Z221" s="1"/>
  <c r="V221"/>
  <c r="S221"/>
  <c r="T221" s="1"/>
  <c r="N221"/>
  <c r="R221" s="1"/>
  <c r="AE221" s="1"/>
  <c r="K221"/>
  <c r="I221"/>
  <c r="G221"/>
  <c r="E221"/>
  <c r="AG220"/>
  <c r="AC220"/>
  <c r="AB220"/>
  <c r="Y220"/>
  <c r="Z220" s="1"/>
  <c r="V220"/>
  <c r="S220"/>
  <c r="T220" s="1"/>
  <c r="N220"/>
  <c r="R220" s="1"/>
  <c r="K220"/>
  <c r="I220"/>
  <c r="G220"/>
  <c r="E220"/>
  <c r="AG219"/>
  <c r="AC219"/>
  <c r="AB219"/>
  <c r="Y219"/>
  <c r="Z219" s="1"/>
  <c r="V219"/>
  <c r="S219"/>
  <c r="T219" s="1"/>
  <c r="N219"/>
  <c r="R219" s="1"/>
  <c r="AE219" s="1"/>
  <c r="K219"/>
  <c r="I219"/>
  <c r="G219"/>
  <c r="E219"/>
  <c r="AG218"/>
  <c r="AC218"/>
  <c r="AB218"/>
  <c r="Y218"/>
  <c r="Z218" s="1"/>
  <c r="V218"/>
  <c r="S218"/>
  <c r="T218" s="1"/>
  <c r="N218"/>
  <c r="R218" s="1"/>
  <c r="K218"/>
  <c r="I218"/>
  <c r="G218"/>
  <c r="E218"/>
  <c r="AG217"/>
  <c r="AC217"/>
  <c r="AB217"/>
  <c r="Y217"/>
  <c r="Z217" s="1"/>
  <c r="V217"/>
  <c r="S217"/>
  <c r="T217" s="1"/>
  <c r="N217"/>
  <c r="R217" s="1"/>
  <c r="AE217" s="1"/>
  <c r="K217"/>
  <c r="I217"/>
  <c r="G217"/>
  <c r="E217"/>
  <c r="AG216"/>
  <c r="AA216"/>
  <c r="AC216" s="1"/>
  <c r="W216"/>
  <c r="V216"/>
  <c r="S216"/>
  <c r="T216" s="1"/>
  <c r="N216"/>
  <c r="R216" s="1"/>
  <c r="K216"/>
  <c r="I216"/>
  <c r="G216"/>
  <c r="E216"/>
  <c r="AG215"/>
  <c r="AC215"/>
  <c r="AB215"/>
  <c r="Y215"/>
  <c r="Z215" s="1"/>
  <c r="V215"/>
  <c r="S215"/>
  <c r="T215" s="1"/>
  <c r="N215"/>
  <c r="R215" s="1"/>
  <c r="K215"/>
  <c r="I215"/>
  <c r="G215"/>
  <c r="E215"/>
  <c r="AG214"/>
  <c r="AC214"/>
  <c r="AB214"/>
  <c r="Y214"/>
  <c r="Z214" s="1"/>
  <c r="V214"/>
  <c r="S214"/>
  <c r="T214" s="1"/>
  <c r="N214"/>
  <c r="P214" s="1"/>
  <c r="AD214" s="1"/>
  <c r="K214"/>
  <c r="I214"/>
  <c r="G214"/>
  <c r="E214"/>
  <c r="AG213"/>
  <c r="AC213"/>
  <c r="AB213"/>
  <c r="Y213"/>
  <c r="Z213" s="1"/>
  <c r="V213"/>
  <c r="S213"/>
  <c r="T213" s="1"/>
  <c r="N213"/>
  <c r="R213" s="1"/>
  <c r="K213"/>
  <c r="I213"/>
  <c r="G213"/>
  <c r="E213"/>
  <c r="AG212"/>
  <c r="AC212"/>
  <c r="AB212"/>
  <c r="Y212"/>
  <c r="Z212" s="1"/>
  <c r="V212"/>
  <c r="S212"/>
  <c r="T212" s="1"/>
  <c r="N212"/>
  <c r="P212" s="1"/>
  <c r="AD212" s="1"/>
  <c r="K212"/>
  <c r="I212"/>
  <c r="G212"/>
  <c r="E212"/>
  <c r="AG211"/>
  <c r="AC211"/>
  <c r="AB211"/>
  <c r="Y211"/>
  <c r="Z211" s="1"/>
  <c r="V211"/>
  <c r="S211"/>
  <c r="T211" s="1"/>
  <c r="N211"/>
  <c r="R211" s="1"/>
  <c r="K211"/>
  <c r="I211"/>
  <c r="G211"/>
  <c r="E211"/>
  <c r="AG210"/>
  <c r="AC210"/>
  <c r="AB210"/>
  <c r="Y210"/>
  <c r="Z210" s="1"/>
  <c r="V210"/>
  <c r="S210"/>
  <c r="T210" s="1"/>
  <c r="N210"/>
  <c r="P210" s="1"/>
  <c r="AD210" s="1"/>
  <c r="K210"/>
  <c r="I210"/>
  <c r="G210"/>
  <c r="E210"/>
  <c r="AG209"/>
  <c r="AC209"/>
  <c r="W209"/>
  <c r="Y209" s="1"/>
  <c r="Z209" s="1"/>
  <c r="V209"/>
  <c r="S209"/>
  <c r="T209" s="1"/>
  <c r="N209"/>
  <c r="P209" s="1"/>
  <c r="AD209" s="1"/>
  <c r="K209"/>
  <c r="I209"/>
  <c r="G209"/>
  <c r="E209"/>
  <c r="AJ209" s="1"/>
  <c r="AG208"/>
  <c r="AC208"/>
  <c r="AB208"/>
  <c r="Y208"/>
  <c r="Z208" s="1"/>
  <c r="V208"/>
  <c r="S208"/>
  <c r="T208" s="1"/>
  <c r="N208"/>
  <c r="K208"/>
  <c r="I208"/>
  <c r="G208"/>
  <c r="E208"/>
  <c r="AG207"/>
  <c r="AC207"/>
  <c r="AB207"/>
  <c r="Y207"/>
  <c r="Z207" s="1"/>
  <c r="V207"/>
  <c r="S207"/>
  <c r="T207" s="1"/>
  <c r="N207"/>
  <c r="P207" s="1"/>
  <c r="AD207" s="1"/>
  <c r="K207"/>
  <c r="I207"/>
  <c r="G207"/>
  <c r="E207"/>
  <c r="AG206"/>
  <c r="AC206"/>
  <c r="AB206"/>
  <c r="Y206"/>
  <c r="Z206" s="1"/>
  <c r="V206"/>
  <c r="S206"/>
  <c r="T206" s="1"/>
  <c r="N206"/>
  <c r="K206"/>
  <c r="I206"/>
  <c r="G206"/>
  <c r="E206"/>
  <c r="AG205"/>
  <c r="AA205"/>
  <c r="AB205" s="1"/>
  <c r="W205"/>
  <c r="Y205" s="1"/>
  <c r="Z205" s="1"/>
  <c r="V205"/>
  <c r="S205"/>
  <c r="T205" s="1"/>
  <c r="N205"/>
  <c r="K205"/>
  <c r="I205"/>
  <c r="G205"/>
  <c r="E205"/>
  <c r="AG204"/>
  <c r="AC204"/>
  <c r="AB204"/>
  <c r="Y204"/>
  <c r="Z204" s="1"/>
  <c r="V204"/>
  <c r="S204"/>
  <c r="T204" s="1"/>
  <c r="N204"/>
  <c r="P204" s="1"/>
  <c r="AD204" s="1"/>
  <c r="K204"/>
  <c r="I204"/>
  <c r="G204"/>
  <c r="E204"/>
  <c r="AG203"/>
  <c r="AC203"/>
  <c r="AB203"/>
  <c r="Y203"/>
  <c r="Z203" s="1"/>
  <c r="V203"/>
  <c r="S203"/>
  <c r="T203" s="1"/>
  <c r="N203"/>
  <c r="K203"/>
  <c r="I203"/>
  <c r="G203"/>
  <c r="E203"/>
  <c r="AG202"/>
  <c r="AC202"/>
  <c r="AB202"/>
  <c r="Y202"/>
  <c r="Z202" s="1"/>
  <c r="V202"/>
  <c r="S202"/>
  <c r="T202" s="1"/>
  <c r="N202"/>
  <c r="P202" s="1"/>
  <c r="AD202" s="1"/>
  <c r="K202"/>
  <c r="I202"/>
  <c r="G202"/>
  <c r="E202"/>
  <c r="AG201"/>
  <c r="AC201"/>
  <c r="AB201"/>
  <c r="Y201"/>
  <c r="Z201" s="1"/>
  <c r="V201"/>
  <c r="S201"/>
  <c r="T201" s="1"/>
  <c r="N201"/>
  <c r="K201"/>
  <c r="I201"/>
  <c r="G201"/>
  <c r="E201"/>
  <c r="AG200"/>
  <c r="AC200"/>
  <c r="AB200"/>
  <c r="Y200"/>
  <c r="Z200" s="1"/>
  <c r="V200"/>
  <c r="S200"/>
  <c r="T200" s="1"/>
  <c r="N200"/>
  <c r="P200" s="1"/>
  <c r="AD200" s="1"/>
  <c r="K200"/>
  <c r="I200"/>
  <c r="G200"/>
  <c r="E200"/>
  <c r="AG199"/>
  <c r="AC199"/>
  <c r="AB199"/>
  <c r="Y199"/>
  <c r="Z199" s="1"/>
  <c r="V199"/>
  <c r="S199"/>
  <c r="T199" s="1"/>
  <c r="N199"/>
  <c r="K199"/>
  <c r="I199"/>
  <c r="G199"/>
  <c r="E199"/>
  <c r="AG198"/>
  <c r="AC198"/>
  <c r="AB198"/>
  <c r="Y198"/>
  <c r="Z198" s="1"/>
  <c r="V198"/>
  <c r="S198"/>
  <c r="T198" s="1"/>
  <c r="N198"/>
  <c r="P198" s="1"/>
  <c r="AD198" s="1"/>
  <c r="K198"/>
  <c r="I198"/>
  <c r="G198"/>
  <c r="E198"/>
  <c r="AG197"/>
  <c r="AC197"/>
  <c r="AB197"/>
  <c r="Y197"/>
  <c r="Z197" s="1"/>
  <c r="V197"/>
  <c r="S197"/>
  <c r="T197" s="1"/>
  <c r="N197"/>
  <c r="K197"/>
  <c r="I197"/>
  <c r="G197"/>
  <c r="E197"/>
  <c r="AG196"/>
  <c r="AC196"/>
  <c r="AB196"/>
  <c r="Y196"/>
  <c r="Z196" s="1"/>
  <c r="V196"/>
  <c r="S196"/>
  <c r="T196" s="1"/>
  <c r="N196"/>
  <c r="P196" s="1"/>
  <c r="AD196" s="1"/>
  <c r="K196"/>
  <c r="I196"/>
  <c r="G196"/>
  <c r="E196"/>
  <c r="AG195"/>
  <c r="AA195"/>
  <c r="W195"/>
  <c r="V195"/>
  <c r="S195"/>
  <c r="T195" s="1"/>
  <c r="N195"/>
  <c r="P195" s="1"/>
  <c r="AD195" s="1"/>
  <c r="K195"/>
  <c r="I195"/>
  <c r="G195"/>
  <c r="E195"/>
  <c r="AG194"/>
  <c r="AC194"/>
  <c r="AB194"/>
  <c r="Y194"/>
  <c r="Z194" s="1"/>
  <c r="V194"/>
  <c r="S194"/>
  <c r="T194" s="1"/>
  <c r="N194"/>
  <c r="K194"/>
  <c r="I194"/>
  <c r="G194"/>
  <c r="E194"/>
  <c r="AG193"/>
  <c r="AC193"/>
  <c r="AB193"/>
  <c r="Y193"/>
  <c r="Z193" s="1"/>
  <c r="V193"/>
  <c r="S193"/>
  <c r="T193" s="1"/>
  <c r="N193"/>
  <c r="P193" s="1"/>
  <c r="AD193" s="1"/>
  <c r="K193"/>
  <c r="I193"/>
  <c r="G193"/>
  <c r="E193"/>
  <c r="AG192"/>
  <c r="AA192"/>
  <c r="W192"/>
  <c r="V192"/>
  <c r="S192"/>
  <c r="T192" s="1"/>
  <c r="N192"/>
  <c r="P192" s="1"/>
  <c r="AD192" s="1"/>
  <c r="K192"/>
  <c r="I192"/>
  <c r="G192"/>
  <c r="E192"/>
  <c r="AG191"/>
  <c r="AA191"/>
  <c r="W191"/>
  <c r="Y191" s="1"/>
  <c r="Z191" s="1"/>
  <c r="V191"/>
  <c r="S191"/>
  <c r="T191" s="1"/>
  <c r="N191"/>
  <c r="P191" s="1"/>
  <c r="AD191" s="1"/>
  <c r="K191"/>
  <c r="I191"/>
  <c r="G191"/>
  <c r="E191"/>
  <c r="AG190"/>
  <c r="AC190"/>
  <c r="AB190"/>
  <c r="Y190"/>
  <c r="Z190" s="1"/>
  <c r="V190"/>
  <c r="S190"/>
  <c r="T190" s="1"/>
  <c r="N190"/>
  <c r="K190"/>
  <c r="I190"/>
  <c r="G190"/>
  <c r="E190"/>
  <c r="AG189"/>
  <c r="AA189"/>
  <c r="W189"/>
  <c r="Y189" s="1"/>
  <c r="Z189" s="1"/>
  <c r="V189"/>
  <c r="S189"/>
  <c r="T189" s="1"/>
  <c r="N189"/>
  <c r="K189"/>
  <c r="I189"/>
  <c r="G189"/>
  <c r="E189"/>
  <c r="AG188"/>
  <c r="AA188"/>
  <c r="AB188" s="1"/>
  <c r="Y188"/>
  <c r="Z188" s="1"/>
  <c r="W188"/>
  <c r="V188"/>
  <c r="S188"/>
  <c r="T188" s="1"/>
  <c r="N188"/>
  <c r="K188"/>
  <c r="I188"/>
  <c r="G188"/>
  <c r="E188"/>
  <c r="AG187"/>
  <c r="AA187"/>
  <c r="AB187" s="1"/>
  <c r="W187"/>
  <c r="Y187" s="1"/>
  <c r="Z187" s="1"/>
  <c r="V187"/>
  <c r="S187"/>
  <c r="T187" s="1"/>
  <c r="N187"/>
  <c r="K187"/>
  <c r="I187"/>
  <c r="G187"/>
  <c r="E187"/>
  <c r="AG186"/>
  <c r="AC186"/>
  <c r="AA186"/>
  <c r="W186"/>
  <c r="Y186" s="1"/>
  <c r="Z186" s="1"/>
  <c r="V186"/>
  <c r="S186"/>
  <c r="T186" s="1"/>
  <c r="N186"/>
  <c r="K186"/>
  <c r="I186"/>
  <c r="G186"/>
  <c r="E186"/>
  <c r="AG185"/>
  <c r="AC185"/>
  <c r="AB185"/>
  <c r="Y185"/>
  <c r="Z185" s="1"/>
  <c r="V185"/>
  <c r="S185"/>
  <c r="T185" s="1"/>
  <c r="N185"/>
  <c r="P185" s="1"/>
  <c r="AD185" s="1"/>
  <c r="K185"/>
  <c r="I185"/>
  <c r="G185"/>
  <c r="E185"/>
  <c r="AG184"/>
  <c r="AC184"/>
  <c r="AB184"/>
  <c r="Y184"/>
  <c r="Z184" s="1"/>
  <c r="V184"/>
  <c r="S184"/>
  <c r="T184" s="1"/>
  <c r="N184"/>
  <c r="K184"/>
  <c r="I184"/>
  <c r="G184"/>
  <c r="E184"/>
  <c r="AG183"/>
  <c r="AC183"/>
  <c r="AB183"/>
  <c r="Y183"/>
  <c r="Z183" s="1"/>
  <c r="V183"/>
  <c r="S183"/>
  <c r="T183" s="1"/>
  <c r="N183"/>
  <c r="K183"/>
  <c r="I183"/>
  <c r="G183"/>
  <c r="E183"/>
  <c r="AG182"/>
  <c r="AC182"/>
  <c r="AB182"/>
  <c r="Y182"/>
  <c r="Z182" s="1"/>
  <c r="V182"/>
  <c r="S182"/>
  <c r="T182" s="1"/>
  <c r="N182"/>
  <c r="K182"/>
  <c r="I182"/>
  <c r="G182"/>
  <c r="E182"/>
  <c r="AG181"/>
  <c r="AC181"/>
  <c r="AA181"/>
  <c r="W181"/>
  <c r="Y181" s="1"/>
  <c r="Z181" s="1"/>
  <c r="V181"/>
  <c r="S181"/>
  <c r="T181" s="1"/>
  <c r="N181"/>
  <c r="K181"/>
  <c r="I181"/>
  <c r="G181"/>
  <c r="E181"/>
  <c r="AG180"/>
  <c r="AC180"/>
  <c r="AB180"/>
  <c r="Y180"/>
  <c r="Z180" s="1"/>
  <c r="V180"/>
  <c r="S180"/>
  <c r="T180" s="1"/>
  <c r="N180"/>
  <c r="P180" s="1"/>
  <c r="AD180" s="1"/>
  <c r="K180"/>
  <c r="I180"/>
  <c r="G180"/>
  <c r="E180"/>
  <c r="AG179"/>
  <c r="AC179"/>
  <c r="AB179"/>
  <c r="Y179"/>
  <c r="Z179" s="1"/>
  <c r="V179"/>
  <c r="S179"/>
  <c r="T179" s="1"/>
  <c r="N179"/>
  <c r="K179"/>
  <c r="I179"/>
  <c r="G179"/>
  <c r="E179"/>
  <c r="AG178"/>
  <c r="AC178"/>
  <c r="AB178"/>
  <c r="Y178"/>
  <c r="Z178" s="1"/>
  <c r="V178"/>
  <c r="S178"/>
  <c r="T178" s="1"/>
  <c r="N178"/>
  <c r="P178" s="1"/>
  <c r="AD178" s="1"/>
  <c r="K178"/>
  <c r="I178"/>
  <c r="G178"/>
  <c r="E178"/>
  <c r="AG177"/>
  <c r="AC177"/>
  <c r="AB177"/>
  <c r="Y177"/>
  <c r="Z177" s="1"/>
  <c r="V177"/>
  <c r="S177"/>
  <c r="T177" s="1"/>
  <c r="N177"/>
  <c r="K177"/>
  <c r="I177"/>
  <c r="G177"/>
  <c r="E177"/>
  <c r="AG176"/>
  <c r="AC176"/>
  <c r="AB176"/>
  <c r="Y176"/>
  <c r="Z176" s="1"/>
  <c r="V176"/>
  <c r="S176"/>
  <c r="T176" s="1"/>
  <c r="N176"/>
  <c r="K176"/>
  <c r="I176"/>
  <c r="G176"/>
  <c r="E176"/>
  <c r="AG175"/>
  <c r="AC175"/>
  <c r="AB175"/>
  <c r="Y175"/>
  <c r="Z175" s="1"/>
  <c r="V175"/>
  <c r="S175"/>
  <c r="T175" s="1"/>
  <c r="N175"/>
  <c r="K175"/>
  <c r="I175"/>
  <c r="G175"/>
  <c r="E175"/>
  <c r="AG174"/>
  <c r="AC174"/>
  <c r="AA174"/>
  <c r="W174"/>
  <c r="Y174" s="1"/>
  <c r="Z174" s="1"/>
  <c r="V174"/>
  <c r="S174"/>
  <c r="T174" s="1"/>
  <c r="N174"/>
  <c r="K174"/>
  <c r="I174"/>
  <c r="G174"/>
  <c r="E174"/>
  <c r="AG173"/>
  <c r="AA173"/>
  <c r="W173"/>
  <c r="Y173" s="1"/>
  <c r="Z173" s="1"/>
  <c r="V173"/>
  <c r="S173"/>
  <c r="T173" s="1"/>
  <c r="N173"/>
  <c r="K173"/>
  <c r="I173"/>
  <c r="G173"/>
  <c r="E173"/>
  <c r="AG172"/>
  <c r="AC172"/>
  <c r="AB172"/>
  <c r="Y172"/>
  <c r="Z172" s="1"/>
  <c r="V172"/>
  <c r="S172"/>
  <c r="T172" s="1"/>
  <c r="N172"/>
  <c r="P172" s="1"/>
  <c r="AD172" s="1"/>
  <c r="K172"/>
  <c r="I172"/>
  <c r="G172"/>
  <c r="E172"/>
  <c r="AG171"/>
  <c r="AC171"/>
  <c r="AB171"/>
  <c r="Y171"/>
  <c r="Z171" s="1"/>
  <c r="V171"/>
  <c r="S171"/>
  <c r="T171" s="1"/>
  <c r="N171"/>
  <c r="K171"/>
  <c r="I171"/>
  <c r="G171"/>
  <c r="E171"/>
  <c r="AG170"/>
  <c r="AC170"/>
  <c r="AB170"/>
  <c r="Y170"/>
  <c r="Z170" s="1"/>
  <c r="V170"/>
  <c r="S170"/>
  <c r="T170" s="1"/>
  <c r="N170"/>
  <c r="P170" s="1"/>
  <c r="AD170" s="1"/>
  <c r="K170"/>
  <c r="I170"/>
  <c r="G170"/>
  <c r="E170"/>
  <c r="AG169"/>
  <c r="AA169"/>
  <c r="W169"/>
  <c r="V169"/>
  <c r="S169"/>
  <c r="T169" s="1"/>
  <c r="N169"/>
  <c r="P169" s="1"/>
  <c r="AD169" s="1"/>
  <c r="K169"/>
  <c r="I169"/>
  <c r="G169"/>
  <c r="E169"/>
  <c r="AG168"/>
  <c r="AC168"/>
  <c r="AB168"/>
  <c r="Y168"/>
  <c r="Z168" s="1"/>
  <c r="V168"/>
  <c r="S168"/>
  <c r="T168" s="1"/>
  <c r="N168"/>
  <c r="K168"/>
  <c r="I168"/>
  <c r="G168"/>
  <c r="E168"/>
  <c r="AG167"/>
  <c r="AC167"/>
  <c r="AA167"/>
  <c r="W167"/>
  <c r="Y167" s="1"/>
  <c r="Z167" s="1"/>
  <c r="V167"/>
  <c r="S167"/>
  <c r="T167" s="1"/>
  <c r="N167"/>
  <c r="K167"/>
  <c r="I167"/>
  <c r="G167"/>
  <c r="E167"/>
  <c r="AG166"/>
  <c r="AC166"/>
  <c r="AB166"/>
  <c r="Y166"/>
  <c r="Z166" s="1"/>
  <c r="V166"/>
  <c r="S166"/>
  <c r="T166" s="1"/>
  <c r="N166"/>
  <c r="P166" s="1"/>
  <c r="AD166" s="1"/>
  <c r="K166"/>
  <c r="I166"/>
  <c r="G166"/>
  <c r="E166"/>
  <c r="AG165"/>
  <c r="AC165"/>
  <c r="AB165"/>
  <c r="Y165"/>
  <c r="Z165" s="1"/>
  <c r="V165"/>
  <c r="S165"/>
  <c r="T165" s="1"/>
  <c r="N165"/>
  <c r="P165" s="1"/>
  <c r="AD165" s="1"/>
  <c r="K165"/>
  <c r="I165"/>
  <c r="G165"/>
  <c r="E165"/>
  <c r="AG164"/>
  <c r="AC164"/>
  <c r="AB164"/>
  <c r="Y164"/>
  <c r="Z164" s="1"/>
  <c r="V164"/>
  <c r="S164"/>
  <c r="T164" s="1"/>
  <c r="N164"/>
  <c r="P164" s="1"/>
  <c r="AD164" s="1"/>
  <c r="K164"/>
  <c r="I164"/>
  <c r="G164"/>
  <c r="E164"/>
  <c r="AG163"/>
  <c r="AC163"/>
  <c r="AB163"/>
  <c r="Y163"/>
  <c r="Z163" s="1"/>
  <c r="V163"/>
  <c r="S163"/>
  <c r="T163" s="1"/>
  <c r="N163"/>
  <c r="P163" s="1"/>
  <c r="AD163" s="1"/>
  <c r="K163"/>
  <c r="I163"/>
  <c r="G163"/>
  <c r="E163"/>
  <c r="AG162"/>
  <c r="AC162"/>
  <c r="W162"/>
  <c r="AB162" s="1"/>
  <c r="V162"/>
  <c r="S162"/>
  <c r="T162" s="1"/>
  <c r="N162"/>
  <c r="R162" s="1"/>
  <c r="AE162" s="1"/>
  <c r="K162"/>
  <c r="I162"/>
  <c r="G162"/>
  <c r="E162"/>
  <c r="AG161"/>
  <c r="AA161"/>
  <c r="AB161" s="1"/>
  <c r="W161"/>
  <c r="V161"/>
  <c r="S161"/>
  <c r="T161" s="1"/>
  <c r="N161"/>
  <c r="R161" s="1"/>
  <c r="AE161" s="1"/>
  <c r="K161"/>
  <c r="I161"/>
  <c r="G161"/>
  <c r="E161"/>
  <c r="AG160"/>
  <c r="AC160"/>
  <c r="AB160"/>
  <c r="Y160"/>
  <c r="Z160" s="1"/>
  <c r="V160"/>
  <c r="S160"/>
  <c r="T160" s="1"/>
  <c r="N160"/>
  <c r="R160" s="1"/>
  <c r="X160" s="1"/>
  <c r="AF160" s="1"/>
  <c r="K160"/>
  <c r="I160"/>
  <c r="G160"/>
  <c r="E160"/>
  <c r="AG159"/>
  <c r="AC159"/>
  <c r="AB159"/>
  <c r="Y159"/>
  <c r="Z159" s="1"/>
  <c r="V159"/>
  <c r="S159"/>
  <c r="T159" s="1"/>
  <c r="N159"/>
  <c r="R159" s="1"/>
  <c r="K159"/>
  <c r="I159"/>
  <c r="G159"/>
  <c r="E159"/>
  <c r="AG158"/>
  <c r="AC158"/>
  <c r="AB158"/>
  <c r="Y158"/>
  <c r="Z158" s="1"/>
  <c r="V158"/>
  <c r="S158"/>
  <c r="T158" s="1"/>
  <c r="N158"/>
  <c r="R158" s="1"/>
  <c r="X158" s="1"/>
  <c r="AF158" s="1"/>
  <c r="K158"/>
  <c r="I158"/>
  <c r="G158"/>
  <c r="E158"/>
  <c r="AG157"/>
  <c r="AC157"/>
  <c r="AB157"/>
  <c r="Y157"/>
  <c r="Z157" s="1"/>
  <c r="V157"/>
  <c r="S157"/>
  <c r="T157" s="1"/>
  <c r="N157"/>
  <c r="R157" s="1"/>
  <c r="K157"/>
  <c r="I157"/>
  <c r="G157"/>
  <c r="E157"/>
  <c r="AG156"/>
  <c r="AC156"/>
  <c r="AB156"/>
  <c r="Y156"/>
  <c r="Z156" s="1"/>
  <c r="V156"/>
  <c r="S156"/>
  <c r="T156" s="1"/>
  <c r="N156"/>
  <c r="R156" s="1"/>
  <c r="X156" s="1"/>
  <c r="AF156" s="1"/>
  <c r="K156"/>
  <c r="I156"/>
  <c r="G156"/>
  <c r="E156"/>
  <c r="AG155"/>
  <c r="AC155"/>
  <c r="AB155"/>
  <c r="Y155"/>
  <c r="Z155" s="1"/>
  <c r="V155"/>
  <c r="S155"/>
  <c r="T155" s="1"/>
  <c r="N155"/>
  <c r="R155" s="1"/>
  <c r="K155"/>
  <c r="I155"/>
  <c r="G155"/>
  <c r="E155"/>
  <c r="AG154"/>
  <c r="AB154"/>
  <c r="AA154"/>
  <c r="AC154" s="1"/>
  <c r="W154"/>
  <c r="V154"/>
  <c r="S154"/>
  <c r="T154" s="1"/>
  <c r="N154"/>
  <c r="K154"/>
  <c r="I154"/>
  <c r="G154"/>
  <c r="E154"/>
  <c r="AG153"/>
  <c r="AC153"/>
  <c r="AB153"/>
  <c r="Y153"/>
  <c r="Z153" s="1"/>
  <c r="V153"/>
  <c r="S153"/>
  <c r="T153" s="1"/>
  <c r="N153"/>
  <c r="P153" s="1"/>
  <c r="AD153" s="1"/>
  <c r="K153"/>
  <c r="I153"/>
  <c r="G153"/>
  <c r="E153"/>
  <c r="AG152"/>
  <c r="AC152"/>
  <c r="AB152"/>
  <c r="Y152"/>
  <c r="Z152" s="1"/>
  <c r="V152"/>
  <c r="S152"/>
  <c r="T152" s="1"/>
  <c r="N152"/>
  <c r="R152" s="1"/>
  <c r="K152"/>
  <c r="I152"/>
  <c r="G152"/>
  <c r="E152"/>
  <c r="AG151"/>
  <c r="AB151"/>
  <c r="AA151"/>
  <c r="AC151" s="1"/>
  <c r="W151"/>
  <c r="Y151" s="1"/>
  <c r="Z151" s="1"/>
  <c r="V151"/>
  <c r="S151"/>
  <c r="T151" s="1"/>
  <c r="N151"/>
  <c r="R151" s="1"/>
  <c r="AE151" s="1"/>
  <c r="K151"/>
  <c r="I151"/>
  <c r="G151"/>
  <c r="E151"/>
  <c r="AG150"/>
  <c r="AC150"/>
  <c r="AB150"/>
  <c r="Y150"/>
  <c r="Z150" s="1"/>
  <c r="V150"/>
  <c r="S150"/>
  <c r="T150" s="1"/>
  <c r="N150"/>
  <c r="R150" s="1"/>
  <c r="AE150" s="1"/>
  <c r="K150"/>
  <c r="I150"/>
  <c r="G150"/>
  <c r="E150"/>
  <c r="AG149"/>
  <c r="AC149"/>
  <c r="AB149"/>
  <c r="Y149"/>
  <c r="Z149" s="1"/>
  <c r="V149"/>
  <c r="S149"/>
  <c r="T149" s="1"/>
  <c r="N149"/>
  <c r="R149" s="1"/>
  <c r="X149" s="1"/>
  <c r="AF149" s="1"/>
  <c r="K149"/>
  <c r="I149"/>
  <c r="G149"/>
  <c r="E149"/>
  <c r="AG148"/>
  <c r="AC148"/>
  <c r="AB148"/>
  <c r="Y148"/>
  <c r="Z148" s="1"/>
  <c r="V148"/>
  <c r="S148"/>
  <c r="T148" s="1"/>
  <c r="N148"/>
  <c r="R148" s="1"/>
  <c r="K148"/>
  <c r="I148"/>
  <c r="G148"/>
  <c r="E148"/>
  <c r="AG147"/>
  <c r="AC147"/>
  <c r="AB147"/>
  <c r="Y147"/>
  <c r="Z147" s="1"/>
  <c r="V147"/>
  <c r="S147"/>
  <c r="T147" s="1"/>
  <c r="N147"/>
  <c r="R147" s="1"/>
  <c r="K147"/>
  <c r="I147"/>
  <c r="G147"/>
  <c r="E147"/>
  <c r="AG146"/>
  <c r="AC146"/>
  <c r="AB146"/>
  <c r="Y146"/>
  <c r="Z146" s="1"/>
  <c r="V146"/>
  <c r="S146"/>
  <c r="T146" s="1"/>
  <c r="N146"/>
  <c r="P146" s="1"/>
  <c r="AD146" s="1"/>
  <c r="K146"/>
  <c r="I146"/>
  <c r="G146"/>
  <c r="E146"/>
  <c r="AG145"/>
  <c r="AC145"/>
  <c r="AB145"/>
  <c r="Y145"/>
  <c r="Z145" s="1"/>
  <c r="V145"/>
  <c r="S145"/>
  <c r="T145" s="1"/>
  <c r="N145"/>
  <c r="R145" s="1"/>
  <c r="X145" s="1"/>
  <c r="AF145" s="1"/>
  <c r="K145"/>
  <c r="I145"/>
  <c r="G145"/>
  <c r="E145"/>
  <c r="AG144"/>
  <c r="AC144"/>
  <c r="AA144"/>
  <c r="AB144" s="1"/>
  <c r="Y144"/>
  <c r="Z144" s="1"/>
  <c r="W144"/>
  <c r="V144"/>
  <c r="S144"/>
  <c r="T144" s="1"/>
  <c r="N144"/>
  <c r="K144"/>
  <c r="I144"/>
  <c r="G144"/>
  <c r="E144"/>
  <c r="AG143"/>
  <c r="AC143"/>
  <c r="AB143"/>
  <c r="Y143"/>
  <c r="Z143" s="1"/>
  <c r="V143"/>
  <c r="S143"/>
  <c r="T143" s="1"/>
  <c r="N143"/>
  <c r="R143" s="1"/>
  <c r="AE143" s="1"/>
  <c r="K143"/>
  <c r="I143"/>
  <c r="G143"/>
  <c r="E143"/>
  <c r="AG142"/>
  <c r="AC142"/>
  <c r="AB142"/>
  <c r="Y142"/>
  <c r="Z142" s="1"/>
  <c r="V142"/>
  <c r="S142"/>
  <c r="T142" s="1"/>
  <c r="N142"/>
  <c r="R142" s="1"/>
  <c r="X142" s="1"/>
  <c r="AF142" s="1"/>
  <c r="K142"/>
  <c r="I142"/>
  <c r="G142"/>
  <c r="E142"/>
  <c r="AG141"/>
  <c r="AC141"/>
  <c r="AA141"/>
  <c r="AB141" s="1"/>
  <c r="Y141"/>
  <c r="Z141" s="1"/>
  <c r="W141"/>
  <c r="V141"/>
  <c r="S141"/>
  <c r="T141" s="1"/>
  <c r="N141"/>
  <c r="R141" s="1"/>
  <c r="AE141" s="1"/>
  <c r="K141"/>
  <c r="I141"/>
  <c r="G141"/>
  <c r="E141"/>
  <c r="AG140"/>
  <c r="AC140"/>
  <c r="AB140"/>
  <c r="Y140"/>
  <c r="Z140" s="1"/>
  <c r="V140"/>
  <c r="S140"/>
  <c r="T140" s="1"/>
  <c r="N140"/>
  <c r="R140" s="1"/>
  <c r="K140"/>
  <c r="I140"/>
  <c r="G140"/>
  <c r="E140"/>
  <c r="AG139"/>
  <c r="AC139"/>
  <c r="W139"/>
  <c r="AB139" s="1"/>
  <c r="Q139"/>
  <c r="N139"/>
  <c r="P139" s="1"/>
  <c r="AD139" s="1"/>
  <c r="K139"/>
  <c r="I139"/>
  <c r="G139"/>
  <c r="E139"/>
  <c r="AG138"/>
  <c r="AC138"/>
  <c r="AB138"/>
  <c r="Y138"/>
  <c r="Z138" s="1"/>
  <c r="V138"/>
  <c r="S138"/>
  <c r="T138" s="1"/>
  <c r="N138"/>
  <c r="R138" s="1"/>
  <c r="X138" s="1"/>
  <c r="AF138" s="1"/>
  <c r="K138"/>
  <c r="I138"/>
  <c r="G138"/>
  <c r="E138"/>
  <c r="AG137"/>
  <c r="AA137"/>
  <c r="AC137" s="1"/>
  <c r="W137"/>
  <c r="V137"/>
  <c r="S137"/>
  <c r="T137" s="1"/>
  <c r="N137"/>
  <c r="K137"/>
  <c r="I137"/>
  <c r="G137"/>
  <c r="E137"/>
  <c r="AG136"/>
  <c r="AC136"/>
  <c r="AB136"/>
  <c r="Y136"/>
  <c r="Z136" s="1"/>
  <c r="V136"/>
  <c r="S136"/>
  <c r="T136" s="1"/>
  <c r="N136"/>
  <c r="P136" s="1"/>
  <c r="AD136" s="1"/>
  <c r="K136"/>
  <c r="I136"/>
  <c r="G136"/>
  <c r="E136"/>
  <c r="AG135"/>
  <c r="AC135"/>
  <c r="AB135"/>
  <c r="Y135"/>
  <c r="Z135" s="1"/>
  <c r="V135"/>
  <c r="S135"/>
  <c r="T135" s="1"/>
  <c r="N135"/>
  <c r="R135" s="1"/>
  <c r="X135" s="1"/>
  <c r="AF135" s="1"/>
  <c r="K135"/>
  <c r="I135"/>
  <c r="G135"/>
  <c r="E135"/>
  <c r="AG134"/>
  <c r="AC134"/>
  <c r="AB134"/>
  <c r="Y134"/>
  <c r="Z134" s="1"/>
  <c r="V134"/>
  <c r="S134"/>
  <c r="T134" s="1"/>
  <c r="N134"/>
  <c r="P134" s="1"/>
  <c r="AD134" s="1"/>
  <c r="K134"/>
  <c r="I134"/>
  <c r="G134"/>
  <c r="E134"/>
  <c r="AG133"/>
  <c r="AC133"/>
  <c r="AB133"/>
  <c r="Y133"/>
  <c r="Z133" s="1"/>
  <c r="V133"/>
  <c r="S133"/>
  <c r="T133" s="1"/>
  <c r="N133"/>
  <c r="R133" s="1"/>
  <c r="X133" s="1"/>
  <c r="AF133" s="1"/>
  <c r="K133"/>
  <c r="I133"/>
  <c r="G133"/>
  <c r="E133"/>
  <c r="AG132"/>
  <c r="AC132"/>
  <c r="W132"/>
  <c r="AB132" s="1"/>
  <c r="V132"/>
  <c r="S132"/>
  <c r="T132" s="1"/>
  <c r="N132"/>
  <c r="K132"/>
  <c r="I132"/>
  <c r="G132"/>
  <c r="E132"/>
  <c r="AG131"/>
  <c r="AC131"/>
  <c r="AB131"/>
  <c r="Y131"/>
  <c r="Z131" s="1"/>
  <c r="V131"/>
  <c r="S131"/>
  <c r="T131" s="1"/>
  <c r="N131"/>
  <c r="P131" s="1"/>
  <c r="AD131" s="1"/>
  <c r="K131"/>
  <c r="I131"/>
  <c r="G131"/>
  <c r="E131"/>
  <c r="AG130"/>
  <c r="AC130"/>
  <c r="AB130"/>
  <c r="Y130"/>
  <c r="Z130" s="1"/>
  <c r="V130"/>
  <c r="S130"/>
  <c r="T130" s="1"/>
  <c r="N130"/>
  <c r="K130"/>
  <c r="I130"/>
  <c r="G130"/>
  <c r="E130"/>
  <c r="AG129"/>
  <c r="AC129"/>
  <c r="W129"/>
  <c r="Y129" s="1"/>
  <c r="Z129" s="1"/>
  <c r="V129"/>
  <c r="S129"/>
  <c r="T129" s="1"/>
  <c r="N129"/>
  <c r="P129" s="1"/>
  <c r="AD129" s="1"/>
  <c r="K129"/>
  <c r="I129"/>
  <c r="G129"/>
  <c r="E129"/>
  <c r="AG128"/>
  <c r="AC128"/>
  <c r="AB128"/>
  <c r="Y128"/>
  <c r="Z128" s="1"/>
  <c r="V128"/>
  <c r="S128"/>
  <c r="T128" s="1"/>
  <c r="N128"/>
  <c r="R128" s="1"/>
  <c r="X128" s="1"/>
  <c r="AF128" s="1"/>
  <c r="K128"/>
  <c r="I128"/>
  <c r="G128"/>
  <c r="E128"/>
  <c r="AG127"/>
  <c r="AC127"/>
  <c r="Y127"/>
  <c r="Z127" s="1"/>
  <c r="W127"/>
  <c r="AB127" s="1"/>
  <c r="V127"/>
  <c r="S127"/>
  <c r="T127" s="1"/>
  <c r="N127"/>
  <c r="K127"/>
  <c r="I127"/>
  <c r="G127"/>
  <c r="E127"/>
  <c r="AG126"/>
  <c r="AC126"/>
  <c r="AA126"/>
  <c r="W126"/>
  <c r="Y126" s="1"/>
  <c r="Z126" s="1"/>
  <c r="V126"/>
  <c r="T126"/>
  <c r="N126"/>
  <c r="P126" s="1"/>
  <c r="AD126" s="1"/>
  <c r="K126"/>
  <c r="I126"/>
  <c r="G126"/>
  <c r="E126"/>
  <c r="AG125"/>
  <c r="AC125"/>
  <c r="AB125"/>
  <c r="Y125"/>
  <c r="Z125" s="1"/>
  <c r="V125"/>
  <c r="S125"/>
  <c r="T125" s="1"/>
  <c r="N125"/>
  <c r="R125" s="1"/>
  <c r="K125"/>
  <c r="I125"/>
  <c r="G125"/>
  <c r="E125"/>
  <c r="AG124"/>
  <c r="AC124"/>
  <c r="AB124"/>
  <c r="Y124"/>
  <c r="Z124" s="1"/>
  <c r="V124"/>
  <c r="S124"/>
  <c r="T124" s="1"/>
  <c r="N124"/>
  <c r="P124" s="1"/>
  <c r="AD124" s="1"/>
  <c r="K124"/>
  <c r="I124"/>
  <c r="G124"/>
  <c r="E124"/>
  <c r="AG123"/>
  <c r="AA123"/>
  <c r="AC123" s="1"/>
  <c r="W123"/>
  <c r="V123"/>
  <c r="S123"/>
  <c r="T123" s="1"/>
  <c r="N123"/>
  <c r="P123" s="1"/>
  <c r="AD123" s="1"/>
  <c r="K123"/>
  <c r="I123"/>
  <c r="G123"/>
  <c r="E123"/>
  <c r="AG122"/>
  <c r="AC122"/>
  <c r="AB122"/>
  <c r="Y122"/>
  <c r="Z122" s="1"/>
  <c r="V122"/>
  <c r="S122"/>
  <c r="T122" s="1"/>
  <c r="N122"/>
  <c r="R122" s="1"/>
  <c r="K122"/>
  <c r="I122"/>
  <c r="G122"/>
  <c r="E122"/>
  <c r="AG121"/>
  <c r="AC121"/>
  <c r="AA121"/>
  <c r="W121"/>
  <c r="Y121" s="1"/>
  <c r="Z121" s="1"/>
  <c r="V121"/>
  <c r="S121"/>
  <c r="T121" s="1"/>
  <c r="N121"/>
  <c r="R121" s="1"/>
  <c r="K121"/>
  <c r="I121"/>
  <c r="G121"/>
  <c r="E121"/>
  <c r="AG120"/>
  <c r="AC120"/>
  <c r="AB120"/>
  <c r="Y120"/>
  <c r="Z120" s="1"/>
  <c r="V120"/>
  <c r="S120"/>
  <c r="T120" s="1"/>
  <c r="N120"/>
  <c r="P120" s="1"/>
  <c r="AD120" s="1"/>
  <c r="K120"/>
  <c r="I120"/>
  <c r="G120"/>
  <c r="E120"/>
  <c r="AG119"/>
  <c r="AC119"/>
  <c r="AB119"/>
  <c r="Y119"/>
  <c r="Z119" s="1"/>
  <c r="V119"/>
  <c r="S119"/>
  <c r="T119" s="1"/>
  <c r="N119"/>
  <c r="P119" s="1"/>
  <c r="AD119" s="1"/>
  <c r="K119"/>
  <c r="I119"/>
  <c r="G119"/>
  <c r="E119"/>
  <c r="AG118"/>
  <c r="AC118"/>
  <c r="AB118"/>
  <c r="Y118"/>
  <c r="Z118" s="1"/>
  <c r="V118"/>
  <c r="S118"/>
  <c r="T118" s="1"/>
  <c r="N118"/>
  <c r="P118" s="1"/>
  <c r="AD118" s="1"/>
  <c r="K118"/>
  <c r="I118"/>
  <c r="G118"/>
  <c r="E118"/>
  <c r="AG117"/>
  <c r="AC117"/>
  <c r="W117"/>
  <c r="V117"/>
  <c r="S117"/>
  <c r="T117" s="1"/>
  <c r="N117"/>
  <c r="R117" s="1"/>
  <c r="AE117" s="1"/>
  <c r="K117"/>
  <c r="I117"/>
  <c r="G117"/>
  <c r="E117"/>
  <c r="AG116"/>
  <c r="AC116"/>
  <c r="AB116"/>
  <c r="Y116"/>
  <c r="Z116" s="1"/>
  <c r="V116"/>
  <c r="S116"/>
  <c r="T116" s="1"/>
  <c r="N116"/>
  <c r="R116" s="1"/>
  <c r="X116" s="1"/>
  <c r="AF116" s="1"/>
  <c r="K116"/>
  <c r="I116"/>
  <c r="G116"/>
  <c r="E116"/>
  <c r="AG115"/>
  <c r="AA115"/>
  <c r="V115"/>
  <c r="S115"/>
  <c r="T115" s="1"/>
  <c r="N115"/>
  <c r="K115"/>
  <c r="I115"/>
  <c r="G115"/>
  <c r="E115"/>
  <c r="AG114"/>
  <c r="AC114"/>
  <c r="W114"/>
  <c r="V114"/>
  <c r="S114"/>
  <c r="T114" s="1"/>
  <c r="N114"/>
  <c r="P114" s="1"/>
  <c r="AD114" s="1"/>
  <c r="K114"/>
  <c r="I114"/>
  <c r="G114"/>
  <c r="E114"/>
  <c r="AG113"/>
  <c r="AC113"/>
  <c r="W113"/>
  <c r="V113"/>
  <c r="S113"/>
  <c r="T113" s="1"/>
  <c r="N113"/>
  <c r="P113" s="1"/>
  <c r="AD113" s="1"/>
  <c r="K113"/>
  <c r="I113"/>
  <c r="G113"/>
  <c r="E113"/>
  <c r="AG112"/>
  <c r="AC112"/>
  <c r="W112"/>
  <c r="AB112" s="1"/>
  <c r="V112"/>
  <c r="S112"/>
  <c r="T112" s="1"/>
  <c r="N112"/>
  <c r="R112" s="1"/>
  <c r="AE112" s="1"/>
  <c r="K112"/>
  <c r="I112"/>
  <c r="G112"/>
  <c r="E112"/>
  <c r="AG111"/>
  <c r="AB111"/>
  <c r="Y111"/>
  <c r="Z111" s="1"/>
  <c r="U111"/>
  <c r="AC111" s="1"/>
  <c r="S111"/>
  <c r="T111" s="1"/>
  <c r="Q111"/>
  <c r="V111" s="1"/>
  <c r="N111"/>
  <c r="K111"/>
  <c r="I111"/>
  <c r="G111"/>
  <c r="E111"/>
  <c r="AG110"/>
  <c r="AB110"/>
  <c r="Y110"/>
  <c r="Z110" s="1"/>
  <c r="V110"/>
  <c r="U110"/>
  <c r="AC110" s="1"/>
  <c r="S110"/>
  <c r="T110" s="1"/>
  <c r="Q110"/>
  <c r="N110"/>
  <c r="R110" s="1"/>
  <c r="K110"/>
  <c r="I110"/>
  <c r="G110"/>
  <c r="E110"/>
  <c r="AG109"/>
  <c r="AB109"/>
  <c r="Y109"/>
  <c r="Z109" s="1"/>
  <c r="U109"/>
  <c r="AC109" s="1"/>
  <c r="S109"/>
  <c r="T109" s="1"/>
  <c r="Q109"/>
  <c r="V109" s="1"/>
  <c r="N109"/>
  <c r="K109"/>
  <c r="I109"/>
  <c r="G109"/>
  <c r="E109"/>
  <c r="AG108"/>
  <c r="AC108"/>
  <c r="AB108"/>
  <c r="Y108"/>
  <c r="Z108" s="1"/>
  <c r="U108"/>
  <c r="V108" s="1"/>
  <c r="S108"/>
  <c r="T108" s="1"/>
  <c r="Q108"/>
  <c r="N108"/>
  <c r="R108" s="1"/>
  <c r="K108"/>
  <c r="I108"/>
  <c r="G108"/>
  <c r="E108"/>
  <c r="AG107"/>
  <c r="AB107"/>
  <c r="Y107"/>
  <c r="Z107" s="1"/>
  <c r="U107"/>
  <c r="AC107" s="1"/>
  <c r="Q107"/>
  <c r="V107" s="1"/>
  <c r="N107"/>
  <c r="K107"/>
  <c r="I107"/>
  <c r="G107"/>
  <c r="E107"/>
  <c r="AG106"/>
  <c r="AB106"/>
  <c r="AA106"/>
  <c r="AC106" s="1"/>
  <c r="Y106"/>
  <c r="Z106" s="1"/>
  <c r="W106"/>
  <c r="V106"/>
  <c r="S106"/>
  <c r="T106" s="1"/>
  <c r="N106"/>
  <c r="R106" s="1"/>
  <c r="K106"/>
  <c r="I106"/>
  <c r="G106"/>
  <c r="E106"/>
  <c r="AG105"/>
  <c r="AC105"/>
  <c r="AB105"/>
  <c r="Y105"/>
  <c r="Z105" s="1"/>
  <c r="V105"/>
  <c r="S105"/>
  <c r="T105" s="1"/>
  <c r="N105"/>
  <c r="P105" s="1"/>
  <c r="AD105" s="1"/>
  <c r="K105"/>
  <c r="I105"/>
  <c r="G105"/>
  <c r="E105"/>
  <c r="AG104"/>
  <c r="AC104"/>
  <c r="AB104"/>
  <c r="Y104"/>
  <c r="Z104" s="1"/>
  <c r="V104"/>
  <c r="S104"/>
  <c r="T104" s="1"/>
  <c r="N104"/>
  <c r="K104"/>
  <c r="I104"/>
  <c r="G104"/>
  <c r="E104"/>
  <c r="AG103"/>
  <c r="AC103"/>
  <c r="AB103"/>
  <c r="Y103"/>
  <c r="Z103" s="1"/>
  <c r="V103"/>
  <c r="S103"/>
  <c r="T103" s="1"/>
  <c r="N103"/>
  <c r="R103" s="1"/>
  <c r="AE103" s="1"/>
  <c r="K103"/>
  <c r="I103"/>
  <c r="G103"/>
  <c r="E103"/>
  <c r="AG102"/>
  <c r="AC102"/>
  <c r="AB102"/>
  <c r="Y102"/>
  <c r="Z102" s="1"/>
  <c r="V102"/>
  <c r="S102"/>
  <c r="T102" s="1"/>
  <c r="N102"/>
  <c r="R102" s="1"/>
  <c r="X102" s="1"/>
  <c r="AF102" s="1"/>
  <c r="K102"/>
  <c r="I102"/>
  <c r="G102"/>
  <c r="E102"/>
  <c r="AG101"/>
  <c r="AC101"/>
  <c r="AB101"/>
  <c r="Y101"/>
  <c r="Z101" s="1"/>
  <c r="V101"/>
  <c r="S101"/>
  <c r="T101" s="1"/>
  <c r="N101"/>
  <c r="R101" s="1"/>
  <c r="K101"/>
  <c r="I101"/>
  <c r="G101"/>
  <c r="E101"/>
  <c r="AG100"/>
  <c r="AA100"/>
  <c r="AC100" s="1"/>
  <c r="W100"/>
  <c r="V100"/>
  <c r="S100"/>
  <c r="T100" s="1"/>
  <c r="N100"/>
  <c r="P100" s="1"/>
  <c r="AD100" s="1"/>
  <c r="K100"/>
  <c r="I100"/>
  <c r="G100"/>
  <c r="E100"/>
  <c r="AG99"/>
  <c r="AC99"/>
  <c r="AB99"/>
  <c r="Y99"/>
  <c r="Z99" s="1"/>
  <c r="V99"/>
  <c r="S99"/>
  <c r="T99" s="1"/>
  <c r="N99"/>
  <c r="R99" s="1"/>
  <c r="X99" s="1"/>
  <c r="AF99" s="1"/>
  <c r="K99"/>
  <c r="I99"/>
  <c r="G99"/>
  <c r="E99"/>
  <c r="AG98"/>
  <c r="AC98"/>
  <c r="AB98"/>
  <c r="Y98"/>
  <c r="Z98" s="1"/>
  <c r="V98"/>
  <c r="S98"/>
  <c r="T98" s="1"/>
  <c r="N98"/>
  <c r="R98" s="1"/>
  <c r="AE98" s="1"/>
  <c r="K98"/>
  <c r="I98"/>
  <c r="G98"/>
  <c r="E98"/>
  <c r="AG97"/>
  <c r="AA97"/>
  <c r="AC97" s="1"/>
  <c r="W97"/>
  <c r="Y97" s="1"/>
  <c r="Z97" s="1"/>
  <c r="V97"/>
  <c r="S97"/>
  <c r="T97" s="1"/>
  <c r="N97"/>
  <c r="R97" s="1"/>
  <c r="K97"/>
  <c r="I97"/>
  <c r="G97"/>
  <c r="E97"/>
  <c r="AG96"/>
  <c r="AC96"/>
  <c r="AB96"/>
  <c r="Y96"/>
  <c r="Z96" s="1"/>
  <c r="V96"/>
  <c r="S96"/>
  <c r="T96" s="1"/>
  <c r="N96"/>
  <c r="R96" s="1"/>
  <c r="X96" s="1"/>
  <c r="AF96" s="1"/>
  <c r="K96"/>
  <c r="I96"/>
  <c r="G96"/>
  <c r="E96"/>
  <c r="AG95"/>
  <c r="AC95"/>
  <c r="AB95"/>
  <c r="Y95"/>
  <c r="Z95" s="1"/>
  <c r="V95"/>
  <c r="S95"/>
  <c r="T95" s="1"/>
  <c r="N95"/>
  <c r="R95" s="1"/>
  <c r="AE95" s="1"/>
  <c r="K95"/>
  <c r="I95"/>
  <c r="G95"/>
  <c r="E95"/>
  <c r="AG94"/>
  <c r="AC94"/>
  <c r="AB94"/>
  <c r="Y94"/>
  <c r="Z94" s="1"/>
  <c r="V94"/>
  <c r="S94"/>
  <c r="T94" s="1"/>
  <c r="N94"/>
  <c r="R94" s="1"/>
  <c r="X94" s="1"/>
  <c r="AF94" s="1"/>
  <c r="K94"/>
  <c r="I94"/>
  <c r="G94"/>
  <c r="E94"/>
  <c r="AG93"/>
  <c r="AC93"/>
  <c r="AB93"/>
  <c r="Y93"/>
  <c r="Z93" s="1"/>
  <c r="V93"/>
  <c r="S93"/>
  <c r="T93" s="1"/>
  <c r="N93"/>
  <c r="P93" s="1"/>
  <c r="AD93" s="1"/>
  <c r="K93"/>
  <c r="I93"/>
  <c r="G93"/>
  <c r="E93"/>
  <c r="AG92"/>
  <c r="AC92"/>
  <c r="AB92"/>
  <c r="Y92"/>
  <c r="Z92" s="1"/>
  <c r="V92"/>
  <c r="S92"/>
  <c r="T92" s="1"/>
  <c r="N92"/>
  <c r="R92" s="1"/>
  <c r="K92"/>
  <c r="I92"/>
  <c r="G92"/>
  <c r="E92"/>
  <c r="AG91"/>
  <c r="AC91"/>
  <c r="AB91"/>
  <c r="Y91"/>
  <c r="Z91" s="1"/>
  <c r="V91"/>
  <c r="S91"/>
  <c r="T91" s="1"/>
  <c r="N91"/>
  <c r="R91" s="1"/>
  <c r="K91"/>
  <c r="I91"/>
  <c r="G91"/>
  <c r="E91"/>
  <c r="AG90"/>
  <c r="AC90"/>
  <c r="AB90"/>
  <c r="Y90"/>
  <c r="Z90" s="1"/>
  <c r="V90"/>
  <c r="S90"/>
  <c r="T90" s="1"/>
  <c r="N90"/>
  <c r="R90" s="1"/>
  <c r="X90" s="1"/>
  <c r="AF90" s="1"/>
  <c r="K90"/>
  <c r="I90"/>
  <c r="G90"/>
  <c r="E90"/>
  <c r="AG89"/>
  <c r="AC89"/>
  <c r="AB89"/>
  <c r="Y89"/>
  <c r="Z89" s="1"/>
  <c r="V89"/>
  <c r="S89"/>
  <c r="T89" s="1"/>
  <c r="N89"/>
  <c r="P89" s="1"/>
  <c r="AD89" s="1"/>
  <c r="K89"/>
  <c r="I89"/>
  <c r="G89"/>
  <c r="E89"/>
  <c r="AG88"/>
  <c r="AC88"/>
  <c r="AB88"/>
  <c r="Y88"/>
  <c r="Z88" s="1"/>
  <c r="V88"/>
  <c r="S88"/>
  <c r="T88" s="1"/>
  <c r="N88"/>
  <c r="R88" s="1"/>
  <c r="K88"/>
  <c r="I88"/>
  <c r="G88"/>
  <c r="E88"/>
  <c r="AG87"/>
  <c r="AC87"/>
  <c r="AB87"/>
  <c r="Y87"/>
  <c r="Z87" s="1"/>
  <c r="V87"/>
  <c r="S87"/>
  <c r="T87" s="1"/>
  <c r="N87"/>
  <c r="R87" s="1"/>
  <c r="K87"/>
  <c r="I87"/>
  <c r="G87"/>
  <c r="E87"/>
  <c r="AG86"/>
  <c r="AC86"/>
  <c r="AB86"/>
  <c r="Y86"/>
  <c r="Z86" s="1"/>
  <c r="V86"/>
  <c r="S86"/>
  <c r="T86" s="1"/>
  <c r="N86"/>
  <c r="R86" s="1"/>
  <c r="X86" s="1"/>
  <c r="AF86" s="1"/>
  <c r="K86"/>
  <c r="I86"/>
  <c r="G86"/>
  <c r="E86"/>
  <c r="AG85"/>
  <c r="AC85"/>
  <c r="AB85"/>
  <c r="Y85"/>
  <c r="Z85" s="1"/>
  <c r="V85"/>
  <c r="S85"/>
  <c r="T85" s="1"/>
  <c r="N85"/>
  <c r="P85" s="1"/>
  <c r="AD85" s="1"/>
  <c r="K85"/>
  <c r="I85"/>
  <c r="G85"/>
  <c r="E85"/>
  <c r="AG84"/>
  <c r="AC84"/>
  <c r="AB84"/>
  <c r="Y84"/>
  <c r="Z84" s="1"/>
  <c r="V84"/>
  <c r="S84"/>
  <c r="T84" s="1"/>
  <c r="N84"/>
  <c r="R84" s="1"/>
  <c r="K84"/>
  <c r="I84"/>
  <c r="G84"/>
  <c r="E84"/>
  <c r="AG83"/>
  <c r="AC83"/>
  <c r="AB83"/>
  <c r="Y83"/>
  <c r="Z83" s="1"/>
  <c r="V83"/>
  <c r="S83"/>
  <c r="T83" s="1"/>
  <c r="N83"/>
  <c r="R83" s="1"/>
  <c r="K83"/>
  <c r="I83"/>
  <c r="G83"/>
  <c r="E83"/>
  <c r="AG82"/>
  <c r="AC82"/>
  <c r="AB82"/>
  <c r="Y82"/>
  <c r="Z82" s="1"/>
  <c r="V82"/>
  <c r="S82"/>
  <c r="T82" s="1"/>
  <c r="N82"/>
  <c r="R82" s="1"/>
  <c r="X82" s="1"/>
  <c r="AF82" s="1"/>
  <c r="K82"/>
  <c r="I82"/>
  <c r="G82"/>
  <c r="E82"/>
  <c r="AG81"/>
  <c r="AC81"/>
  <c r="AB81"/>
  <c r="Y81"/>
  <c r="Z81" s="1"/>
  <c r="V81"/>
  <c r="S81"/>
  <c r="T81" s="1"/>
  <c r="N81"/>
  <c r="R81" s="1"/>
  <c r="AE81" s="1"/>
  <c r="K81"/>
  <c r="I81"/>
  <c r="G81"/>
  <c r="E81"/>
  <c r="AG80"/>
  <c r="AC80"/>
  <c r="AB80"/>
  <c r="Y80"/>
  <c r="Z80" s="1"/>
  <c r="V80"/>
  <c r="S80"/>
  <c r="T80" s="1"/>
  <c r="N80"/>
  <c r="R80" s="1"/>
  <c r="K80"/>
  <c r="I80"/>
  <c r="G80"/>
  <c r="E80"/>
  <c r="AG79"/>
  <c r="AC79"/>
  <c r="AB79"/>
  <c r="Y79"/>
  <c r="Z79" s="1"/>
  <c r="V79"/>
  <c r="S79"/>
  <c r="T79" s="1"/>
  <c r="N79"/>
  <c r="R79" s="1"/>
  <c r="K79"/>
  <c r="I79"/>
  <c r="G79"/>
  <c r="E79"/>
  <c r="AG78"/>
  <c r="AC78"/>
  <c r="AB78"/>
  <c r="Y78"/>
  <c r="Z78" s="1"/>
  <c r="V78"/>
  <c r="S78"/>
  <c r="T78" s="1"/>
  <c r="N78"/>
  <c r="R78" s="1"/>
  <c r="X78" s="1"/>
  <c r="AF78" s="1"/>
  <c r="K78"/>
  <c r="I78"/>
  <c r="G78"/>
  <c r="E78"/>
  <c r="AG77"/>
  <c r="AC77"/>
  <c r="AB77"/>
  <c r="Y77"/>
  <c r="Z77" s="1"/>
  <c r="V77"/>
  <c r="S77"/>
  <c r="T77" s="1"/>
  <c r="N77"/>
  <c r="P77" s="1"/>
  <c r="AD77" s="1"/>
  <c r="K77"/>
  <c r="I77"/>
  <c r="G77"/>
  <c r="E77"/>
  <c r="AG76"/>
  <c r="AC76"/>
  <c r="AB76"/>
  <c r="Y76"/>
  <c r="Z76" s="1"/>
  <c r="V76"/>
  <c r="S76"/>
  <c r="T76" s="1"/>
  <c r="N76"/>
  <c r="R76" s="1"/>
  <c r="K76"/>
  <c r="I76"/>
  <c r="G76"/>
  <c r="E76"/>
  <c r="AG75"/>
  <c r="AC75"/>
  <c r="AB75"/>
  <c r="Y75"/>
  <c r="Z75" s="1"/>
  <c r="V75"/>
  <c r="S75"/>
  <c r="T75" s="1"/>
  <c r="N75"/>
  <c r="R75" s="1"/>
  <c r="K75"/>
  <c r="I75"/>
  <c r="G75"/>
  <c r="E75"/>
  <c r="AG74"/>
  <c r="AC74"/>
  <c r="AB74"/>
  <c r="Y74"/>
  <c r="Z74" s="1"/>
  <c r="V74"/>
  <c r="S74"/>
  <c r="T74" s="1"/>
  <c r="N74"/>
  <c r="R74" s="1"/>
  <c r="X74" s="1"/>
  <c r="AF74" s="1"/>
  <c r="K74"/>
  <c r="I74"/>
  <c r="G74"/>
  <c r="E74"/>
  <c r="AG73"/>
  <c r="AB73"/>
  <c r="Y73"/>
  <c r="Z73" s="1"/>
  <c r="U73"/>
  <c r="N73"/>
  <c r="R73" s="1"/>
  <c r="X73" s="1"/>
  <c r="AF73" s="1"/>
  <c r="K73"/>
  <c r="I73"/>
  <c r="G73"/>
  <c r="E73"/>
  <c r="AG72"/>
  <c r="AC72"/>
  <c r="W72"/>
  <c r="AB72" s="1"/>
  <c r="V72"/>
  <c r="S72"/>
  <c r="T72" s="1"/>
  <c r="N72"/>
  <c r="K72"/>
  <c r="I72"/>
  <c r="G72"/>
  <c r="E72"/>
  <c r="AG71"/>
  <c r="AC71"/>
  <c r="AB71"/>
  <c r="Y71"/>
  <c r="Z71" s="1"/>
  <c r="V71"/>
  <c r="S71"/>
  <c r="T71" s="1"/>
  <c r="N71"/>
  <c r="P71" s="1"/>
  <c r="AD71" s="1"/>
  <c r="K71"/>
  <c r="I71"/>
  <c r="G71"/>
  <c r="E71"/>
  <c r="AG70"/>
  <c r="AC70"/>
  <c r="AB70"/>
  <c r="Y70"/>
  <c r="Z70" s="1"/>
  <c r="V70"/>
  <c r="S70"/>
  <c r="T70" s="1"/>
  <c r="N70"/>
  <c r="K70"/>
  <c r="I70"/>
  <c r="G70"/>
  <c r="E70"/>
  <c r="AG69"/>
  <c r="AC69"/>
  <c r="AB69"/>
  <c r="Y69"/>
  <c r="Z69" s="1"/>
  <c r="V69"/>
  <c r="S69"/>
  <c r="T69" s="1"/>
  <c r="N69"/>
  <c r="P69" s="1"/>
  <c r="AD69" s="1"/>
  <c r="K69"/>
  <c r="I69"/>
  <c r="G69"/>
  <c r="E69"/>
  <c r="AG68"/>
  <c r="AC68"/>
  <c r="AB68"/>
  <c r="Y68"/>
  <c r="Z68" s="1"/>
  <c r="V68"/>
  <c r="S68"/>
  <c r="T68" s="1"/>
  <c r="N68"/>
  <c r="K68"/>
  <c r="I68"/>
  <c r="G68"/>
  <c r="E68"/>
  <c r="AG67"/>
  <c r="AC67"/>
  <c r="AB67"/>
  <c r="Y67"/>
  <c r="Z67" s="1"/>
  <c r="V67"/>
  <c r="S67"/>
  <c r="T67" s="1"/>
  <c r="N67"/>
  <c r="R67" s="1"/>
  <c r="AE67" s="1"/>
  <c r="K67"/>
  <c r="I67"/>
  <c r="G67"/>
  <c r="E67"/>
  <c r="AG66"/>
  <c r="AC66"/>
  <c r="AB66"/>
  <c r="Y66"/>
  <c r="Z66" s="1"/>
  <c r="V66"/>
  <c r="S66"/>
  <c r="T66" s="1"/>
  <c r="N66"/>
  <c r="K66"/>
  <c r="I66"/>
  <c r="G66"/>
  <c r="E66"/>
  <c r="AG65"/>
  <c r="AA65"/>
  <c r="Y65" s="1"/>
  <c r="Z65" s="1"/>
  <c r="W65"/>
  <c r="V65"/>
  <c r="S65"/>
  <c r="T65" s="1"/>
  <c r="N65"/>
  <c r="K65"/>
  <c r="I65"/>
  <c r="G65"/>
  <c r="E65"/>
  <c r="AG64"/>
  <c r="AC64"/>
  <c r="W64"/>
  <c r="Y64" s="1"/>
  <c r="Z64" s="1"/>
  <c r="V64"/>
  <c r="S64"/>
  <c r="T64" s="1"/>
  <c r="N64"/>
  <c r="R64" s="1"/>
  <c r="AE64" s="1"/>
  <c r="K64"/>
  <c r="I64"/>
  <c r="G64"/>
  <c r="E64"/>
  <c r="AG63"/>
  <c r="AA63"/>
  <c r="AC63" s="1"/>
  <c r="W63"/>
  <c r="Q63"/>
  <c r="V63" s="1"/>
  <c r="N63"/>
  <c r="P63" s="1"/>
  <c r="AD63" s="1"/>
  <c r="K63"/>
  <c r="I63"/>
  <c r="G63"/>
  <c r="E63"/>
  <c r="AG62"/>
  <c r="AC62"/>
  <c r="AB62"/>
  <c r="Y62"/>
  <c r="Z62" s="1"/>
  <c r="V62"/>
  <c r="S62"/>
  <c r="T62" s="1"/>
  <c r="N62"/>
  <c r="R62" s="1"/>
  <c r="AE62" s="1"/>
  <c r="K62"/>
  <c r="I62"/>
  <c r="G62"/>
  <c r="E62"/>
  <c r="AG61"/>
  <c r="AC61"/>
  <c r="AB61"/>
  <c r="Y61"/>
  <c r="Z61" s="1"/>
  <c r="S61"/>
  <c r="T61" s="1"/>
  <c r="Q61"/>
  <c r="V61" s="1"/>
  <c r="N61"/>
  <c r="P61" s="1"/>
  <c r="AD61" s="1"/>
  <c r="K61"/>
  <c r="I61"/>
  <c r="G61"/>
  <c r="E61"/>
  <c r="AG60"/>
  <c r="AB60"/>
  <c r="Y60"/>
  <c r="Z60" s="1"/>
  <c r="V60"/>
  <c r="U60"/>
  <c r="S60" s="1"/>
  <c r="T60" s="1"/>
  <c r="N60"/>
  <c r="K60"/>
  <c r="I60"/>
  <c r="G60"/>
  <c r="E60"/>
  <c r="AG59"/>
  <c r="AC59"/>
  <c r="AA59"/>
  <c r="Y59"/>
  <c r="Z59" s="1"/>
  <c r="W59"/>
  <c r="AB59" s="1"/>
  <c r="V59"/>
  <c r="S59"/>
  <c r="T59" s="1"/>
  <c r="N59"/>
  <c r="K59"/>
  <c r="I59"/>
  <c r="G59"/>
  <c r="E59"/>
  <c r="AG58"/>
  <c r="AC58"/>
  <c r="AB58"/>
  <c r="Y58"/>
  <c r="Z58" s="1"/>
  <c r="V58"/>
  <c r="S58"/>
  <c r="T58" s="1"/>
  <c r="N58"/>
  <c r="K58"/>
  <c r="I58"/>
  <c r="G58"/>
  <c r="E58"/>
  <c r="AG57"/>
  <c r="AA57"/>
  <c r="W57"/>
  <c r="V57"/>
  <c r="S57"/>
  <c r="T57" s="1"/>
  <c r="N57"/>
  <c r="R57" s="1"/>
  <c r="X57" s="1"/>
  <c r="AF57" s="1"/>
  <c r="K57"/>
  <c r="I57"/>
  <c r="G57"/>
  <c r="E57"/>
  <c r="AG56"/>
  <c r="AA56"/>
  <c r="W56"/>
  <c r="V56"/>
  <c r="S56"/>
  <c r="T56" s="1"/>
  <c r="N56"/>
  <c r="P56" s="1"/>
  <c r="AD56" s="1"/>
  <c r="K56"/>
  <c r="I56"/>
  <c r="G56"/>
  <c r="E56"/>
  <c r="AG55"/>
  <c r="AC55"/>
  <c r="AB55"/>
  <c r="Y55"/>
  <c r="Z55" s="1"/>
  <c r="V55"/>
  <c r="S55"/>
  <c r="T55" s="1"/>
  <c r="N55"/>
  <c r="K55"/>
  <c r="I55"/>
  <c r="G55"/>
  <c r="E55"/>
  <c r="AG54"/>
  <c r="AC54"/>
  <c r="W54"/>
  <c r="Y54" s="1"/>
  <c r="Z54" s="1"/>
  <c r="V54"/>
  <c r="S54"/>
  <c r="T54" s="1"/>
  <c r="N54"/>
  <c r="P54" s="1"/>
  <c r="AD54" s="1"/>
  <c r="K54"/>
  <c r="I54"/>
  <c r="G54"/>
  <c r="E54"/>
  <c r="AG53"/>
  <c r="AC53"/>
  <c r="AB53"/>
  <c r="Y53"/>
  <c r="Z53" s="1"/>
  <c r="V53"/>
  <c r="S53"/>
  <c r="T53" s="1"/>
  <c r="N53"/>
  <c r="R53" s="1"/>
  <c r="X53" s="1"/>
  <c r="AF53" s="1"/>
  <c r="K53"/>
  <c r="I53"/>
  <c r="G53"/>
  <c r="E53"/>
  <c r="AG52"/>
  <c r="AC52"/>
  <c r="AB52"/>
  <c r="Y52"/>
  <c r="Z52" s="1"/>
  <c r="V52"/>
  <c r="S52"/>
  <c r="T52" s="1"/>
  <c r="N52"/>
  <c r="P52" s="1"/>
  <c r="AD52" s="1"/>
  <c r="K52"/>
  <c r="I52"/>
  <c r="G52"/>
  <c r="E52"/>
  <c r="AG51"/>
  <c r="AC51"/>
  <c r="AB51"/>
  <c r="Y51"/>
  <c r="Z51" s="1"/>
  <c r="V51"/>
  <c r="S51"/>
  <c r="T51" s="1"/>
  <c r="N51"/>
  <c r="R51" s="1"/>
  <c r="X51" s="1"/>
  <c r="AF51" s="1"/>
  <c r="K51"/>
  <c r="I51"/>
  <c r="G51"/>
  <c r="E51"/>
  <c r="AG50"/>
  <c r="AC50"/>
  <c r="AB50"/>
  <c r="AA50"/>
  <c r="W50"/>
  <c r="Y50" s="1"/>
  <c r="Z50" s="1"/>
  <c r="V50"/>
  <c r="S50"/>
  <c r="T50" s="1"/>
  <c r="N50"/>
  <c r="R50" s="1"/>
  <c r="K50"/>
  <c r="I50"/>
  <c r="G50"/>
  <c r="E50"/>
  <c r="AG49"/>
  <c r="AC49"/>
  <c r="AB49"/>
  <c r="Y49"/>
  <c r="Z49" s="1"/>
  <c r="V49"/>
  <c r="S49"/>
  <c r="T49" s="1"/>
  <c r="N49"/>
  <c r="P49" s="1"/>
  <c r="AD49" s="1"/>
  <c r="K49"/>
  <c r="I49"/>
  <c r="G49"/>
  <c r="E49"/>
  <c r="AG48"/>
  <c r="AA48"/>
  <c r="AC48" s="1"/>
  <c r="W48"/>
  <c r="Y48" s="1"/>
  <c r="Z48" s="1"/>
  <c r="V48"/>
  <c r="S48"/>
  <c r="T48" s="1"/>
  <c r="N48"/>
  <c r="R48" s="1"/>
  <c r="K48"/>
  <c r="I48"/>
  <c r="G48"/>
  <c r="E48"/>
  <c r="AG47"/>
  <c r="AC47"/>
  <c r="AB47"/>
  <c r="Y47"/>
  <c r="Z47" s="1"/>
  <c r="V47"/>
  <c r="S47"/>
  <c r="T47" s="1"/>
  <c r="N47"/>
  <c r="R47" s="1"/>
  <c r="X47" s="1"/>
  <c r="AF47" s="1"/>
  <c r="K47"/>
  <c r="I47"/>
  <c r="G47"/>
  <c r="E47"/>
  <c r="AG46"/>
  <c r="AC46"/>
  <c r="AB46"/>
  <c r="Y46"/>
  <c r="Z46" s="1"/>
  <c r="V46"/>
  <c r="S46"/>
  <c r="T46" s="1"/>
  <c r="N46"/>
  <c r="R46" s="1"/>
  <c r="AE46" s="1"/>
  <c r="K46"/>
  <c r="I46"/>
  <c r="G46"/>
  <c r="E46"/>
  <c r="AG45"/>
  <c r="AC45"/>
  <c r="AB45"/>
  <c r="Y45"/>
  <c r="Z45" s="1"/>
  <c r="V45"/>
  <c r="S45"/>
  <c r="T45" s="1"/>
  <c r="N45"/>
  <c r="R45" s="1"/>
  <c r="X45" s="1"/>
  <c r="AF45" s="1"/>
  <c r="K45"/>
  <c r="I45"/>
  <c r="G45"/>
  <c r="E45"/>
  <c r="AG44"/>
  <c r="AC44"/>
  <c r="AB44"/>
  <c r="Y44"/>
  <c r="Z44" s="1"/>
  <c r="V44"/>
  <c r="S44"/>
  <c r="T44" s="1"/>
  <c r="N44"/>
  <c r="P44" s="1"/>
  <c r="AD44" s="1"/>
  <c r="K44"/>
  <c r="I44"/>
  <c r="G44"/>
  <c r="E44"/>
  <c r="AG43"/>
  <c r="AC43"/>
  <c r="AB43"/>
  <c r="Y43"/>
  <c r="Z43" s="1"/>
  <c r="V43"/>
  <c r="S43"/>
  <c r="T43" s="1"/>
  <c r="N43"/>
  <c r="R43" s="1"/>
  <c r="X43" s="1"/>
  <c r="AF43" s="1"/>
  <c r="K43"/>
  <c r="I43"/>
  <c r="G43"/>
  <c r="E43"/>
  <c r="AG42"/>
  <c r="AC42"/>
  <c r="AB42"/>
  <c r="Y42"/>
  <c r="Z42" s="1"/>
  <c r="V42"/>
  <c r="S42"/>
  <c r="T42" s="1"/>
  <c r="N42"/>
  <c r="P42" s="1"/>
  <c r="AD42" s="1"/>
  <c r="K42"/>
  <c r="I42"/>
  <c r="G42"/>
  <c r="E42"/>
  <c r="AG41"/>
  <c r="AC41"/>
  <c r="AB41"/>
  <c r="Y41"/>
  <c r="Z41" s="1"/>
  <c r="V41"/>
  <c r="S41"/>
  <c r="T41" s="1"/>
  <c r="N41"/>
  <c r="R41" s="1"/>
  <c r="X41" s="1"/>
  <c r="AF41" s="1"/>
  <c r="K41"/>
  <c r="I41"/>
  <c r="G41"/>
  <c r="E41"/>
  <c r="AG40"/>
  <c r="AC40"/>
  <c r="AB40"/>
  <c r="Y40"/>
  <c r="Z40" s="1"/>
  <c r="V40"/>
  <c r="S40"/>
  <c r="T40" s="1"/>
  <c r="N40"/>
  <c r="R40" s="1"/>
  <c r="K40"/>
  <c r="I40"/>
  <c r="G40"/>
  <c r="E40"/>
  <c r="AG39"/>
  <c r="AC39"/>
  <c r="AB39"/>
  <c r="Y39"/>
  <c r="Z39" s="1"/>
  <c r="V39"/>
  <c r="S39"/>
  <c r="T39" s="1"/>
  <c r="N39"/>
  <c r="R39" s="1"/>
  <c r="X39" s="1"/>
  <c r="AF39" s="1"/>
  <c r="K39"/>
  <c r="I39"/>
  <c r="G39"/>
  <c r="E39"/>
  <c r="AG38"/>
  <c r="AC38"/>
  <c r="AB38"/>
  <c r="Y38"/>
  <c r="Z38" s="1"/>
  <c r="V38"/>
  <c r="S38"/>
  <c r="T38" s="1"/>
  <c r="N38"/>
  <c r="P38" s="1"/>
  <c r="AD38" s="1"/>
  <c r="K38"/>
  <c r="I38"/>
  <c r="G38"/>
  <c r="E38"/>
  <c r="AG37"/>
  <c r="AC37"/>
  <c r="AB37"/>
  <c r="Y37"/>
  <c r="Z37" s="1"/>
  <c r="V37"/>
  <c r="S37"/>
  <c r="T37" s="1"/>
  <c r="N37"/>
  <c r="R37" s="1"/>
  <c r="X37" s="1"/>
  <c r="AF37" s="1"/>
  <c r="K37"/>
  <c r="I37"/>
  <c r="G37"/>
  <c r="E37"/>
  <c r="AG36"/>
  <c r="AC36"/>
  <c r="AB36"/>
  <c r="Y36"/>
  <c r="Z36" s="1"/>
  <c r="V36"/>
  <c r="S36"/>
  <c r="T36" s="1"/>
  <c r="N36"/>
  <c r="P36" s="1"/>
  <c r="AD36" s="1"/>
  <c r="K36"/>
  <c r="I36"/>
  <c r="G36"/>
  <c r="E36"/>
  <c r="AG35"/>
  <c r="AC35"/>
  <c r="AB35"/>
  <c r="Y35"/>
  <c r="Z35" s="1"/>
  <c r="V35"/>
  <c r="S35"/>
  <c r="T35" s="1"/>
  <c r="N35"/>
  <c r="R35" s="1"/>
  <c r="X35" s="1"/>
  <c r="AF35" s="1"/>
  <c r="K35"/>
  <c r="I35"/>
  <c r="G35"/>
  <c r="E35"/>
  <c r="AG34"/>
  <c r="AC34"/>
  <c r="AB34"/>
  <c r="Y34"/>
  <c r="Z34" s="1"/>
  <c r="V34"/>
  <c r="S34"/>
  <c r="T34" s="1"/>
  <c r="N34"/>
  <c r="P34" s="1"/>
  <c r="AD34" s="1"/>
  <c r="K34"/>
  <c r="I34"/>
  <c r="G34"/>
  <c r="E34"/>
  <c r="AG33"/>
  <c r="AC33"/>
  <c r="AB33"/>
  <c r="Y33"/>
  <c r="Z33" s="1"/>
  <c r="V33"/>
  <c r="S33"/>
  <c r="T33" s="1"/>
  <c r="N33"/>
  <c r="R33" s="1"/>
  <c r="X33" s="1"/>
  <c r="AF33" s="1"/>
  <c r="K33"/>
  <c r="I33"/>
  <c r="G33"/>
  <c r="E33"/>
  <c r="AG32"/>
  <c r="AC32"/>
  <c r="AB32"/>
  <c r="Y32"/>
  <c r="Z32" s="1"/>
  <c r="V32"/>
  <c r="S32"/>
  <c r="T32" s="1"/>
  <c r="N32"/>
  <c r="P32" s="1"/>
  <c r="AD32" s="1"/>
  <c r="K32"/>
  <c r="I32"/>
  <c r="G32"/>
  <c r="E32"/>
  <c r="AG31"/>
  <c r="AB31"/>
  <c r="Y31"/>
  <c r="Z31" s="1"/>
  <c r="V31"/>
  <c r="S31"/>
  <c r="T31" s="1"/>
  <c r="N31"/>
  <c r="P31" s="1"/>
  <c r="AD31" s="1"/>
  <c r="K31"/>
  <c r="I31"/>
  <c r="G31"/>
  <c r="E31"/>
  <c r="AG30"/>
  <c r="AC30"/>
  <c r="AB30"/>
  <c r="Y30"/>
  <c r="Z30" s="1"/>
  <c r="V30"/>
  <c r="S30"/>
  <c r="T30" s="1"/>
  <c r="N30"/>
  <c r="P30" s="1"/>
  <c r="AD30" s="1"/>
  <c r="K30"/>
  <c r="I30"/>
  <c r="G30"/>
  <c r="E30"/>
  <c r="AG29"/>
  <c r="AC29"/>
  <c r="AB29"/>
  <c r="Y29"/>
  <c r="Z29" s="1"/>
  <c r="V29"/>
  <c r="S29"/>
  <c r="T29" s="1"/>
  <c r="N29"/>
  <c r="P29" s="1"/>
  <c r="AD29" s="1"/>
  <c r="K29"/>
  <c r="I29"/>
  <c r="G29"/>
  <c r="E29"/>
  <c r="AG28"/>
  <c r="AC28"/>
  <c r="AB28"/>
  <c r="Y28"/>
  <c r="Z28" s="1"/>
  <c r="V28"/>
  <c r="S28"/>
  <c r="T28" s="1"/>
  <c r="N28"/>
  <c r="R28" s="1"/>
  <c r="X28" s="1"/>
  <c r="AF28" s="1"/>
  <c r="K28"/>
  <c r="I28"/>
  <c r="G28"/>
  <c r="E28"/>
  <c r="AG27"/>
  <c r="AA27"/>
  <c r="AB27" s="1"/>
  <c r="V27"/>
  <c r="S27"/>
  <c r="T27" s="1"/>
  <c r="N27"/>
  <c r="P27" s="1"/>
  <c r="AD27" s="1"/>
  <c r="K27"/>
  <c r="I27"/>
  <c r="G27"/>
  <c r="E27"/>
  <c r="AG26"/>
  <c r="AC26"/>
  <c r="AB26"/>
  <c r="Y26"/>
  <c r="Z26" s="1"/>
  <c r="V26"/>
  <c r="S26"/>
  <c r="T26" s="1"/>
  <c r="N26"/>
  <c r="R26" s="1"/>
  <c r="K26"/>
  <c r="I26"/>
  <c r="G26"/>
  <c r="E26"/>
  <c r="AG25"/>
  <c r="AC25"/>
  <c r="AB25"/>
  <c r="Y25"/>
  <c r="Z25" s="1"/>
  <c r="V25"/>
  <c r="S25"/>
  <c r="T25" s="1"/>
  <c r="N25"/>
  <c r="R25" s="1"/>
  <c r="AE25" s="1"/>
  <c r="K25"/>
  <c r="I25"/>
  <c r="G25"/>
  <c r="E25"/>
  <c r="AG24"/>
  <c r="AA24"/>
  <c r="AC24" s="1"/>
  <c r="W24"/>
  <c r="Y24" s="1"/>
  <c r="Z24" s="1"/>
  <c r="V24"/>
  <c r="S24"/>
  <c r="T24" s="1"/>
  <c r="N24"/>
  <c r="P24" s="1"/>
  <c r="AD24" s="1"/>
  <c r="K24"/>
  <c r="I24"/>
  <c r="G24"/>
  <c r="E24"/>
  <c r="AG23"/>
  <c r="AC23"/>
  <c r="AB23"/>
  <c r="Y23"/>
  <c r="Z23" s="1"/>
  <c r="V23"/>
  <c r="S23"/>
  <c r="T23" s="1"/>
  <c r="N23"/>
  <c r="R23" s="1"/>
  <c r="K23"/>
  <c r="I23"/>
  <c r="G23"/>
  <c r="E23"/>
  <c r="AG22"/>
  <c r="AC22"/>
  <c r="AA22"/>
  <c r="W22"/>
  <c r="Y22" s="1"/>
  <c r="Z22" s="1"/>
  <c r="V22"/>
  <c r="S22"/>
  <c r="T22" s="1"/>
  <c r="N22"/>
  <c r="R22" s="1"/>
  <c r="K22"/>
  <c r="I22"/>
  <c r="G22"/>
  <c r="E22"/>
  <c r="AG21"/>
  <c r="AA21"/>
  <c r="AB21" s="1"/>
  <c r="W21"/>
  <c r="V21"/>
  <c r="S21"/>
  <c r="T21" s="1"/>
  <c r="N21"/>
  <c r="R21" s="1"/>
  <c r="K21"/>
  <c r="I21"/>
  <c r="G21"/>
  <c r="E21"/>
  <c r="AG20"/>
  <c r="AC20"/>
  <c r="AB20"/>
  <c r="Y20"/>
  <c r="Z20" s="1"/>
  <c r="V20"/>
  <c r="S20"/>
  <c r="T20" s="1"/>
  <c r="N20"/>
  <c r="P20" s="1"/>
  <c r="AD20" s="1"/>
  <c r="K20"/>
  <c r="I20"/>
  <c r="G20"/>
  <c r="E20"/>
  <c r="AG19"/>
  <c r="AC19"/>
  <c r="AB19"/>
  <c r="Y19"/>
  <c r="Z19" s="1"/>
  <c r="V19"/>
  <c r="S19"/>
  <c r="T19" s="1"/>
  <c r="N19"/>
  <c r="R19" s="1"/>
  <c r="K19"/>
  <c r="I19"/>
  <c r="G19"/>
  <c r="E19"/>
  <c r="AG18"/>
  <c r="AC18"/>
  <c r="AB18"/>
  <c r="Y18"/>
  <c r="Z18" s="1"/>
  <c r="V18"/>
  <c r="S18"/>
  <c r="T18" s="1"/>
  <c r="N18"/>
  <c r="R18" s="1"/>
  <c r="AE18" s="1"/>
  <c r="K18"/>
  <c r="I18"/>
  <c r="G18"/>
  <c r="E18"/>
  <c r="AG17"/>
  <c r="AC17"/>
  <c r="AB17"/>
  <c r="Y17"/>
  <c r="Z17" s="1"/>
  <c r="V17"/>
  <c r="S17"/>
  <c r="T17" s="1"/>
  <c r="N17"/>
  <c r="R17" s="1"/>
  <c r="K17"/>
  <c r="I17"/>
  <c r="G17"/>
  <c r="E17"/>
  <c r="AG16"/>
  <c r="AC16"/>
  <c r="AB16"/>
  <c r="Y16"/>
  <c r="Z16" s="1"/>
  <c r="V16"/>
  <c r="S16"/>
  <c r="T16" s="1"/>
  <c r="N16"/>
  <c r="P16" s="1"/>
  <c r="AD16" s="1"/>
  <c r="K16"/>
  <c r="I16"/>
  <c r="G16"/>
  <c r="E16"/>
  <c r="AG15"/>
  <c r="AC15"/>
  <c r="AB15"/>
  <c r="Y15"/>
  <c r="Z15" s="1"/>
  <c r="V15"/>
  <c r="S15"/>
  <c r="T15" s="1"/>
  <c r="N15"/>
  <c r="R15" s="1"/>
  <c r="K15"/>
  <c r="I15"/>
  <c r="G15"/>
  <c r="E15"/>
  <c r="AG14"/>
  <c r="AC14"/>
  <c r="AB14"/>
  <c r="Y14"/>
  <c r="Z14" s="1"/>
  <c r="V14"/>
  <c r="S14"/>
  <c r="T14" s="1"/>
  <c r="N14"/>
  <c r="R14" s="1"/>
  <c r="AE14" s="1"/>
  <c r="K14"/>
  <c r="I14"/>
  <c r="G14"/>
  <c r="E14"/>
  <c r="AG13"/>
  <c r="AC13"/>
  <c r="AB13"/>
  <c r="Y13"/>
  <c r="Z13" s="1"/>
  <c r="V13"/>
  <c r="S13"/>
  <c r="T13" s="1"/>
  <c r="N13"/>
  <c r="R13" s="1"/>
  <c r="K13"/>
  <c r="I13"/>
  <c r="G13"/>
  <c r="E13"/>
  <c r="AG12"/>
  <c r="AC12"/>
  <c r="AB12"/>
  <c r="Y12"/>
  <c r="Z12" s="1"/>
  <c r="V12"/>
  <c r="S12"/>
  <c r="T12" s="1"/>
  <c r="N12"/>
  <c r="R12" s="1"/>
  <c r="AE12" s="1"/>
  <c r="K12"/>
  <c r="I12"/>
  <c r="G12"/>
  <c r="E12"/>
  <c r="AG11"/>
  <c r="AC11"/>
  <c r="AB11"/>
  <c r="Y11"/>
  <c r="Z11" s="1"/>
  <c r="V11"/>
  <c r="S11"/>
  <c r="T11" s="1"/>
  <c r="N11"/>
  <c r="R11" s="1"/>
  <c r="K11"/>
  <c r="I11"/>
  <c r="G11"/>
  <c r="E11"/>
  <c r="AG10"/>
  <c r="AC10"/>
  <c r="AB10"/>
  <c r="Y10"/>
  <c r="Z10" s="1"/>
  <c r="V10"/>
  <c r="S10"/>
  <c r="T10" s="1"/>
  <c r="N10"/>
  <c r="P10" s="1"/>
  <c r="AD10" s="1"/>
  <c r="K10"/>
  <c r="I10"/>
  <c r="G10"/>
  <c r="E10"/>
  <c r="AG9"/>
  <c r="AC9"/>
  <c r="AB9"/>
  <c r="Y9"/>
  <c r="Z9" s="1"/>
  <c r="V9"/>
  <c r="S9"/>
  <c r="T9" s="1"/>
  <c r="N9"/>
  <c r="P9" s="1"/>
  <c r="AD9" s="1"/>
  <c r="K9"/>
  <c r="I9"/>
  <c r="G9"/>
  <c r="E9"/>
  <c r="AG8"/>
  <c r="AC8"/>
  <c r="W8"/>
  <c r="AB8" s="1"/>
  <c r="V8"/>
  <c r="S8"/>
  <c r="T8" s="1"/>
  <c r="N8"/>
  <c r="P8" s="1"/>
  <c r="AD8" s="1"/>
  <c r="K8"/>
  <c r="I8"/>
  <c r="G8"/>
  <c r="E8"/>
  <c r="AG7"/>
  <c r="AA7"/>
  <c r="AB7" s="1"/>
  <c r="Q7"/>
  <c r="Q224" s="1"/>
  <c r="N7"/>
  <c r="P7" s="1"/>
  <c r="AD7" s="1"/>
  <c r="K7"/>
  <c r="I7"/>
  <c r="G7"/>
  <c r="E7"/>
  <c r="AG6"/>
  <c r="AC6"/>
  <c r="AB6"/>
  <c r="Y6"/>
  <c r="Z6" s="1"/>
  <c r="V6"/>
  <c r="S6"/>
  <c r="T6" s="1"/>
  <c r="N6"/>
  <c r="P6" s="1"/>
  <c r="AD6" s="1"/>
  <c r="K6"/>
  <c r="I6"/>
  <c r="G6"/>
  <c r="E6"/>
  <c r="AG5"/>
  <c r="AC5"/>
  <c r="AB5"/>
  <c r="Y5"/>
  <c r="Z5" s="1"/>
  <c r="V5"/>
  <c r="S5"/>
  <c r="T5" s="1"/>
  <c r="N5"/>
  <c r="P5" s="1"/>
  <c r="AD5" s="1"/>
  <c r="K5"/>
  <c r="I5"/>
  <c r="G5"/>
  <c r="E5"/>
  <c r="AG4"/>
  <c r="AA4"/>
  <c r="AA224" s="1"/>
  <c r="W4"/>
  <c r="W224" s="1"/>
  <c r="V4"/>
  <c r="S4"/>
  <c r="T4" s="1"/>
  <c r="N4"/>
  <c r="P4" s="1"/>
  <c r="AD4" s="1"/>
  <c r="K4"/>
  <c r="I4"/>
  <c r="G4"/>
  <c r="E4"/>
  <c r="AI4" l="1"/>
  <c r="AK4" s="1"/>
  <c r="AI19"/>
  <c r="AK19" s="1"/>
  <c r="AJ137"/>
  <c r="AI74"/>
  <c r="AK74" s="1"/>
  <c r="AH101"/>
  <c r="AH106"/>
  <c r="AJ111"/>
  <c r="AI129"/>
  <c r="AK129" s="1"/>
  <c r="AH140"/>
  <c r="AE145"/>
  <c r="AE51"/>
  <c r="AI61"/>
  <c r="AK61" s="1"/>
  <c r="AJ62"/>
  <c r="P62"/>
  <c r="AD62" s="1"/>
  <c r="AH76"/>
  <c r="AH108"/>
  <c r="R146"/>
  <c r="AJ168"/>
  <c r="R52"/>
  <c r="AE52" s="1"/>
  <c r="R77"/>
  <c r="AE77" s="1"/>
  <c r="AJ78"/>
  <c r="P78"/>
  <c r="AD78" s="1"/>
  <c r="R89"/>
  <c r="AE89" s="1"/>
  <c r="AH153"/>
  <c r="AH163"/>
  <c r="AH210"/>
  <c r="AH214"/>
  <c r="R24"/>
  <c r="AE24" s="1"/>
  <c r="AI29"/>
  <c r="AK29" s="1"/>
  <c r="P81"/>
  <c r="AD81" s="1"/>
  <c r="AJ86"/>
  <c r="P86"/>
  <c r="AD86" s="1"/>
  <c r="AH88"/>
  <c r="AJ138"/>
  <c r="AH141"/>
  <c r="AJ149"/>
  <c r="AJ162"/>
  <c r="AJ169"/>
  <c r="AI172"/>
  <c r="AK172" s="1"/>
  <c r="R180"/>
  <c r="AE180" s="1"/>
  <c r="AH202"/>
  <c r="AJ208"/>
  <c r="AJ14"/>
  <c r="P14"/>
  <c r="AD14" s="1"/>
  <c r="AJ31"/>
  <c r="AI42"/>
  <c r="AK42" s="1"/>
  <c r="AJ52"/>
  <c r="AI53"/>
  <c r="AK53" s="1"/>
  <c r="P101"/>
  <c r="AD101" s="1"/>
  <c r="AI102"/>
  <c r="AK102" s="1"/>
  <c r="AH127"/>
  <c r="AH144"/>
  <c r="AJ146"/>
  <c r="AI152"/>
  <c r="AK152" s="1"/>
  <c r="P152"/>
  <c r="AD152" s="1"/>
  <c r="P161"/>
  <c r="AD161" s="1"/>
  <c r="AJ192"/>
  <c r="AJ195"/>
  <c r="R214"/>
  <c r="AE214" s="1"/>
  <c r="AJ218"/>
  <c r="P218"/>
  <c r="AD218" s="1"/>
  <c r="AJ219"/>
  <c r="P219"/>
  <c r="AD219" s="1"/>
  <c r="AH23"/>
  <c r="AH80"/>
  <c r="AH92"/>
  <c r="AI22"/>
  <c r="AK22" s="1"/>
  <c r="R131"/>
  <c r="AE131" s="1"/>
  <c r="AJ85"/>
  <c r="AJ106"/>
  <c r="AJ119"/>
  <c r="AJ120"/>
  <c r="AJ121"/>
  <c r="AH20"/>
  <c r="AH38"/>
  <c r="AH42"/>
  <c r="AJ51"/>
  <c r="P51"/>
  <c r="AD51" s="1"/>
  <c r="AJ54"/>
  <c r="AI89"/>
  <c r="AK89" s="1"/>
  <c r="AH89"/>
  <c r="AH129"/>
  <c r="R166"/>
  <c r="AE166" s="1"/>
  <c r="AH174"/>
  <c r="AJ177"/>
  <c r="AJ182"/>
  <c r="AI183"/>
  <c r="AK183" s="1"/>
  <c r="AH185"/>
  <c r="AH43"/>
  <c r="R93"/>
  <c r="AE93" s="1"/>
  <c r="AJ94"/>
  <c r="P94"/>
  <c r="AD94" s="1"/>
  <c r="P96"/>
  <c r="AD96" s="1"/>
  <c r="AI110"/>
  <c r="AK110" s="1"/>
  <c r="P110"/>
  <c r="AD110" s="1"/>
  <c r="AH124"/>
  <c r="AH134"/>
  <c r="AH148"/>
  <c r="R185"/>
  <c r="AE185" s="1"/>
  <c r="R10"/>
  <c r="AE10" s="1"/>
  <c r="AJ18"/>
  <c r="P18"/>
  <c r="AD18" s="1"/>
  <c r="R30"/>
  <c r="X30" s="1"/>
  <c r="AF30" s="1"/>
  <c r="AI35"/>
  <c r="AK35" s="1"/>
  <c r="P35"/>
  <c r="AD35" s="1"/>
  <c r="AJ48"/>
  <c r="P48"/>
  <c r="AD48" s="1"/>
  <c r="AI64"/>
  <c r="AK64" s="1"/>
  <c r="P64"/>
  <c r="AD64" s="1"/>
  <c r="AH65"/>
  <c r="R100"/>
  <c r="AE100" s="1"/>
  <c r="AI118"/>
  <c r="AK118" s="1"/>
  <c r="R118"/>
  <c r="X118" s="1"/>
  <c r="AF118" s="1"/>
  <c r="AI122"/>
  <c r="AK122" s="1"/>
  <c r="AH122"/>
  <c r="AJ139"/>
  <c r="AI156"/>
  <c r="AK156" s="1"/>
  <c r="P156"/>
  <c r="AD156" s="1"/>
  <c r="AI157"/>
  <c r="AK157" s="1"/>
  <c r="P157"/>
  <c r="AD157" s="1"/>
  <c r="AJ158"/>
  <c r="P158"/>
  <c r="AD158" s="1"/>
  <c r="AH209"/>
  <c r="AI38"/>
  <c r="AK38" s="1"/>
  <c r="AH39"/>
  <c r="AI44"/>
  <c r="AK44" s="1"/>
  <c r="AH85"/>
  <c r="R113"/>
  <c r="R114"/>
  <c r="AE114" s="1"/>
  <c r="AJ134"/>
  <c r="AH135"/>
  <c r="AJ163"/>
  <c r="AH175"/>
  <c r="AJ179"/>
  <c r="AI213"/>
  <c r="AK213" s="1"/>
  <c r="AI217"/>
  <c r="AK217" s="1"/>
  <c r="AI5"/>
  <c r="AK5" s="1"/>
  <c r="R8"/>
  <c r="X8" s="1"/>
  <c r="AF8" s="1"/>
  <c r="AI12"/>
  <c r="AK12" s="1"/>
  <c r="AI13"/>
  <c r="AK13" s="1"/>
  <c r="AJ37"/>
  <c r="AI8"/>
  <c r="AK8" s="1"/>
  <c r="AH10"/>
  <c r="AI15"/>
  <c r="AK15" s="1"/>
  <c r="AH16"/>
  <c r="AJ28"/>
  <c r="P28"/>
  <c r="AD28" s="1"/>
  <c r="AI40"/>
  <c r="AK40" s="1"/>
  <c r="P40"/>
  <c r="AD40" s="1"/>
  <c r="AI57"/>
  <c r="AK57" s="1"/>
  <c r="P57"/>
  <c r="AD57" s="1"/>
  <c r="AI71"/>
  <c r="AK71" s="1"/>
  <c r="AJ77"/>
  <c r="AI82"/>
  <c r="AK82" s="1"/>
  <c r="AJ93"/>
  <c r="AI99"/>
  <c r="AK99" s="1"/>
  <c r="AH109"/>
  <c r="AH110"/>
  <c r="AH111"/>
  <c r="AJ113"/>
  <c r="AJ114"/>
  <c r="AJ117"/>
  <c r="P117"/>
  <c r="AD117" s="1"/>
  <c r="AI145"/>
  <c r="AK145" s="1"/>
  <c r="AJ148"/>
  <c r="AJ154"/>
  <c r="AH155"/>
  <c r="AH156"/>
  <c r="AH183"/>
  <c r="AJ190"/>
  <c r="AI191"/>
  <c r="AK191" s="1"/>
  <c r="R191"/>
  <c r="X191" s="1"/>
  <c r="AF191" s="1"/>
  <c r="AI198"/>
  <c r="AK198" s="1"/>
  <c r="AI200"/>
  <c r="AK200" s="1"/>
  <c r="AI202"/>
  <c r="AK202" s="1"/>
  <c r="AI203"/>
  <c r="AK203" s="1"/>
  <c r="AI210"/>
  <c r="AK210" s="1"/>
  <c r="AI215"/>
  <c r="AK215" s="1"/>
  <c r="AJ216"/>
  <c r="AE74"/>
  <c r="AE90"/>
  <c r="AH128"/>
  <c r="AH170"/>
  <c r="AH193"/>
  <c r="AI7"/>
  <c r="AK7" s="1"/>
  <c r="AJ8"/>
  <c r="AI9"/>
  <c r="AK9" s="1"/>
  <c r="AJ10"/>
  <c r="AI11"/>
  <c r="AK11" s="1"/>
  <c r="AH12"/>
  <c r="AH13"/>
  <c r="AH17"/>
  <c r="AJ21"/>
  <c r="AI24"/>
  <c r="AK24" s="1"/>
  <c r="AJ25"/>
  <c r="P25"/>
  <c r="AD25" s="1"/>
  <c r="R27"/>
  <c r="AH30"/>
  <c r="R38"/>
  <c r="AE38" s="1"/>
  <c r="AI39"/>
  <c r="AK39" s="1"/>
  <c r="P39"/>
  <c r="AD39" s="1"/>
  <c r="AH40"/>
  <c r="AI41"/>
  <c r="AK41" s="1"/>
  <c r="AJ41"/>
  <c r="AH49"/>
  <c r="R63"/>
  <c r="AJ64"/>
  <c r="AI73"/>
  <c r="AK73" s="1"/>
  <c r="AH77"/>
  <c r="AI78"/>
  <c r="AK78" s="1"/>
  <c r="AE78"/>
  <c r="AJ82"/>
  <c r="P82"/>
  <c r="AD82" s="1"/>
  <c r="AH86"/>
  <c r="AJ89"/>
  <c r="AI93"/>
  <c r="AK93" s="1"/>
  <c r="AH93"/>
  <c r="AI94"/>
  <c r="AK94" s="1"/>
  <c r="AE94"/>
  <c r="AH95"/>
  <c r="P97"/>
  <c r="AD97" s="1"/>
  <c r="AJ100"/>
  <c r="AJ101"/>
  <c r="AJ102"/>
  <c r="AJ104"/>
  <c r="R105"/>
  <c r="AI115"/>
  <c r="AK115" s="1"/>
  <c r="AI119"/>
  <c r="AK119" s="1"/>
  <c r="AH121"/>
  <c r="AI125"/>
  <c r="AK125" s="1"/>
  <c r="P125"/>
  <c r="AD125" s="1"/>
  <c r="AJ126"/>
  <c r="AJ128"/>
  <c r="P128"/>
  <c r="AD128" s="1"/>
  <c r="AJ131"/>
  <c r="AJ132"/>
  <c r="R139"/>
  <c r="X139" s="1"/>
  <c r="AF139" s="1"/>
  <c r="AJ145"/>
  <c r="AJ152"/>
  <c r="AJ153"/>
  <c r="AI155"/>
  <c r="AK155" s="1"/>
  <c r="P155"/>
  <c r="AD155" s="1"/>
  <c r="AH164"/>
  <c r="AI170"/>
  <c r="AK170" s="1"/>
  <c r="AJ175"/>
  <c r="AI176"/>
  <c r="AK176" s="1"/>
  <c r="R178"/>
  <c r="AE178" s="1"/>
  <c r="AJ184"/>
  <c r="AH191"/>
  <c r="AI193"/>
  <c r="AK193" s="1"/>
  <c r="AJ194"/>
  <c r="AJ203"/>
  <c r="AI204"/>
  <c r="AK204" s="1"/>
  <c r="R210"/>
  <c r="AE210" s="1"/>
  <c r="AI214"/>
  <c r="AK214" s="1"/>
  <c r="AH218"/>
  <c r="AH125"/>
  <c r="AI138"/>
  <c r="AK138" s="1"/>
  <c r="R34"/>
  <c r="AE34" s="1"/>
  <c r="AH37"/>
  <c r="AH46"/>
  <c r="AH47"/>
  <c r="R49"/>
  <c r="AE49" s="1"/>
  <c r="R54"/>
  <c r="AE54" s="1"/>
  <c r="R56"/>
  <c r="X56" s="1"/>
  <c r="AF56" s="1"/>
  <c r="AH58"/>
  <c r="AH60"/>
  <c r="AH62"/>
  <c r="AH67"/>
  <c r="R69"/>
  <c r="AE69" s="1"/>
  <c r="AH71"/>
  <c r="AH74"/>
  <c r="AH81"/>
  <c r="AE82"/>
  <c r="AH84"/>
  <c r="R85"/>
  <c r="AE85" s="1"/>
  <c r="AH90"/>
  <c r="AH98"/>
  <c r="AH104"/>
  <c r="AH105"/>
  <c r="AE128"/>
  <c r="AH143"/>
  <c r="AH150"/>
  <c r="AH182"/>
  <c r="AH196"/>
  <c r="AH207"/>
  <c r="AH222"/>
  <c r="R223"/>
  <c r="AE223" s="1"/>
  <c r="AH6"/>
  <c r="AH82"/>
  <c r="AH102"/>
  <c r="I224"/>
  <c r="R4"/>
  <c r="X4" s="1"/>
  <c r="AF4" s="1"/>
  <c r="AJ4"/>
  <c r="AI16"/>
  <c r="AK16" s="1"/>
  <c r="AI20"/>
  <c r="AK20" s="1"/>
  <c r="AJ30"/>
  <c r="AI30"/>
  <c r="AK30" s="1"/>
  <c r="R32"/>
  <c r="AE32" s="1"/>
  <c r="AH33"/>
  <c r="AJ34"/>
  <c r="AE39"/>
  <c r="R44"/>
  <c r="X44" s="1"/>
  <c r="AF44" s="1"/>
  <c r="AJ45"/>
  <c r="P45"/>
  <c r="AD45" s="1"/>
  <c r="AI48"/>
  <c r="AK48" s="1"/>
  <c r="AJ49"/>
  <c r="AI54"/>
  <c r="AK54" s="1"/>
  <c r="AH55"/>
  <c r="AI56"/>
  <c r="AK56" s="1"/>
  <c r="AI58"/>
  <c r="AK58" s="1"/>
  <c r="AI59"/>
  <c r="AK59" s="1"/>
  <c r="AJ66"/>
  <c r="AJ69"/>
  <c r="AJ70"/>
  <c r="R71"/>
  <c r="AE71" s="1"/>
  <c r="AJ74"/>
  <c r="P74"/>
  <c r="AD74" s="1"/>
  <c r="AH78"/>
  <c r="AJ81"/>
  <c r="AI86"/>
  <c r="AK86" s="1"/>
  <c r="AE86"/>
  <c r="AJ90"/>
  <c r="P90"/>
  <c r="AD90" s="1"/>
  <c r="AH94"/>
  <c r="P99"/>
  <c r="AD99" s="1"/>
  <c r="AH116"/>
  <c r="AI133"/>
  <c r="AK133" s="1"/>
  <c r="AI136"/>
  <c r="AK136" s="1"/>
  <c r="AJ140"/>
  <c r="P140"/>
  <c r="AD140" s="1"/>
  <c r="X141"/>
  <c r="AF141" s="1"/>
  <c r="AJ143"/>
  <c r="AJ144"/>
  <c r="AI147"/>
  <c r="AK147" s="1"/>
  <c r="P147"/>
  <c r="AD147" s="1"/>
  <c r="AI148"/>
  <c r="AK148" s="1"/>
  <c r="P148"/>
  <c r="AD148" s="1"/>
  <c r="AI149"/>
  <c r="AK149" s="1"/>
  <c r="AH149"/>
  <c r="R169"/>
  <c r="X169" s="1"/>
  <c r="AF169" s="1"/>
  <c r="AI182"/>
  <c r="AK182" s="1"/>
  <c r="AI196"/>
  <c r="AK196" s="1"/>
  <c r="AJ197"/>
  <c r="AI199"/>
  <c r="AK199" s="1"/>
  <c r="AH199"/>
  <c r="AI207"/>
  <c r="AK207" s="1"/>
  <c r="AI212"/>
  <c r="AK212" s="1"/>
  <c r="AJ222"/>
  <c r="P222"/>
  <c r="AD222" s="1"/>
  <c r="X48"/>
  <c r="AF48" s="1"/>
  <c r="AE48"/>
  <c r="AH29"/>
  <c r="AE40"/>
  <c r="X40"/>
  <c r="AF40" s="1"/>
  <c r="AH14"/>
  <c r="AH18"/>
  <c r="AJ7"/>
  <c r="P12"/>
  <c r="AD12" s="1"/>
  <c r="R5"/>
  <c r="X5" s="1"/>
  <c r="AF5" s="1"/>
  <c r="AJ6"/>
  <c r="AI10"/>
  <c r="AK10" s="1"/>
  <c r="AH11"/>
  <c r="AI14"/>
  <c r="AK14" s="1"/>
  <c r="R16"/>
  <c r="AE16" s="1"/>
  <c r="AI18"/>
  <c r="AK18" s="1"/>
  <c r="R20"/>
  <c r="AE20" s="1"/>
  <c r="AC21"/>
  <c r="AJ22"/>
  <c r="AJ24"/>
  <c r="AI26"/>
  <c r="AK26" s="1"/>
  <c r="AI27"/>
  <c r="AK27" s="1"/>
  <c r="AI28"/>
  <c r="AK28" s="1"/>
  <c r="AJ32"/>
  <c r="X32"/>
  <c r="AF32" s="1"/>
  <c r="AI34"/>
  <c r="AK34" s="1"/>
  <c r="AE35"/>
  <c r="R36"/>
  <c r="AH36"/>
  <c r="AI37"/>
  <c r="AK37" s="1"/>
  <c r="AJ38"/>
  <c r="AJ39"/>
  <c r="R42"/>
  <c r="AE42" s="1"/>
  <c r="AI43"/>
  <c r="AK43" s="1"/>
  <c r="AJ46"/>
  <c r="P46"/>
  <c r="AD46" s="1"/>
  <c r="AH59"/>
  <c r="AC60"/>
  <c r="AI17"/>
  <c r="AK17" s="1"/>
  <c r="AI21"/>
  <c r="AK21" s="1"/>
  <c r="Y21"/>
  <c r="Z21" s="1"/>
  <c r="AH21" s="1"/>
  <c r="AB22"/>
  <c r="AI23"/>
  <c r="AK23" s="1"/>
  <c r="AI25"/>
  <c r="AK25" s="1"/>
  <c r="AH25"/>
  <c r="AH32"/>
  <c r="AI33"/>
  <c r="AK33" s="1"/>
  <c r="AJ35"/>
  <c r="AH41"/>
  <c r="AI45"/>
  <c r="AK45" s="1"/>
  <c r="AE45"/>
  <c r="AH50"/>
  <c r="X97"/>
  <c r="AF97" s="1"/>
  <c r="AE97"/>
  <c r="AH24"/>
  <c r="AI31"/>
  <c r="AK31" s="1"/>
  <c r="AE44"/>
  <c r="R58"/>
  <c r="AE58" s="1"/>
  <c r="P58"/>
  <c r="AD58" s="1"/>
  <c r="AE63"/>
  <c r="X63"/>
  <c r="AF63" s="1"/>
  <c r="AH69"/>
  <c r="AE101"/>
  <c r="X101"/>
  <c r="AF101" s="1"/>
  <c r="AB224"/>
  <c r="AJ5"/>
  <c r="AJ12"/>
  <c r="AJ16"/>
  <c r="AJ20"/>
  <c r="AH28"/>
  <c r="R31"/>
  <c r="AE31" s="1"/>
  <c r="AJ33"/>
  <c r="AH34"/>
  <c r="AH35"/>
  <c r="AJ36"/>
  <c r="AJ42"/>
  <c r="AH44"/>
  <c r="AJ44"/>
  <c r="AI47"/>
  <c r="AK47" s="1"/>
  <c r="AI49"/>
  <c r="AK49" s="1"/>
  <c r="AH52"/>
  <c r="Y57"/>
  <c r="Z57" s="1"/>
  <c r="AH57" s="1"/>
  <c r="AJ58"/>
  <c r="R61"/>
  <c r="S63"/>
  <c r="T63" s="1"/>
  <c r="AB65"/>
  <c r="AJ67"/>
  <c r="P67"/>
  <c r="AD67" s="1"/>
  <c r="Y72"/>
  <c r="Z72" s="1"/>
  <c r="AH72" s="1"/>
  <c r="AJ73"/>
  <c r="AJ75"/>
  <c r="P75"/>
  <c r="AD75" s="1"/>
  <c r="AJ79"/>
  <c r="P79"/>
  <c r="AD79" s="1"/>
  <c r="AJ83"/>
  <c r="P83"/>
  <c r="AD83" s="1"/>
  <c r="AJ87"/>
  <c r="P87"/>
  <c r="AD87" s="1"/>
  <c r="AJ88"/>
  <c r="AI91"/>
  <c r="AK91" s="1"/>
  <c r="P91"/>
  <c r="AD91" s="1"/>
  <c r="AJ92"/>
  <c r="AJ95"/>
  <c r="P95"/>
  <c r="AD95" s="1"/>
  <c r="AJ96"/>
  <c r="AI98"/>
  <c r="AK98" s="1"/>
  <c r="P98"/>
  <c r="AD98" s="1"/>
  <c r="AI103"/>
  <c r="AK103" s="1"/>
  <c r="P103"/>
  <c r="AD103" s="1"/>
  <c r="P106"/>
  <c r="AD106" s="1"/>
  <c r="S107"/>
  <c r="T107" s="1"/>
  <c r="AH107" s="1"/>
  <c r="AI108"/>
  <c r="AK108" s="1"/>
  <c r="P108"/>
  <c r="AD108" s="1"/>
  <c r="AJ110"/>
  <c r="P112"/>
  <c r="AD112" s="1"/>
  <c r="Y112"/>
  <c r="Z112" s="1"/>
  <c r="AH112" s="1"/>
  <c r="AJ116"/>
  <c r="AI51"/>
  <c r="AK51" s="1"/>
  <c r="AI52"/>
  <c r="AK52" s="1"/>
  <c r="AH53"/>
  <c r="AJ55"/>
  <c r="AJ56"/>
  <c r="AJ63"/>
  <c r="AC65"/>
  <c r="AI69"/>
  <c r="AK69" s="1"/>
  <c r="AH70"/>
  <c r="AJ71"/>
  <c r="AI77"/>
  <c r="AK77" s="1"/>
  <c r="AI81"/>
  <c r="AK81" s="1"/>
  <c r="AI85"/>
  <c r="AK85" s="1"/>
  <c r="AI90"/>
  <c r="AK90" s="1"/>
  <c r="AH96"/>
  <c r="AJ99"/>
  <c r="AE99"/>
  <c r="Y100"/>
  <c r="Z100" s="1"/>
  <c r="AH100" s="1"/>
  <c r="AH103"/>
  <c r="Y114"/>
  <c r="Z114" s="1"/>
  <c r="AH114" s="1"/>
  <c r="AB114"/>
  <c r="P115"/>
  <c r="AD115" s="1"/>
  <c r="R115"/>
  <c r="AE115" s="1"/>
  <c r="AC115"/>
  <c r="Y115"/>
  <c r="Z115" s="1"/>
  <c r="AH115" s="1"/>
  <c r="AH133"/>
  <c r="AI62"/>
  <c r="AK62" s="1"/>
  <c r="AI65"/>
  <c r="AK65" s="1"/>
  <c r="AJ68"/>
  <c r="X77"/>
  <c r="AF77" s="1"/>
  <c r="X81"/>
  <c r="AF81" s="1"/>
  <c r="X89"/>
  <c r="AF89" s="1"/>
  <c r="X93"/>
  <c r="AF93" s="1"/>
  <c r="AE102"/>
  <c r="R107"/>
  <c r="P107"/>
  <c r="AD107" s="1"/>
  <c r="AB115"/>
  <c r="AH66"/>
  <c r="R104"/>
  <c r="X104" s="1"/>
  <c r="AF104" s="1"/>
  <c r="P104"/>
  <c r="AD104" s="1"/>
  <c r="AE105"/>
  <c r="X105"/>
  <c r="AF105" s="1"/>
  <c r="AE106"/>
  <c r="X106"/>
  <c r="AF106" s="1"/>
  <c r="R111"/>
  <c r="P111"/>
  <c r="AD111" s="1"/>
  <c r="AE140"/>
  <c r="X140"/>
  <c r="AF140" s="1"/>
  <c r="AE148"/>
  <c r="X148"/>
  <c r="AF148" s="1"/>
  <c r="AB126"/>
  <c r="Y137"/>
  <c r="Z137" s="1"/>
  <c r="AH137" s="1"/>
  <c r="AH138"/>
  <c r="AH142"/>
  <c r="AH145"/>
  <c r="AE149"/>
  <c r="AH151"/>
  <c r="AJ165"/>
  <c r="AI165"/>
  <c r="AK165" s="1"/>
  <c r="P116"/>
  <c r="AD116" s="1"/>
  <c r="R119"/>
  <c r="R165"/>
  <c r="X165" s="1"/>
  <c r="AF165" s="1"/>
  <c r="AE169"/>
  <c r="AJ171"/>
  <c r="AI171"/>
  <c r="AK171" s="1"/>
  <c r="AJ105"/>
  <c r="AI111"/>
  <c r="AK111" s="1"/>
  <c r="AI113"/>
  <c r="AK113" s="1"/>
  <c r="AJ118"/>
  <c r="AJ122"/>
  <c r="AJ124"/>
  <c r="AI126"/>
  <c r="AK126" s="1"/>
  <c r="R126"/>
  <c r="AE126" s="1"/>
  <c r="AJ129"/>
  <c r="AH131"/>
  <c r="AI132"/>
  <c r="AK132" s="1"/>
  <c r="Y132"/>
  <c r="Z132" s="1"/>
  <c r="AH132" s="1"/>
  <c r="AJ136"/>
  <c r="AB137"/>
  <c r="AE138"/>
  <c r="AE142"/>
  <c r="P143"/>
  <c r="AD143" s="1"/>
  <c r="AH146"/>
  <c r="AH147"/>
  <c r="AI150"/>
  <c r="AK150" s="1"/>
  <c r="P150"/>
  <c r="AD150" s="1"/>
  <c r="R153"/>
  <c r="X153" s="1"/>
  <c r="AF153" s="1"/>
  <c r="Y154"/>
  <c r="Z154" s="1"/>
  <c r="AH154" s="1"/>
  <c r="AJ155"/>
  <c r="AH157"/>
  <c r="AI159"/>
  <c r="AK159" s="1"/>
  <c r="P159"/>
  <c r="AD159" s="1"/>
  <c r="AI160"/>
  <c r="AK160" s="1"/>
  <c r="P160"/>
  <c r="AD160" s="1"/>
  <c r="AC161"/>
  <c r="P162"/>
  <c r="AD162" s="1"/>
  <c r="Y162"/>
  <c r="Z162" s="1"/>
  <c r="AI162"/>
  <c r="AK162" s="1"/>
  <c r="AH166"/>
  <c r="AH167"/>
  <c r="AH168"/>
  <c r="AH171"/>
  <c r="AH172"/>
  <c r="P176"/>
  <c r="AD176" s="1"/>
  <c r="R176"/>
  <c r="AE176" s="1"/>
  <c r="AH179"/>
  <c r="AH180"/>
  <c r="AH190"/>
  <c r="AE216"/>
  <c r="X216"/>
  <c r="AF216" s="1"/>
  <c r="AI109"/>
  <c r="AK109" s="1"/>
  <c r="AH119"/>
  <c r="AH120"/>
  <c r="AI120"/>
  <c r="AK120" s="1"/>
  <c r="AI123"/>
  <c r="AK123" s="1"/>
  <c r="AJ125"/>
  <c r="AH126"/>
  <c r="AJ127"/>
  <c r="AI128"/>
  <c r="AK128" s="1"/>
  <c r="R129"/>
  <c r="AE129" s="1"/>
  <c r="AB129"/>
  <c r="AJ130"/>
  <c r="AH130"/>
  <c r="R134"/>
  <c r="AE134" s="1"/>
  <c r="AJ135"/>
  <c r="P135"/>
  <c r="AD135" s="1"/>
  <c r="AE135"/>
  <c r="R136"/>
  <c r="AE136" s="1"/>
  <c r="Y139"/>
  <c r="Z139" s="1"/>
  <c r="AI139"/>
  <c r="AK139" s="1"/>
  <c r="AI141"/>
  <c r="AK141" s="1"/>
  <c r="AJ142"/>
  <c r="P142"/>
  <c r="AD142" s="1"/>
  <c r="AI146"/>
  <c r="AK146" s="1"/>
  <c r="AI151"/>
  <c r="AK151" s="1"/>
  <c r="P151"/>
  <c r="AD151" s="1"/>
  <c r="R154"/>
  <c r="AE154" s="1"/>
  <c r="P154"/>
  <c r="AD154" s="1"/>
  <c r="AJ156"/>
  <c r="AH160"/>
  <c r="Y161"/>
  <c r="Z161" s="1"/>
  <c r="AH161" s="1"/>
  <c r="AI169"/>
  <c r="AK169" s="1"/>
  <c r="AH176"/>
  <c r="AH178"/>
  <c r="P183"/>
  <c r="AD183" s="1"/>
  <c r="R183"/>
  <c r="AE183" s="1"/>
  <c r="AH186"/>
  <c r="AH204"/>
  <c r="AB173"/>
  <c r="AI179"/>
  <c r="AK179" s="1"/>
  <c r="AC188"/>
  <c r="AB189"/>
  <c r="AI190"/>
  <c r="AK190" s="1"/>
  <c r="AE191"/>
  <c r="R192"/>
  <c r="X192" s="1"/>
  <c r="AF192" s="1"/>
  <c r="R195"/>
  <c r="X195" s="1"/>
  <c r="AF195" s="1"/>
  <c r="R198"/>
  <c r="AE198" s="1"/>
  <c r="R200"/>
  <c r="AE200" s="1"/>
  <c r="AB209"/>
  <c r="R212"/>
  <c r="AE212" s="1"/>
  <c r="AJ215"/>
  <c r="P215"/>
  <c r="AD215" s="1"/>
  <c r="AI216"/>
  <c r="AK216" s="1"/>
  <c r="P216"/>
  <c r="AD216" s="1"/>
  <c r="Y216"/>
  <c r="Z216" s="1"/>
  <c r="AJ217"/>
  <c r="P217"/>
  <c r="AD217" s="1"/>
  <c r="AH219"/>
  <c r="AI220"/>
  <c r="AK220" s="1"/>
  <c r="P220"/>
  <c r="AD220" s="1"/>
  <c r="AI221"/>
  <c r="AK221" s="1"/>
  <c r="P221"/>
  <c r="AD221" s="1"/>
  <c r="AH223"/>
  <c r="AI153"/>
  <c r="AK153" s="1"/>
  <c r="AI154"/>
  <c r="AK154" s="1"/>
  <c r="AH158"/>
  <c r="AH159"/>
  <c r="AI161"/>
  <c r="AK161" s="1"/>
  <c r="AJ161"/>
  <c r="AJ164"/>
  <c r="AI166"/>
  <c r="AK166" s="1"/>
  <c r="AB167"/>
  <c r="AI168"/>
  <c r="AK168" s="1"/>
  <c r="R170"/>
  <c r="AE170" s="1"/>
  <c r="R172"/>
  <c r="AE172" s="1"/>
  <c r="AC173"/>
  <c r="AB174"/>
  <c r="AI175"/>
  <c r="AK175" s="1"/>
  <c r="AI178"/>
  <c r="AK178" s="1"/>
  <c r="AI180"/>
  <c r="AK180" s="1"/>
  <c r="AB181"/>
  <c r="AI185"/>
  <c r="AK185" s="1"/>
  <c r="AB186"/>
  <c r="AC189"/>
  <c r="AJ191"/>
  <c r="R193"/>
  <c r="AE193" s="1"/>
  <c r="R196"/>
  <c r="AE196" s="1"/>
  <c r="AJ199"/>
  <c r="AJ201"/>
  <c r="AJ206"/>
  <c r="AI208"/>
  <c r="AK208" s="1"/>
  <c r="AJ210"/>
  <c r="AH212"/>
  <c r="AJ213"/>
  <c r="P213"/>
  <c r="AD213" s="1"/>
  <c r="AJ214"/>
  <c r="AH215"/>
  <c r="AI218"/>
  <c r="AK218" s="1"/>
  <c r="AI219"/>
  <c r="AK219" s="1"/>
  <c r="AI222"/>
  <c r="AK222" s="1"/>
  <c r="AI223"/>
  <c r="AK223" s="1"/>
  <c r="AH187"/>
  <c r="AH198"/>
  <c r="AH200"/>
  <c r="AH203"/>
  <c r="AH208"/>
  <c r="AC187"/>
  <c r="AI192"/>
  <c r="AK192" s="1"/>
  <c r="AI195"/>
  <c r="AK195" s="1"/>
  <c r="R202"/>
  <c r="AE202" s="1"/>
  <c r="R204"/>
  <c r="AE204" s="1"/>
  <c r="AC205"/>
  <c r="R207"/>
  <c r="AE207" s="1"/>
  <c r="AI209"/>
  <c r="AK209" s="1"/>
  <c r="R209"/>
  <c r="AJ211"/>
  <c r="P211"/>
  <c r="AD211" s="1"/>
  <c r="AJ212"/>
  <c r="AB216"/>
  <c r="X15"/>
  <c r="AF15" s="1"/>
  <c r="AE15"/>
  <c r="AE22"/>
  <c r="X22"/>
  <c r="AF22" s="1"/>
  <c r="X13"/>
  <c r="AF13" s="1"/>
  <c r="AE13"/>
  <c r="X17"/>
  <c r="AF17" s="1"/>
  <c r="AE17"/>
  <c r="AE21"/>
  <c r="X21"/>
  <c r="AF21" s="1"/>
  <c r="X23"/>
  <c r="AF23" s="1"/>
  <c r="AE23"/>
  <c r="AH9"/>
  <c r="AH5"/>
  <c r="AH26"/>
  <c r="AH68"/>
  <c r="X11"/>
  <c r="AF11" s="1"/>
  <c r="AE11"/>
  <c r="X26"/>
  <c r="AF26" s="1"/>
  <c r="AE26"/>
  <c r="AH15"/>
  <c r="AH19"/>
  <c r="AH22"/>
  <c r="AH31"/>
  <c r="X19"/>
  <c r="AF19" s="1"/>
  <c r="AE19"/>
  <c r="AH61"/>
  <c r="AC56"/>
  <c r="AB56"/>
  <c r="AC57"/>
  <c r="AB57"/>
  <c r="R59"/>
  <c r="P59"/>
  <c r="AD59" s="1"/>
  <c r="AJ72"/>
  <c r="AI72"/>
  <c r="AK72" s="1"/>
  <c r="R72"/>
  <c r="P72"/>
  <c r="AD72" s="1"/>
  <c r="AE110"/>
  <c r="X110"/>
  <c r="AF110" s="1"/>
  <c r="X121"/>
  <c r="AF121" s="1"/>
  <c r="AE121"/>
  <c r="AE4"/>
  <c r="AI6"/>
  <c r="AK6" s="1"/>
  <c r="X31"/>
  <c r="AF31" s="1"/>
  <c r="AJ40"/>
  <c r="G224"/>
  <c r="AE8"/>
  <c r="R9"/>
  <c r="E224"/>
  <c r="N224"/>
  <c r="P224" s="1"/>
  <c r="Y4"/>
  <c r="AC4"/>
  <c r="R6"/>
  <c r="S7"/>
  <c r="T7" s="1"/>
  <c r="Y7"/>
  <c r="Z7" s="1"/>
  <c r="AC7"/>
  <c r="Y8"/>
  <c r="Z8" s="1"/>
  <c r="AH8" s="1"/>
  <c r="AJ9"/>
  <c r="P11"/>
  <c r="AD11" s="1"/>
  <c r="AJ11"/>
  <c r="P13"/>
  <c r="AD13" s="1"/>
  <c r="AJ13"/>
  <c r="P15"/>
  <c r="AD15" s="1"/>
  <c r="AJ15"/>
  <c r="P17"/>
  <c r="AD17" s="1"/>
  <c r="AJ17"/>
  <c r="P19"/>
  <c r="AD19" s="1"/>
  <c r="AJ19"/>
  <c r="P21"/>
  <c r="AD21" s="1"/>
  <c r="P22"/>
  <c r="AD22" s="1"/>
  <c r="P23"/>
  <c r="AD23" s="1"/>
  <c r="AJ23"/>
  <c r="X24"/>
  <c r="AF24" s="1"/>
  <c r="AB24"/>
  <c r="P26"/>
  <c r="AD26" s="1"/>
  <c r="AJ26"/>
  <c r="Y27"/>
  <c r="Z27" s="1"/>
  <c r="AH27" s="1"/>
  <c r="AC27"/>
  <c r="AE28"/>
  <c r="R29"/>
  <c r="AE30"/>
  <c r="P33"/>
  <c r="AD33" s="1"/>
  <c r="X34"/>
  <c r="AF34" s="1"/>
  <c r="P37"/>
  <c r="AD37" s="1"/>
  <c r="X38"/>
  <c r="AF38" s="1"/>
  <c r="P41"/>
  <c r="AD41" s="1"/>
  <c r="X42"/>
  <c r="AF42" s="1"/>
  <c r="P43"/>
  <c r="AD43" s="1"/>
  <c r="AE43"/>
  <c r="AJ43"/>
  <c r="AH45"/>
  <c r="X46"/>
  <c r="AF46" s="1"/>
  <c r="P47"/>
  <c r="AD47" s="1"/>
  <c r="AE47"/>
  <c r="AJ47"/>
  <c r="AH48"/>
  <c r="X49"/>
  <c r="AF49" s="1"/>
  <c r="P50"/>
  <c r="AD50" s="1"/>
  <c r="AH51"/>
  <c r="X52"/>
  <c r="AF52" s="1"/>
  <c r="P53"/>
  <c r="AD53" s="1"/>
  <c r="AE53"/>
  <c r="AJ53"/>
  <c r="AH54"/>
  <c r="AB54"/>
  <c r="Y56"/>
  <c r="Z56" s="1"/>
  <c r="AH56" s="1"/>
  <c r="AJ57"/>
  <c r="X58"/>
  <c r="AF58" s="1"/>
  <c r="AJ59"/>
  <c r="AB63"/>
  <c r="AI63"/>
  <c r="AK63" s="1"/>
  <c r="X64"/>
  <c r="AF64" s="1"/>
  <c r="AI67"/>
  <c r="AK67" s="1"/>
  <c r="P73"/>
  <c r="AD73" s="1"/>
  <c r="AH75"/>
  <c r="P76"/>
  <c r="AD76" s="1"/>
  <c r="AH79"/>
  <c r="P80"/>
  <c r="AD80" s="1"/>
  <c r="AH83"/>
  <c r="P84"/>
  <c r="AD84" s="1"/>
  <c r="AH87"/>
  <c r="AI88"/>
  <c r="AK88" s="1"/>
  <c r="P88"/>
  <c r="AD88" s="1"/>
  <c r="AH91"/>
  <c r="AI92"/>
  <c r="AK92" s="1"/>
  <c r="P92"/>
  <c r="AD92" s="1"/>
  <c r="AH97"/>
  <c r="AB97"/>
  <c r="AJ109"/>
  <c r="AH118"/>
  <c r="AJ50"/>
  <c r="AI50"/>
  <c r="AK50" s="1"/>
  <c r="X50"/>
  <c r="AF50" s="1"/>
  <c r="AE50"/>
  <c r="R66"/>
  <c r="P66"/>
  <c r="AD66" s="1"/>
  <c r="AE75"/>
  <c r="X75"/>
  <c r="AF75" s="1"/>
  <c r="AJ76"/>
  <c r="AI76"/>
  <c r="AK76" s="1"/>
  <c r="X76"/>
  <c r="AF76" s="1"/>
  <c r="AE76"/>
  <c r="AE79"/>
  <c r="X79"/>
  <c r="AF79" s="1"/>
  <c r="AJ80"/>
  <c r="AI80"/>
  <c r="AK80" s="1"/>
  <c r="X80"/>
  <c r="AF80" s="1"/>
  <c r="AE80"/>
  <c r="AE83"/>
  <c r="X83"/>
  <c r="AF83" s="1"/>
  <c r="AJ84"/>
  <c r="AI84"/>
  <c r="AK84" s="1"/>
  <c r="X84"/>
  <c r="AF84" s="1"/>
  <c r="AE84"/>
  <c r="AE87"/>
  <c r="X87"/>
  <c r="AF87" s="1"/>
  <c r="X88"/>
  <c r="AF88" s="1"/>
  <c r="AE88"/>
  <c r="AE91"/>
  <c r="X91"/>
  <c r="AF91" s="1"/>
  <c r="X92"/>
  <c r="AF92" s="1"/>
  <c r="AE92"/>
  <c r="AE125"/>
  <c r="X125"/>
  <c r="AF125" s="1"/>
  <c r="K224"/>
  <c r="AB4"/>
  <c r="R7"/>
  <c r="X10"/>
  <c r="AF10" s="1"/>
  <c r="X12"/>
  <c r="AF12" s="1"/>
  <c r="X14"/>
  <c r="AF14" s="1"/>
  <c r="X18"/>
  <c r="AF18" s="1"/>
  <c r="X20"/>
  <c r="AF20" s="1"/>
  <c r="X25"/>
  <c r="AF25" s="1"/>
  <c r="AJ27"/>
  <c r="AJ29"/>
  <c r="AI66"/>
  <c r="AK66" s="1"/>
  <c r="AE73"/>
  <c r="AH99"/>
  <c r="R68"/>
  <c r="P68"/>
  <c r="AD68" s="1"/>
  <c r="AC73"/>
  <c r="S73"/>
  <c r="T73" s="1"/>
  <c r="AH73" s="1"/>
  <c r="V73"/>
  <c r="AI97"/>
  <c r="AK97" s="1"/>
  <c r="AJ97"/>
  <c r="AE107"/>
  <c r="X107"/>
  <c r="AF107" s="1"/>
  <c r="AE111"/>
  <c r="X111"/>
  <c r="AF111" s="1"/>
  <c r="Y117"/>
  <c r="Z117" s="1"/>
  <c r="AH117" s="1"/>
  <c r="AB117"/>
  <c r="X122"/>
  <c r="AF122" s="1"/>
  <c r="AE122"/>
  <c r="V7"/>
  <c r="AJ65"/>
  <c r="X67"/>
  <c r="AF67" s="1"/>
  <c r="AI68"/>
  <c r="AK68" s="1"/>
  <c r="X100"/>
  <c r="AF100" s="1"/>
  <c r="R65"/>
  <c r="P65"/>
  <c r="AD65" s="1"/>
  <c r="R55"/>
  <c r="P55"/>
  <c r="AD55" s="1"/>
  <c r="AJ60"/>
  <c r="AI60"/>
  <c r="AK60" s="1"/>
  <c r="R60"/>
  <c r="P60"/>
  <c r="AD60" s="1"/>
  <c r="R70"/>
  <c r="P70"/>
  <c r="AD70" s="1"/>
  <c r="AE108"/>
  <c r="X108"/>
  <c r="AF108" s="1"/>
  <c r="R109"/>
  <c r="P109"/>
  <c r="AD109" s="1"/>
  <c r="X113"/>
  <c r="AF113" s="1"/>
  <c r="AE113"/>
  <c r="AB113"/>
  <c r="Y113"/>
  <c r="Z113" s="1"/>
  <c r="AH113" s="1"/>
  <c r="AE57"/>
  <c r="AI32"/>
  <c r="AK32" s="1"/>
  <c r="AE33"/>
  <c r="AI36"/>
  <c r="AK36" s="1"/>
  <c r="AE37"/>
  <c r="AE41"/>
  <c r="AB48"/>
  <c r="AI55"/>
  <c r="AK55" s="1"/>
  <c r="AJ61"/>
  <c r="X62"/>
  <c r="AF62" s="1"/>
  <c r="Y63"/>
  <c r="Z63" s="1"/>
  <c r="AH64"/>
  <c r="AB64"/>
  <c r="X69"/>
  <c r="AF69" s="1"/>
  <c r="AI70"/>
  <c r="AK70" s="1"/>
  <c r="AJ108"/>
  <c r="AI112"/>
  <c r="AK112" s="1"/>
  <c r="AI117"/>
  <c r="AK117" s="1"/>
  <c r="R132"/>
  <c r="P132"/>
  <c r="AD132" s="1"/>
  <c r="R144"/>
  <c r="P144"/>
  <c r="AD144" s="1"/>
  <c r="AI46"/>
  <c r="AK46" s="1"/>
  <c r="U224"/>
  <c r="V224" s="1"/>
  <c r="AI75"/>
  <c r="AK75" s="1"/>
  <c r="AI79"/>
  <c r="AK79" s="1"/>
  <c r="AI83"/>
  <c r="AK83" s="1"/>
  <c r="AI87"/>
  <c r="AK87" s="1"/>
  <c r="AI95"/>
  <c r="AK95" s="1"/>
  <c r="AE96"/>
  <c r="AI96"/>
  <c r="AK96" s="1"/>
  <c r="X98"/>
  <c r="AF98" s="1"/>
  <c r="AJ98"/>
  <c r="AI100"/>
  <c r="AK100" s="1"/>
  <c r="AE104"/>
  <c r="AI104"/>
  <c r="AK104" s="1"/>
  <c r="X112"/>
  <c r="AF112" s="1"/>
  <c r="AI114"/>
  <c r="AK114" s="1"/>
  <c r="AE116"/>
  <c r="AI116"/>
  <c r="AK116" s="1"/>
  <c r="X117"/>
  <c r="AF117" s="1"/>
  <c r="AE118"/>
  <c r="P121"/>
  <c r="AD121" s="1"/>
  <c r="AB121"/>
  <c r="P122"/>
  <c r="AD122" s="1"/>
  <c r="R123"/>
  <c r="AB123"/>
  <c r="R124"/>
  <c r="AI127"/>
  <c r="AK127" s="1"/>
  <c r="AI131"/>
  <c r="AK131" s="1"/>
  <c r="P133"/>
  <c r="AD133" s="1"/>
  <c r="AE133"/>
  <c r="AJ133"/>
  <c r="AI135"/>
  <c r="AK135" s="1"/>
  <c r="AH136"/>
  <c r="AI140"/>
  <c r="AK140" s="1"/>
  <c r="X143"/>
  <c r="AF143" s="1"/>
  <c r="AH152"/>
  <c r="R127"/>
  <c r="P127"/>
  <c r="AD127" s="1"/>
  <c r="R130"/>
  <c r="P130"/>
  <c r="AD130" s="1"/>
  <c r="S139"/>
  <c r="T139" s="1"/>
  <c r="AH139" s="1"/>
  <c r="V139"/>
  <c r="X126"/>
  <c r="AF126" s="1"/>
  <c r="AI130"/>
  <c r="AK130" s="1"/>
  <c r="R137"/>
  <c r="P137"/>
  <c r="AD137" s="1"/>
  <c r="AE152"/>
  <c r="X152"/>
  <c r="AF152" s="1"/>
  <c r="AB100"/>
  <c r="AI101"/>
  <c r="AK101" s="1"/>
  <c r="AI105"/>
  <c r="AK105" s="1"/>
  <c r="AJ112"/>
  <c r="AI121"/>
  <c r="AK121" s="1"/>
  <c r="Y123"/>
  <c r="Z123" s="1"/>
  <c r="AH123" s="1"/>
  <c r="AJ123"/>
  <c r="X136"/>
  <c r="AF136" s="1"/>
  <c r="AI142"/>
  <c r="AK142" s="1"/>
  <c r="AJ151"/>
  <c r="AE146"/>
  <c r="X146"/>
  <c r="AF146" s="1"/>
  <c r="X147"/>
  <c r="AF147" s="1"/>
  <c r="AE147"/>
  <c r="AJ91"/>
  <c r="X95"/>
  <c r="AF95" s="1"/>
  <c r="P102"/>
  <c r="AD102" s="1"/>
  <c r="X103"/>
  <c r="AF103" s="1"/>
  <c r="AJ103"/>
  <c r="AI106"/>
  <c r="AK106" s="1"/>
  <c r="AI107"/>
  <c r="AK107" s="1"/>
  <c r="AJ107"/>
  <c r="AJ115"/>
  <c r="R120"/>
  <c r="AI124"/>
  <c r="AK124" s="1"/>
  <c r="X129"/>
  <c r="AF129" s="1"/>
  <c r="X131"/>
  <c r="AF131" s="1"/>
  <c r="X134"/>
  <c r="AF134" s="1"/>
  <c r="AJ147"/>
  <c r="AE155"/>
  <c r="X155"/>
  <c r="AF155" s="1"/>
  <c r="AI167"/>
  <c r="AK167" s="1"/>
  <c r="AJ167"/>
  <c r="P167"/>
  <c r="AD167" s="1"/>
  <c r="R167"/>
  <c r="AI174"/>
  <c r="AK174" s="1"/>
  <c r="AJ174"/>
  <c r="P174"/>
  <c r="AD174" s="1"/>
  <c r="R174"/>
  <c r="P182"/>
  <c r="AD182" s="1"/>
  <c r="R182"/>
  <c r="AI186"/>
  <c r="AK186" s="1"/>
  <c r="AJ186"/>
  <c r="P186"/>
  <c r="AD186" s="1"/>
  <c r="R186"/>
  <c r="P190"/>
  <c r="AD190" s="1"/>
  <c r="R190"/>
  <c r="P199"/>
  <c r="AD199" s="1"/>
  <c r="R199"/>
  <c r="P203"/>
  <c r="AD203" s="1"/>
  <c r="R203"/>
  <c r="X215"/>
  <c r="AF215" s="1"/>
  <c r="AE215"/>
  <c r="X218"/>
  <c r="AF218" s="1"/>
  <c r="AE218"/>
  <c r="X222"/>
  <c r="AF222" s="1"/>
  <c r="AE222"/>
  <c r="AI134"/>
  <c r="AK134" s="1"/>
  <c r="AI137"/>
  <c r="AK137" s="1"/>
  <c r="AJ141"/>
  <c r="AI144"/>
  <c r="AK144" s="1"/>
  <c r="X151"/>
  <c r="AF151" s="1"/>
  <c r="AJ157"/>
  <c r="X161"/>
  <c r="AF161" s="1"/>
  <c r="X162"/>
  <c r="AF162" s="1"/>
  <c r="R163"/>
  <c r="AI164"/>
  <c r="AK164" s="1"/>
  <c r="AH165"/>
  <c r="X183"/>
  <c r="AF183" s="1"/>
  <c r="AH184"/>
  <c r="AI184"/>
  <c r="AK184" s="1"/>
  <c r="AH188"/>
  <c r="X193"/>
  <c r="AF193" s="1"/>
  <c r="AH194"/>
  <c r="AI194"/>
  <c r="AK194" s="1"/>
  <c r="X196"/>
  <c r="AF196" s="1"/>
  <c r="AH197"/>
  <c r="AI197"/>
  <c r="AK197" s="1"/>
  <c r="X200"/>
  <c r="AF200" s="1"/>
  <c r="AH201"/>
  <c r="AI201"/>
  <c r="AK201" s="1"/>
  <c r="X204"/>
  <c r="AF204" s="1"/>
  <c r="AH205"/>
  <c r="AH211"/>
  <c r="AH220"/>
  <c r="AI173"/>
  <c r="AK173" s="1"/>
  <c r="AJ173"/>
  <c r="P173"/>
  <c r="AD173" s="1"/>
  <c r="R173"/>
  <c r="P177"/>
  <c r="AD177" s="1"/>
  <c r="R177"/>
  <c r="AI181"/>
  <c r="AK181" s="1"/>
  <c r="AJ181"/>
  <c r="P181"/>
  <c r="AD181" s="1"/>
  <c r="R181"/>
  <c r="AI189"/>
  <c r="AK189" s="1"/>
  <c r="AJ189"/>
  <c r="P189"/>
  <c r="AD189" s="1"/>
  <c r="R189"/>
  <c r="AB192"/>
  <c r="AC192"/>
  <c r="AB195"/>
  <c r="AC195"/>
  <c r="P206"/>
  <c r="AD206" s="1"/>
  <c r="R206"/>
  <c r="X213"/>
  <c r="AF213" s="1"/>
  <c r="AE213"/>
  <c r="AI163"/>
  <c r="AK163" s="1"/>
  <c r="X178"/>
  <c r="AF178" s="1"/>
  <c r="AE159"/>
  <c r="X159"/>
  <c r="AF159" s="1"/>
  <c r="AB169"/>
  <c r="AC169"/>
  <c r="P184"/>
  <c r="AD184" s="1"/>
  <c r="R184"/>
  <c r="AI188"/>
  <c r="AK188" s="1"/>
  <c r="AJ188"/>
  <c r="P188"/>
  <c r="AD188" s="1"/>
  <c r="R188"/>
  <c r="P194"/>
  <c r="AD194" s="1"/>
  <c r="R194"/>
  <c r="P197"/>
  <c r="AD197" s="1"/>
  <c r="R197"/>
  <c r="P201"/>
  <c r="AD201" s="1"/>
  <c r="R201"/>
  <c r="AI205"/>
  <c r="AK205" s="1"/>
  <c r="AJ205"/>
  <c r="P205"/>
  <c r="AD205" s="1"/>
  <c r="R205"/>
  <c r="X211"/>
  <c r="AF211" s="1"/>
  <c r="AE211"/>
  <c r="X220"/>
  <c r="AF220" s="1"/>
  <c r="AE220"/>
  <c r="AJ160"/>
  <c r="AE165"/>
  <c r="X166"/>
  <c r="AF166" s="1"/>
  <c r="X185"/>
  <c r="AF185" s="1"/>
  <c r="Y192"/>
  <c r="Z192" s="1"/>
  <c r="AH192" s="1"/>
  <c r="Y195"/>
  <c r="Z195" s="1"/>
  <c r="AH195" s="1"/>
  <c r="X198"/>
  <c r="AF198" s="1"/>
  <c r="AI211"/>
  <c r="AK211" s="1"/>
  <c r="AE157"/>
  <c r="X157"/>
  <c r="AF157" s="1"/>
  <c r="P168"/>
  <c r="AD168" s="1"/>
  <c r="R168"/>
  <c r="P171"/>
  <c r="AD171" s="1"/>
  <c r="R171"/>
  <c r="P175"/>
  <c r="AD175" s="1"/>
  <c r="R175"/>
  <c r="P179"/>
  <c r="AD179" s="1"/>
  <c r="R179"/>
  <c r="AI187"/>
  <c r="AK187" s="1"/>
  <c r="AJ187"/>
  <c r="P187"/>
  <c r="AD187" s="1"/>
  <c r="R187"/>
  <c r="AB191"/>
  <c r="AC191"/>
  <c r="P208"/>
  <c r="AD208" s="1"/>
  <c r="R208"/>
  <c r="X209"/>
  <c r="AF209" s="1"/>
  <c r="AE209"/>
  <c r="P138"/>
  <c r="AD138" s="1"/>
  <c r="P141"/>
  <c r="AD141" s="1"/>
  <c r="AI143"/>
  <c r="AK143" s="1"/>
  <c r="P145"/>
  <c r="AD145" s="1"/>
  <c r="P149"/>
  <c r="AD149" s="1"/>
  <c r="X150"/>
  <c r="AF150" s="1"/>
  <c r="AJ150"/>
  <c r="X154"/>
  <c r="AF154" s="1"/>
  <c r="AI158"/>
  <c r="AK158" s="1"/>
  <c r="AJ159"/>
  <c r="AH162"/>
  <c r="R164"/>
  <c r="Y169"/>
  <c r="Z169" s="1"/>
  <c r="AH169" s="1"/>
  <c r="X172"/>
  <c r="AF172" s="1"/>
  <c r="AH173"/>
  <c r="X176"/>
  <c r="AF176" s="1"/>
  <c r="AH177"/>
  <c r="AI177"/>
  <c r="AK177" s="1"/>
  <c r="X180"/>
  <c r="AF180" s="1"/>
  <c r="AH181"/>
  <c r="AH189"/>
  <c r="AH206"/>
  <c r="AI206"/>
  <c r="AK206" s="1"/>
  <c r="AH213"/>
  <c r="AH216"/>
  <c r="AH217"/>
  <c r="AH221"/>
  <c r="AJ220"/>
  <c r="AE156"/>
  <c r="AE158"/>
  <c r="AE160"/>
  <c r="AJ166"/>
  <c r="AJ170"/>
  <c r="AJ172"/>
  <c r="AJ176"/>
  <c r="AJ178"/>
  <c r="AJ180"/>
  <c r="AJ183"/>
  <c r="AJ185"/>
  <c r="AJ193"/>
  <c r="AJ196"/>
  <c r="AJ198"/>
  <c r="AJ200"/>
  <c r="AJ202"/>
  <c r="AJ204"/>
  <c r="AJ207"/>
  <c r="X210"/>
  <c r="AF210" s="1"/>
  <c r="X214"/>
  <c r="AF214" s="1"/>
  <c r="X217"/>
  <c r="AF217" s="1"/>
  <c r="X219"/>
  <c r="AF219" s="1"/>
  <c r="X221"/>
  <c r="AF221" s="1"/>
  <c r="AJ221"/>
  <c r="AJ223"/>
  <c r="X170" l="1"/>
  <c r="AF170" s="1"/>
  <c r="X202"/>
  <c r="AF202" s="1"/>
  <c r="X212"/>
  <c r="AF212" s="1"/>
  <c r="AE195"/>
  <c r="AE153"/>
  <c r="AE139"/>
  <c r="X16"/>
  <c r="AF16" s="1"/>
  <c r="X114"/>
  <c r="AF114" s="1"/>
  <c r="AH63"/>
  <c r="AE56"/>
  <c r="X27"/>
  <c r="AF27" s="1"/>
  <c r="AE27"/>
  <c r="X223"/>
  <c r="AF223" s="1"/>
  <c r="X85"/>
  <c r="AF85" s="1"/>
  <c r="X207"/>
  <c r="AF207" s="1"/>
  <c r="X115"/>
  <c r="AF115" s="1"/>
  <c r="X54"/>
  <c r="AF54" s="1"/>
  <c r="X71"/>
  <c r="AF71" s="1"/>
  <c r="AJ226"/>
  <c r="AE192"/>
  <c r="AE5"/>
  <c r="AJ225"/>
  <c r="X61"/>
  <c r="AF61" s="1"/>
  <c r="AE61"/>
  <c r="AE36"/>
  <c r="X36"/>
  <c r="AF36" s="1"/>
  <c r="X119"/>
  <c r="AF119" s="1"/>
  <c r="AE119"/>
  <c r="X164"/>
  <c r="AF164" s="1"/>
  <c r="AE164"/>
  <c r="X175"/>
  <c r="AF175" s="1"/>
  <c r="AE175"/>
  <c r="X168"/>
  <c r="AF168" s="1"/>
  <c r="AE168"/>
  <c r="X206"/>
  <c r="AF206" s="1"/>
  <c r="AE206"/>
  <c r="AE173"/>
  <c r="X173"/>
  <c r="AF173" s="1"/>
  <c r="AE163"/>
  <c r="X163"/>
  <c r="AF163" s="1"/>
  <c r="AE137"/>
  <c r="X137"/>
  <c r="AF137" s="1"/>
  <c r="AE127"/>
  <c r="X127"/>
  <c r="AF127" s="1"/>
  <c r="AE132"/>
  <c r="X132"/>
  <c r="AF132" s="1"/>
  <c r="AE60"/>
  <c r="X60"/>
  <c r="AF60" s="1"/>
  <c r="X55"/>
  <c r="AF55" s="1"/>
  <c r="AE55"/>
  <c r="AE6"/>
  <c r="X6"/>
  <c r="AF6" s="1"/>
  <c r="S224"/>
  <c r="X197"/>
  <c r="AF197" s="1"/>
  <c r="AE197"/>
  <c r="AE188"/>
  <c r="X188"/>
  <c r="AF188" s="1"/>
  <c r="X184"/>
  <c r="AF184" s="1"/>
  <c r="AE184"/>
  <c r="X203"/>
  <c r="AF203" s="1"/>
  <c r="AE203"/>
  <c r="X190"/>
  <c r="AF190" s="1"/>
  <c r="AE190"/>
  <c r="AE174"/>
  <c r="X174"/>
  <c r="AF174" s="1"/>
  <c r="AE167"/>
  <c r="X167"/>
  <c r="AF167" s="1"/>
  <c r="AE124"/>
  <c r="X124"/>
  <c r="AF124" s="1"/>
  <c r="X66"/>
  <c r="AF66" s="1"/>
  <c r="AE66"/>
  <c r="Y224"/>
  <c r="Z4"/>
  <c r="AH4" s="1"/>
  <c r="AH7"/>
  <c r="X179"/>
  <c r="AF179" s="1"/>
  <c r="AE179"/>
  <c r="AE189"/>
  <c r="X189"/>
  <c r="AF189" s="1"/>
  <c r="AE181"/>
  <c r="X181"/>
  <c r="AF181" s="1"/>
  <c r="X177"/>
  <c r="AF177" s="1"/>
  <c r="AE177"/>
  <c r="X120"/>
  <c r="AF120" s="1"/>
  <c r="AE120"/>
  <c r="X130"/>
  <c r="AF130" s="1"/>
  <c r="AE130"/>
  <c r="AE144"/>
  <c r="X144"/>
  <c r="AF144" s="1"/>
  <c r="AE109"/>
  <c r="X109"/>
  <c r="AF109" s="1"/>
  <c r="X70"/>
  <c r="AF70" s="1"/>
  <c r="AE70"/>
  <c r="AE65"/>
  <c r="X65"/>
  <c r="AF65" s="1"/>
  <c r="X68"/>
  <c r="AF68" s="1"/>
  <c r="AE68"/>
  <c r="X7"/>
  <c r="AF7" s="1"/>
  <c r="AE7"/>
  <c r="AE9"/>
  <c r="X9"/>
  <c r="AF9" s="1"/>
  <c r="AE72"/>
  <c r="X72"/>
  <c r="AF72" s="1"/>
  <c r="AE59"/>
  <c r="X59"/>
  <c r="AF59" s="1"/>
  <c r="X208"/>
  <c r="AF208" s="1"/>
  <c r="AE208"/>
  <c r="AE187"/>
  <c r="X187"/>
  <c r="AF187" s="1"/>
  <c r="X171"/>
  <c r="AF171" s="1"/>
  <c r="AE171"/>
  <c r="AE205"/>
  <c r="X205"/>
  <c r="AF205" s="1"/>
  <c r="X201"/>
  <c r="AF201" s="1"/>
  <c r="AE201"/>
  <c r="X194"/>
  <c r="AF194" s="1"/>
  <c r="AE194"/>
  <c r="X199"/>
  <c r="AF199" s="1"/>
  <c r="AE199"/>
  <c r="AE186"/>
  <c r="X186"/>
  <c r="AF186" s="1"/>
  <c r="X182"/>
  <c r="AF182" s="1"/>
  <c r="AE182"/>
  <c r="X123"/>
  <c r="AF123" s="1"/>
  <c r="AE123"/>
  <c r="AE29"/>
  <c r="X29"/>
  <c r="AF29" s="1"/>
  <c r="F42" i="1" l="1"/>
  <c r="H43" l="1"/>
  <c r="Q43"/>
  <c r="L43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"/>
  <c r="AA26"/>
  <c r="AA21"/>
  <c r="R43" l="1"/>
  <c r="M43"/>
  <c r="AA41"/>
  <c r="AB41" s="1"/>
  <c r="Z41"/>
  <c r="AA40"/>
  <c r="AB40" s="1"/>
  <c r="Z40"/>
  <c r="AA39"/>
  <c r="AB39" s="1"/>
  <c r="Z39"/>
  <c r="AA38"/>
  <c r="AB38" s="1"/>
  <c r="Z38"/>
  <c r="AA37"/>
  <c r="AB37" s="1"/>
  <c r="Z37"/>
  <c r="AA36"/>
  <c r="AB36" s="1"/>
  <c r="Z36"/>
  <c r="AA35"/>
  <c r="AB35" s="1"/>
  <c r="Z35"/>
  <c r="AA34"/>
  <c r="AB34" s="1"/>
  <c r="Z34"/>
  <c r="AA33"/>
  <c r="AB33" s="1"/>
  <c r="Z33"/>
  <c r="AA32"/>
  <c r="AB32" s="1"/>
  <c r="Z32"/>
  <c r="AA31"/>
  <c r="AB31" s="1"/>
  <c r="Z31"/>
  <c r="AA30"/>
  <c r="AB30" s="1"/>
  <c r="Z30"/>
  <c r="AA29"/>
  <c r="AB29" s="1"/>
  <c r="Z29"/>
  <c r="AA28"/>
  <c r="AB28" s="1"/>
  <c r="Z28"/>
  <c r="AA27"/>
  <c r="AB27" s="1"/>
  <c r="Z27"/>
  <c r="AB26"/>
  <c r="Z26"/>
  <c r="AA25"/>
  <c r="AB25" s="1"/>
  <c r="Z25"/>
  <c r="AA24"/>
  <c r="AB24" s="1"/>
  <c r="Z24"/>
  <c r="AA23"/>
  <c r="AB23" s="1"/>
  <c r="Z23"/>
  <c r="AA22"/>
  <c r="AB22" s="1"/>
  <c r="Z22"/>
  <c r="AB21"/>
  <c r="Z21"/>
  <c r="AA20"/>
  <c r="AB20" s="1"/>
  <c r="Z20"/>
  <c r="AA19"/>
  <c r="AB19" s="1"/>
  <c r="Z19"/>
  <c r="AA18"/>
  <c r="AB18" s="1"/>
  <c r="Z18"/>
  <c r="AA17"/>
  <c r="AB17" s="1"/>
  <c r="Z17"/>
  <c r="AA16"/>
  <c r="AB16" s="1"/>
  <c r="Z16"/>
  <c r="AA15"/>
  <c r="AB15" s="1"/>
  <c r="Z15"/>
  <c r="AA14"/>
  <c r="AB14" s="1"/>
  <c r="Z14"/>
  <c r="AA13"/>
  <c r="AB13" s="1"/>
  <c r="Z13"/>
  <c r="AA12"/>
  <c r="AB12" s="1"/>
  <c r="Z12"/>
  <c r="AA11"/>
  <c r="AB11" s="1"/>
  <c r="Z11"/>
  <c r="AA10"/>
  <c r="AB10" s="1"/>
  <c r="Z10"/>
  <c r="AA9"/>
  <c r="AB9" s="1"/>
  <c r="Z9"/>
  <c r="AA8"/>
  <c r="AB8" s="1"/>
  <c r="Z8"/>
  <c r="AA7"/>
  <c r="AB7" s="1"/>
  <c r="Z7"/>
  <c r="AA6"/>
  <c r="AB6" s="1"/>
  <c r="Z6"/>
  <c r="AA5"/>
  <c r="AB5" s="1"/>
  <c r="Z5"/>
  <c r="AA4"/>
  <c r="AB4" s="1"/>
  <c r="Z4"/>
  <c r="AB45" l="1"/>
  <c r="Z43"/>
  <c r="Z44"/>
  <c r="AB49"/>
  <c r="AB48"/>
  <c r="AB47"/>
  <c r="AB46"/>
</calcChain>
</file>

<file path=xl/sharedStrings.xml><?xml version="1.0" encoding="utf-8"?>
<sst xmlns="http://schemas.openxmlformats.org/spreadsheetml/2006/main" count="1487" uniqueCount="396">
  <si>
    <t>MANGALORE SOUTH WARDWISE STATISTICAL ANALYSIS OF YEAR 2014 AND 2018</t>
  </si>
  <si>
    <t>SL. NO</t>
  </si>
  <si>
    <t>WARD NO.</t>
  </si>
  <si>
    <t>WARD NAME</t>
  </si>
  <si>
    <t>TOTAL NO. OF BOOTH</t>
  </si>
  <si>
    <t>BOOTH DETAILS</t>
  </si>
  <si>
    <t>TOTAL POLLED</t>
  </si>
  <si>
    <t>BJP</t>
  </si>
  <si>
    <t>CONGRESS</t>
  </si>
  <si>
    <t>WARD STATUS</t>
  </si>
  <si>
    <t>WIN MARGIN</t>
  </si>
  <si>
    <t>MARGIN STATUS</t>
  </si>
  <si>
    <t>MEAN</t>
  </si>
  <si>
    <t>VARIANCE</t>
  </si>
  <si>
    <t>BOOTH STATUS(POOLING)</t>
  </si>
  <si>
    <t>HINDU POPULATION STATUS</t>
  </si>
  <si>
    <t>OTHERS POPULATION STATUS</t>
  </si>
  <si>
    <t>GENDER RATIO</t>
  </si>
  <si>
    <t>RATIO OF COMPARISION NON VOTERS</t>
  </si>
  <si>
    <t>28,29,48,49,50,51</t>
  </si>
  <si>
    <t>AVG</t>
  </si>
  <si>
    <t>VLOW</t>
  </si>
  <si>
    <t>EXCELLENT</t>
  </si>
  <si>
    <t>FEMALE DOM</t>
  </si>
  <si>
    <t>8,10,11,12,13,15</t>
  </si>
  <si>
    <t>4,5,6,7,1,2</t>
  </si>
  <si>
    <t>STRONG</t>
  </si>
  <si>
    <t>3,4,75,75,77,78,79,80</t>
  </si>
  <si>
    <t>71,73,74,81,82,83</t>
  </si>
  <si>
    <t>68,69,70,72</t>
  </si>
  <si>
    <t>MEN</t>
  </si>
  <si>
    <t>61,62,63,64</t>
  </si>
  <si>
    <t>H</t>
  </si>
  <si>
    <t>20,22,23,59,60</t>
  </si>
  <si>
    <t>14,16,17,18,19,21</t>
  </si>
  <si>
    <t>O</t>
  </si>
  <si>
    <t>24,27,57,25,26</t>
  </si>
  <si>
    <t>54,55,56,58</t>
  </si>
  <si>
    <t>52,53,117,119,123</t>
  </si>
  <si>
    <t>WEAK</t>
  </si>
  <si>
    <t>30,31,34,38,39,35,37</t>
  </si>
  <si>
    <t>32,33,36</t>
  </si>
  <si>
    <t>42,43,44,45,46,47</t>
  </si>
  <si>
    <t>117,118,122,124,148,149,153</t>
  </si>
  <si>
    <t>144,145,146,154,155,147</t>
  </si>
  <si>
    <t>114,115,116,129,130</t>
  </si>
  <si>
    <t>111,112,113,109,110</t>
  </si>
  <si>
    <t>DONGARAKERY</t>
  </si>
  <si>
    <t>65, 66, 67, 98,100, 102,103</t>
  </si>
  <si>
    <t>KUDROLI</t>
  </si>
  <si>
    <t>94, 95, 96, 97,99</t>
  </si>
  <si>
    <t>NAVAYATH</t>
  </si>
  <si>
    <t>PORT</t>
  </si>
  <si>
    <t>131,135, 136, 208, 209, 210</t>
  </si>
  <si>
    <t>CONTONMENT</t>
  </si>
  <si>
    <t>125, 128, 132, 133, 137</t>
  </si>
  <si>
    <t>MILLAGRES</t>
  </si>
  <si>
    <t>126, 127, 150, 151, 152</t>
  </si>
  <si>
    <t>VALANCIA</t>
  </si>
  <si>
    <t>120, 121, 156, 157, 158, 165</t>
  </si>
  <si>
    <t>KANKANADY</t>
  </si>
  <si>
    <t>157, 160, 161, 167, 163, 164</t>
  </si>
  <si>
    <t>ALAPE SOUTH</t>
  </si>
  <si>
    <t>166, 167, 168, 169, 170, 189, 190, 191</t>
  </si>
  <si>
    <t>ALAPE NORTH</t>
  </si>
  <si>
    <t>40, 41, 171, 172, 173, 174, 179</t>
  </si>
  <si>
    <t>KANNUR</t>
  </si>
  <si>
    <t>175, 176, 177,178, 180, 181</t>
  </si>
  <si>
    <t>BAJAL</t>
  </si>
  <si>
    <t>182, 183, 184, 185, 186,187, 188</t>
  </si>
  <si>
    <t>JAPPINAMOGARU</t>
  </si>
  <si>
    <t>192, 193, 194, 195, 219</t>
  </si>
  <si>
    <t>ATTAVARA</t>
  </si>
  <si>
    <t>138, 139, 140, 197, 198, 199, 200, 217</t>
  </si>
  <si>
    <t>MANGALADEVI</t>
  </si>
  <si>
    <t>199, 200, 202, 203, 204</t>
  </si>
  <si>
    <t>HOIGE BAZAR</t>
  </si>
  <si>
    <t>206, 207, 210, 213, 214</t>
  </si>
  <si>
    <t>BOLOOR</t>
  </si>
  <si>
    <t>201, 211, 212, 205</t>
  </si>
  <si>
    <t>JEPPU</t>
  </si>
  <si>
    <t>141, 142, 143, 196, 215, 216</t>
  </si>
  <si>
    <t>BENGRE</t>
  </si>
  <si>
    <t>84, 85, 91, 93, 185, 186, 184</t>
  </si>
  <si>
    <t>NARROW MARGIN</t>
  </si>
  <si>
    <t>BJP GAIN</t>
  </si>
  <si>
    <t>NARROWMARGIN</t>
  </si>
  <si>
    <t>CONGRESS GAIN</t>
  </si>
  <si>
    <t>LOW MARGIN</t>
  </si>
  <si>
    <t>LOWMARGIN</t>
  </si>
  <si>
    <t>MEDIUM MARGIN</t>
  </si>
  <si>
    <t>HIGH MARGIN</t>
  </si>
  <si>
    <t>HIGHMARGIN</t>
  </si>
  <si>
    <t>VERY HIGH MARGIN</t>
  </si>
  <si>
    <t>VERYHIGHMARGIN</t>
  </si>
  <si>
    <t xml:space="preserve"> TOTAL BJP</t>
  </si>
  <si>
    <t>TOTAL CONGRESS</t>
  </si>
  <si>
    <t>106, 107, 108, 109,101, 104</t>
  </si>
  <si>
    <t>BJP WARD WISE MARGIN BASED STATISTICAL ANALYSIS OF YEAR 2014 AND 2018</t>
  </si>
  <si>
    <t>MEDIUMMARGIN</t>
  </si>
  <si>
    <t>PADAV CENTRAL</t>
  </si>
  <si>
    <t>MAROLI</t>
  </si>
  <si>
    <t>COURT</t>
  </si>
  <si>
    <t>PADAV WEST</t>
  </si>
  <si>
    <t>DEREBAIL SOUTH</t>
  </si>
  <si>
    <t>DEREBAIL WEST</t>
  </si>
  <si>
    <t>DEREBAIL NAIRUTHYA</t>
  </si>
  <si>
    <t>KODIALBAIL</t>
  </si>
  <si>
    <t>BEJAI</t>
  </si>
  <si>
    <t>KADRI NORTH</t>
  </si>
  <si>
    <t>KADRI SOUTH</t>
  </si>
  <si>
    <t>MANNAGUDDA</t>
  </si>
  <si>
    <t>KAMBALA</t>
  </si>
  <si>
    <t>CENTRAL</t>
  </si>
  <si>
    <t>SHIVABAGH</t>
  </si>
  <si>
    <t>PADAV EAST</t>
  </si>
  <si>
    <t>BENDOOR</t>
  </si>
  <si>
    <t>FALNIR</t>
  </si>
  <si>
    <t>CONGRESS WARD WISE MARGIN BASED STATISTICAL ANALYSIS OF YEAR 2014 AND 2018</t>
  </si>
  <si>
    <t>%</t>
  </si>
  <si>
    <t>AVERAGE</t>
  </si>
  <si>
    <t>POLLED</t>
  </si>
  <si>
    <t>TOTAL VOTERS</t>
  </si>
  <si>
    <t>TOTAL</t>
  </si>
  <si>
    <t>Booth No.</t>
  </si>
  <si>
    <t>PS Address</t>
  </si>
  <si>
    <t>Total Votes</t>
  </si>
  <si>
    <t>Total Polled Votes</t>
  </si>
  <si>
    <t>% of Votes Polled</t>
  </si>
  <si>
    <t>INC</t>
  </si>
  <si>
    <t>BSP</t>
  </si>
  <si>
    <t>CPIM</t>
  </si>
  <si>
    <t>AAP</t>
  </si>
  <si>
    <t>NOTA</t>
  </si>
  <si>
    <t>OTH</t>
  </si>
  <si>
    <t>Ashoka Nagar Higher Primary School  Ashoknagar  Ashoka Sadana (North Portion)</t>
  </si>
  <si>
    <t>Ashoka Nagar Higher Primary School, Ashoka Sadana (Middle Portion)</t>
  </si>
  <si>
    <t>Ashoka Nagar Higher Primary School. Ashoknagar  Sharada Sadana (East Portion)</t>
  </si>
  <si>
    <t>Ashoka Nagar Higher Primary School, Ashokanagara  Sharada Sadansa (Middle Wing )</t>
  </si>
  <si>
    <t>Saintt Peters Higher Primary School, Kottara (East Portion of New Building )</t>
  </si>
  <si>
    <t>Saint Peters Higher Primary School, Kottara (Middle Portion of New Building)</t>
  </si>
  <si>
    <t>Saint Peters Higher Primary School, Kottara( East part of Middle portion of New Building</t>
  </si>
  <si>
    <t>Saint Peters Higher Primary School, Kottara (West wing of New Building)</t>
  </si>
  <si>
    <t>Saint Peters Higher Primary School, Kottara (West wing of Old  Building)</t>
  </si>
  <si>
    <t>Lady Hill Higher Primary School, Lady Hill (Middle Division)</t>
  </si>
  <si>
    <t>Lady Hill Higher Primary School, Lady Hill (East wing)</t>
  </si>
  <si>
    <t>Ladyhill Victoria Girls High School, Lady Hill (North Wing)</t>
  </si>
  <si>
    <t>Lady Hill Victoria Girls High School, Lady Hill (South Wing)</t>
  </si>
  <si>
    <t>Dakshina Kannada Zilla Panchayath Higher Priamary School, Bejai, Kapikad (first room)</t>
  </si>
  <si>
    <t>Daskhina Kannada Zilla Panchayath Higher Primary School, Kapikad (2nd Room of middle Wing )</t>
  </si>
  <si>
    <t>Dakshina Kannada Zilla Panchayath Higher Primary School, Kapikad (2nd Room  of South wing)</t>
  </si>
  <si>
    <t>Dakshina Kannada Zilla Panchayath Higher Primary School, Kapikad (First Room  of East Building)</t>
  </si>
  <si>
    <t>St Francis Xavier Higher Primary School, Bejai (South Wing of South Building)</t>
  </si>
  <si>
    <t>St Francis Xaiver Higher Primary School, Bejai (North Wing  of South Building)</t>
  </si>
  <si>
    <t>St Francis Xavier High School, Bejai (North wing)</t>
  </si>
  <si>
    <t>Lourds High School, Bejai (East Wing)</t>
  </si>
  <si>
    <t>Lourds High School, Bejai (North wing of North Building)</t>
  </si>
  <si>
    <t>Lourds High School, Bejai, (South wing of North Building)</t>
  </si>
  <si>
    <t>Padavu High School, Padavu (East Wing)</t>
  </si>
  <si>
    <t>Padavu High School, Padavu (South Portion of East Wing)</t>
  </si>
  <si>
    <t>Padavu High School, Padavu (South Wing)</t>
  </si>
  <si>
    <t>K.S.S.I.D.C. Office Building, Yeyyadi</t>
  </si>
  <si>
    <t>Dakshina Kannda Zilla Panchayath Higher Primary School, Nalyapadavu, Shakthinagar (New Building)</t>
  </si>
  <si>
    <t>D. K.Zilla Panchayath Higher Primary School, Nalyapadavu, Shakthinagar ( East Wing of New Building )</t>
  </si>
  <si>
    <t>D. K. Zilla Panchayath Higher Primary School, Nalyapadavu, Shakthi Nagar(West Wing of new Building)</t>
  </si>
  <si>
    <t>D .K. Zilla Panchayath Higher Primary School, Nalyapadavu, Shakthi nagar (West portion of New Building)</t>
  </si>
  <si>
    <t>Sacred Heart High School, Kulashekar (1st room of East  Portion)</t>
  </si>
  <si>
    <t>Sacred Heart High School, Kulashekara (2nd Room of East Portion)</t>
  </si>
  <si>
    <t>Saint Joseph Higher Primary School, Kulashekara (Room no 1 of South building</t>
  </si>
  <si>
    <t>Saint Joseph Higher Primary School, Kulashekar (Room no 2 of South Building)</t>
  </si>
  <si>
    <t>Saint Joseph Higher Primary School, Kulashekar (Room no 3 of South Building)</t>
  </si>
  <si>
    <t>Saint Joseph Higher Primary School, Kulashekarr (Room no 4 of South Building)</t>
  </si>
  <si>
    <t>Saint Joseph Higher Primary School, Kulashekar (Room no 1  South Building )</t>
  </si>
  <si>
    <t>Saint Joseph Higher Primary School, Kulashekar (Room no 2 of South  Building)</t>
  </si>
  <si>
    <t>Anganavadi Centre, Saripalla, (Club Builiding) North wing</t>
  </si>
  <si>
    <t>Anganavadi Centre, Saripalla, (Club Builiding) South Wing</t>
  </si>
  <si>
    <t>Guardian Anglels Higher Primary School, Maroli (Middle Wing of East Building)</t>
  </si>
  <si>
    <t>Guardian Anglels Higher Primary School, Maroli (Stage Building)</t>
  </si>
  <si>
    <t>Guardian Angels Higher Primary School, Muroli (North Wing  of West Bulding)</t>
  </si>
  <si>
    <t>Guardian Angels Higher Primary SChool, Maroli (South Wing  of West Building)</t>
  </si>
  <si>
    <t>Guardian Angels Higher Primary School, Maroli (North Wing of West Building)</t>
  </si>
  <si>
    <t>Guardian Angles Higher Primary School, Maroli (North Wing  of  West Buliding)</t>
  </si>
  <si>
    <t>D. K Zilla Panchayath Higher Primary School, Bikarnakatte padavu(Left portion of building)</t>
  </si>
  <si>
    <t>Dakshina Kannada Zilla Panchayath Higher Primary School,  (Left portion of middle Building)</t>
  </si>
  <si>
    <t>D. K.Zilla Panchayath Higher Primary School, Bikarna Katte, Right Wing of the middle Buliding)</t>
  </si>
  <si>
    <t>Dakshina Kannada zilla Panchayath Higher Primary School, Bikarnakatte , (Right portion of Middle  Building)</t>
  </si>
  <si>
    <t>St Joseph Higher Primary School, Nanthuru Padavu, Kalvari (South Wing of Ground Floor of New Bilding</t>
  </si>
  <si>
    <t>St Joseph Higher Primary School, Nanthuru Padavu, Kalvari (North wing of ground floor of new Bilding</t>
  </si>
  <si>
    <t>Dakshina Kannada Zilla Panchayath Higher Primary School, Kadri, Mallikatte (East Wing)</t>
  </si>
  <si>
    <t>Dakshina Kannada Zilla Panchayath Higher Primary School, Kadri, Mallikatte (West wing )</t>
  </si>
  <si>
    <t>Dakshina Kannada Zilla Panchayath Higher Primary School, Kadri, Mallikatte(North Wing of East Bldng)</t>
  </si>
  <si>
    <t>Dakshina Kannada Zilla Panchayath High School, Kadri Mallikatte (East Wing)</t>
  </si>
  <si>
    <t>Dakshina Kannada Zilla Panchayath High School, Kadri Mallikatte (West Wing)</t>
  </si>
  <si>
    <t>District Education and Training Institute ,Kodialbail (West  Wing)</t>
  </si>
  <si>
    <t>District Education and Training Institute , Kodialbail, Mangalore (Middle Wing of Middle Building)</t>
  </si>
  <si>
    <t>District Education and Training Institute, Kodilbail, Mangalore (North wing of Middle Building)</t>
  </si>
  <si>
    <t>Canara College ,Kodialbail, Mangalore (Room no  14 of East Portin of South Building)</t>
  </si>
  <si>
    <t>Canara College, Kodialbail, Mangalore (Room no  15 of West Wing of South Building )</t>
  </si>
  <si>
    <t>Sri Dharmasthala Manjunatheshwara Law College ,  Kodialbail, Mangalore(west wing of north building)</t>
  </si>
  <si>
    <t>Sri Dharmasthala Manjunatheshwara Law College , (Middle Wing of North portion)</t>
  </si>
  <si>
    <t>Dakshina Kannada Zilla Panchayath Higher Primary School, Mannugudde (Back Side Building)</t>
  </si>
  <si>
    <t>Dakshina Kannada Zilla Panchayath Higher Primary School, Mannugudde (Middle Wing)</t>
  </si>
  <si>
    <t>Dakshina Kannada Zilla Panchayath Higher Primary School, Mannugudde (West wing)</t>
  </si>
  <si>
    <t>D.Kannada Zilla Panchayalth Model Higher Primary School, Bokkapatna ,Matadakani Road (East wing Of Old Bldng)</t>
  </si>
  <si>
    <t>D.K Z. Panchayath Model Higher Primary School, Bokkapattana , Matadakani Road(West Wing)</t>
  </si>
  <si>
    <t>D.K.Zilla Panchayath Model Higher Primary School, Bokkapattana, Matadakani Road (North West Building)</t>
  </si>
  <si>
    <t>Dakshina Kannada Zilla Panchayath Higher Primary School, Gandhinagar (Middle Wing)</t>
  </si>
  <si>
    <t>Dakshina Kannada Zilla Panchayath Higher Primary School, Gandhinagar (North Wing)</t>
  </si>
  <si>
    <t>Dakshina Kannada Zilla Panchayath Higher Primary School, Gandhinagar (South Wing)</t>
  </si>
  <si>
    <t>Saint Aloysiws English Medium Higher Primary School, Urva (West Wing)</t>
  </si>
  <si>
    <t>Saint Aloysiws English Medium Higher Primary School, Urva (South Wing)</t>
  </si>
  <si>
    <t>Saint Aloysiws Higher Primary School, Urva (East wing of South Building)</t>
  </si>
  <si>
    <t>Saint Aloysiws Higher Primary School, Urva (West wing of South Building)</t>
  </si>
  <si>
    <t>Saint Aloysiws English Medium Higher primary School, Urva (East Wing)</t>
  </si>
  <si>
    <t>Saint Aloysiws English Medium Higher Primary School, Urva (Middle Wing</t>
  </si>
  <si>
    <t>D.K. Z. Panchayath Higher Primary School, Bokkapattana , Boloor Road (East Wing of West  Building)</t>
  </si>
  <si>
    <t>D.K. Z. Panchayath Higher Primary School, Bokkapattana , Boloor Road (East Building)</t>
  </si>
  <si>
    <t>D. K. Z. Panchayath Higher Primary School, Bokkapattana, Boloor Road (West Wing Of West Building)</t>
  </si>
  <si>
    <t>Anganavadi Centre, Kudroli Bengre</t>
  </si>
  <si>
    <t>Dakshina Kannada Zilla Panchayath Higher Primary School, Kasba, Bengre (North Portion)</t>
  </si>
  <si>
    <t>Dakshina Kannada Zilla Panchayath Higher Primary School, Kasba, Bengre (West Portion)</t>
  </si>
  <si>
    <t>Dakshina Kannada Zilla Panchayath Higher Primary School, Kasba, Bengre (North Portion of the Hall)</t>
  </si>
  <si>
    <t>Dakshina Kannada Zilla Panchayath Higher Primary School, Kasba, Bengre (North Portion of East wing)</t>
  </si>
  <si>
    <t>Dakshina Kannada Zilla Panchayath Higher Primary School, Kasba Bengre (South Wing)</t>
  </si>
  <si>
    <t>Dakshina Kannada Zilla Panchayath Higher Primary SChool, Kasba, Bengre,(West portion of South Wing)</t>
  </si>
  <si>
    <t>Dakshina Kannada Zilla Panchayath Higher Primary School, Sandpit, Bangre(South Portion of New Building)</t>
  </si>
  <si>
    <t>Dakshina Kannada Zilla Panchayath Higher Primary School, Sandpit, Bangre(North Portion of the New Building)</t>
  </si>
  <si>
    <t>Dakshina Kananda Zilla Panchayath Higher Primary School, Sandpit , Bengre,(North portion)</t>
  </si>
  <si>
    <t>Vishranthi Nilaya, Community Hall, Bokkapatna (East Portion)</t>
  </si>
  <si>
    <t>Vishranthi Nilaya, Community Hall, Bokkapatna (West Portion)</t>
  </si>
  <si>
    <t>United Bosel Mission Higher Primary School, Bokkapattana (East Wing of New Building)</t>
  </si>
  <si>
    <t>United Bosel Mission Higher Primary School, Bokkapattana (South  Portion of Old Building)</t>
  </si>
  <si>
    <t>D.K.Z.P.Urdu H. P.School,Kudroli ( Sarvasikshana Abhiyana Building North Portion)</t>
  </si>
  <si>
    <t>Dakshina Kananda Zilla Panchayath Urdu Higher Primary SChool, Kudroli (Sarva Shikshana Abhiyana Building South Portion)</t>
  </si>
  <si>
    <t>Dakshina Kananda Zilla Panchayath Urdu Higher Primary School, Kudroli (East Side Of Middle Wing)</t>
  </si>
  <si>
    <t>Government Girls Pre-University College Car Street (South Wing West Building)</t>
  </si>
  <si>
    <t>Government Girls Pre- University College, Car street (North Wing Of West Building)</t>
  </si>
  <si>
    <t>B.E.M Higer Primary School,Carstreet (North Wing East Portion - 1st Std. Class Room)</t>
  </si>
  <si>
    <t>B.E.M Higer Primary School,Carstreet (North Wing East Portion - 5th Std. Class Room)</t>
  </si>
  <si>
    <t>Dakshina Kannada Zilla Panchayath Lower Primary School, Kandathapalli (Middle Wing)</t>
  </si>
  <si>
    <t>Dakshina Kannada Zilla Panchayath Lower Primary School,  Kandathapalli (East Wing)</t>
  </si>
  <si>
    <t>Dakshina Kannada Zilla Panchayath Urdu High School, Bunder (South Portion Of East Building)</t>
  </si>
  <si>
    <t>Govt High School(Urdu), Bunder (North portion of New Building)</t>
  </si>
  <si>
    <t>Dakshina Kannada Zilla Panchayath Higher Primary School, Bastigarden (West Wing)</t>
  </si>
  <si>
    <t>Dakshina Kannada Zilla Panchayath Higher Primary School, Bastigarden (East Wing)</t>
  </si>
  <si>
    <t>Ganapathi Composite Aided Pre-University College (South Wing Of Hall)</t>
  </si>
  <si>
    <t>Ganapathi Composite Aided Pre-University College  ( North Wing Of Hall)</t>
  </si>
  <si>
    <t>Ganapathi Kannada Medium Higher  Primary School, Hampanakatte (North  Wing )</t>
  </si>
  <si>
    <t>Milagrese English Medium Higher Primary School, Hampanakatta ,(East Portion - LKG Room No. 106)</t>
  </si>
  <si>
    <t>Milagrese English Medium Higher Primary School, Hampanakatta ,(East Portion - LKG Room No. 101)</t>
  </si>
  <si>
    <t>Government  Girls Pre-University College, Balmatta (West Wing of Old  Building)</t>
  </si>
  <si>
    <t>Government Girls Pre-University college, Balmatta (West Wing of New Building)</t>
  </si>
  <si>
    <t>Saint Agnes High School, Bendoor (North wing of Meeting hall)</t>
  </si>
  <si>
    <t>St Agnes High School, Bendoor (South wing of Meeting Hall)</t>
  </si>
  <si>
    <t>Saint Joseph Higher Primary School, Kankanady (North Wing)</t>
  </si>
  <si>
    <t>Saint Joseph Higher Primary School, Kankanady (South Wing)</t>
  </si>
  <si>
    <t>Saint Sebastian Higher Primary School, Bendoor (East Wing)</t>
  </si>
  <si>
    <t>St Sebastian Higher Primary School, Bendoor (West  Wing)</t>
  </si>
  <si>
    <t>Saint Agnes Higher Primary School, Bendoor, (West wing of Main Building)</t>
  </si>
  <si>
    <t>Dakshina Kannada Zilla Panchayath  Higher Primary School, Athavara (East Building Hall)</t>
  </si>
  <si>
    <t>Dakshina Kannada Zilla Panchayath  Higher Primary school, Attavara (East Wing)</t>
  </si>
  <si>
    <t>Dakshina Kannada Zilla Panchayath  Higher Primary School, Attavara (West Wing)</t>
  </si>
  <si>
    <t>University College, Hampanakatte, (North Wing)</t>
  </si>
  <si>
    <t>University College, Hampanakatte , (South Wing)</t>
  </si>
  <si>
    <t>Dr.Dayananda Pai and Sathish Pai Building,University College, Hampanakatte</t>
  </si>
  <si>
    <t>D. Kannada Zilla Panchayath Higher Primary  Schoool, Pandeshwara (North Wing of Main Building)</t>
  </si>
  <si>
    <t>Dakshina Kannada Zilla Panchayath Higher Primary School, Pandeshwara (South wing of Main Building</t>
  </si>
  <si>
    <t>Dakshina Kannada Zilla Panchayath Higher Primary School, Pandeshwara ( East wing  of South Building</t>
  </si>
  <si>
    <t>Daskhina Kannada Zilla Panchayath Higher Primary School, Pandeshwara (West Wing Of South Building)</t>
  </si>
  <si>
    <t>Badriya English Medium, Higher Primary School, Bunder (East wing )</t>
  </si>
  <si>
    <t>Badriya English Medium Higher Primary School, Bunder, (West wing)</t>
  </si>
  <si>
    <t>Dakshina Kannada Zilla Panchayath Lower  Primary School, Babugudde (East Wing)</t>
  </si>
  <si>
    <t>Dakshina Kannad Zilla Panchayath Lower PrimarySchool,Babugudde Attavar (Middle portion  )</t>
  </si>
  <si>
    <t>Dakshina Kannada Zilla PanchayathLowerPrimarySchool,Babugudde Attavara(West Portion )</t>
  </si>
  <si>
    <t>Kudmal Ranga Rao Samaja Bhavana Babugudda Attavara(South Portion)</t>
  </si>
  <si>
    <t>Saint Jerosa  High School, Jeppu  ( South Portion of West Building )</t>
  </si>
  <si>
    <t>Saint Jerosa  High School, Jeppu ( Middle Portion Of Main Building )</t>
  </si>
  <si>
    <t>Saint Jerosa High School, Jeppu (North Protion West Building)</t>
  </si>
  <si>
    <t>Infant Maries Higher Primary School, Jeppu (West Portion of South Building )</t>
  </si>
  <si>
    <t>Infant Maries Higher Primary School, Jeppu  (East Portion)</t>
  </si>
  <si>
    <t>Infant Maries Higher Primary School, Jeppu (South Wing Of East Building )</t>
  </si>
  <si>
    <t>Infant Maries Higher Primary School, Jeppu (North Portion)</t>
  </si>
  <si>
    <t>St Maries Girls High School, Falnir,( Room no 1)</t>
  </si>
  <si>
    <t>Saint Maries Girls Higher Primary School, Falnir, East wing</t>
  </si>
  <si>
    <t>St Maries Higher Primary School, Falnir, (South Wing)</t>
  </si>
  <si>
    <t>Saint Maries Girls high School, Falnir (East Portion Of Middle Building)</t>
  </si>
  <si>
    <t>United Bosel Mission Aided Higher Primary School, Balmatta</t>
  </si>
  <si>
    <t>United Bosel Mission Aided Higher Primary School, Gorigudda Jeppinamogaru(South Building East Portion)</t>
  </si>
  <si>
    <t>United Bosel Mission Aided Higher Primary School, Jeppu Gorigudde (South wing )</t>
  </si>
  <si>
    <t>Capitanio High School, Kankanady (South Wing )</t>
  </si>
  <si>
    <t>Capitanio High School, Kankanady (North  Wing )</t>
  </si>
  <si>
    <t>Capitanio High School, Kankanady (Middle Portion Of North Building )</t>
  </si>
  <si>
    <t>Capitanio High School,  Kankanady(Middle Portion Main Building)</t>
  </si>
  <si>
    <t>Capitanio High School, Kankanady(North Portion)</t>
  </si>
  <si>
    <t>Capitanio Higher Primary School Kankanady(North Portion of East Building)</t>
  </si>
  <si>
    <t>st.Joseph Hr.Pry.School Bajal Pakkaladka(Old Builing North Portion)</t>
  </si>
  <si>
    <t>St.Joseph Hr.Pry.School Bajal Pakkaladka ( Old Building South Portion)</t>
  </si>
  <si>
    <t>Capitanio Higher Primary School, Kankanady (Middle Portion Of East Builiding )</t>
  </si>
  <si>
    <t>Capitanio Higher Primary School, Kankanady (West wing of East Building )</t>
  </si>
  <si>
    <t>Adarsha Vidyanilaya Higher Primary School, Alape Karmaru (South Wing )</t>
  </si>
  <si>
    <t>Adarsha Vidyanilaya Higher Primary School, Alape Karmar ( Ist Room of South Wing )</t>
  </si>
  <si>
    <t>Adarsh Bharathi High School,Alape Karmaru (West wing )</t>
  </si>
  <si>
    <t>Adarsh Bharathi High School,Alape Karmar (Middle  wing )</t>
  </si>
  <si>
    <t>Adarsh Bharathi High School, Alape Karmar (East wing )</t>
  </si>
  <si>
    <t>Amritha College, Padil (East Portion)</t>
  </si>
  <si>
    <t>Amritha College, Padil (Stage Building )</t>
  </si>
  <si>
    <t>Amritha College, Padil (Middle Portion of East Side)</t>
  </si>
  <si>
    <t>Amritha College, Padil (Middle Portion of West Side)</t>
  </si>
  <si>
    <t>Anganavadi Centre, Veeranagar</t>
  </si>
  <si>
    <t>Ranga Mandira Veera Nagra</t>
  </si>
  <si>
    <t>Kannuru English Medium Higher Primary  School, Kannuru (East wing )</t>
  </si>
  <si>
    <t>Kannuru English Medium Higher Primary School, Kannuru (South Wing )</t>
  </si>
  <si>
    <t>Amritha College, Padil (West Portion)</t>
  </si>
  <si>
    <t>Old  Village Panchayath Office, Kannuru (South Wing )</t>
  </si>
  <si>
    <t>Old Village Panchayath Office, Kannuru (West wing )</t>
  </si>
  <si>
    <t>Dakshina Kannada Zilla Panchayath  Higher Primary School,Bajal Nanturu (Old Building )</t>
  </si>
  <si>
    <t>Dakshina Kannada Zilla Panchayath Higher Primary School.Bajal Nantoor (New Building)</t>
  </si>
  <si>
    <t>Dakshina Kannada Zilla Panchayath Higher Primary School, Bajal Padpu  (New Building )</t>
  </si>
  <si>
    <t>Dakshina Kannada Zilla Panchayath higher Primary School,Bajal  Padpu  (1 St room of Old Building)</t>
  </si>
  <si>
    <t>DKZP Hr. PRY.School Bajal Padpu(South Wing Of Old Building)</t>
  </si>
  <si>
    <t>DKZP Hr. Pry. School Bajal Padpu ( East Wing Of North Building)</t>
  </si>
  <si>
    <t>Saint Joseph Higher Primary School,Bajal Pakkaladka  (North wing )</t>
  </si>
  <si>
    <t>Saint Joseph Higher Primary School,Bajal Pakkaladka  (Middle Portion  )</t>
  </si>
  <si>
    <t>Saint Joseph Higher Primary School,Bajal Pakkaladka (South wing )</t>
  </si>
  <si>
    <t>Saint Joseph Higher Primary School,Bajal Pakkaladka (East Wing Of South Building)</t>
  </si>
  <si>
    <t>Dakshina Kannada Zilla Panchayath Kananda Medium Higher Primary School, Jappinamogaru (West Wing )</t>
  </si>
  <si>
    <t>Dakshina Kannada Zilla Panchayath Kannada Medium Higher Primary School, Jappinamogaru (Middle Portion )</t>
  </si>
  <si>
    <t>Dakshina Kannada Zilla Panchayath Kannada Medium Higher Primary School, Jappinamogaru (North wing )</t>
  </si>
  <si>
    <t>Dakshina Kannada Zilla Panchayath Higher Primary School, Jappinamogaru (East Wing )</t>
  </si>
  <si>
    <t>Dakshina Kannada Zilla Panchayath Higher Primary School, Valencia Suter Pet</t>
  </si>
  <si>
    <t>Cascia High School, Jeppu (North wing )</t>
  </si>
  <si>
    <t>Cascia High School, Jeppu (South wing )</t>
  </si>
  <si>
    <t>Saint Ritas Kannada Medium Aided Higher Primary School, Jeppu (North wing )</t>
  </si>
  <si>
    <t>Saint Retas Kannada Medium Aided Higher Primary School, Jeppu (Middle Wing )</t>
  </si>
  <si>
    <t>Saint Retas Kannada Medium Aided Higher Primary School, Jeppu (South wing )</t>
  </si>
  <si>
    <t>Saint Ritas Bala Christa Nursery School, Jeppu(Middle Wing Of East Buiding)</t>
  </si>
  <si>
    <t>Saint Jhon  Anganavadi Cenrre, Jeppu(North Wing Of East Building)</t>
  </si>
  <si>
    <t>Saint John Higher Primary School, Jeppu (Sharada Vachanalaya)</t>
  </si>
  <si>
    <t>Infant Jesus Joyland School, Bolar (East Wing, 4th Std, Class Room)</t>
  </si>
  <si>
    <t>Infant Jesus Joyland School, Bolar (West portion of the main building)</t>
  </si>
  <si>
    <t>Govt High School, Hoigebazar(North Wing Of Main Building)</t>
  </si>
  <si>
    <t>Sri Jnanodaya Lower Primary School, Hoigebazar (South wing of Main Building )</t>
  </si>
  <si>
    <t>Sri Jnanodaya Lower Primary School, Hoigebazar (North Wing Of Main Buliding)</t>
  </si>
  <si>
    <t>Government High School, Hoigebazar (West wing Of North Building )</t>
  </si>
  <si>
    <t>Dakshina Kannada Zilla Panchayath Model Higher Primary School, Bolar (West wing of South building )</t>
  </si>
  <si>
    <t>Dakshina Kannada Zilla Panchayath Model Higher Primary school, Bolar (East Wing of South Building )</t>
  </si>
  <si>
    <t>Daksina Kannada Zilla Panchayath Model higher Primary School, Bolar (South wing of West Building )</t>
  </si>
  <si>
    <t>Dakshina Kannada Zilla Panchayath Model Higher Primary School, Bolar (North wing of West Building )</t>
  </si>
  <si>
    <t>Dakshina Kannada Zilla Panchayath Higher Primary School, Mahakalipadpu (West wing )</t>
  </si>
  <si>
    <t>Daskhina Kannada Zilla Panchayath higher Primary School, Mahakalipadpu (Middle Wing)</t>
  </si>
  <si>
    <t>Dakshina Kannada Zilla Panchayath Higher Primary School, Mahakalipadpu (Room No 3 Middle Portion)</t>
  </si>
  <si>
    <t>Dakshina Kannada Zilla Panchayath Higher Primary School, Mahakalipadpu (East wing )</t>
  </si>
  <si>
    <t>St Sebastian Higher Primary School, Adamkudru</t>
  </si>
  <si>
    <t>BOOTH NO</t>
  </si>
  <si>
    <t>PS ADDRESS</t>
  </si>
  <si>
    <t>BJP %</t>
  </si>
  <si>
    <t>INC %</t>
  </si>
  <si>
    <t>JDS</t>
  </si>
  <si>
    <t>JDS %</t>
  </si>
  <si>
    <t>CPI</t>
  </si>
  <si>
    <t>CPI%</t>
  </si>
  <si>
    <t>MALE VOTERS</t>
  </si>
  <si>
    <t>FEMALE VOTERS</t>
  </si>
  <si>
    <t>PERCENTAGE POLLING</t>
  </si>
  <si>
    <t>HINDU</t>
  </si>
  <si>
    <t>HINDU PERCENTAGE IN THE CONSTITUENCY</t>
  </si>
  <si>
    <t>HINDU NOT POLLED</t>
  </si>
  <si>
    <t>% of HINDU NON VOTERS</t>
  </si>
  <si>
    <t xml:space="preserve">HINDU POLLED </t>
  </si>
  <si>
    <t>% OF HINDU VOTERS</t>
  </si>
  <si>
    <t>others</t>
  </si>
  <si>
    <t>OTHERS %</t>
  </si>
  <si>
    <t>others  NOT POLLED</t>
  </si>
  <si>
    <t>% OF OTHERS NOT POLLED</t>
  </si>
  <si>
    <t>others polled</t>
  </si>
  <si>
    <t xml:space="preserve">ratio of comparision non voters </t>
  </si>
  <si>
    <t>VOTE TRANSITION</t>
  </si>
  <si>
    <t>WIN STATUS</t>
  </si>
  <si>
    <t xml:space="preserve">                                                                      </t>
  </si>
  <si>
    <t>WIN</t>
  </si>
  <si>
    <t>LOSS</t>
  </si>
  <si>
    <t>SL.NO</t>
  </si>
  <si>
    <t>WARD NO</t>
  </si>
  <si>
    <t>MARGINSTATUS</t>
  </si>
  <si>
    <t>LOSS MARGIN</t>
  </si>
  <si>
    <t>TOTAL  POLLED</t>
  </si>
  <si>
    <t>BJP WIN MARGIN STATUS</t>
  </si>
  <si>
    <t>CONGRESS WIN MARGIN STATUS</t>
  </si>
  <si>
    <t>MANGALORE SOUTH BHOOTH WISE ANALYSIS OF YEAR 2018</t>
  </si>
  <si>
    <t>MANGALORE SOUTH BHOOTH WISE ANALYSIS OF YEAR 2014</t>
  </si>
  <si>
    <t>BOOTH STATUS</t>
  </si>
  <si>
    <t>NARROW  MARGIN</t>
  </si>
  <si>
    <t>STANDARD DEVIATION</t>
  </si>
  <si>
    <t>BJP POLLED</t>
  </si>
  <si>
    <t>CONGRESSPOLLED</t>
  </si>
  <si>
    <t>CONGRESS POLLED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</si>
</sst>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1" fontId="1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11" xfId="0" applyFont="1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10" fillId="8" borderId="1" xfId="0" applyFont="1" applyFill="1" applyBorder="1" applyAlignment="1" applyProtection="1">
      <alignment horizontal="center" vertical="center"/>
      <protection hidden="1"/>
    </xf>
    <xf numFmtId="0" fontId="0" fillId="8" borderId="1" xfId="0" applyNumberFormat="1" applyFill="1" applyBorder="1" applyAlignment="1" applyProtection="1">
      <alignment horizontal="center" vertical="center"/>
      <protection hidden="1"/>
    </xf>
    <xf numFmtId="2" fontId="0" fillId="8" borderId="1" xfId="0" applyNumberFormat="1" applyFill="1" applyBorder="1" applyAlignment="1" applyProtection="1">
      <alignment horizontal="center" vertical="center"/>
      <protection hidden="1"/>
    </xf>
    <xf numFmtId="164" fontId="0" fillId="8" borderId="1" xfId="1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164" fontId="0" fillId="0" borderId="1" xfId="1" applyNumberFormat="1" applyFont="1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9" fillId="8" borderId="1" xfId="0" applyFont="1" applyFill="1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 applyProtection="1">
      <alignment horizontal="center" vertical="center"/>
      <protection hidden="1"/>
    </xf>
    <xf numFmtId="0" fontId="0" fillId="8" borderId="1" xfId="0" applyNumberFormat="1" applyFont="1" applyFill="1" applyBorder="1" applyAlignment="1" applyProtection="1">
      <alignment horizontal="center" vertical="center"/>
      <protection hidden="1"/>
    </xf>
    <xf numFmtId="0" fontId="0" fillId="8" borderId="1" xfId="0" applyFont="1" applyFill="1" applyBorder="1" applyAlignment="1" applyProtection="1">
      <alignment horizontal="center" vertical="center"/>
      <protection hidden="1"/>
    </xf>
    <xf numFmtId="2" fontId="0" fillId="8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" xfId="0" applyFont="1" applyBorder="1" applyAlignment="1" applyProtection="1">
      <alignment horizontal="center" vertical="center"/>
      <protection hidden="1"/>
    </xf>
    <xf numFmtId="0" fontId="0" fillId="11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164" fontId="0" fillId="9" borderId="1" xfId="1" applyNumberFormat="1" applyFont="1" applyFill="1" applyBorder="1" applyAlignment="1" applyProtection="1">
      <alignment horizontal="center" vertical="center"/>
      <protection hidden="1"/>
    </xf>
    <xf numFmtId="0" fontId="16" fillId="8" borderId="1" xfId="0" applyNumberFormat="1" applyFont="1" applyFill="1" applyBorder="1" applyAlignment="1" applyProtection="1">
      <alignment horizontal="center" vertical="center"/>
      <protection hidden="1"/>
    </xf>
    <xf numFmtId="0" fontId="16" fillId="8" borderId="1" xfId="0" applyFont="1" applyFill="1" applyBorder="1" applyAlignment="1" applyProtection="1">
      <alignment horizontal="center" vertical="center"/>
      <protection hidden="1"/>
    </xf>
    <xf numFmtId="2" fontId="16" fillId="8" borderId="1" xfId="0" applyNumberFormat="1" applyFont="1" applyFill="1" applyBorder="1" applyAlignment="1" applyProtection="1">
      <alignment horizontal="center" vertical="center"/>
      <protection hidden="1"/>
    </xf>
    <xf numFmtId="164" fontId="16" fillId="8" borderId="1" xfId="1" applyNumberFormat="1" applyFont="1" applyFill="1" applyBorder="1" applyAlignment="1" applyProtection="1">
      <alignment horizontal="center" vertical="center"/>
      <protection hidden="1"/>
    </xf>
    <xf numFmtId="0" fontId="17" fillId="8" borderId="1" xfId="0" applyFont="1" applyFill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164" fontId="16" fillId="0" borderId="1" xfId="1" applyNumberFormat="1" applyFont="1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5" fillId="8" borderId="1" xfId="0" applyFont="1" applyFill="1" applyBorder="1" applyAlignment="1" applyProtection="1">
      <alignment horizontal="center" vertical="center"/>
      <protection hidden="1"/>
    </xf>
    <xf numFmtId="0" fontId="5" fillId="8" borderId="1" xfId="1" applyNumberFormat="1" applyFont="1" applyFill="1" applyBorder="1" applyAlignment="1" applyProtection="1">
      <alignment horizontal="center" vertical="center"/>
      <protection hidden="1"/>
    </xf>
    <xf numFmtId="2" fontId="5" fillId="8" borderId="1" xfId="0" applyNumberFormat="1" applyFont="1" applyFill="1" applyBorder="1" applyAlignment="1" applyProtection="1">
      <alignment horizontal="center" vertical="center"/>
      <protection hidden="1"/>
    </xf>
    <xf numFmtId="0" fontId="5" fillId="8" borderId="1" xfId="0" applyNumberFormat="1" applyFont="1" applyFill="1" applyBorder="1" applyAlignment="1" applyProtection="1">
      <alignment horizontal="center" vertical="center"/>
      <protection hidden="1"/>
    </xf>
    <xf numFmtId="164" fontId="5" fillId="8" borderId="1" xfId="1" applyNumberFormat="1" applyFont="1" applyFill="1" applyBorder="1" applyAlignment="1" applyProtection="1">
      <alignment horizontal="center" vertical="center"/>
      <protection hidden="1"/>
    </xf>
    <xf numFmtId="0" fontId="0" fillId="8" borderId="0" xfId="0" applyFill="1" applyProtection="1">
      <protection hidden="1"/>
    </xf>
    <xf numFmtId="0" fontId="0" fillId="10" borderId="1" xfId="0" applyFill="1" applyBorder="1" applyAlignment="1" applyProtection="1">
      <alignment horizontal="center"/>
      <protection hidden="1"/>
    </xf>
    <xf numFmtId="0" fontId="1" fillId="10" borderId="1" xfId="0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1" fillId="6" borderId="1" xfId="0" applyFont="1" applyFill="1" applyBorder="1" applyAlignment="1" applyProtection="1">
      <alignment horizontal="center" vertical="center"/>
      <protection hidden="1"/>
    </xf>
    <xf numFmtId="0" fontId="0" fillId="11" borderId="1" xfId="0" applyFill="1" applyBorder="1" applyAlignment="1" applyProtection="1">
      <alignment horizontal="center"/>
      <protection hidden="1"/>
    </xf>
    <xf numFmtId="0" fontId="1" fillId="11" borderId="1" xfId="0" applyFont="1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 applyProtection="1">
      <alignment horizontal="center"/>
      <protection hidden="1"/>
    </xf>
    <xf numFmtId="0" fontId="1" fillId="12" borderId="1" xfId="0" applyFont="1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 applyProtection="1">
      <alignment horizontal="center" vertical="center"/>
      <protection hidden="1"/>
    </xf>
    <xf numFmtId="0" fontId="0" fillId="3" borderId="6" xfId="0" applyFill="1" applyBorder="1" applyAlignment="1" applyProtection="1">
      <alignment horizontal="center" vertical="center"/>
      <protection hidden="1"/>
    </xf>
    <xf numFmtId="0" fontId="0" fillId="3" borderId="2" xfId="0" applyFill="1" applyBorder="1" applyAlignment="1" applyProtection="1">
      <alignment horizontal="center" vertical="center"/>
      <protection hidden="1"/>
    </xf>
    <xf numFmtId="0" fontId="0" fillId="9" borderId="2" xfId="0" applyFill="1" applyBorder="1" applyAlignment="1" applyProtection="1">
      <alignment horizontal="center" vertical="center"/>
      <protection hidden="1"/>
    </xf>
    <xf numFmtId="0" fontId="1" fillId="13" borderId="1" xfId="0" applyFont="1" applyFill="1" applyBorder="1" applyAlignment="1" applyProtection="1">
      <alignment horizontal="center" vertical="center"/>
      <protection hidden="1"/>
    </xf>
    <xf numFmtId="0" fontId="0" fillId="14" borderId="1" xfId="0" applyFill="1" applyBorder="1" applyProtection="1">
      <protection hidden="1"/>
    </xf>
    <xf numFmtId="0" fontId="0" fillId="14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/>
      <protection hidden="1"/>
    </xf>
    <xf numFmtId="0" fontId="19" fillId="8" borderId="1" xfId="0" applyFont="1" applyFill="1" applyBorder="1" applyAlignment="1" applyProtection="1">
      <alignment horizontal="center" vertical="center"/>
      <protection hidden="1"/>
    </xf>
    <xf numFmtId="0" fontId="5" fillId="8" borderId="0" xfId="0" applyFont="1" applyFill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5" fillId="8" borderId="1" xfId="0" applyFont="1" applyFill="1" applyBorder="1" applyAlignment="1" applyProtection="1">
      <alignment horizontal="center" vertical="center"/>
      <protection hidden="1"/>
    </xf>
    <xf numFmtId="0" fontId="5" fillId="13" borderId="1" xfId="0" applyFont="1" applyFill="1" applyBorder="1" applyAlignment="1" applyProtection="1">
      <alignment horizontal="center" vertic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1" fillId="4" borderId="2" xfId="0" applyFont="1" applyFill="1" applyBorder="1" applyAlignment="1" applyProtection="1">
      <alignment horizontal="center" vertical="center"/>
      <protection hidden="1"/>
    </xf>
    <xf numFmtId="0" fontId="1" fillId="4" borderId="5" xfId="0" applyFont="1" applyFill="1" applyBorder="1" applyAlignment="1" applyProtection="1">
      <alignment horizontal="center" vertical="center"/>
      <protection hidden="1"/>
    </xf>
    <xf numFmtId="0" fontId="1" fillId="4" borderId="6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5" xfId="0" applyFont="1" applyFill="1" applyBorder="1" applyAlignment="1" applyProtection="1">
      <alignment horizontal="center" vertical="center"/>
      <protection hidden="1"/>
    </xf>
    <xf numFmtId="0" fontId="1" fillId="3" borderId="6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8" fillId="4" borderId="1" xfId="0" applyFont="1" applyFill="1" applyBorder="1" applyAlignment="1" applyProtection="1">
      <alignment horizontal="center" vertical="center"/>
      <protection hidden="1"/>
    </xf>
    <xf numFmtId="0" fontId="18" fillId="6" borderId="1" xfId="0" applyFont="1" applyFill="1" applyBorder="1" applyAlignment="1" applyProtection="1">
      <alignment horizontal="center" vertical="center"/>
      <protection hidden="1"/>
    </xf>
    <xf numFmtId="0" fontId="1" fillId="2" borderId="8" xfId="0" applyFont="1" applyFill="1" applyBorder="1" applyAlignment="1" applyProtection="1">
      <alignment horizontal="center" vertical="center" wrapText="1"/>
      <protection hidden="1"/>
    </xf>
    <xf numFmtId="0" fontId="1" fillId="2" borderId="9" xfId="0" applyFont="1" applyFill="1" applyBorder="1" applyAlignment="1" applyProtection="1">
      <alignment horizontal="center" vertical="center" wrapText="1"/>
      <protection hidden="1"/>
    </xf>
    <xf numFmtId="0" fontId="1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10" xfId="0" applyFont="1" applyFill="1" applyBorder="1" applyAlignment="1" applyProtection="1">
      <alignment horizontal="center" vertical="center" wrapText="1"/>
      <protection hidden="1"/>
    </xf>
    <xf numFmtId="0" fontId="15" fillId="3" borderId="1" xfId="0" applyFont="1" applyFill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165" fontId="1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165" fontId="12" fillId="2" borderId="1" xfId="0" applyNumberFormat="1" applyFont="1" applyFill="1" applyBorder="1" applyAlignment="1" applyProtection="1">
      <alignment horizontal="center" vertical="center" textRotation="255"/>
      <protection hidden="1"/>
    </xf>
    <xf numFmtId="2" fontId="13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10" fillId="8" borderId="1" xfId="0" applyFont="1" applyFill="1" applyBorder="1" applyAlignment="1" applyProtection="1">
      <alignment vertical="center"/>
      <protection hidden="1"/>
    </xf>
    <xf numFmtId="2" fontId="10" fillId="8" borderId="1" xfId="0" applyNumberFormat="1" applyFont="1" applyFill="1" applyBorder="1" applyAlignment="1" applyProtection="1">
      <alignment horizontal="center" vertical="center"/>
      <protection hidden="1"/>
    </xf>
    <xf numFmtId="2" fontId="0" fillId="5" borderId="1" xfId="0" applyNumberFormat="1" applyFill="1" applyBorder="1" applyAlignment="1" applyProtection="1">
      <alignment horizontal="center" vertical="center"/>
      <protection hidden="1"/>
    </xf>
    <xf numFmtId="0" fontId="10" fillId="8" borderId="3" xfId="0" applyFont="1" applyFill="1" applyBorder="1" applyAlignment="1" applyProtection="1">
      <alignment horizontal="center" vertical="center"/>
      <protection hidden="1"/>
    </xf>
    <xf numFmtId="0" fontId="10" fillId="8" borderId="3" xfId="0" applyFont="1" applyFill="1" applyBorder="1" applyAlignment="1" applyProtection="1">
      <alignment vertical="center"/>
      <protection hidden="1"/>
    </xf>
    <xf numFmtId="2" fontId="10" fillId="8" borderId="3" xfId="0" applyNumberFormat="1" applyFont="1" applyFill="1" applyBorder="1" applyAlignment="1" applyProtection="1">
      <alignment horizontal="center" vertical="center"/>
      <protection hidden="1"/>
    </xf>
    <xf numFmtId="0" fontId="0" fillId="4" borderId="3" xfId="0" applyFill="1" applyBorder="1" applyProtection="1">
      <protection hidden="1"/>
    </xf>
    <xf numFmtId="2" fontId="0" fillId="5" borderId="3" xfId="0" applyNumberFormat="1" applyFill="1" applyBorder="1" applyAlignment="1" applyProtection="1">
      <alignment horizontal="center" vertical="center"/>
      <protection hidden="1"/>
    </xf>
    <xf numFmtId="0" fontId="0" fillId="4" borderId="3" xfId="0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0" fillId="3" borderId="4" xfId="0" applyFill="1" applyBorder="1" applyAlignment="1" applyProtection="1">
      <alignment horizontal="center" vertical="center"/>
      <protection hidden="1"/>
    </xf>
    <xf numFmtId="0" fontId="0" fillId="10" borderId="4" xfId="0" applyFill="1" applyBorder="1" applyAlignment="1" applyProtection="1">
      <alignment horizontal="center"/>
      <protection hidden="1"/>
    </xf>
    <xf numFmtId="0" fontId="1" fillId="10" borderId="4" xfId="0" applyFont="1" applyFill="1" applyBorder="1" applyAlignment="1" applyProtection="1">
      <alignment horizontal="center" vertical="center"/>
      <protection hidden="1"/>
    </xf>
  </cellXfs>
  <cellStyles count="2">
    <cellStyle name="Comma" xfId="1" builtinId="3"/>
    <cellStyle name="Normal" xfId="0" builtinId="0"/>
  </cellStyles>
  <dxfs count="252"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499568982010547E-2"/>
          <c:y val="0.20260987961260019"/>
          <c:w val="0.77875072764471465"/>
          <c:h val="0.64748602782716758"/>
        </c:manualLayout>
      </c:layout>
      <c:barChart>
        <c:barDir val="col"/>
        <c:grouping val="stacked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3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4"/>
            <c:spPr>
              <a:solidFill>
                <a:srgbClr val="00B050"/>
              </a:solidFill>
            </c:spPr>
          </c:dPt>
          <c:cat>
            <c:strRef>
              <c:f>'BJP WIN OR LOSS'!$A$34:$A$38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LOSS'!$B$34:$B$38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</c:ser>
        <c:overlap val="100"/>
        <c:axId val="65778816"/>
        <c:axId val="65780352"/>
      </c:barChart>
      <c:catAx>
        <c:axId val="6577881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65780352"/>
        <c:crosses val="autoZero"/>
        <c:auto val="1"/>
        <c:lblAlgn val="ctr"/>
        <c:lblOffset val="100"/>
      </c:catAx>
      <c:valAx>
        <c:axId val="6578035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657788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3.1809919563829954E-2"/>
          <c:y val="0.15185901486350778"/>
          <c:w val="0.81362596700271461"/>
          <c:h val="0.75558414295405951"/>
        </c:manualLayout>
      </c:layout>
      <c:barChart>
        <c:barDir val="col"/>
        <c:grouping val="stacked"/>
        <c:ser>
          <c:idx val="0"/>
          <c:order val="0"/>
          <c:dPt>
            <c:idx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3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4"/>
            <c:spPr>
              <a:solidFill>
                <a:srgbClr val="00B050"/>
              </a:solidFill>
            </c:spPr>
          </c:dPt>
          <c:cat>
            <c:strRef>
              <c:f>'BJP WIN OR LOSS'!$I$22:$I$26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LOSS'!$J$22:$J$26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overlap val="100"/>
        <c:axId val="66351872"/>
        <c:axId val="66353408"/>
      </c:barChart>
      <c:catAx>
        <c:axId val="6635187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66353408"/>
        <c:crosses val="autoZero"/>
        <c:auto val="1"/>
        <c:lblAlgn val="ctr"/>
        <c:lblOffset val="100"/>
      </c:catAx>
      <c:valAx>
        <c:axId val="66353408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66351872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74222</xdr:colOff>
      <xdr:row>38</xdr:row>
      <xdr:rowOff>174667</xdr:rowOff>
    </xdr:from>
    <xdr:to>
      <xdr:col>8</xdr:col>
      <xdr:colOff>742210</xdr:colOff>
      <xdr:row>55</xdr:row>
      <xdr:rowOff>160812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262246</xdr:colOff>
      <xdr:row>19</xdr:row>
      <xdr:rowOff>13854</xdr:rowOff>
    </xdr:from>
    <xdr:to>
      <xdr:col>21</xdr:col>
      <xdr:colOff>581395</xdr:colOff>
      <xdr:row>37</xdr:row>
      <xdr:rowOff>111331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0.2843</cdr:x>
      <cdr:y>0.01618</cdr:y>
    </cdr:from>
    <cdr:to>
      <cdr:x>0.77228</cdr:x>
      <cdr:y>0.16102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86396" y="50799"/>
          <a:ext cx="4267693" cy="454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latin typeface="+mn-lt"/>
              <a:ea typeface="+mn-ea"/>
              <a:cs typeface="+mn-cs"/>
            </a:rPr>
            <a:t>BJP  WIN  MARGIN  STATUS</a:t>
          </a:r>
          <a:endParaRPr lang="en-IN"/>
        </a:p>
        <a:p xmlns:a="http://schemas.openxmlformats.org/drawingml/2006/main">
          <a:endParaRPr lang="en-IN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0.36534</cdr:x>
      <cdr:y>0.01478</cdr:y>
    </cdr:from>
    <cdr:to>
      <cdr:x>0.78448</cdr:x>
      <cdr:y>0.13632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040579" y="50799"/>
          <a:ext cx="3488376" cy="417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latin typeface="+mn-lt"/>
              <a:ea typeface="+mn-ea"/>
              <a:cs typeface="+mn-cs"/>
            </a:rPr>
            <a:t>CONGRESS  WIN  MARGIN  STATUS</a:t>
          </a:r>
          <a:endParaRPr lang="en-IN" sz="1600"/>
        </a:p>
        <a:p xmlns:a="http://schemas.openxmlformats.org/drawingml/2006/main">
          <a:endParaRPr lang="en-IN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W227"/>
  <sheetViews>
    <sheetView tabSelected="1" workbookViewId="0">
      <selection activeCell="B14" sqref="B14"/>
    </sheetView>
  </sheetViews>
  <sheetFormatPr defaultRowHeight="15"/>
  <cols>
    <col min="1" max="1" width="9.140625" style="1"/>
    <col min="2" max="2" width="45.42578125" style="1" customWidth="1"/>
    <col min="3" max="19" width="9.140625" style="1"/>
    <col min="20" max="20" width="15.5703125" style="1" bestFit="1" customWidth="1"/>
    <col min="21" max="21" width="9.140625" style="1"/>
    <col min="22" max="22" width="17.5703125" style="1" bestFit="1" customWidth="1"/>
    <col min="23" max="16384" width="9.140625" style="1"/>
  </cols>
  <sheetData>
    <row r="1" spans="1:22" ht="26.25">
      <c r="A1" s="106" t="s">
        <v>389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</row>
    <row r="2" spans="1:22" ht="38.25">
      <c r="A2" s="107" t="s">
        <v>124</v>
      </c>
      <c r="B2" s="3" t="s">
        <v>125</v>
      </c>
      <c r="C2" s="107" t="s">
        <v>126</v>
      </c>
      <c r="D2" s="107" t="s">
        <v>127</v>
      </c>
      <c r="E2" s="108" t="s">
        <v>128</v>
      </c>
      <c r="F2" s="109" t="s">
        <v>7</v>
      </c>
      <c r="G2" s="110" t="s">
        <v>119</v>
      </c>
      <c r="H2" s="109" t="s">
        <v>129</v>
      </c>
      <c r="I2" s="110" t="s">
        <v>119</v>
      </c>
      <c r="J2" s="109" t="s">
        <v>130</v>
      </c>
      <c r="K2" s="110" t="s">
        <v>119</v>
      </c>
      <c r="L2" s="109" t="s">
        <v>131</v>
      </c>
      <c r="M2" s="110" t="s">
        <v>119</v>
      </c>
      <c r="N2" s="109" t="s">
        <v>132</v>
      </c>
      <c r="O2" s="110" t="s">
        <v>119</v>
      </c>
      <c r="P2" s="109" t="s">
        <v>133</v>
      </c>
      <c r="Q2" s="110" t="s">
        <v>119</v>
      </c>
      <c r="R2" s="109" t="s">
        <v>134</v>
      </c>
      <c r="S2" s="110" t="s">
        <v>119</v>
      </c>
      <c r="T2" s="111" t="s">
        <v>390</v>
      </c>
      <c r="U2" s="111" t="s">
        <v>10</v>
      </c>
      <c r="V2" s="111" t="s">
        <v>377</v>
      </c>
    </row>
    <row r="3" spans="1:22">
      <c r="A3" s="8">
        <v>1</v>
      </c>
      <c r="B3" s="112" t="s">
        <v>135</v>
      </c>
      <c r="C3" s="8">
        <v>1055</v>
      </c>
      <c r="D3" s="8">
        <v>724</v>
      </c>
      <c r="E3" s="113">
        <v>68.625592417061611</v>
      </c>
      <c r="F3" s="8">
        <v>377</v>
      </c>
      <c r="G3" s="113">
        <v>52.071823204419886</v>
      </c>
      <c r="H3" s="8">
        <v>329</v>
      </c>
      <c r="I3" s="113">
        <v>45.44198895027624</v>
      </c>
      <c r="J3" s="8">
        <v>0</v>
      </c>
      <c r="K3" s="113">
        <v>0</v>
      </c>
      <c r="L3" s="8">
        <v>5</v>
      </c>
      <c r="M3" s="113">
        <v>0.69060773480662985</v>
      </c>
      <c r="N3" s="8">
        <v>7</v>
      </c>
      <c r="O3" s="113">
        <v>0.96685082872928174</v>
      </c>
      <c r="P3" s="8">
        <v>5</v>
      </c>
      <c r="Q3" s="113">
        <v>0.69060773480662985</v>
      </c>
      <c r="R3" s="8">
        <v>1</v>
      </c>
      <c r="S3" s="113">
        <v>0.13812154696132595</v>
      </c>
      <c r="T3" s="16" t="str">
        <f>IF(G3&gt;I3,"BJP GAIN", "CONGRESS GAIN")</f>
        <v>BJP GAIN</v>
      </c>
      <c r="U3" s="114">
        <f>G3-I3</f>
        <v>6.6298342541436455</v>
      </c>
      <c r="V3" s="34" t="str">
        <f>IF(U3&gt;=50,"VERYHIGHMARGIN",IF(U3&gt;=40,"HIGHMARGIN",IF(U3&gt;=30,"MEDIUMMARGIN",IF(U3&gt;10,"LOWMARGIN",IF(U3&gt;=1,"NARROWMARGIN")))))</f>
        <v>NARROWMARGIN</v>
      </c>
    </row>
    <row r="4" spans="1:22">
      <c r="A4" s="8">
        <v>2</v>
      </c>
      <c r="B4" s="112" t="s">
        <v>136</v>
      </c>
      <c r="C4" s="8">
        <v>1388</v>
      </c>
      <c r="D4" s="8">
        <v>1005</v>
      </c>
      <c r="E4" s="113">
        <v>72.406340057636882</v>
      </c>
      <c r="F4" s="8">
        <v>494</v>
      </c>
      <c r="G4" s="113">
        <v>49.154228855721392</v>
      </c>
      <c r="H4" s="8">
        <v>486</v>
      </c>
      <c r="I4" s="113">
        <v>48.35820895522388</v>
      </c>
      <c r="J4" s="8">
        <v>1</v>
      </c>
      <c r="K4" s="113">
        <v>9.9502487562189046E-2</v>
      </c>
      <c r="L4" s="8">
        <v>2</v>
      </c>
      <c r="M4" s="113">
        <v>0.19900497512437809</v>
      </c>
      <c r="N4" s="8">
        <v>16</v>
      </c>
      <c r="O4" s="113">
        <v>1.5920398009950247</v>
      </c>
      <c r="P4" s="8">
        <v>3</v>
      </c>
      <c r="Q4" s="113">
        <v>0.29850746268656719</v>
      </c>
      <c r="R4" s="8">
        <v>3</v>
      </c>
      <c r="S4" s="113">
        <v>0.29850746268656719</v>
      </c>
      <c r="T4" s="16" t="str">
        <f t="shared" ref="T4:T67" si="0">IF(G4&gt;I4,"BJP GAIN", "CONGRESS GAIN")</f>
        <v>BJP GAIN</v>
      </c>
      <c r="U4" s="114">
        <f t="shared" ref="U4:U67" si="1">G4-I4</f>
        <v>0.79601990049751237</v>
      </c>
      <c r="V4" s="34" t="str">
        <f>IF(U4&gt;=50,"VERYHIGHMARGIN",IF(U4&gt;=40,"HIGHMARGIN",IF(U4&gt;=30,"MEDIUMMARGIN",IF(U4&gt;10,"LOWMARGIN",IF(U4&lt;1,"NARROWMARGIN")))))</f>
        <v>NARROWMARGIN</v>
      </c>
    </row>
    <row r="5" spans="1:22">
      <c r="A5" s="8">
        <v>3</v>
      </c>
      <c r="B5" s="112" t="s">
        <v>137</v>
      </c>
      <c r="C5" s="8">
        <v>1165</v>
      </c>
      <c r="D5" s="8">
        <v>916</v>
      </c>
      <c r="E5" s="113">
        <v>78.626609442060087</v>
      </c>
      <c r="F5" s="8">
        <v>541</v>
      </c>
      <c r="G5" s="113">
        <v>59.061135371179041</v>
      </c>
      <c r="H5" s="8">
        <v>356</v>
      </c>
      <c r="I5" s="113">
        <v>38.864628820960704</v>
      </c>
      <c r="J5" s="8">
        <v>1</v>
      </c>
      <c r="K5" s="113">
        <v>0.10917030567685589</v>
      </c>
      <c r="L5" s="8">
        <v>3</v>
      </c>
      <c r="M5" s="113">
        <v>0.32751091703056767</v>
      </c>
      <c r="N5" s="8">
        <v>1</v>
      </c>
      <c r="O5" s="113">
        <v>0.10917030567685589</v>
      </c>
      <c r="P5" s="8">
        <v>7</v>
      </c>
      <c r="Q5" s="113">
        <v>0.76419213973799127</v>
      </c>
      <c r="R5" s="8">
        <v>7</v>
      </c>
      <c r="S5" s="113">
        <v>0.76419213973799127</v>
      </c>
      <c r="T5" s="16" t="str">
        <f t="shared" si="0"/>
        <v>BJP GAIN</v>
      </c>
      <c r="U5" s="114">
        <f t="shared" si="1"/>
        <v>20.196506550218338</v>
      </c>
      <c r="V5" s="15" t="str">
        <f t="shared" ref="V5:V68" si="2">IF(U5&gt;=50,"VERYHIGHMARGIN",IF(U5&gt;=40,"HIGHMARGIN",IF(U5&gt;=30,"MEDIUMMARGIN",IF(U5&gt;10,"LOWMARGIN",IF(U5&gt;=1,"NARROWMARGIN")))))</f>
        <v>LOWMARGIN</v>
      </c>
    </row>
    <row r="6" spans="1:22">
      <c r="A6" s="8">
        <v>4</v>
      </c>
      <c r="B6" s="112" t="s">
        <v>138</v>
      </c>
      <c r="C6" s="8">
        <v>1065</v>
      </c>
      <c r="D6" s="8">
        <v>804</v>
      </c>
      <c r="E6" s="113">
        <v>75.492957746478879</v>
      </c>
      <c r="F6" s="8">
        <v>478</v>
      </c>
      <c r="G6" s="113">
        <v>59.452736318407965</v>
      </c>
      <c r="H6" s="8">
        <v>303</v>
      </c>
      <c r="I6" s="113">
        <v>37.686567164179102</v>
      </c>
      <c r="J6" s="8">
        <v>1</v>
      </c>
      <c r="K6" s="113">
        <v>0.12437810945273632</v>
      </c>
      <c r="L6" s="8">
        <v>6</v>
      </c>
      <c r="M6" s="113">
        <v>0.74626865671641784</v>
      </c>
      <c r="N6" s="8">
        <v>6</v>
      </c>
      <c r="O6" s="113">
        <v>0.74626865671641784</v>
      </c>
      <c r="P6" s="8">
        <v>3</v>
      </c>
      <c r="Q6" s="113">
        <v>0.37313432835820892</v>
      </c>
      <c r="R6" s="8">
        <v>7</v>
      </c>
      <c r="S6" s="113">
        <v>0.87064676616915426</v>
      </c>
      <c r="T6" s="16" t="str">
        <f t="shared" si="0"/>
        <v>BJP GAIN</v>
      </c>
      <c r="U6" s="114">
        <f t="shared" si="1"/>
        <v>21.766169154228862</v>
      </c>
      <c r="V6" s="15" t="str">
        <f t="shared" si="2"/>
        <v>LOWMARGIN</v>
      </c>
    </row>
    <row r="7" spans="1:22">
      <c r="A7" s="8">
        <v>5</v>
      </c>
      <c r="B7" s="112" t="s">
        <v>139</v>
      </c>
      <c r="C7" s="8">
        <v>1090</v>
      </c>
      <c r="D7" s="8">
        <v>887</v>
      </c>
      <c r="E7" s="113">
        <v>81.376146788990823</v>
      </c>
      <c r="F7" s="8">
        <v>415</v>
      </c>
      <c r="G7" s="113">
        <v>46.786922209695604</v>
      </c>
      <c r="H7" s="8">
        <v>365</v>
      </c>
      <c r="I7" s="113">
        <v>41.149943630214203</v>
      </c>
      <c r="J7" s="8">
        <v>4</v>
      </c>
      <c r="K7" s="113">
        <v>0.45095828635851182</v>
      </c>
      <c r="L7" s="8">
        <v>79</v>
      </c>
      <c r="M7" s="113">
        <v>8.9064261555806095</v>
      </c>
      <c r="N7" s="8">
        <v>8</v>
      </c>
      <c r="O7" s="113">
        <v>0.90191657271702363</v>
      </c>
      <c r="P7" s="8">
        <v>7</v>
      </c>
      <c r="Q7" s="113">
        <v>0.78917700112739564</v>
      </c>
      <c r="R7" s="8">
        <v>9</v>
      </c>
      <c r="S7" s="113">
        <v>1.0146561443066515</v>
      </c>
      <c r="T7" s="16" t="str">
        <f t="shared" si="0"/>
        <v>BJP GAIN</v>
      </c>
      <c r="U7" s="114">
        <f t="shared" si="1"/>
        <v>5.6369785794814007</v>
      </c>
      <c r="V7" s="34" t="str">
        <f t="shared" si="2"/>
        <v>NARROWMARGIN</v>
      </c>
    </row>
    <row r="8" spans="1:22">
      <c r="A8" s="8">
        <v>6</v>
      </c>
      <c r="B8" s="112" t="s">
        <v>140</v>
      </c>
      <c r="C8" s="8">
        <v>729</v>
      </c>
      <c r="D8" s="8">
        <v>524</v>
      </c>
      <c r="E8" s="113">
        <v>71.879286694101509</v>
      </c>
      <c r="F8" s="8">
        <v>331</v>
      </c>
      <c r="G8" s="113">
        <v>63.167938931297705</v>
      </c>
      <c r="H8" s="8">
        <v>163</v>
      </c>
      <c r="I8" s="113">
        <v>31.106870229007633</v>
      </c>
      <c r="J8" s="8">
        <v>0</v>
      </c>
      <c r="K8" s="113">
        <v>0</v>
      </c>
      <c r="L8" s="8">
        <v>13</v>
      </c>
      <c r="M8" s="113">
        <v>2.4809160305343512</v>
      </c>
      <c r="N8" s="8">
        <v>6</v>
      </c>
      <c r="O8" s="113">
        <v>1.1450381679389312</v>
      </c>
      <c r="P8" s="8">
        <v>3</v>
      </c>
      <c r="Q8" s="113">
        <v>0.5725190839694656</v>
      </c>
      <c r="R8" s="8">
        <v>8</v>
      </c>
      <c r="S8" s="113">
        <v>1.5267175572519083</v>
      </c>
      <c r="T8" s="16" t="str">
        <f t="shared" si="0"/>
        <v>BJP GAIN</v>
      </c>
      <c r="U8" s="114">
        <f t="shared" si="1"/>
        <v>32.061068702290072</v>
      </c>
      <c r="V8" s="24" t="str">
        <f t="shared" si="2"/>
        <v>MEDIUMMARGIN</v>
      </c>
    </row>
    <row r="9" spans="1:22">
      <c r="A9" s="8">
        <v>7</v>
      </c>
      <c r="B9" s="112" t="s">
        <v>141</v>
      </c>
      <c r="C9" s="8">
        <v>742</v>
      </c>
      <c r="D9" s="8">
        <v>501</v>
      </c>
      <c r="E9" s="113">
        <v>67.520215633423177</v>
      </c>
      <c r="F9" s="8">
        <v>302</v>
      </c>
      <c r="G9" s="113">
        <v>60.279441117764499</v>
      </c>
      <c r="H9" s="8">
        <v>182</v>
      </c>
      <c r="I9" s="113">
        <v>36.327345309381236</v>
      </c>
      <c r="J9" s="8">
        <v>0</v>
      </c>
      <c r="K9" s="113">
        <v>0</v>
      </c>
      <c r="L9" s="8">
        <v>1</v>
      </c>
      <c r="M9" s="113">
        <v>0.19960079840319359</v>
      </c>
      <c r="N9" s="8">
        <v>6</v>
      </c>
      <c r="O9" s="113">
        <v>1.1976047904191618</v>
      </c>
      <c r="P9" s="8">
        <v>5</v>
      </c>
      <c r="Q9" s="113">
        <v>0.99800399201596801</v>
      </c>
      <c r="R9" s="8">
        <v>5</v>
      </c>
      <c r="S9" s="113">
        <v>0.99800399201596801</v>
      </c>
      <c r="T9" s="16" t="str">
        <f t="shared" si="0"/>
        <v>BJP GAIN</v>
      </c>
      <c r="U9" s="114">
        <f t="shared" si="1"/>
        <v>23.952095808383262</v>
      </c>
      <c r="V9" s="15" t="str">
        <f t="shared" si="2"/>
        <v>LOWMARGIN</v>
      </c>
    </row>
    <row r="10" spans="1:22">
      <c r="A10" s="8">
        <v>8</v>
      </c>
      <c r="B10" s="112" t="s">
        <v>142</v>
      </c>
      <c r="C10" s="8">
        <v>885</v>
      </c>
      <c r="D10" s="8">
        <v>656</v>
      </c>
      <c r="E10" s="113">
        <v>74.124293785310741</v>
      </c>
      <c r="F10" s="8">
        <v>366</v>
      </c>
      <c r="G10" s="113">
        <v>55.792682926829272</v>
      </c>
      <c r="H10" s="8">
        <v>259</v>
      </c>
      <c r="I10" s="113">
        <v>39.481707317073173</v>
      </c>
      <c r="J10" s="8">
        <v>1</v>
      </c>
      <c r="K10" s="113">
        <v>0.1524390243902439</v>
      </c>
      <c r="L10" s="8">
        <v>0</v>
      </c>
      <c r="M10" s="113">
        <v>0</v>
      </c>
      <c r="N10" s="8">
        <v>20</v>
      </c>
      <c r="O10" s="113">
        <v>3.0487804878048781</v>
      </c>
      <c r="P10" s="8">
        <v>7</v>
      </c>
      <c r="Q10" s="113">
        <v>1.0670731707317074</v>
      </c>
      <c r="R10" s="8">
        <v>3</v>
      </c>
      <c r="S10" s="113">
        <v>0.45731707317073167</v>
      </c>
      <c r="T10" s="16" t="str">
        <f t="shared" si="0"/>
        <v>BJP GAIN</v>
      </c>
      <c r="U10" s="114">
        <f t="shared" si="1"/>
        <v>16.310975609756099</v>
      </c>
      <c r="V10" s="15" t="str">
        <f t="shared" si="2"/>
        <v>LOWMARGIN</v>
      </c>
    </row>
    <row r="11" spans="1:22">
      <c r="A11" s="8">
        <v>9</v>
      </c>
      <c r="B11" s="112" t="s">
        <v>143</v>
      </c>
      <c r="C11" s="8">
        <v>890</v>
      </c>
      <c r="D11" s="8">
        <v>533</v>
      </c>
      <c r="E11" s="113">
        <v>59.887640449438209</v>
      </c>
      <c r="F11" s="8">
        <v>302</v>
      </c>
      <c r="G11" s="113">
        <v>56.660412757973731</v>
      </c>
      <c r="H11" s="8">
        <v>216</v>
      </c>
      <c r="I11" s="113">
        <v>40.525328330206378</v>
      </c>
      <c r="J11" s="8">
        <v>2</v>
      </c>
      <c r="K11" s="113">
        <v>0.37523452157598502</v>
      </c>
      <c r="L11" s="8">
        <v>2</v>
      </c>
      <c r="M11" s="113">
        <v>0.37523452157598497</v>
      </c>
      <c r="N11" s="8">
        <v>8</v>
      </c>
      <c r="O11" s="113">
        <v>1.5009380863039399</v>
      </c>
      <c r="P11" s="8">
        <v>2</v>
      </c>
      <c r="Q11" s="113">
        <v>0.37523452157598497</v>
      </c>
      <c r="R11" s="8">
        <v>1</v>
      </c>
      <c r="S11" s="113">
        <v>0.18761726078799248</v>
      </c>
      <c r="T11" s="16" t="str">
        <f t="shared" si="0"/>
        <v>BJP GAIN</v>
      </c>
      <c r="U11" s="114">
        <f t="shared" si="1"/>
        <v>16.135084427767353</v>
      </c>
      <c r="V11" s="15" t="str">
        <f t="shared" si="2"/>
        <v>LOWMARGIN</v>
      </c>
    </row>
    <row r="12" spans="1:22">
      <c r="A12" s="8">
        <v>10</v>
      </c>
      <c r="B12" s="112" t="s">
        <v>144</v>
      </c>
      <c r="C12" s="8">
        <v>1202</v>
      </c>
      <c r="D12" s="8">
        <v>870</v>
      </c>
      <c r="E12" s="113">
        <v>72.379367720465893</v>
      </c>
      <c r="F12" s="8">
        <v>434</v>
      </c>
      <c r="G12" s="113">
        <v>49.885057471264368</v>
      </c>
      <c r="H12" s="8">
        <v>416</v>
      </c>
      <c r="I12" s="113">
        <v>47.816091954022987</v>
      </c>
      <c r="J12" s="8">
        <v>0</v>
      </c>
      <c r="K12" s="113">
        <v>0</v>
      </c>
      <c r="L12" s="8">
        <v>4</v>
      </c>
      <c r="M12" s="113">
        <v>0.45977011494252873</v>
      </c>
      <c r="N12" s="8">
        <v>10</v>
      </c>
      <c r="O12" s="113">
        <v>1.1494252873563218</v>
      </c>
      <c r="P12" s="8">
        <v>1</v>
      </c>
      <c r="Q12" s="113">
        <v>0.11494252873563218</v>
      </c>
      <c r="R12" s="8">
        <v>5</v>
      </c>
      <c r="S12" s="113">
        <v>0.57471264367816088</v>
      </c>
      <c r="T12" s="16" t="str">
        <f t="shared" si="0"/>
        <v>BJP GAIN</v>
      </c>
      <c r="U12" s="114">
        <f t="shared" si="1"/>
        <v>2.0689655172413808</v>
      </c>
      <c r="V12" s="34" t="str">
        <f t="shared" si="2"/>
        <v>NARROWMARGIN</v>
      </c>
    </row>
    <row r="13" spans="1:22">
      <c r="A13" s="8">
        <v>11</v>
      </c>
      <c r="B13" s="112" t="s">
        <v>145</v>
      </c>
      <c r="C13" s="8">
        <v>788</v>
      </c>
      <c r="D13" s="8">
        <v>524</v>
      </c>
      <c r="E13" s="113">
        <v>66.497461928934015</v>
      </c>
      <c r="F13" s="8">
        <v>363</v>
      </c>
      <c r="G13" s="113">
        <v>69.274809160305338</v>
      </c>
      <c r="H13" s="8">
        <v>144</v>
      </c>
      <c r="I13" s="113">
        <v>27.480916030534353</v>
      </c>
      <c r="J13" s="8">
        <v>0</v>
      </c>
      <c r="K13" s="113">
        <v>0</v>
      </c>
      <c r="L13" s="8">
        <v>1</v>
      </c>
      <c r="M13" s="113">
        <v>0.19083969465648853</v>
      </c>
      <c r="N13" s="8">
        <v>11</v>
      </c>
      <c r="O13" s="113">
        <v>2.0992366412213741</v>
      </c>
      <c r="P13" s="8">
        <v>5</v>
      </c>
      <c r="Q13" s="113">
        <v>0.95419847328244278</v>
      </c>
      <c r="R13" s="8">
        <v>0</v>
      </c>
      <c r="S13" s="113">
        <v>0</v>
      </c>
      <c r="T13" s="16" t="str">
        <f t="shared" si="0"/>
        <v>BJP GAIN</v>
      </c>
      <c r="U13" s="114">
        <f t="shared" si="1"/>
        <v>41.793893129770986</v>
      </c>
      <c r="V13" s="57" t="str">
        <f t="shared" si="2"/>
        <v>HIGHMARGIN</v>
      </c>
    </row>
    <row r="14" spans="1:22">
      <c r="A14" s="8">
        <v>12</v>
      </c>
      <c r="B14" s="112" t="s">
        <v>146</v>
      </c>
      <c r="C14" s="8">
        <v>826</v>
      </c>
      <c r="D14" s="8">
        <v>572</v>
      </c>
      <c r="E14" s="113">
        <v>69.24939467312349</v>
      </c>
      <c r="F14" s="8">
        <v>341</v>
      </c>
      <c r="G14" s="113">
        <v>59.615384615384613</v>
      </c>
      <c r="H14" s="8">
        <v>219</v>
      </c>
      <c r="I14" s="113">
        <v>38.286713286713287</v>
      </c>
      <c r="J14" s="8">
        <v>0</v>
      </c>
      <c r="K14" s="113">
        <v>0</v>
      </c>
      <c r="L14" s="8">
        <v>0</v>
      </c>
      <c r="M14" s="113">
        <v>0</v>
      </c>
      <c r="N14" s="8">
        <v>11</v>
      </c>
      <c r="O14" s="113">
        <v>1.9230769230769231</v>
      </c>
      <c r="P14" s="8">
        <v>1</v>
      </c>
      <c r="Q14" s="113">
        <v>0.17482517482517482</v>
      </c>
      <c r="R14" s="8">
        <v>0</v>
      </c>
      <c r="S14" s="113">
        <v>0</v>
      </c>
      <c r="T14" s="16" t="str">
        <f t="shared" si="0"/>
        <v>BJP GAIN</v>
      </c>
      <c r="U14" s="114">
        <f t="shared" si="1"/>
        <v>21.328671328671327</v>
      </c>
      <c r="V14" s="15" t="str">
        <f t="shared" si="2"/>
        <v>LOWMARGIN</v>
      </c>
    </row>
    <row r="15" spans="1:22">
      <c r="A15" s="8">
        <v>13</v>
      </c>
      <c r="B15" s="112" t="s">
        <v>147</v>
      </c>
      <c r="C15" s="8">
        <v>784</v>
      </c>
      <c r="D15" s="8">
        <v>465</v>
      </c>
      <c r="E15" s="113">
        <v>59.311224489795919</v>
      </c>
      <c r="F15" s="8">
        <v>332</v>
      </c>
      <c r="G15" s="113">
        <v>71.397849462365599</v>
      </c>
      <c r="H15" s="8">
        <v>116</v>
      </c>
      <c r="I15" s="113">
        <v>24.946236559139784</v>
      </c>
      <c r="J15" s="8">
        <v>1</v>
      </c>
      <c r="K15" s="113">
        <v>0.21505376344086022</v>
      </c>
      <c r="L15" s="8">
        <v>3</v>
      </c>
      <c r="M15" s="113">
        <v>0.64516129032258063</v>
      </c>
      <c r="N15" s="8">
        <v>10</v>
      </c>
      <c r="O15" s="113">
        <v>2.1505376344086025</v>
      </c>
      <c r="P15" s="8">
        <v>3</v>
      </c>
      <c r="Q15" s="113">
        <v>0.64516129032258063</v>
      </c>
      <c r="R15" s="8">
        <v>0</v>
      </c>
      <c r="S15" s="113">
        <v>0</v>
      </c>
      <c r="T15" s="16" t="str">
        <f t="shared" si="0"/>
        <v>BJP GAIN</v>
      </c>
      <c r="U15" s="114">
        <f t="shared" si="1"/>
        <v>46.451612903225815</v>
      </c>
      <c r="V15" s="57" t="str">
        <f t="shared" si="2"/>
        <v>HIGHMARGIN</v>
      </c>
    </row>
    <row r="16" spans="1:22">
      <c r="A16" s="8">
        <v>14</v>
      </c>
      <c r="B16" s="112" t="s">
        <v>148</v>
      </c>
      <c r="C16" s="8">
        <v>1290</v>
      </c>
      <c r="D16" s="8">
        <v>872</v>
      </c>
      <c r="E16" s="113">
        <v>67.596899224806208</v>
      </c>
      <c r="F16" s="8">
        <v>531</v>
      </c>
      <c r="G16" s="113">
        <v>60.894495412844037</v>
      </c>
      <c r="H16" s="8">
        <v>296</v>
      </c>
      <c r="I16" s="113">
        <v>33.944954128440372</v>
      </c>
      <c r="J16" s="8">
        <v>1</v>
      </c>
      <c r="K16" s="113">
        <v>0.11467889908256881</v>
      </c>
      <c r="L16" s="8">
        <v>0</v>
      </c>
      <c r="M16" s="113">
        <v>0</v>
      </c>
      <c r="N16" s="8">
        <v>29</v>
      </c>
      <c r="O16" s="113">
        <v>3.3256880733944958</v>
      </c>
      <c r="P16" s="8">
        <v>10</v>
      </c>
      <c r="Q16" s="113">
        <v>1.1467889908256881</v>
      </c>
      <c r="R16" s="8">
        <v>5</v>
      </c>
      <c r="S16" s="113">
        <v>0.57339449541284404</v>
      </c>
      <c r="T16" s="16" t="str">
        <f t="shared" si="0"/>
        <v>BJP GAIN</v>
      </c>
      <c r="U16" s="114">
        <f t="shared" si="1"/>
        <v>26.949541284403665</v>
      </c>
      <c r="V16" s="15" t="str">
        <f t="shared" si="2"/>
        <v>LOWMARGIN</v>
      </c>
    </row>
    <row r="17" spans="1:22">
      <c r="A17" s="8">
        <v>15</v>
      </c>
      <c r="B17" s="112" t="s">
        <v>149</v>
      </c>
      <c r="C17" s="8">
        <v>1227</v>
      </c>
      <c r="D17" s="8">
        <v>907</v>
      </c>
      <c r="E17" s="113">
        <v>73.920130399348011</v>
      </c>
      <c r="F17" s="8">
        <v>486</v>
      </c>
      <c r="G17" s="113">
        <v>53.583241455347299</v>
      </c>
      <c r="H17" s="8">
        <v>392</v>
      </c>
      <c r="I17" s="113">
        <v>43.219404630650502</v>
      </c>
      <c r="J17" s="8">
        <v>1</v>
      </c>
      <c r="K17" s="113">
        <v>0.11025358324145534</v>
      </c>
      <c r="L17" s="8">
        <v>0</v>
      </c>
      <c r="M17" s="113">
        <v>0</v>
      </c>
      <c r="N17" s="8">
        <v>16</v>
      </c>
      <c r="O17" s="113">
        <v>1.7640573318632855</v>
      </c>
      <c r="P17" s="8">
        <v>8</v>
      </c>
      <c r="Q17" s="113">
        <v>0.88202866593164275</v>
      </c>
      <c r="R17" s="8">
        <v>4</v>
      </c>
      <c r="S17" s="113">
        <v>0.44101433296582138</v>
      </c>
      <c r="T17" s="16" t="str">
        <f t="shared" si="0"/>
        <v>BJP GAIN</v>
      </c>
      <c r="U17" s="114">
        <f t="shared" si="1"/>
        <v>10.363836824696797</v>
      </c>
      <c r="V17" s="15" t="str">
        <f t="shared" si="2"/>
        <v>LOWMARGIN</v>
      </c>
    </row>
    <row r="18" spans="1:22">
      <c r="A18" s="8">
        <v>16</v>
      </c>
      <c r="B18" s="112" t="s">
        <v>150</v>
      </c>
      <c r="C18" s="8">
        <v>860</v>
      </c>
      <c r="D18" s="8">
        <v>647</v>
      </c>
      <c r="E18" s="113">
        <v>75.232558139534888</v>
      </c>
      <c r="F18" s="8">
        <v>318</v>
      </c>
      <c r="G18" s="113">
        <v>49.149922720247297</v>
      </c>
      <c r="H18" s="8">
        <v>309</v>
      </c>
      <c r="I18" s="113">
        <v>47.758887171561049</v>
      </c>
      <c r="J18" s="8">
        <v>0</v>
      </c>
      <c r="K18" s="113">
        <v>0</v>
      </c>
      <c r="L18" s="8">
        <v>2</v>
      </c>
      <c r="M18" s="113">
        <v>0.30911901081916537</v>
      </c>
      <c r="N18" s="8">
        <v>15</v>
      </c>
      <c r="O18" s="113">
        <v>2.3183925811437405</v>
      </c>
      <c r="P18" s="8">
        <v>2</v>
      </c>
      <c r="Q18" s="113">
        <v>0.30911901081916537</v>
      </c>
      <c r="R18" s="8">
        <v>1</v>
      </c>
      <c r="S18" s="113">
        <v>0.15455950540958269</v>
      </c>
      <c r="T18" s="16" t="str">
        <f t="shared" si="0"/>
        <v>BJP GAIN</v>
      </c>
      <c r="U18" s="114">
        <f t="shared" si="1"/>
        <v>1.3910355486862471</v>
      </c>
      <c r="V18" s="34" t="str">
        <f t="shared" si="2"/>
        <v>NARROWMARGIN</v>
      </c>
    </row>
    <row r="19" spans="1:22">
      <c r="A19" s="8">
        <v>17</v>
      </c>
      <c r="B19" s="112" t="s">
        <v>151</v>
      </c>
      <c r="C19" s="8">
        <v>1037</v>
      </c>
      <c r="D19" s="8">
        <v>762</v>
      </c>
      <c r="E19" s="113">
        <v>73.481195756991326</v>
      </c>
      <c r="F19" s="8">
        <v>445</v>
      </c>
      <c r="G19" s="113">
        <v>58.398950131233597</v>
      </c>
      <c r="H19" s="8">
        <v>290</v>
      </c>
      <c r="I19" s="113">
        <v>38.057742782152232</v>
      </c>
      <c r="J19" s="8">
        <v>2</v>
      </c>
      <c r="K19" s="113">
        <v>0.26246719160104987</v>
      </c>
      <c r="L19" s="8">
        <v>3</v>
      </c>
      <c r="M19" s="113">
        <v>0.39370078740157477</v>
      </c>
      <c r="N19" s="8">
        <v>14</v>
      </c>
      <c r="O19" s="113">
        <v>1.837270341207349</v>
      </c>
      <c r="P19" s="8">
        <v>8</v>
      </c>
      <c r="Q19" s="113">
        <v>1.0498687664041995</v>
      </c>
      <c r="R19" s="8">
        <v>0</v>
      </c>
      <c r="S19" s="113">
        <v>0</v>
      </c>
      <c r="T19" s="16" t="str">
        <f t="shared" si="0"/>
        <v>BJP GAIN</v>
      </c>
      <c r="U19" s="114">
        <f t="shared" si="1"/>
        <v>20.341207349081365</v>
      </c>
      <c r="V19" s="15" t="str">
        <f t="shared" si="2"/>
        <v>LOWMARGIN</v>
      </c>
    </row>
    <row r="20" spans="1:22">
      <c r="A20" s="8">
        <v>18</v>
      </c>
      <c r="B20" s="112" t="s">
        <v>152</v>
      </c>
      <c r="C20" s="8">
        <v>1242</v>
      </c>
      <c r="D20" s="8">
        <v>776</v>
      </c>
      <c r="E20" s="113">
        <v>62.47987117552335</v>
      </c>
      <c r="F20" s="8">
        <v>411</v>
      </c>
      <c r="G20" s="113">
        <v>52.963917525773198</v>
      </c>
      <c r="H20" s="8">
        <v>318</v>
      </c>
      <c r="I20" s="113">
        <v>40.979381443298969</v>
      </c>
      <c r="J20" s="8">
        <v>1</v>
      </c>
      <c r="K20" s="113">
        <v>0.12886597938144329</v>
      </c>
      <c r="L20" s="8">
        <v>4</v>
      </c>
      <c r="M20" s="113">
        <v>0.51546391752577314</v>
      </c>
      <c r="N20" s="8">
        <v>32</v>
      </c>
      <c r="O20" s="113">
        <v>4.1237113402061851</v>
      </c>
      <c r="P20" s="8">
        <v>6</v>
      </c>
      <c r="Q20" s="113">
        <v>0.77319587628865982</v>
      </c>
      <c r="R20" s="8">
        <v>4</v>
      </c>
      <c r="S20" s="113">
        <v>0.51546391752577314</v>
      </c>
      <c r="T20" s="16" t="str">
        <f t="shared" si="0"/>
        <v>BJP GAIN</v>
      </c>
      <c r="U20" s="114">
        <f t="shared" si="1"/>
        <v>11.984536082474229</v>
      </c>
      <c r="V20" s="15" t="str">
        <f t="shared" si="2"/>
        <v>LOWMARGIN</v>
      </c>
    </row>
    <row r="21" spans="1:22">
      <c r="A21" s="8">
        <v>19</v>
      </c>
      <c r="B21" s="112" t="s">
        <v>153</v>
      </c>
      <c r="C21" s="8">
        <v>716</v>
      </c>
      <c r="D21" s="8">
        <v>466</v>
      </c>
      <c r="E21" s="113">
        <v>65.083798882681563</v>
      </c>
      <c r="F21" s="8">
        <v>250</v>
      </c>
      <c r="G21" s="113">
        <v>53.648068669527895</v>
      </c>
      <c r="H21" s="8">
        <v>191</v>
      </c>
      <c r="I21" s="113">
        <v>40.987124463519315</v>
      </c>
      <c r="J21" s="8">
        <v>1</v>
      </c>
      <c r="K21" s="113">
        <v>0.21459227467811159</v>
      </c>
      <c r="L21" s="8">
        <v>0</v>
      </c>
      <c r="M21" s="113">
        <v>0</v>
      </c>
      <c r="N21" s="8">
        <v>18</v>
      </c>
      <c r="O21" s="113">
        <v>3.8626609442060089</v>
      </c>
      <c r="P21" s="8">
        <v>4</v>
      </c>
      <c r="Q21" s="113">
        <v>0.85836909871244638</v>
      </c>
      <c r="R21" s="8">
        <v>2</v>
      </c>
      <c r="S21" s="113">
        <v>0.42918454935622319</v>
      </c>
      <c r="T21" s="16" t="str">
        <f t="shared" si="0"/>
        <v>BJP GAIN</v>
      </c>
      <c r="U21" s="114">
        <f t="shared" si="1"/>
        <v>12.66094420600858</v>
      </c>
      <c r="V21" s="15" t="str">
        <f t="shared" si="2"/>
        <v>LOWMARGIN</v>
      </c>
    </row>
    <row r="22" spans="1:22">
      <c r="A22" s="8">
        <v>20</v>
      </c>
      <c r="B22" s="112" t="s">
        <v>154</v>
      </c>
      <c r="C22" s="8">
        <v>832</v>
      </c>
      <c r="D22" s="8">
        <v>615</v>
      </c>
      <c r="E22" s="113">
        <v>73.918269230769226</v>
      </c>
      <c r="F22" s="8">
        <v>362</v>
      </c>
      <c r="G22" s="113">
        <v>58.861788617886177</v>
      </c>
      <c r="H22" s="8">
        <v>232</v>
      </c>
      <c r="I22" s="113">
        <v>37.72357723577236</v>
      </c>
      <c r="J22" s="8">
        <v>1</v>
      </c>
      <c r="K22" s="113">
        <v>0.16260162601626016</v>
      </c>
      <c r="L22" s="8">
        <v>2</v>
      </c>
      <c r="M22" s="113">
        <v>0.32520325203252032</v>
      </c>
      <c r="N22" s="8">
        <v>17</v>
      </c>
      <c r="O22" s="113">
        <v>2.7642276422764227</v>
      </c>
      <c r="P22" s="8">
        <v>1</v>
      </c>
      <c r="Q22" s="113">
        <v>0.16260162601626016</v>
      </c>
      <c r="R22" s="8">
        <v>0</v>
      </c>
      <c r="S22" s="113">
        <v>0</v>
      </c>
      <c r="T22" s="16" t="str">
        <f t="shared" si="0"/>
        <v>BJP GAIN</v>
      </c>
      <c r="U22" s="114">
        <f t="shared" si="1"/>
        <v>21.138211382113816</v>
      </c>
      <c r="V22" s="15" t="str">
        <f t="shared" si="2"/>
        <v>LOWMARGIN</v>
      </c>
    </row>
    <row r="23" spans="1:22">
      <c r="A23" s="8">
        <v>21</v>
      </c>
      <c r="B23" s="112" t="s">
        <v>155</v>
      </c>
      <c r="C23" s="8">
        <v>1042</v>
      </c>
      <c r="D23" s="8">
        <v>735</v>
      </c>
      <c r="E23" s="113">
        <v>70.537428023032632</v>
      </c>
      <c r="F23" s="8">
        <v>406</v>
      </c>
      <c r="G23" s="113">
        <v>55.238095238095241</v>
      </c>
      <c r="H23" s="8">
        <v>305</v>
      </c>
      <c r="I23" s="113">
        <v>41.496598639455783</v>
      </c>
      <c r="J23" s="8">
        <v>1</v>
      </c>
      <c r="K23" s="113">
        <v>0.13605442176870747</v>
      </c>
      <c r="L23" s="8">
        <v>1</v>
      </c>
      <c r="M23" s="113">
        <v>0.13605442176870747</v>
      </c>
      <c r="N23" s="8">
        <v>17</v>
      </c>
      <c r="O23" s="113">
        <v>2.3129251700680271</v>
      </c>
      <c r="P23" s="8">
        <v>1</v>
      </c>
      <c r="Q23" s="113">
        <v>0.13605442176870747</v>
      </c>
      <c r="R23" s="8">
        <v>4</v>
      </c>
      <c r="S23" s="113">
        <v>0.54421768707482987</v>
      </c>
      <c r="T23" s="16" t="str">
        <f t="shared" si="0"/>
        <v>BJP GAIN</v>
      </c>
      <c r="U23" s="114">
        <f t="shared" si="1"/>
        <v>13.741496598639458</v>
      </c>
      <c r="V23" s="15" t="str">
        <f t="shared" si="2"/>
        <v>LOWMARGIN</v>
      </c>
    </row>
    <row r="24" spans="1:22">
      <c r="A24" s="8">
        <v>22</v>
      </c>
      <c r="B24" s="112" t="s">
        <v>156</v>
      </c>
      <c r="C24" s="8">
        <v>783</v>
      </c>
      <c r="D24" s="8">
        <v>557</v>
      </c>
      <c r="E24" s="113">
        <v>71.136653895274577</v>
      </c>
      <c r="F24" s="8">
        <v>285</v>
      </c>
      <c r="G24" s="113">
        <v>51.166965888689411</v>
      </c>
      <c r="H24" s="8">
        <v>252</v>
      </c>
      <c r="I24" s="113">
        <v>45.24236983842011</v>
      </c>
      <c r="J24" s="8">
        <v>1</v>
      </c>
      <c r="K24" s="113">
        <v>0.17953321364452424</v>
      </c>
      <c r="L24" s="8">
        <v>0</v>
      </c>
      <c r="M24" s="113">
        <v>0</v>
      </c>
      <c r="N24" s="8">
        <v>13</v>
      </c>
      <c r="O24" s="113">
        <v>2.3339317773788149</v>
      </c>
      <c r="P24" s="8">
        <v>4</v>
      </c>
      <c r="Q24" s="113">
        <v>0.71813285457809695</v>
      </c>
      <c r="R24" s="8">
        <v>2</v>
      </c>
      <c r="S24" s="113">
        <v>0.35906642728904847</v>
      </c>
      <c r="T24" s="16" t="str">
        <f t="shared" si="0"/>
        <v>BJP GAIN</v>
      </c>
      <c r="U24" s="114">
        <f t="shared" si="1"/>
        <v>5.9245960502693009</v>
      </c>
      <c r="V24" s="34" t="str">
        <f t="shared" si="2"/>
        <v>NARROWMARGIN</v>
      </c>
    </row>
    <row r="25" spans="1:22">
      <c r="A25" s="8">
        <v>23</v>
      </c>
      <c r="B25" s="112" t="s">
        <v>157</v>
      </c>
      <c r="C25" s="8">
        <v>1308</v>
      </c>
      <c r="D25" s="8">
        <v>838</v>
      </c>
      <c r="E25" s="113">
        <v>64.067278287461775</v>
      </c>
      <c r="F25" s="8">
        <v>582</v>
      </c>
      <c r="G25" s="113">
        <v>69.451073985680196</v>
      </c>
      <c r="H25" s="8">
        <v>230</v>
      </c>
      <c r="I25" s="113">
        <v>27.44630071599045</v>
      </c>
      <c r="J25" s="8">
        <v>1</v>
      </c>
      <c r="K25" s="113">
        <v>0.11933174224343676</v>
      </c>
      <c r="L25" s="8">
        <v>0</v>
      </c>
      <c r="M25" s="113">
        <v>0</v>
      </c>
      <c r="N25" s="8">
        <v>17</v>
      </c>
      <c r="O25" s="113">
        <v>2.028639618138425</v>
      </c>
      <c r="P25" s="8">
        <v>5</v>
      </c>
      <c r="Q25" s="113">
        <v>0.59665871121718372</v>
      </c>
      <c r="R25" s="8">
        <v>3</v>
      </c>
      <c r="S25" s="113">
        <v>0.35799522673031026</v>
      </c>
      <c r="T25" s="16" t="str">
        <f t="shared" si="0"/>
        <v>BJP GAIN</v>
      </c>
      <c r="U25" s="114">
        <f t="shared" si="1"/>
        <v>42.00477326968975</v>
      </c>
      <c r="V25" s="57" t="str">
        <f t="shared" si="2"/>
        <v>HIGHMARGIN</v>
      </c>
    </row>
    <row r="26" spans="1:22">
      <c r="A26" s="8">
        <v>24</v>
      </c>
      <c r="B26" s="112" t="s">
        <v>158</v>
      </c>
      <c r="C26" s="8">
        <v>841</v>
      </c>
      <c r="D26" s="8">
        <v>582</v>
      </c>
      <c r="E26" s="113">
        <v>69.203329369797856</v>
      </c>
      <c r="F26" s="8">
        <v>336</v>
      </c>
      <c r="G26" s="113">
        <v>57.731958762886592</v>
      </c>
      <c r="H26" s="8">
        <v>227</v>
      </c>
      <c r="I26" s="113">
        <v>39.003436426116842</v>
      </c>
      <c r="J26" s="8">
        <v>1</v>
      </c>
      <c r="K26" s="113">
        <v>0.1718213058419244</v>
      </c>
      <c r="L26" s="8">
        <v>2</v>
      </c>
      <c r="M26" s="113">
        <v>0.3436426116838488</v>
      </c>
      <c r="N26" s="8">
        <v>14</v>
      </c>
      <c r="O26" s="113">
        <v>2.4054982817869419</v>
      </c>
      <c r="P26" s="8">
        <v>2</v>
      </c>
      <c r="Q26" s="113">
        <v>0.3436426116838488</v>
      </c>
      <c r="R26" s="8">
        <v>0</v>
      </c>
      <c r="S26" s="113">
        <v>0</v>
      </c>
      <c r="T26" s="16" t="str">
        <f t="shared" si="0"/>
        <v>BJP GAIN</v>
      </c>
      <c r="U26" s="114">
        <f t="shared" si="1"/>
        <v>18.72852233676975</v>
      </c>
      <c r="V26" s="15" t="str">
        <f t="shared" si="2"/>
        <v>LOWMARGIN</v>
      </c>
    </row>
    <row r="27" spans="1:22">
      <c r="A27" s="8">
        <v>25</v>
      </c>
      <c r="B27" s="112" t="s">
        <v>159</v>
      </c>
      <c r="C27" s="8">
        <v>797</v>
      </c>
      <c r="D27" s="8">
        <v>573</v>
      </c>
      <c r="E27" s="113">
        <v>71.894604767879542</v>
      </c>
      <c r="F27" s="8">
        <v>330</v>
      </c>
      <c r="G27" s="113">
        <v>57.591623036649217</v>
      </c>
      <c r="H27" s="8">
        <v>219</v>
      </c>
      <c r="I27" s="113">
        <v>38.219895287958117</v>
      </c>
      <c r="J27" s="8">
        <v>0</v>
      </c>
      <c r="K27" s="113">
        <v>0</v>
      </c>
      <c r="L27" s="8">
        <v>9</v>
      </c>
      <c r="M27" s="113">
        <v>1.5706806282722512</v>
      </c>
      <c r="N27" s="8">
        <v>12</v>
      </c>
      <c r="O27" s="113">
        <v>2.0942408376963351</v>
      </c>
      <c r="P27" s="8">
        <v>3</v>
      </c>
      <c r="Q27" s="113">
        <v>0.52356020942408377</v>
      </c>
      <c r="R27" s="8">
        <v>0</v>
      </c>
      <c r="S27" s="113">
        <v>0</v>
      </c>
      <c r="T27" s="16" t="str">
        <f t="shared" si="0"/>
        <v>BJP GAIN</v>
      </c>
      <c r="U27" s="114">
        <f t="shared" si="1"/>
        <v>19.3717277486911</v>
      </c>
      <c r="V27" s="15" t="str">
        <f t="shared" si="2"/>
        <v>LOWMARGIN</v>
      </c>
    </row>
    <row r="28" spans="1:22">
      <c r="A28" s="8">
        <v>26</v>
      </c>
      <c r="B28" s="112" t="s">
        <v>160</v>
      </c>
      <c r="C28" s="8">
        <v>1258</v>
      </c>
      <c r="D28" s="8">
        <v>907</v>
      </c>
      <c r="E28" s="113">
        <v>72.098569157392689</v>
      </c>
      <c r="F28" s="8">
        <v>613</v>
      </c>
      <c r="G28" s="113">
        <v>67.585446527012124</v>
      </c>
      <c r="H28" s="8">
        <v>261</v>
      </c>
      <c r="I28" s="113">
        <v>28.776185226019845</v>
      </c>
      <c r="J28" s="8">
        <v>2</v>
      </c>
      <c r="K28" s="113">
        <v>0.22050716648291069</v>
      </c>
      <c r="L28" s="8">
        <v>17</v>
      </c>
      <c r="M28" s="113">
        <v>1.8743109151047408</v>
      </c>
      <c r="N28" s="8">
        <v>4</v>
      </c>
      <c r="O28" s="113">
        <v>0.44101433296582138</v>
      </c>
      <c r="P28" s="8">
        <v>4</v>
      </c>
      <c r="Q28" s="113">
        <v>0.44101433296582138</v>
      </c>
      <c r="R28" s="8">
        <v>6</v>
      </c>
      <c r="S28" s="113">
        <v>0.66152149944873206</v>
      </c>
      <c r="T28" s="16" t="str">
        <f t="shared" si="0"/>
        <v>BJP GAIN</v>
      </c>
      <c r="U28" s="114">
        <f t="shared" si="1"/>
        <v>38.809261300992276</v>
      </c>
      <c r="V28" s="24" t="str">
        <f t="shared" si="2"/>
        <v>MEDIUMMARGIN</v>
      </c>
    </row>
    <row r="29" spans="1:22">
      <c r="A29" s="8">
        <v>27</v>
      </c>
      <c r="B29" s="112" t="s">
        <v>161</v>
      </c>
      <c r="C29" s="8">
        <v>1326</v>
      </c>
      <c r="D29" s="8">
        <v>998</v>
      </c>
      <c r="E29" s="113">
        <v>75.263951734539972</v>
      </c>
      <c r="F29" s="8">
        <v>578</v>
      </c>
      <c r="G29" s="113">
        <v>57.915831663326657</v>
      </c>
      <c r="H29" s="8">
        <v>383</v>
      </c>
      <c r="I29" s="113">
        <v>38.37675350701403</v>
      </c>
      <c r="J29" s="8">
        <v>0</v>
      </c>
      <c r="K29" s="113">
        <v>0</v>
      </c>
      <c r="L29" s="8">
        <v>16</v>
      </c>
      <c r="M29" s="113">
        <v>1.6032064128256511</v>
      </c>
      <c r="N29" s="8">
        <v>8</v>
      </c>
      <c r="O29" s="113">
        <v>0.80160320641282556</v>
      </c>
      <c r="P29" s="8">
        <v>7</v>
      </c>
      <c r="Q29" s="113">
        <v>0.70140280561122248</v>
      </c>
      <c r="R29" s="8">
        <v>6</v>
      </c>
      <c r="S29" s="113">
        <v>0.60120240480961928</v>
      </c>
      <c r="T29" s="16" t="str">
        <f t="shared" si="0"/>
        <v>BJP GAIN</v>
      </c>
      <c r="U29" s="114">
        <f t="shared" si="1"/>
        <v>19.539078156312627</v>
      </c>
      <c r="V29" s="15" t="str">
        <f t="shared" si="2"/>
        <v>LOWMARGIN</v>
      </c>
    </row>
    <row r="30" spans="1:22">
      <c r="A30" s="8">
        <v>28</v>
      </c>
      <c r="B30" s="112" t="s">
        <v>162</v>
      </c>
      <c r="C30" s="8">
        <v>1249</v>
      </c>
      <c r="D30" s="8">
        <v>986</v>
      </c>
      <c r="E30" s="113">
        <v>78.943154523618901</v>
      </c>
      <c r="F30" s="8">
        <v>711</v>
      </c>
      <c r="G30" s="113">
        <v>72.109533468559846</v>
      </c>
      <c r="H30" s="8">
        <v>247</v>
      </c>
      <c r="I30" s="113">
        <v>25.050709939148074</v>
      </c>
      <c r="J30" s="8">
        <v>4</v>
      </c>
      <c r="K30" s="113">
        <v>0.40567951318458417</v>
      </c>
      <c r="L30" s="8">
        <v>7</v>
      </c>
      <c r="M30" s="113">
        <v>0.70993914807302227</v>
      </c>
      <c r="N30" s="8">
        <v>7</v>
      </c>
      <c r="O30" s="113">
        <v>0.70993914807302227</v>
      </c>
      <c r="P30" s="8">
        <v>3</v>
      </c>
      <c r="Q30" s="113">
        <v>0.3042596348884381</v>
      </c>
      <c r="R30" s="8">
        <v>7</v>
      </c>
      <c r="S30" s="113">
        <v>0.70993914807302227</v>
      </c>
      <c r="T30" s="16" t="str">
        <f t="shared" si="0"/>
        <v>BJP GAIN</v>
      </c>
      <c r="U30" s="114">
        <f t="shared" si="1"/>
        <v>47.058823529411768</v>
      </c>
      <c r="V30" s="57" t="str">
        <f t="shared" si="2"/>
        <v>HIGHMARGIN</v>
      </c>
    </row>
    <row r="31" spans="1:22">
      <c r="A31" s="8">
        <v>29</v>
      </c>
      <c r="B31" s="112" t="s">
        <v>163</v>
      </c>
      <c r="C31" s="8">
        <v>1313</v>
      </c>
      <c r="D31" s="8">
        <v>1022</v>
      </c>
      <c r="E31" s="113">
        <v>77.837014470677829</v>
      </c>
      <c r="F31" s="8">
        <v>646</v>
      </c>
      <c r="G31" s="113">
        <v>63.209393346379649</v>
      </c>
      <c r="H31" s="8">
        <v>334</v>
      </c>
      <c r="I31" s="113">
        <v>32.681017612524457</v>
      </c>
      <c r="J31" s="8">
        <v>2</v>
      </c>
      <c r="K31" s="113">
        <v>0.19569471624266144</v>
      </c>
      <c r="L31" s="8">
        <v>30</v>
      </c>
      <c r="M31" s="113">
        <v>2.9354207436399218</v>
      </c>
      <c r="N31" s="8">
        <v>4</v>
      </c>
      <c r="O31" s="113">
        <v>0.39138943248532287</v>
      </c>
      <c r="P31" s="8">
        <v>4</v>
      </c>
      <c r="Q31" s="113">
        <v>0.39138943248532287</v>
      </c>
      <c r="R31" s="8">
        <v>2</v>
      </c>
      <c r="S31" s="113">
        <v>0.19569471624266144</v>
      </c>
      <c r="T31" s="16" t="str">
        <f t="shared" si="0"/>
        <v>BJP GAIN</v>
      </c>
      <c r="U31" s="114">
        <f t="shared" si="1"/>
        <v>30.528375733855192</v>
      </c>
      <c r="V31" s="24" t="str">
        <f t="shared" si="2"/>
        <v>MEDIUMMARGIN</v>
      </c>
    </row>
    <row r="32" spans="1:22">
      <c r="A32" s="8">
        <v>30</v>
      </c>
      <c r="B32" s="112" t="s">
        <v>164</v>
      </c>
      <c r="C32" s="8">
        <v>1069</v>
      </c>
      <c r="D32" s="8">
        <v>750</v>
      </c>
      <c r="E32" s="113">
        <v>70.159027128157163</v>
      </c>
      <c r="F32" s="8">
        <v>415</v>
      </c>
      <c r="G32" s="113">
        <v>55.333333333333336</v>
      </c>
      <c r="H32" s="8">
        <v>302</v>
      </c>
      <c r="I32" s="113">
        <v>40.266666666666666</v>
      </c>
      <c r="J32" s="8">
        <v>2</v>
      </c>
      <c r="K32" s="113">
        <v>0.26666666666666666</v>
      </c>
      <c r="L32" s="8">
        <v>23</v>
      </c>
      <c r="M32" s="113">
        <v>3.0666666666666664</v>
      </c>
      <c r="N32" s="8">
        <v>5</v>
      </c>
      <c r="O32" s="113">
        <v>0.66666666666666674</v>
      </c>
      <c r="P32" s="8">
        <v>2</v>
      </c>
      <c r="Q32" s="113">
        <v>0.26666666666666666</v>
      </c>
      <c r="R32" s="8">
        <v>1</v>
      </c>
      <c r="S32" s="113">
        <v>0.13333333333333333</v>
      </c>
      <c r="T32" s="16" t="str">
        <f t="shared" si="0"/>
        <v>BJP GAIN</v>
      </c>
      <c r="U32" s="114">
        <f t="shared" si="1"/>
        <v>15.06666666666667</v>
      </c>
      <c r="V32" s="15" t="str">
        <f t="shared" si="2"/>
        <v>LOWMARGIN</v>
      </c>
    </row>
    <row r="33" spans="1:22">
      <c r="A33" s="8">
        <v>31</v>
      </c>
      <c r="B33" s="112" t="s">
        <v>165</v>
      </c>
      <c r="C33" s="8">
        <v>995</v>
      </c>
      <c r="D33" s="8">
        <v>745</v>
      </c>
      <c r="E33" s="113">
        <v>74.874371859296488</v>
      </c>
      <c r="F33" s="8">
        <v>489</v>
      </c>
      <c r="G33" s="113">
        <v>65.637583892617442</v>
      </c>
      <c r="H33" s="8">
        <v>212</v>
      </c>
      <c r="I33" s="113">
        <v>28.456375838926174</v>
      </c>
      <c r="J33" s="8">
        <v>2</v>
      </c>
      <c r="K33" s="113">
        <v>0.26845637583892618</v>
      </c>
      <c r="L33" s="8">
        <v>16</v>
      </c>
      <c r="M33" s="113">
        <v>2.1476510067114094</v>
      </c>
      <c r="N33" s="8">
        <v>10</v>
      </c>
      <c r="O33" s="113">
        <v>1.3422818791946309</v>
      </c>
      <c r="P33" s="8">
        <v>6</v>
      </c>
      <c r="Q33" s="113">
        <v>0.80536912751677858</v>
      </c>
      <c r="R33" s="8">
        <v>10</v>
      </c>
      <c r="S33" s="113">
        <v>1.3422818791946309</v>
      </c>
      <c r="T33" s="16" t="str">
        <f t="shared" si="0"/>
        <v>BJP GAIN</v>
      </c>
      <c r="U33" s="114">
        <f t="shared" si="1"/>
        <v>37.181208053691265</v>
      </c>
      <c r="V33" s="24" t="str">
        <f t="shared" si="2"/>
        <v>MEDIUMMARGIN</v>
      </c>
    </row>
    <row r="34" spans="1:22">
      <c r="A34" s="8">
        <v>32</v>
      </c>
      <c r="B34" s="112" t="s">
        <v>166</v>
      </c>
      <c r="C34" s="8">
        <v>1299</v>
      </c>
      <c r="D34" s="8">
        <v>912</v>
      </c>
      <c r="E34" s="113">
        <v>70.207852193995379</v>
      </c>
      <c r="F34" s="8">
        <v>362</v>
      </c>
      <c r="G34" s="113">
        <v>39.692982456140349</v>
      </c>
      <c r="H34" s="8">
        <v>513</v>
      </c>
      <c r="I34" s="113">
        <v>56.25</v>
      </c>
      <c r="J34" s="8">
        <v>0</v>
      </c>
      <c r="K34" s="113">
        <v>0</v>
      </c>
      <c r="L34" s="8">
        <v>14</v>
      </c>
      <c r="M34" s="113">
        <v>1.5350877192982455</v>
      </c>
      <c r="N34" s="8">
        <v>13</v>
      </c>
      <c r="O34" s="113">
        <v>1.4254385964912279</v>
      </c>
      <c r="P34" s="8">
        <v>3</v>
      </c>
      <c r="Q34" s="113">
        <v>0.3289473684210526</v>
      </c>
      <c r="R34" s="8">
        <v>7</v>
      </c>
      <c r="S34" s="113">
        <v>0.76754385964912275</v>
      </c>
      <c r="T34" s="14" t="str">
        <f t="shared" si="0"/>
        <v>CONGRESS GAIN</v>
      </c>
      <c r="U34" s="114">
        <f>I34-G34</f>
        <v>16.557017543859651</v>
      </c>
      <c r="V34" s="15" t="str">
        <f t="shared" si="2"/>
        <v>LOWMARGIN</v>
      </c>
    </row>
    <row r="35" spans="1:22">
      <c r="A35" s="8">
        <v>33</v>
      </c>
      <c r="B35" s="112" t="s">
        <v>167</v>
      </c>
      <c r="C35" s="8">
        <v>978</v>
      </c>
      <c r="D35" s="8">
        <v>692</v>
      </c>
      <c r="E35" s="113">
        <v>70.756646216768914</v>
      </c>
      <c r="F35" s="8">
        <v>377</v>
      </c>
      <c r="G35" s="113">
        <v>54.479768786127167</v>
      </c>
      <c r="H35" s="8">
        <v>291</v>
      </c>
      <c r="I35" s="113">
        <v>42.052023121387286</v>
      </c>
      <c r="J35" s="8">
        <v>1</v>
      </c>
      <c r="K35" s="113">
        <v>0.1445086705202312</v>
      </c>
      <c r="L35" s="8">
        <v>7</v>
      </c>
      <c r="M35" s="113">
        <v>1.0115606936416186</v>
      </c>
      <c r="N35" s="8">
        <v>6</v>
      </c>
      <c r="O35" s="113">
        <v>0.86705202312138718</v>
      </c>
      <c r="P35" s="8">
        <v>5</v>
      </c>
      <c r="Q35" s="113">
        <v>0.7225433526011561</v>
      </c>
      <c r="R35" s="8">
        <v>5</v>
      </c>
      <c r="S35" s="113">
        <v>0.7225433526011561</v>
      </c>
      <c r="T35" s="16" t="str">
        <f t="shared" si="0"/>
        <v>BJP GAIN</v>
      </c>
      <c r="U35" s="114">
        <f t="shared" si="1"/>
        <v>12.427745664739881</v>
      </c>
      <c r="V35" s="15" t="str">
        <f t="shared" si="2"/>
        <v>LOWMARGIN</v>
      </c>
    </row>
    <row r="36" spans="1:22">
      <c r="A36" s="8">
        <v>34</v>
      </c>
      <c r="B36" s="112" t="s">
        <v>168</v>
      </c>
      <c r="C36" s="8">
        <v>1178</v>
      </c>
      <c r="D36" s="8">
        <v>959</v>
      </c>
      <c r="E36" s="113">
        <v>81.409168081494059</v>
      </c>
      <c r="F36" s="8">
        <v>558</v>
      </c>
      <c r="G36" s="113">
        <v>58.185610010427524</v>
      </c>
      <c r="H36" s="8">
        <v>369</v>
      </c>
      <c r="I36" s="113">
        <v>38.477580813347231</v>
      </c>
      <c r="J36" s="8">
        <v>3</v>
      </c>
      <c r="K36" s="113">
        <v>0.31282586027111575</v>
      </c>
      <c r="L36" s="8">
        <v>9</v>
      </c>
      <c r="M36" s="113">
        <v>0.93847758081334731</v>
      </c>
      <c r="N36" s="8">
        <v>4</v>
      </c>
      <c r="O36" s="113">
        <v>0.41710114702815432</v>
      </c>
      <c r="P36" s="8">
        <v>4</v>
      </c>
      <c r="Q36" s="113">
        <v>0.41710114702815432</v>
      </c>
      <c r="R36" s="8">
        <v>12</v>
      </c>
      <c r="S36" s="113">
        <v>1.251303441084463</v>
      </c>
      <c r="T36" s="16" t="str">
        <f t="shared" si="0"/>
        <v>BJP GAIN</v>
      </c>
      <c r="U36" s="114">
        <f t="shared" si="1"/>
        <v>19.708029197080293</v>
      </c>
      <c r="V36" s="15" t="str">
        <f t="shared" si="2"/>
        <v>LOWMARGIN</v>
      </c>
    </row>
    <row r="37" spans="1:22">
      <c r="A37" s="8">
        <v>35</v>
      </c>
      <c r="B37" s="112" t="s">
        <v>169</v>
      </c>
      <c r="C37" s="8">
        <v>1138</v>
      </c>
      <c r="D37" s="8">
        <v>829</v>
      </c>
      <c r="E37" s="113">
        <v>72.847100175746931</v>
      </c>
      <c r="F37" s="8">
        <v>449</v>
      </c>
      <c r="G37" s="113">
        <v>54.161640530759946</v>
      </c>
      <c r="H37" s="8">
        <v>356</v>
      </c>
      <c r="I37" s="113">
        <v>42.94330518697226</v>
      </c>
      <c r="J37" s="8">
        <v>2</v>
      </c>
      <c r="K37" s="113">
        <v>0.24125452352231602</v>
      </c>
      <c r="L37" s="8">
        <v>10</v>
      </c>
      <c r="M37" s="113">
        <v>1.2062726176115801</v>
      </c>
      <c r="N37" s="8">
        <v>7</v>
      </c>
      <c r="O37" s="113">
        <v>0.84439083232810619</v>
      </c>
      <c r="P37" s="8">
        <v>2</v>
      </c>
      <c r="Q37" s="113">
        <v>0.24125452352231602</v>
      </c>
      <c r="R37" s="8">
        <v>3</v>
      </c>
      <c r="S37" s="113">
        <v>0.36188178528347409</v>
      </c>
      <c r="T37" s="16" t="str">
        <f t="shared" si="0"/>
        <v>BJP GAIN</v>
      </c>
      <c r="U37" s="114">
        <f t="shared" si="1"/>
        <v>11.218335343787686</v>
      </c>
      <c r="V37" s="15" t="str">
        <f t="shared" si="2"/>
        <v>LOWMARGIN</v>
      </c>
    </row>
    <row r="38" spans="1:22">
      <c r="A38" s="8">
        <v>36</v>
      </c>
      <c r="B38" s="112" t="s">
        <v>170</v>
      </c>
      <c r="C38" s="8">
        <v>1183</v>
      </c>
      <c r="D38" s="8">
        <v>808</v>
      </c>
      <c r="E38" s="113">
        <v>68.300929839391372</v>
      </c>
      <c r="F38" s="8">
        <v>373</v>
      </c>
      <c r="G38" s="113">
        <v>46.163366336633665</v>
      </c>
      <c r="H38" s="8">
        <v>412</v>
      </c>
      <c r="I38" s="113">
        <v>50.990099009900987</v>
      </c>
      <c r="J38" s="8">
        <v>1</v>
      </c>
      <c r="K38" s="113">
        <v>0.12376237623762376</v>
      </c>
      <c r="L38" s="8">
        <v>2</v>
      </c>
      <c r="M38" s="113">
        <v>0.24752475247524752</v>
      </c>
      <c r="N38" s="8">
        <v>10</v>
      </c>
      <c r="O38" s="113">
        <v>1.2376237623762376</v>
      </c>
      <c r="P38" s="8">
        <v>4</v>
      </c>
      <c r="Q38" s="113">
        <v>0.49504950495049505</v>
      </c>
      <c r="R38" s="8">
        <v>6</v>
      </c>
      <c r="S38" s="113">
        <v>0.74257425742574257</v>
      </c>
      <c r="T38" s="14" t="str">
        <f t="shared" si="0"/>
        <v>CONGRESS GAIN</v>
      </c>
      <c r="U38" s="114">
        <f>I38-G38</f>
        <v>4.8267326732673226</v>
      </c>
      <c r="V38" s="34" t="str">
        <f t="shared" si="2"/>
        <v>NARROWMARGIN</v>
      </c>
    </row>
    <row r="39" spans="1:22">
      <c r="A39" s="8">
        <v>37</v>
      </c>
      <c r="B39" s="112" t="s">
        <v>171</v>
      </c>
      <c r="C39" s="8">
        <v>1235</v>
      </c>
      <c r="D39" s="8">
        <v>864</v>
      </c>
      <c r="E39" s="113">
        <v>69.959514170040478</v>
      </c>
      <c r="F39" s="8">
        <v>290</v>
      </c>
      <c r="G39" s="113">
        <v>33.564814814814817</v>
      </c>
      <c r="H39" s="8">
        <v>545</v>
      </c>
      <c r="I39" s="113">
        <v>63.078703703703709</v>
      </c>
      <c r="J39" s="8">
        <v>2</v>
      </c>
      <c r="K39" s="113">
        <v>0.23148148148148145</v>
      </c>
      <c r="L39" s="8">
        <v>4</v>
      </c>
      <c r="M39" s="113">
        <v>0.46296296296296291</v>
      </c>
      <c r="N39" s="8">
        <v>15</v>
      </c>
      <c r="O39" s="113">
        <v>1.7361111111111112</v>
      </c>
      <c r="P39" s="8">
        <v>4</v>
      </c>
      <c r="Q39" s="113">
        <v>0.46296296296296291</v>
      </c>
      <c r="R39" s="8">
        <v>4</v>
      </c>
      <c r="S39" s="113">
        <v>0.46296296296296291</v>
      </c>
      <c r="T39" s="14" t="str">
        <f t="shared" si="0"/>
        <v>CONGRESS GAIN</v>
      </c>
      <c r="U39" s="114">
        <f t="shared" ref="U39:U40" si="3">I39-G39</f>
        <v>29.513888888888893</v>
      </c>
      <c r="V39" s="15" t="str">
        <f t="shared" si="2"/>
        <v>LOWMARGIN</v>
      </c>
    </row>
    <row r="40" spans="1:22">
      <c r="A40" s="8">
        <v>38</v>
      </c>
      <c r="B40" s="112" t="s">
        <v>172</v>
      </c>
      <c r="C40" s="8">
        <v>1022</v>
      </c>
      <c r="D40" s="8">
        <v>685</v>
      </c>
      <c r="E40" s="113">
        <v>67.025440313111545</v>
      </c>
      <c r="F40" s="8">
        <v>305</v>
      </c>
      <c r="G40" s="113">
        <v>44.525547445255476</v>
      </c>
      <c r="H40" s="8">
        <v>357</v>
      </c>
      <c r="I40" s="113">
        <v>52.116788321167881</v>
      </c>
      <c r="J40" s="8">
        <v>1</v>
      </c>
      <c r="K40" s="113">
        <v>0.145985401459854</v>
      </c>
      <c r="L40" s="8">
        <v>2</v>
      </c>
      <c r="M40" s="113">
        <v>0.29197080291970801</v>
      </c>
      <c r="N40" s="8">
        <v>13</v>
      </c>
      <c r="O40" s="113">
        <v>1.8978102189781021</v>
      </c>
      <c r="P40" s="8">
        <v>6</v>
      </c>
      <c r="Q40" s="113">
        <v>0.87591240875912413</v>
      </c>
      <c r="R40" s="8">
        <v>1</v>
      </c>
      <c r="S40" s="113">
        <v>0.145985401459854</v>
      </c>
      <c r="T40" s="14" t="str">
        <f t="shared" si="0"/>
        <v>CONGRESS GAIN</v>
      </c>
      <c r="U40" s="114">
        <f t="shared" si="3"/>
        <v>7.5912408759124048</v>
      </c>
      <c r="V40" s="34" t="str">
        <f t="shared" si="2"/>
        <v>NARROWMARGIN</v>
      </c>
    </row>
    <row r="41" spans="1:22">
      <c r="A41" s="8">
        <v>39</v>
      </c>
      <c r="B41" s="112" t="s">
        <v>173</v>
      </c>
      <c r="C41" s="8">
        <v>1004</v>
      </c>
      <c r="D41" s="8">
        <v>665</v>
      </c>
      <c r="E41" s="113">
        <v>66.235059760956176</v>
      </c>
      <c r="F41" s="8">
        <v>405</v>
      </c>
      <c r="G41" s="113">
        <v>60.902255639097746</v>
      </c>
      <c r="H41" s="8">
        <v>233</v>
      </c>
      <c r="I41" s="113">
        <v>35.037593984962406</v>
      </c>
      <c r="J41" s="8">
        <v>0</v>
      </c>
      <c r="K41" s="113">
        <v>0</v>
      </c>
      <c r="L41" s="8">
        <v>6</v>
      </c>
      <c r="M41" s="113">
        <v>0.90225563909774442</v>
      </c>
      <c r="N41" s="8">
        <v>12</v>
      </c>
      <c r="O41" s="113">
        <v>1.8045112781954888</v>
      </c>
      <c r="P41" s="8">
        <v>3</v>
      </c>
      <c r="Q41" s="113">
        <v>0.45112781954887221</v>
      </c>
      <c r="R41" s="8">
        <v>6</v>
      </c>
      <c r="S41" s="113">
        <v>0.90225563909774442</v>
      </c>
      <c r="T41" s="16" t="str">
        <f t="shared" si="0"/>
        <v>BJP GAIN</v>
      </c>
      <c r="U41" s="114">
        <f t="shared" si="1"/>
        <v>25.86466165413534</v>
      </c>
      <c r="V41" s="15" t="str">
        <f t="shared" si="2"/>
        <v>LOWMARGIN</v>
      </c>
    </row>
    <row r="42" spans="1:22">
      <c r="A42" s="8">
        <v>40</v>
      </c>
      <c r="B42" s="112" t="s">
        <v>174</v>
      </c>
      <c r="C42" s="8">
        <v>1018</v>
      </c>
      <c r="D42" s="8">
        <v>766</v>
      </c>
      <c r="E42" s="113">
        <v>75.24557956777997</v>
      </c>
      <c r="F42" s="8">
        <v>509</v>
      </c>
      <c r="G42" s="113">
        <v>66.449086161879904</v>
      </c>
      <c r="H42" s="8">
        <v>229</v>
      </c>
      <c r="I42" s="113">
        <v>29.895561357702348</v>
      </c>
      <c r="J42" s="8">
        <v>3</v>
      </c>
      <c r="K42" s="113">
        <v>0.39164490861618795</v>
      </c>
      <c r="L42" s="8">
        <v>8</v>
      </c>
      <c r="M42" s="113">
        <v>1.0443864229765014</v>
      </c>
      <c r="N42" s="8">
        <v>0</v>
      </c>
      <c r="O42" s="113">
        <v>0</v>
      </c>
      <c r="P42" s="8">
        <v>4</v>
      </c>
      <c r="Q42" s="113">
        <v>0.52219321148825071</v>
      </c>
      <c r="R42" s="8">
        <v>13</v>
      </c>
      <c r="S42" s="113">
        <v>1.6971279373368149</v>
      </c>
      <c r="T42" s="16" t="str">
        <f t="shared" si="0"/>
        <v>BJP GAIN</v>
      </c>
      <c r="U42" s="114">
        <f t="shared" si="1"/>
        <v>36.553524804177556</v>
      </c>
      <c r="V42" s="24" t="str">
        <f t="shared" si="2"/>
        <v>MEDIUMMARGIN</v>
      </c>
    </row>
    <row r="43" spans="1:22">
      <c r="A43" s="8">
        <v>41</v>
      </c>
      <c r="B43" s="112" t="s">
        <v>175</v>
      </c>
      <c r="C43" s="8">
        <v>680</v>
      </c>
      <c r="D43" s="8">
        <v>546</v>
      </c>
      <c r="E43" s="113">
        <v>80.294117647058826</v>
      </c>
      <c r="F43" s="8">
        <v>312</v>
      </c>
      <c r="G43" s="113">
        <v>57.142857142857139</v>
      </c>
      <c r="H43" s="8">
        <v>216</v>
      </c>
      <c r="I43" s="113">
        <v>39.560439560439562</v>
      </c>
      <c r="J43" s="8">
        <v>1</v>
      </c>
      <c r="K43" s="113">
        <v>0.18315018315018314</v>
      </c>
      <c r="L43" s="8">
        <v>5</v>
      </c>
      <c r="M43" s="113">
        <v>0.91575091575091583</v>
      </c>
      <c r="N43" s="8">
        <v>3</v>
      </c>
      <c r="O43" s="113">
        <v>0.5494505494505495</v>
      </c>
      <c r="P43" s="8">
        <v>0</v>
      </c>
      <c r="Q43" s="113">
        <v>0</v>
      </c>
      <c r="R43" s="8">
        <v>9</v>
      </c>
      <c r="S43" s="113">
        <v>1.6483516483516485</v>
      </c>
      <c r="T43" s="16" t="str">
        <f t="shared" si="0"/>
        <v>BJP GAIN</v>
      </c>
      <c r="U43" s="114">
        <f t="shared" si="1"/>
        <v>17.582417582417577</v>
      </c>
      <c r="V43" s="15" t="str">
        <f t="shared" si="2"/>
        <v>LOWMARGIN</v>
      </c>
    </row>
    <row r="44" spans="1:22">
      <c r="A44" s="8">
        <v>42</v>
      </c>
      <c r="B44" s="112" t="s">
        <v>176</v>
      </c>
      <c r="C44" s="8">
        <v>802</v>
      </c>
      <c r="D44" s="8">
        <v>536</v>
      </c>
      <c r="E44" s="113">
        <v>66.832917705735667</v>
      </c>
      <c r="F44" s="8">
        <v>242</v>
      </c>
      <c r="G44" s="113">
        <v>45.149253731343286</v>
      </c>
      <c r="H44" s="8">
        <v>281</v>
      </c>
      <c r="I44" s="113">
        <v>52.425373134328353</v>
      </c>
      <c r="J44" s="8">
        <v>2</v>
      </c>
      <c r="K44" s="113">
        <v>0.37313432835820892</v>
      </c>
      <c r="L44" s="8">
        <v>3</v>
      </c>
      <c r="M44" s="113">
        <v>0.55970149253731338</v>
      </c>
      <c r="N44" s="8">
        <v>3</v>
      </c>
      <c r="O44" s="113">
        <v>0.55970149253731338</v>
      </c>
      <c r="P44" s="8">
        <v>2</v>
      </c>
      <c r="Q44" s="113">
        <v>0.37313432835820892</v>
      </c>
      <c r="R44" s="8">
        <v>3</v>
      </c>
      <c r="S44" s="113">
        <v>0.55970149253731338</v>
      </c>
      <c r="T44" s="14" t="str">
        <f t="shared" si="0"/>
        <v>CONGRESS GAIN</v>
      </c>
      <c r="U44" s="114">
        <f t="shared" ref="U44:U45" si="4">I44-G44</f>
        <v>7.2761194029850671</v>
      </c>
      <c r="V44" s="34" t="str">
        <f t="shared" si="2"/>
        <v>NARROWMARGIN</v>
      </c>
    </row>
    <row r="45" spans="1:22">
      <c r="A45" s="8">
        <v>43</v>
      </c>
      <c r="B45" s="112" t="s">
        <v>177</v>
      </c>
      <c r="C45" s="8">
        <v>697</v>
      </c>
      <c r="D45" s="8">
        <v>457</v>
      </c>
      <c r="E45" s="113">
        <v>65.566714490674315</v>
      </c>
      <c r="F45" s="8">
        <v>106</v>
      </c>
      <c r="G45" s="113">
        <v>23.194748358862142</v>
      </c>
      <c r="H45" s="8">
        <v>338</v>
      </c>
      <c r="I45" s="113">
        <v>73.960612691466082</v>
      </c>
      <c r="J45" s="8">
        <v>0</v>
      </c>
      <c r="K45" s="113">
        <v>0</v>
      </c>
      <c r="L45" s="8">
        <v>1</v>
      </c>
      <c r="M45" s="113">
        <v>0.21881838074398249</v>
      </c>
      <c r="N45" s="8">
        <v>6</v>
      </c>
      <c r="O45" s="113">
        <v>1.3129102844638949</v>
      </c>
      <c r="P45" s="8">
        <v>3</v>
      </c>
      <c r="Q45" s="113">
        <v>0.65645514223194745</v>
      </c>
      <c r="R45" s="8">
        <v>3</v>
      </c>
      <c r="S45" s="113">
        <v>0.65645514223194745</v>
      </c>
      <c r="T45" s="14" t="str">
        <f t="shared" si="0"/>
        <v>CONGRESS GAIN</v>
      </c>
      <c r="U45" s="114">
        <f t="shared" si="4"/>
        <v>50.76586433260394</v>
      </c>
      <c r="V45" s="14" t="str">
        <f t="shared" si="2"/>
        <v>VERYHIGHMARGIN</v>
      </c>
    </row>
    <row r="46" spans="1:22">
      <c r="A46" s="8">
        <v>44</v>
      </c>
      <c r="B46" s="112" t="s">
        <v>178</v>
      </c>
      <c r="C46" s="8">
        <v>1212</v>
      </c>
      <c r="D46" s="8">
        <v>909</v>
      </c>
      <c r="E46" s="113">
        <v>75</v>
      </c>
      <c r="F46" s="8">
        <v>480</v>
      </c>
      <c r="G46" s="113">
        <v>52.805280528052798</v>
      </c>
      <c r="H46" s="8">
        <v>404</v>
      </c>
      <c r="I46" s="113">
        <v>44.444444444444443</v>
      </c>
      <c r="J46" s="8">
        <v>1</v>
      </c>
      <c r="K46" s="113">
        <v>0.11001100110011</v>
      </c>
      <c r="L46" s="8">
        <v>3</v>
      </c>
      <c r="M46" s="113">
        <v>0.33003300330033003</v>
      </c>
      <c r="N46" s="8">
        <v>6</v>
      </c>
      <c r="O46" s="113">
        <v>0.66006600660066006</v>
      </c>
      <c r="P46" s="8">
        <v>9</v>
      </c>
      <c r="Q46" s="113">
        <v>0.99009900990099009</v>
      </c>
      <c r="R46" s="8">
        <v>6</v>
      </c>
      <c r="S46" s="113">
        <v>0.66006600660066006</v>
      </c>
      <c r="T46" s="16" t="str">
        <f t="shared" si="0"/>
        <v>BJP GAIN</v>
      </c>
      <c r="U46" s="114">
        <f t="shared" si="1"/>
        <v>8.3608360836083548</v>
      </c>
      <c r="V46" s="34" t="str">
        <f t="shared" si="2"/>
        <v>NARROWMARGIN</v>
      </c>
    </row>
    <row r="47" spans="1:22">
      <c r="A47" s="8">
        <v>45</v>
      </c>
      <c r="B47" s="112" t="s">
        <v>179</v>
      </c>
      <c r="C47" s="8">
        <v>1112</v>
      </c>
      <c r="D47" s="8">
        <v>826</v>
      </c>
      <c r="E47" s="113">
        <v>74.280575539568346</v>
      </c>
      <c r="F47" s="8">
        <v>447</v>
      </c>
      <c r="G47" s="113">
        <v>54.116222760290555</v>
      </c>
      <c r="H47" s="8">
        <v>355</v>
      </c>
      <c r="I47" s="113">
        <v>42.978208232445517</v>
      </c>
      <c r="J47" s="8">
        <v>0</v>
      </c>
      <c r="K47" s="113">
        <v>0</v>
      </c>
      <c r="L47" s="8">
        <v>3</v>
      </c>
      <c r="M47" s="113">
        <v>0.36319612590799033</v>
      </c>
      <c r="N47" s="8">
        <v>11</v>
      </c>
      <c r="O47" s="113">
        <v>1.331719128329298</v>
      </c>
      <c r="P47" s="8">
        <v>7</v>
      </c>
      <c r="Q47" s="113">
        <v>0.84745762711864403</v>
      </c>
      <c r="R47" s="8">
        <v>3</v>
      </c>
      <c r="S47" s="113">
        <v>0.36319612590799033</v>
      </c>
      <c r="T47" s="16" t="str">
        <f t="shared" si="0"/>
        <v>BJP GAIN</v>
      </c>
      <c r="U47" s="114">
        <f t="shared" si="1"/>
        <v>11.138014527845037</v>
      </c>
      <c r="V47" s="15" t="str">
        <f t="shared" si="2"/>
        <v>LOWMARGIN</v>
      </c>
    </row>
    <row r="48" spans="1:22">
      <c r="A48" s="8">
        <v>46</v>
      </c>
      <c r="B48" s="112" t="s">
        <v>180</v>
      </c>
      <c r="C48" s="8">
        <v>984</v>
      </c>
      <c r="D48" s="8">
        <v>761</v>
      </c>
      <c r="E48" s="113">
        <v>77.337398373983731</v>
      </c>
      <c r="F48" s="8">
        <v>391</v>
      </c>
      <c r="G48" s="113">
        <v>51.379763469119574</v>
      </c>
      <c r="H48" s="8">
        <v>341</v>
      </c>
      <c r="I48" s="113">
        <v>44.809461235216816</v>
      </c>
      <c r="J48" s="8">
        <v>3</v>
      </c>
      <c r="K48" s="113">
        <v>0.39421813403416556</v>
      </c>
      <c r="L48" s="8">
        <v>9</v>
      </c>
      <c r="M48" s="113">
        <v>1.1826544021024967</v>
      </c>
      <c r="N48" s="8">
        <v>2</v>
      </c>
      <c r="O48" s="113">
        <v>0.26281208935611039</v>
      </c>
      <c r="P48" s="8">
        <v>5</v>
      </c>
      <c r="Q48" s="113">
        <v>0.65703022339027595</v>
      </c>
      <c r="R48" s="8">
        <v>10</v>
      </c>
      <c r="S48" s="113">
        <v>1.3140604467805519</v>
      </c>
      <c r="T48" s="16" t="str">
        <f t="shared" si="0"/>
        <v>BJP GAIN</v>
      </c>
      <c r="U48" s="114">
        <f t="shared" si="1"/>
        <v>6.5703022339027584</v>
      </c>
      <c r="V48" s="34" t="str">
        <f t="shared" si="2"/>
        <v>NARROWMARGIN</v>
      </c>
    </row>
    <row r="49" spans="1:22">
      <c r="A49" s="8">
        <v>47</v>
      </c>
      <c r="B49" s="112" t="s">
        <v>181</v>
      </c>
      <c r="C49" s="8">
        <v>1261</v>
      </c>
      <c r="D49" s="8">
        <v>881</v>
      </c>
      <c r="E49" s="113">
        <v>69.865186360031714</v>
      </c>
      <c r="F49" s="8">
        <v>565</v>
      </c>
      <c r="G49" s="113">
        <v>64.131668558456298</v>
      </c>
      <c r="H49" s="8">
        <v>295</v>
      </c>
      <c r="I49" s="113">
        <v>33.484676503972757</v>
      </c>
      <c r="J49" s="8">
        <v>1</v>
      </c>
      <c r="K49" s="113">
        <v>0.11350737797956867</v>
      </c>
      <c r="L49" s="8">
        <v>4</v>
      </c>
      <c r="M49" s="113">
        <v>0.45402951191827468</v>
      </c>
      <c r="N49" s="8">
        <v>6</v>
      </c>
      <c r="O49" s="113">
        <v>0.68104426787741201</v>
      </c>
      <c r="P49" s="8">
        <v>3</v>
      </c>
      <c r="Q49" s="113">
        <v>0.34052213393870601</v>
      </c>
      <c r="R49" s="8">
        <v>7</v>
      </c>
      <c r="S49" s="113">
        <v>0.79455164585698068</v>
      </c>
      <c r="T49" s="16" t="str">
        <f t="shared" si="0"/>
        <v>BJP GAIN</v>
      </c>
      <c r="U49" s="114">
        <f t="shared" si="1"/>
        <v>30.64699205448354</v>
      </c>
      <c r="V49" s="24" t="str">
        <f t="shared" si="2"/>
        <v>MEDIUMMARGIN</v>
      </c>
    </row>
    <row r="50" spans="1:22">
      <c r="A50" s="8">
        <v>48</v>
      </c>
      <c r="B50" s="112" t="s">
        <v>182</v>
      </c>
      <c r="C50" s="8">
        <v>1310</v>
      </c>
      <c r="D50" s="8">
        <v>761</v>
      </c>
      <c r="E50" s="113">
        <v>58.091603053435115</v>
      </c>
      <c r="F50" s="8">
        <v>429</v>
      </c>
      <c r="G50" s="113">
        <v>56.373193166885684</v>
      </c>
      <c r="H50" s="8">
        <v>301</v>
      </c>
      <c r="I50" s="113">
        <v>39.553219448094609</v>
      </c>
      <c r="J50" s="8">
        <v>0</v>
      </c>
      <c r="K50" s="113">
        <v>0</v>
      </c>
      <c r="L50" s="8">
        <v>22</v>
      </c>
      <c r="M50" s="113">
        <v>2.8909329829172141</v>
      </c>
      <c r="N50" s="8">
        <v>1</v>
      </c>
      <c r="O50" s="113">
        <v>0.13140604467805519</v>
      </c>
      <c r="P50" s="8">
        <v>3</v>
      </c>
      <c r="Q50" s="113">
        <v>0.39421813403416556</v>
      </c>
      <c r="R50" s="8">
        <v>5</v>
      </c>
      <c r="S50" s="113">
        <v>0.65703022339027595</v>
      </c>
      <c r="T50" s="16" t="str">
        <f t="shared" si="0"/>
        <v>BJP GAIN</v>
      </c>
      <c r="U50" s="114">
        <f t="shared" si="1"/>
        <v>16.819973718791076</v>
      </c>
      <c r="V50" s="15" t="str">
        <f t="shared" si="2"/>
        <v>LOWMARGIN</v>
      </c>
    </row>
    <row r="51" spans="1:22">
      <c r="A51" s="8">
        <v>49</v>
      </c>
      <c r="B51" s="112" t="s">
        <v>183</v>
      </c>
      <c r="C51" s="8">
        <v>1047</v>
      </c>
      <c r="D51" s="8">
        <v>770</v>
      </c>
      <c r="E51" s="113">
        <v>73.543457497612224</v>
      </c>
      <c r="F51" s="8">
        <v>434</v>
      </c>
      <c r="G51" s="113">
        <v>56.36363636363636</v>
      </c>
      <c r="H51" s="8">
        <v>294</v>
      </c>
      <c r="I51" s="113">
        <v>38.181818181818187</v>
      </c>
      <c r="J51" s="8">
        <v>1</v>
      </c>
      <c r="K51" s="113">
        <v>0.12987012987012986</v>
      </c>
      <c r="L51" s="8">
        <v>31</v>
      </c>
      <c r="M51" s="113">
        <v>4.0259740259740262</v>
      </c>
      <c r="N51" s="8">
        <v>5</v>
      </c>
      <c r="O51" s="113">
        <v>0.64935064935064934</v>
      </c>
      <c r="P51" s="8">
        <v>3</v>
      </c>
      <c r="Q51" s="113">
        <v>0.38961038961038963</v>
      </c>
      <c r="R51" s="8">
        <v>2</v>
      </c>
      <c r="S51" s="113">
        <v>0.25974025974025972</v>
      </c>
      <c r="T51" s="16" t="str">
        <f t="shared" si="0"/>
        <v>BJP GAIN</v>
      </c>
      <c r="U51" s="114">
        <f t="shared" si="1"/>
        <v>18.181818181818173</v>
      </c>
      <c r="V51" s="15" t="str">
        <f t="shared" si="2"/>
        <v>LOWMARGIN</v>
      </c>
    </row>
    <row r="52" spans="1:22">
      <c r="A52" s="8">
        <v>50</v>
      </c>
      <c r="B52" s="112" t="s">
        <v>184</v>
      </c>
      <c r="C52" s="8">
        <v>811</v>
      </c>
      <c r="D52" s="8">
        <v>532</v>
      </c>
      <c r="E52" s="113">
        <v>65.598027127003704</v>
      </c>
      <c r="F52" s="8">
        <v>351</v>
      </c>
      <c r="G52" s="113">
        <v>65.977443609022558</v>
      </c>
      <c r="H52" s="8">
        <v>171</v>
      </c>
      <c r="I52" s="113">
        <v>32.142857142857146</v>
      </c>
      <c r="J52" s="8">
        <v>1</v>
      </c>
      <c r="K52" s="113">
        <v>0.18796992481203006</v>
      </c>
      <c r="L52" s="8">
        <v>4</v>
      </c>
      <c r="M52" s="113">
        <v>0.75187969924812026</v>
      </c>
      <c r="N52" s="8">
        <v>4</v>
      </c>
      <c r="O52" s="113">
        <v>0.75187969924812026</v>
      </c>
      <c r="P52" s="8">
        <v>1</v>
      </c>
      <c r="Q52" s="113">
        <v>0.18796992481203006</v>
      </c>
      <c r="R52" s="8">
        <v>0</v>
      </c>
      <c r="S52" s="113">
        <v>0</v>
      </c>
      <c r="T52" s="16" t="str">
        <f t="shared" si="0"/>
        <v>BJP GAIN</v>
      </c>
      <c r="U52" s="114">
        <f t="shared" si="1"/>
        <v>33.834586466165412</v>
      </c>
      <c r="V52" s="24" t="str">
        <f t="shared" si="2"/>
        <v>MEDIUMMARGIN</v>
      </c>
    </row>
    <row r="53" spans="1:22">
      <c r="A53" s="8">
        <v>51</v>
      </c>
      <c r="B53" s="112" t="s">
        <v>185</v>
      </c>
      <c r="C53" s="8">
        <v>841</v>
      </c>
      <c r="D53" s="8">
        <v>637</v>
      </c>
      <c r="E53" s="113">
        <v>75.743162901307969</v>
      </c>
      <c r="F53" s="8">
        <v>376</v>
      </c>
      <c r="G53" s="113">
        <v>59.026687598116169</v>
      </c>
      <c r="H53" s="8">
        <v>241</v>
      </c>
      <c r="I53" s="113">
        <v>37.833594976452119</v>
      </c>
      <c r="J53" s="8">
        <v>2</v>
      </c>
      <c r="K53" s="113">
        <v>0.31397174254317112</v>
      </c>
      <c r="L53" s="8">
        <v>9</v>
      </c>
      <c r="M53" s="113">
        <v>1.4128728414442702</v>
      </c>
      <c r="N53" s="8">
        <v>1</v>
      </c>
      <c r="O53" s="113">
        <v>0.15698587127158556</v>
      </c>
      <c r="P53" s="8">
        <v>5</v>
      </c>
      <c r="Q53" s="113">
        <v>0.78492935635792771</v>
      </c>
      <c r="R53" s="8">
        <v>3</v>
      </c>
      <c r="S53" s="113">
        <v>0.47095761381475665</v>
      </c>
      <c r="T53" s="16" t="str">
        <f t="shared" si="0"/>
        <v>BJP GAIN</v>
      </c>
      <c r="U53" s="114">
        <f t="shared" si="1"/>
        <v>21.19309262166405</v>
      </c>
      <c r="V53" s="15" t="str">
        <f t="shared" si="2"/>
        <v>LOWMARGIN</v>
      </c>
    </row>
    <row r="54" spans="1:22">
      <c r="A54" s="8">
        <v>52</v>
      </c>
      <c r="B54" s="112" t="s">
        <v>186</v>
      </c>
      <c r="C54" s="8">
        <v>1267</v>
      </c>
      <c r="D54" s="8">
        <v>803</v>
      </c>
      <c r="E54" s="113">
        <v>63.378058405682715</v>
      </c>
      <c r="F54" s="8">
        <v>258</v>
      </c>
      <c r="G54" s="113">
        <v>32.129514321295147</v>
      </c>
      <c r="H54" s="8">
        <v>503</v>
      </c>
      <c r="I54" s="113">
        <v>62.640099626400989</v>
      </c>
      <c r="J54" s="8">
        <v>1</v>
      </c>
      <c r="K54" s="113">
        <v>0.12453300124533001</v>
      </c>
      <c r="L54" s="8">
        <v>12</v>
      </c>
      <c r="M54" s="113">
        <v>1.4943960149439601</v>
      </c>
      <c r="N54" s="8">
        <v>28</v>
      </c>
      <c r="O54" s="113">
        <v>3.4869240348692405</v>
      </c>
      <c r="P54" s="8">
        <v>0</v>
      </c>
      <c r="Q54" s="113">
        <v>0</v>
      </c>
      <c r="R54" s="8">
        <v>1</v>
      </c>
      <c r="S54" s="113">
        <v>0.12453300124533001</v>
      </c>
      <c r="T54" s="14" t="str">
        <f t="shared" si="0"/>
        <v>CONGRESS GAIN</v>
      </c>
      <c r="U54" s="114">
        <f t="shared" ref="U54" si="5">I54-G54</f>
        <v>30.510585305105842</v>
      </c>
      <c r="V54" s="24" t="str">
        <f t="shared" si="2"/>
        <v>MEDIUMMARGIN</v>
      </c>
    </row>
    <row r="55" spans="1:22">
      <c r="A55" s="8">
        <v>53</v>
      </c>
      <c r="B55" s="112" t="s">
        <v>187</v>
      </c>
      <c r="C55" s="8">
        <v>919</v>
      </c>
      <c r="D55" s="8">
        <v>662</v>
      </c>
      <c r="E55" s="113">
        <v>72.034820457018498</v>
      </c>
      <c r="F55" s="8">
        <v>364</v>
      </c>
      <c r="G55" s="113">
        <v>54.984894259818731</v>
      </c>
      <c r="H55" s="8">
        <v>272</v>
      </c>
      <c r="I55" s="113">
        <v>41.087613293051362</v>
      </c>
      <c r="J55" s="8">
        <v>1</v>
      </c>
      <c r="K55" s="113">
        <v>0.15105740181268881</v>
      </c>
      <c r="L55" s="8">
        <v>7</v>
      </c>
      <c r="M55" s="113">
        <v>1.0574018126888218</v>
      </c>
      <c r="N55" s="8">
        <v>9</v>
      </c>
      <c r="O55" s="113">
        <v>1.3595166163141994</v>
      </c>
      <c r="P55" s="8">
        <v>6</v>
      </c>
      <c r="Q55" s="113">
        <v>0.90634441087613304</v>
      </c>
      <c r="R55" s="8">
        <v>3</v>
      </c>
      <c r="S55" s="113">
        <v>0.45317220543806652</v>
      </c>
      <c r="T55" s="16" t="str">
        <f t="shared" si="0"/>
        <v>BJP GAIN</v>
      </c>
      <c r="U55" s="114">
        <f t="shared" si="1"/>
        <v>13.897280966767369</v>
      </c>
      <c r="V55" s="15" t="str">
        <f t="shared" si="2"/>
        <v>LOWMARGIN</v>
      </c>
    </row>
    <row r="56" spans="1:22">
      <c r="A56" s="8">
        <v>54</v>
      </c>
      <c r="B56" s="112" t="s">
        <v>188</v>
      </c>
      <c r="C56" s="8">
        <v>1014</v>
      </c>
      <c r="D56" s="8">
        <v>719</v>
      </c>
      <c r="E56" s="113">
        <v>70.907297830374745</v>
      </c>
      <c r="F56" s="8">
        <v>525</v>
      </c>
      <c r="G56" s="113">
        <v>73.018080667593878</v>
      </c>
      <c r="H56" s="8">
        <v>173</v>
      </c>
      <c r="I56" s="113">
        <v>24.061196105702365</v>
      </c>
      <c r="J56" s="8">
        <v>0</v>
      </c>
      <c r="K56" s="113">
        <v>0</v>
      </c>
      <c r="L56" s="8">
        <v>2</v>
      </c>
      <c r="M56" s="113">
        <v>0.27816411682892905</v>
      </c>
      <c r="N56" s="8">
        <v>9</v>
      </c>
      <c r="O56" s="113">
        <v>1.2517385257301807</v>
      </c>
      <c r="P56" s="8">
        <v>7</v>
      </c>
      <c r="Q56" s="113">
        <v>0.97357440890125169</v>
      </c>
      <c r="R56" s="8">
        <v>3</v>
      </c>
      <c r="S56" s="113">
        <v>0.41724617524339358</v>
      </c>
      <c r="T56" s="16" t="str">
        <f t="shared" si="0"/>
        <v>BJP GAIN</v>
      </c>
      <c r="U56" s="114">
        <f t="shared" si="1"/>
        <v>48.956884561891513</v>
      </c>
      <c r="V56" s="57" t="str">
        <f t="shared" si="2"/>
        <v>HIGHMARGIN</v>
      </c>
    </row>
    <row r="57" spans="1:22">
      <c r="A57" s="8">
        <v>55</v>
      </c>
      <c r="B57" s="112" t="s">
        <v>189</v>
      </c>
      <c r="C57" s="8">
        <v>1071</v>
      </c>
      <c r="D57" s="8">
        <v>777</v>
      </c>
      <c r="E57" s="113">
        <v>72.549019607843135</v>
      </c>
      <c r="F57" s="8">
        <v>486</v>
      </c>
      <c r="G57" s="113">
        <v>62.548262548262542</v>
      </c>
      <c r="H57" s="8">
        <v>264</v>
      </c>
      <c r="I57" s="113">
        <v>33.976833976833973</v>
      </c>
      <c r="J57" s="8">
        <v>0</v>
      </c>
      <c r="K57" s="113">
        <v>0</v>
      </c>
      <c r="L57" s="8">
        <v>2</v>
      </c>
      <c r="M57" s="113">
        <v>0.2574002574002574</v>
      </c>
      <c r="N57" s="8">
        <v>19</v>
      </c>
      <c r="O57" s="113">
        <v>2.445302445302445</v>
      </c>
      <c r="P57" s="8">
        <v>3</v>
      </c>
      <c r="Q57" s="113">
        <v>0.38610038610038611</v>
      </c>
      <c r="R57" s="8">
        <v>3</v>
      </c>
      <c r="S57" s="113">
        <v>0.38610038610038611</v>
      </c>
      <c r="T57" s="16" t="str">
        <f t="shared" si="0"/>
        <v>BJP GAIN</v>
      </c>
      <c r="U57" s="114">
        <f t="shared" si="1"/>
        <v>28.571428571428569</v>
      </c>
      <c r="V57" s="15" t="str">
        <f t="shared" si="2"/>
        <v>LOWMARGIN</v>
      </c>
    </row>
    <row r="58" spans="1:22">
      <c r="A58" s="8">
        <v>56</v>
      </c>
      <c r="B58" s="112" t="s">
        <v>190</v>
      </c>
      <c r="C58" s="8">
        <v>1284</v>
      </c>
      <c r="D58" s="8">
        <v>828</v>
      </c>
      <c r="E58" s="113">
        <v>64.485981308411212</v>
      </c>
      <c r="F58" s="8">
        <v>374</v>
      </c>
      <c r="G58" s="113">
        <v>45.169082125603865</v>
      </c>
      <c r="H58" s="8">
        <v>416</v>
      </c>
      <c r="I58" s="113">
        <v>50.24154589371981</v>
      </c>
      <c r="J58" s="8">
        <v>2</v>
      </c>
      <c r="K58" s="113">
        <v>0.24154589371980675</v>
      </c>
      <c r="L58" s="8">
        <v>0</v>
      </c>
      <c r="M58" s="113">
        <v>0</v>
      </c>
      <c r="N58" s="8">
        <v>33</v>
      </c>
      <c r="O58" s="113">
        <v>3.9855072463768111</v>
      </c>
      <c r="P58" s="8">
        <v>2</v>
      </c>
      <c r="Q58" s="113">
        <v>0.24154589371980675</v>
      </c>
      <c r="R58" s="8">
        <v>1</v>
      </c>
      <c r="S58" s="113">
        <v>0.12077294685990338</v>
      </c>
      <c r="T58" s="14" t="str">
        <f t="shared" si="0"/>
        <v>CONGRESS GAIN</v>
      </c>
      <c r="U58" s="114">
        <f t="shared" ref="U58" si="6">I58-G58</f>
        <v>5.072463768115945</v>
      </c>
      <c r="V58" s="34" t="str">
        <f t="shared" si="2"/>
        <v>NARROWMARGIN</v>
      </c>
    </row>
    <row r="59" spans="1:22">
      <c r="A59" s="8">
        <v>57</v>
      </c>
      <c r="B59" s="112" t="s">
        <v>191</v>
      </c>
      <c r="C59" s="8">
        <v>619</v>
      </c>
      <c r="D59" s="8">
        <v>469</v>
      </c>
      <c r="E59" s="113">
        <v>75.767366720516961</v>
      </c>
      <c r="F59" s="8">
        <v>357</v>
      </c>
      <c r="G59" s="113">
        <v>76.119402985074629</v>
      </c>
      <c r="H59" s="8">
        <v>102</v>
      </c>
      <c r="I59" s="113">
        <v>21.748400852878465</v>
      </c>
      <c r="J59" s="8">
        <v>0</v>
      </c>
      <c r="K59" s="113">
        <v>0</v>
      </c>
      <c r="L59" s="8">
        <v>0</v>
      </c>
      <c r="M59" s="113">
        <v>0</v>
      </c>
      <c r="N59" s="8">
        <v>4</v>
      </c>
      <c r="O59" s="113">
        <v>0.85287846481876328</v>
      </c>
      <c r="P59" s="8">
        <v>5</v>
      </c>
      <c r="Q59" s="113">
        <v>1.0660980810234542</v>
      </c>
      <c r="R59" s="8">
        <v>1</v>
      </c>
      <c r="S59" s="113">
        <v>0.21321961620469082</v>
      </c>
      <c r="T59" s="16" t="str">
        <f t="shared" si="0"/>
        <v>BJP GAIN</v>
      </c>
      <c r="U59" s="114">
        <f t="shared" si="1"/>
        <v>54.371002132196168</v>
      </c>
      <c r="V59" s="14" t="str">
        <f t="shared" si="2"/>
        <v>VERYHIGHMARGIN</v>
      </c>
    </row>
    <row r="60" spans="1:22">
      <c r="A60" s="8">
        <v>58</v>
      </c>
      <c r="B60" s="112" t="s">
        <v>192</v>
      </c>
      <c r="C60" s="8">
        <v>936</v>
      </c>
      <c r="D60" s="8">
        <v>707</v>
      </c>
      <c r="E60" s="113">
        <v>75.534188034188034</v>
      </c>
      <c r="F60" s="8">
        <v>520</v>
      </c>
      <c r="G60" s="113">
        <v>73.550212164073542</v>
      </c>
      <c r="H60" s="8">
        <v>160</v>
      </c>
      <c r="I60" s="113">
        <v>22.630834512022631</v>
      </c>
      <c r="J60" s="8">
        <v>1</v>
      </c>
      <c r="K60" s="113">
        <v>0.14144271570014144</v>
      </c>
      <c r="L60" s="8">
        <v>1</v>
      </c>
      <c r="M60" s="113">
        <v>0.14144271570014144</v>
      </c>
      <c r="N60" s="8">
        <v>18</v>
      </c>
      <c r="O60" s="113">
        <v>2.5459688826025459</v>
      </c>
      <c r="P60" s="8">
        <v>6</v>
      </c>
      <c r="Q60" s="113">
        <v>0.84865629420084865</v>
      </c>
      <c r="R60" s="8">
        <v>1</v>
      </c>
      <c r="S60" s="113">
        <v>0.14144271570014144</v>
      </c>
      <c r="T60" s="16" t="str">
        <f t="shared" si="0"/>
        <v>BJP GAIN</v>
      </c>
      <c r="U60" s="114">
        <f t="shared" si="1"/>
        <v>50.919377652050912</v>
      </c>
      <c r="V60" s="14" t="str">
        <f t="shared" si="2"/>
        <v>VERYHIGHMARGIN</v>
      </c>
    </row>
    <row r="61" spans="1:22">
      <c r="A61" s="8">
        <v>59</v>
      </c>
      <c r="B61" s="112" t="s">
        <v>193</v>
      </c>
      <c r="C61" s="8">
        <v>1200</v>
      </c>
      <c r="D61" s="8">
        <v>772</v>
      </c>
      <c r="E61" s="113">
        <v>64.333333333333329</v>
      </c>
      <c r="F61" s="8">
        <v>461</v>
      </c>
      <c r="G61" s="113">
        <v>59.715025906735754</v>
      </c>
      <c r="H61" s="8">
        <v>294</v>
      </c>
      <c r="I61" s="113">
        <v>38.082901554404145</v>
      </c>
      <c r="J61" s="8">
        <v>3</v>
      </c>
      <c r="K61" s="113">
        <v>0.38860103626943004</v>
      </c>
      <c r="L61" s="8">
        <v>2</v>
      </c>
      <c r="M61" s="113">
        <v>0.2590673575129534</v>
      </c>
      <c r="N61" s="8">
        <v>11</v>
      </c>
      <c r="O61" s="113">
        <v>1.4248704663212435</v>
      </c>
      <c r="P61" s="8">
        <v>0</v>
      </c>
      <c r="Q61" s="113">
        <v>0</v>
      </c>
      <c r="R61" s="8">
        <v>1</v>
      </c>
      <c r="S61" s="113">
        <v>0.1295336787564767</v>
      </c>
      <c r="T61" s="16" t="str">
        <f t="shared" si="0"/>
        <v>BJP GAIN</v>
      </c>
      <c r="U61" s="114">
        <f t="shared" si="1"/>
        <v>21.632124352331608</v>
      </c>
      <c r="V61" s="15" t="str">
        <f t="shared" si="2"/>
        <v>LOWMARGIN</v>
      </c>
    </row>
    <row r="62" spans="1:22">
      <c r="A62" s="8">
        <v>60</v>
      </c>
      <c r="B62" s="112" t="s">
        <v>194</v>
      </c>
      <c r="C62" s="8">
        <v>1433</v>
      </c>
      <c r="D62" s="8">
        <v>770</v>
      </c>
      <c r="E62" s="113">
        <v>53.733426378227499</v>
      </c>
      <c r="F62" s="8">
        <v>513</v>
      </c>
      <c r="G62" s="113">
        <v>66.623376623376629</v>
      </c>
      <c r="H62" s="8">
        <v>232</v>
      </c>
      <c r="I62" s="113">
        <v>30.129870129870127</v>
      </c>
      <c r="J62" s="8">
        <v>1</v>
      </c>
      <c r="K62" s="113">
        <v>0.12987012987012986</v>
      </c>
      <c r="L62" s="8">
        <v>0</v>
      </c>
      <c r="M62" s="113">
        <v>0</v>
      </c>
      <c r="N62" s="8">
        <v>20</v>
      </c>
      <c r="O62" s="113">
        <v>2.5974025974025974</v>
      </c>
      <c r="P62" s="8">
        <v>3</v>
      </c>
      <c r="Q62" s="113">
        <v>0.38961038961038963</v>
      </c>
      <c r="R62" s="8">
        <v>1</v>
      </c>
      <c r="S62" s="113">
        <v>0.12987012987012986</v>
      </c>
      <c r="T62" s="16" t="str">
        <f t="shared" si="0"/>
        <v>BJP GAIN</v>
      </c>
      <c r="U62" s="114">
        <f t="shared" si="1"/>
        <v>36.493506493506501</v>
      </c>
      <c r="V62" s="24" t="str">
        <f t="shared" si="2"/>
        <v>MEDIUMMARGIN</v>
      </c>
    </row>
    <row r="63" spans="1:22">
      <c r="A63" s="8">
        <v>61</v>
      </c>
      <c r="B63" s="112" t="s">
        <v>195</v>
      </c>
      <c r="C63" s="8">
        <v>981</v>
      </c>
      <c r="D63" s="8">
        <v>675</v>
      </c>
      <c r="E63" s="113">
        <v>68.807339449541288</v>
      </c>
      <c r="F63" s="8">
        <v>546</v>
      </c>
      <c r="G63" s="113">
        <v>80.888888888888886</v>
      </c>
      <c r="H63" s="8">
        <v>103</v>
      </c>
      <c r="I63" s="113">
        <v>15.259259259259258</v>
      </c>
      <c r="J63" s="8">
        <v>0</v>
      </c>
      <c r="K63" s="113">
        <v>0</v>
      </c>
      <c r="L63" s="8">
        <v>0</v>
      </c>
      <c r="M63" s="113">
        <v>0</v>
      </c>
      <c r="N63" s="8">
        <v>19</v>
      </c>
      <c r="O63" s="113">
        <v>2.8148148148148149</v>
      </c>
      <c r="P63" s="8">
        <v>5</v>
      </c>
      <c r="Q63" s="113">
        <v>0.74074074074074081</v>
      </c>
      <c r="R63" s="8">
        <v>2</v>
      </c>
      <c r="S63" s="113">
        <v>0.29629629629629628</v>
      </c>
      <c r="T63" s="16" t="str">
        <f t="shared" si="0"/>
        <v>BJP GAIN</v>
      </c>
      <c r="U63" s="114">
        <f t="shared" si="1"/>
        <v>65.629629629629633</v>
      </c>
      <c r="V63" s="14" t="str">
        <f t="shared" si="2"/>
        <v>VERYHIGHMARGIN</v>
      </c>
    </row>
    <row r="64" spans="1:22">
      <c r="A64" s="8">
        <v>62</v>
      </c>
      <c r="B64" s="112" t="s">
        <v>196</v>
      </c>
      <c r="C64" s="8">
        <v>816</v>
      </c>
      <c r="D64" s="8">
        <v>589</v>
      </c>
      <c r="E64" s="113">
        <v>72.181372549019613</v>
      </c>
      <c r="F64" s="8">
        <v>363</v>
      </c>
      <c r="G64" s="113">
        <v>61.629881154499152</v>
      </c>
      <c r="H64" s="8">
        <v>213</v>
      </c>
      <c r="I64" s="113">
        <v>36.16298811544992</v>
      </c>
      <c r="J64" s="8">
        <v>1</v>
      </c>
      <c r="K64" s="113">
        <v>0.1697792869269949</v>
      </c>
      <c r="L64" s="8">
        <v>0</v>
      </c>
      <c r="M64" s="113">
        <v>0</v>
      </c>
      <c r="N64" s="8">
        <v>8</v>
      </c>
      <c r="O64" s="113">
        <v>1.3582342954159592</v>
      </c>
      <c r="P64" s="8">
        <v>3</v>
      </c>
      <c r="Q64" s="113">
        <v>0.50933786078098475</v>
      </c>
      <c r="R64" s="8">
        <v>1</v>
      </c>
      <c r="S64" s="113">
        <v>0.1697792869269949</v>
      </c>
      <c r="T64" s="16" t="str">
        <f t="shared" si="0"/>
        <v>BJP GAIN</v>
      </c>
      <c r="U64" s="114">
        <f t="shared" si="1"/>
        <v>25.466893039049232</v>
      </c>
      <c r="V64" s="15" t="str">
        <f t="shared" si="2"/>
        <v>LOWMARGIN</v>
      </c>
    </row>
    <row r="65" spans="1:22">
      <c r="A65" s="8">
        <v>63</v>
      </c>
      <c r="B65" s="112" t="s">
        <v>197</v>
      </c>
      <c r="C65" s="8">
        <v>1398</v>
      </c>
      <c r="D65" s="8">
        <v>969</v>
      </c>
      <c r="E65" s="113">
        <v>69.31330472103005</v>
      </c>
      <c r="F65" s="8">
        <v>713</v>
      </c>
      <c r="G65" s="113">
        <v>73.581011351909183</v>
      </c>
      <c r="H65" s="8">
        <v>227</v>
      </c>
      <c r="I65" s="113">
        <v>23.426212590299279</v>
      </c>
      <c r="J65" s="8">
        <v>2</v>
      </c>
      <c r="K65" s="113">
        <v>0.20639834881320948</v>
      </c>
      <c r="L65" s="8">
        <v>3</v>
      </c>
      <c r="M65" s="113">
        <v>0.30959752321981426</v>
      </c>
      <c r="N65" s="8">
        <v>16</v>
      </c>
      <c r="O65" s="113">
        <v>1.6511867905056758</v>
      </c>
      <c r="P65" s="8">
        <v>7</v>
      </c>
      <c r="Q65" s="113">
        <v>0.72239422084623317</v>
      </c>
      <c r="R65" s="8">
        <v>1</v>
      </c>
      <c r="S65" s="113">
        <v>0.10319917440660474</v>
      </c>
      <c r="T65" s="16" t="str">
        <f t="shared" si="0"/>
        <v>BJP GAIN</v>
      </c>
      <c r="U65" s="114">
        <f t="shared" si="1"/>
        <v>50.154798761609904</v>
      </c>
      <c r="V65" s="14" t="str">
        <f t="shared" si="2"/>
        <v>VERYHIGHMARGIN</v>
      </c>
    </row>
    <row r="66" spans="1:22">
      <c r="A66" s="8">
        <v>64</v>
      </c>
      <c r="B66" s="112" t="s">
        <v>198</v>
      </c>
      <c r="C66" s="8">
        <v>1210</v>
      </c>
      <c r="D66" s="8">
        <v>880</v>
      </c>
      <c r="E66" s="113">
        <v>72.727272727272734</v>
      </c>
      <c r="F66" s="8">
        <v>747</v>
      </c>
      <c r="G66" s="113">
        <v>84.88636363636364</v>
      </c>
      <c r="H66" s="8">
        <v>117</v>
      </c>
      <c r="I66" s="113">
        <v>13.295454545454547</v>
      </c>
      <c r="J66" s="8">
        <v>2</v>
      </c>
      <c r="K66" s="113">
        <v>0.22727272727272727</v>
      </c>
      <c r="L66" s="8">
        <v>1</v>
      </c>
      <c r="M66" s="113">
        <v>0.11363636363636363</v>
      </c>
      <c r="N66" s="8">
        <v>8</v>
      </c>
      <c r="O66" s="113">
        <v>0.90909090909090906</v>
      </c>
      <c r="P66" s="8">
        <v>4</v>
      </c>
      <c r="Q66" s="113">
        <v>0.45454545454545453</v>
      </c>
      <c r="R66" s="8">
        <v>1</v>
      </c>
      <c r="S66" s="113">
        <v>0.11363636363636363</v>
      </c>
      <c r="T66" s="16" t="str">
        <f t="shared" si="0"/>
        <v>BJP GAIN</v>
      </c>
      <c r="U66" s="114">
        <f t="shared" si="1"/>
        <v>71.590909090909093</v>
      </c>
      <c r="V66" s="14" t="str">
        <f t="shared" si="2"/>
        <v>VERYHIGHMARGIN</v>
      </c>
    </row>
    <row r="67" spans="1:22">
      <c r="A67" s="8">
        <v>65</v>
      </c>
      <c r="B67" s="112" t="s">
        <v>199</v>
      </c>
      <c r="C67" s="8">
        <v>1262</v>
      </c>
      <c r="D67" s="8">
        <v>836</v>
      </c>
      <c r="E67" s="113">
        <v>66.244057052297947</v>
      </c>
      <c r="F67" s="8">
        <v>692</v>
      </c>
      <c r="G67" s="113">
        <v>82.775119617224874</v>
      </c>
      <c r="H67" s="8">
        <v>116</v>
      </c>
      <c r="I67" s="113">
        <v>13.875598086124402</v>
      </c>
      <c r="J67" s="8">
        <v>1</v>
      </c>
      <c r="K67" s="113">
        <v>0.11961722488038277</v>
      </c>
      <c r="L67" s="8">
        <v>2</v>
      </c>
      <c r="M67" s="113">
        <v>0.23923444976076555</v>
      </c>
      <c r="N67" s="8">
        <v>15</v>
      </c>
      <c r="O67" s="113">
        <v>1.7942583732057416</v>
      </c>
      <c r="P67" s="8">
        <v>8</v>
      </c>
      <c r="Q67" s="113">
        <v>0.9569377990430622</v>
      </c>
      <c r="R67" s="8">
        <v>2</v>
      </c>
      <c r="S67" s="113">
        <v>0.23923444976076555</v>
      </c>
      <c r="T67" s="16" t="str">
        <f t="shared" si="0"/>
        <v>BJP GAIN</v>
      </c>
      <c r="U67" s="114">
        <f t="shared" si="1"/>
        <v>68.899521531100476</v>
      </c>
      <c r="V67" s="14" t="str">
        <f t="shared" si="2"/>
        <v>VERYHIGHMARGIN</v>
      </c>
    </row>
    <row r="68" spans="1:22">
      <c r="A68" s="8">
        <v>66</v>
      </c>
      <c r="B68" s="112" t="s">
        <v>200</v>
      </c>
      <c r="C68" s="8">
        <v>1324</v>
      </c>
      <c r="D68" s="8">
        <v>953</v>
      </c>
      <c r="E68" s="113">
        <v>71.978851963746223</v>
      </c>
      <c r="F68" s="8">
        <v>704</v>
      </c>
      <c r="G68" s="113">
        <v>73.871983210912902</v>
      </c>
      <c r="H68" s="8">
        <v>218</v>
      </c>
      <c r="I68" s="113">
        <v>22.875131164742918</v>
      </c>
      <c r="J68" s="8">
        <v>1</v>
      </c>
      <c r="K68" s="113">
        <v>0.1049317943336831</v>
      </c>
      <c r="L68" s="8">
        <v>2</v>
      </c>
      <c r="M68" s="113">
        <v>0.20986358866736621</v>
      </c>
      <c r="N68" s="8">
        <v>18</v>
      </c>
      <c r="O68" s="113">
        <v>1.888772298006296</v>
      </c>
      <c r="P68" s="8">
        <v>8</v>
      </c>
      <c r="Q68" s="113">
        <v>0.83945435466946483</v>
      </c>
      <c r="R68" s="8">
        <v>2</v>
      </c>
      <c r="S68" s="113">
        <v>0.20986358866736621</v>
      </c>
      <c r="T68" s="16" t="str">
        <f t="shared" ref="T68:T131" si="7">IF(G68&gt;I68,"BJP GAIN", "CONGRESS GAIN")</f>
        <v>BJP GAIN</v>
      </c>
      <c r="U68" s="114">
        <f t="shared" ref="U68:U130" si="8">G68-I68</f>
        <v>50.996852046169984</v>
      </c>
      <c r="V68" s="14" t="str">
        <f t="shared" si="2"/>
        <v>VERYHIGHMARGIN</v>
      </c>
    </row>
    <row r="69" spans="1:22">
      <c r="A69" s="8">
        <v>67</v>
      </c>
      <c r="B69" s="112" t="s">
        <v>201</v>
      </c>
      <c r="C69" s="8">
        <v>1101</v>
      </c>
      <c r="D69" s="8">
        <v>780</v>
      </c>
      <c r="E69" s="113">
        <v>70.844686648501366</v>
      </c>
      <c r="F69" s="8">
        <v>618</v>
      </c>
      <c r="G69" s="113">
        <v>79.230769230769226</v>
      </c>
      <c r="H69" s="8">
        <v>138</v>
      </c>
      <c r="I69" s="113">
        <v>17.692307692307693</v>
      </c>
      <c r="J69" s="8">
        <v>0</v>
      </c>
      <c r="K69" s="113">
        <v>0</v>
      </c>
      <c r="L69" s="8">
        <v>0</v>
      </c>
      <c r="M69" s="113">
        <v>0</v>
      </c>
      <c r="N69" s="8">
        <v>18</v>
      </c>
      <c r="O69" s="113">
        <v>2.3076923076923079</v>
      </c>
      <c r="P69" s="8">
        <v>3</v>
      </c>
      <c r="Q69" s="113">
        <v>0.38461538461538464</v>
      </c>
      <c r="R69" s="8">
        <v>3</v>
      </c>
      <c r="S69" s="113">
        <v>0.38461538461538464</v>
      </c>
      <c r="T69" s="16" t="str">
        <f t="shared" si="7"/>
        <v>BJP GAIN</v>
      </c>
      <c r="U69" s="114">
        <f t="shared" si="8"/>
        <v>61.538461538461533</v>
      </c>
      <c r="V69" s="14" t="str">
        <f t="shared" ref="V69:V132" si="9">IF(U69&gt;=50,"VERYHIGHMARGIN",IF(U69&gt;=40,"HIGHMARGIN",IF(U69&gt;=30,"MEDIUMMARGIN",IF(U69&gt;10,"LOWMARGIN",IF(U69&gt;=1,"NARROWMARGIN")))))</f>
        <v>VERYHIGHMARGIN</v>
      </c>
    </row>
    <row r="70" spans="1:22">
      <c r="A70" s="8">
        <v>68</v>
      </c>
      <c r="B70" s="112" t="s">
        <v>202</v>
      </c>
      <c r="C70" s="8">
        <v>1188</v>
      </c>
      <c r="D70" s="8">
        <v>867</v>
      </c>
      <c r="E70" s="113">
        <v>72.979797979797979</v>
      </c>
      <c r="F70" s="8">
        <v>673</v>
      </c>
      <c r="G70" s="113">
        <v>77.623990772779706</v>
      </c>
      <c r="H70" s="8">
        <v>176</v>
      </c>
      <c r="I70" s="113">
        <v>20.299884659746251</v>
      </c>
      <c r="J70" s="8">
        <v>1</v>
      </c>
      <c r="K70" s="113">
        <v>0.11534025374855825</v>
      </c>
      <c r="L70" s="8">
        <v>1</v>
      </c>
      <c r="M70" s="113">
        <v>0.11534025374855825</v>
      </c>
      <c r="N70" s="8">
        <v>6</v>
      </c>
      <c r="O70" s="113">
        <v>0.69204152249134954</v>
      </c>
      <c r="P70" s="8">
        <v>8</v>
      </c>
      <c r="Q70" s="113">
        <v>0.92272202998846597</v>
      </c>
      <c r="R70" s="8">
        <v>2</v>
      </c>
      <c r="S70" s="113">
        <v>0.23068050749711649</v>
      </c>
      <c r="T70" s="16" t="str">
        <f t="shared" si="7"/>
        <v>BJP GAIN</v>
      </c>
      <c r="U70" s="114">
        <f t="shared" si="8"/>
        <v>57.324106113033451</v>
      </c>
      <c r="V70" s="14" t="str">
        <f t="shared" si="9"/>
        <v>VERYHIGHMARGIN</v>
      </c>
    </row>
    <row r="71" spans="1:22">
      <c r="A71" s="8">
        <v>69</v>
      </c>
      <c r="B71" s="112" t="s">
        <v>203</v>
      </c>
      <c r="C71" s="8">
        <v>883</v>
      </c>
      <c r="D71" s="8">
        <v>672</v>
      </c>
      <c r="E71" s="113">
        <v>76.104190260475647</v>
      </c>
      <c r="F71" s="8">
        <v>459</v>
      </c>
      <c r="G71" s="113">
        <v>68.303571428571431</v>
      </c>
      <c r="H71" s="8">
        <v>191</v>
      </c>
      <c r="I71" s="113">
        <v>28.422619047619047</v>
      </c>
      <c r="J71" s="8">
        <v>1</v>
      </c>
      <c r="K71" s="113">
        <v>0.14880952380952381</v>
      </c>
      <c r="L71" s="8">
        <v>11</v>
      </c>
      <c r="M71" s="113">
        <v>1.6369047619047621</v>
      </c>
      <c r="N71" s="8">
        <v>6</v>
      </c>
      <c r="O71" s="113">
        <v>0.89285714285714279</v>
      </c>
      <c r="P71" s="8">
        <v>2</v>
      </c>
      <c r="Q71" s="113">
        <v>0.29761904761904762</v>
      </c>
      <c r="R71" s="8">
        <v>2</v>
      </c>
      <c r="S71" s="113">
        <v>0.29761904761904762</v>
      </c>
      <c r="T71" s="16" t="str">
        <f t="shared" si="7"/>
        <v>BJP GAIN</v>
      </c>
      <c r="U71" s="114">
        <f t="shared" si="8"/>
        <v>39.88095238095238</v>
      </c>
      <c r="V71" s="24" t="str">
        <f t="shared" si="9"/>
        <v>MEDIUMMARGIN</v>
      </c>
    </row>
    <row r="72" spans="1:22">
      <c r="A72" s="8">
        <v>70</v>
      </c>
      <c r="B72" s="112" t="s">
        <v>204</v>
      </c>
      <c r="C72" s="8">
        <v>1138</v>
      </c>
      <c r="D72" s="8">
        <v>850</v>
      </c>
      <c r="E72" s="113">
        <v>74.692442882249566</v>
      </c>
      <c r="F72" s="8">
        <v>619</v>
      </c>
      <c r="G72" s="113">
        <v>72.82352941176471</v>
      </c>
      <c r="H72" s="8">
        <v>206</v>
      </c>
      <c r="I72" s="113">
        <v>24.235294117647058</v>
      </c>
      <c r="J72" s="8">
        <v>2</v>
      </c>
      <c r="K72" s="113">
        <v>0.23529411764705879</v>
      </c>
      <c r="L72" s="8">
        <v>2</v>
      </c>
      <c r="M72" s="113">
        <v>0.23529411764705879</v>
      </c>
      <c r="N72" s="8">
        <v>8</v>
      </c>
      <c r="O72" s="113">
        <v>0.94117647058823517</v>
      </c>
      <c r="P72" s="8">
        <v>11</v>
      </c>
      <c r="Q72" s="113">
        <v>1.2941176470588236</v>
      </c>
      <c r="R72" s="8">
        <v>2</v>
      </c>
      <c r="S72" s="113">
        <v>0.23529411764705879</v>
      </c>
      <c r="T72" s="16" t="str">
        <f t="shared" si="7"/>
        <v>BJP GAIN</v>
      </c>
      <c r="U72" s="114">
        <f t="shared" si="8"/>
        <v>48.588235294117652</v>
      </c>
      <c r="V72" s="57" t="str">
        <f t="shared" si="9"/>
        <v>HIGHMARGIN</v>
      </c>
    </row>
    <row r="73" spans="1:22">
      <c r="A73" s="8">
        <v>71</v>
      </c>
      <c r="B73" s="112" t="s">
        <v>205</v>
      </c>
      <c r="C73" s="8">
        <v>1318</v>
      </c>
      <c r="D73" s="8">
        <v>1017</v>
      </c>
      <c r="E73" s="113">
        <v>77.16236722306526</v>
      </c>
      <c r="F73" s="8">
        <v>628</v>
      </c>
      <c r="G73" s="113">
        <v>61.750245821042284</v>
      </c>
      <c r="H73" s="8">
        <v>373</v>
      </c>
      <c r="I73" s="113">
        <v>36.676499508357921</v>
      </c>
      <c r="J73" s="8">
        <v>2</v>
      </c>
      <c r="K73" s="113">
        <v>0.19665683382497542</v>
      </c>
      <c r="L73" s="8">
        <v>1</v>
      </c>
      <c r="M73" s="113">
        <v>9.8328416912487712E-2</v>
      </c>
      <c r="N73" s="8">
        <v>6</v>
      </c>
      <c r="O73" s="113">
        <v>0.58997050147492625</v>
      </c>
      <c r="P73" s="8">
        <v>1</v>
      </c>
      <c r="Q73" s="113">
        <v>9.8328416912487712E-2</v>
      </c>
      <c r="R73" s="8">
        <v>6</v>
      </c>
      <c r="S73" s="113">
        <v>0.58997050147492625</v>
      </c>
      <c r="T73" s="16" t="str">
        <f t="shared" si="7"/>
        <v>BJP GAIN</v>
      </c>
      <c r="U73" s="114">
        <f t="shared" si="8"/>
        <v>25.073746312684364</v>
      </c>
      <c r="V73" s="15" t="str">
        <f t="shared" si="9"/>
        <v>LOWMARGIN</v>
      </c>
    </row>
    <row r="74" spans="1:22">
      <c r="A74" s="8">
        <v>72</v>
      </c>
      <c r="B74" s="112" t="s">
        <v>206</v>
      </c>
      <c r="C74" s="8">
        <v>1334</v>
      </c>
      <c r="D74" s="8">
        <v>1024</v>
      </c>
      <c r="E74" s="113">
        <v>76.761619190404801</v>
      </c>
      <c r="F74" s="8">
        <v>752</v>
      </c>
      <c r="G74" s="113">
        <v>73.4375</v>
      </c>
      <c r="H74" s="8">
        <v>252</v>
      </c>
      <c r="I74" s="113">
        <v>24.609375</v>
      </c>
      <c r="J74" s="8">
        <v>2</v>
      </c>
      <c r="K74" s="113">
        <v>0.1953125</v>
      </c>
      <c r="L74" s="8">
        <v>2</v>
      </c>
      <c r="M74" s="113">
        <v>0.1953125</v>
      </c>
      <c r="N74" s="8">
        <v>10</v>
      </c>
      <c r="O74" s="113">
        <v>0.9765625</v>
      </c>
      <c r="P74" s="8">
        <v>2</v>
      </c>
      <c r="Q74" s="113">
        <v>0.1953125</v>
      </c>
      <c r="R74" s="8">
        <v>4</v>
      </c>
      <c r="S74" s="113">
        <v>0.390625</v>
      </c>
      <c r="T74" s="16" t="str">
        <f t="shared" si="7"/>
        <v>BJP GAIN</v>
      </c>
      <c r="U74" s="114">
        <f t="shared" si="8"/>
        <v>48.828125</v>
      </c>
      <c r="V74" s="57" t="str">
        <f t="shared" si="9"/>
        <v>HIGHMARGIN</v>
      </c>
    </row>
    <row r="75" spans="1:22">
      <c r="A75" s="8">
        <v>73</v>
      </c>
      <c r="B75" s="112" t="s">
        <v>207</v>
      </c>
      <c r="C75" s="8">
        <v>964</v>
      </c>
      <c r="D75" s="8">
        <v>694</v>
      </c>
      <c r="E75" s="113">
        <v>71.991701244813271</v>
      </c>
      <c r="F75" s="8">
        <v>510</v>
      </c>
      <c r="G75" s="113">
        <v>73.487031700288185</v>
      </c>
      <c r="H75" s="8">
        <v>156</v>
      </c>
      <c r="I75" s="113">
        <v>22.478386167146976</v>
      </c>
      <c r="J75" s="8">
        <v>1</v>
      </c>
      <c r="K75" s="113">
        <v>0.14409221902017291</v>
      </c>
      <c r="L75" s="8">
        <v>2</v>
      </c>
      <c r="M75" s="113">
        <v>0.28818443804034583</v>
      </c>
      <c r="N75" s="8">
        <v>18</v>
      </c>
      <c r="O75" s="113">
        <v>2.5936599423631126</v>
      </c>
      <c r="P75" s="8">
        <v>7</v>
      </c>
      <c r="Q75" s="113">
        <v>1.0086455331412103</v>
      </c>
      <c r="R75" s="8">
        <v>0</v>
      </c>
      <c r="S75" s="113">
        <v>0</v>
      </c>
      <c r="T75" s="16" t="str">
        <f t="shared" si="7"/>
        <v>BJP GAIN</v>
      </c>
      <c r="U75" s="114">
        <f t="shared" si="8"/>
        <v>51.008645533141205</v>
      </c>
      <c r="V75" s="14" t="str">
        <f t="shared" si="9"/>
        <v>VERYHIGHMARGIN</v>
      </c>
    </row>
    <row r="76" spans="1:22">
      <c r="A76" s="8">
        <v>74</v>
      </c>
      <c r="B76" s="112" t="s">
        <v>208</v>
      </c>
      <c r="C76" s="8">
        <v>1251</v>
      </c>
      <c r="D76" s="8">
        <v>908</v>
      </c>
      <c r="E76" s="113">
        <v>72.581934452438048</v>
      </c>
      <c r="F76" s="8">
        <v>610</v>
      </c>
      <c r="G76" s="113">
        <v>67.180616740088112</v>
      </c>
      <c r="H76" s="8">
        <v>277</v>
      </c>
      <c r="I76" s="113">
        <v>30.506607929515418</v>
      </c>
      <c r="J76" s="8">
        <v>4</v>
      </c>
      <c r="K76" s="113">
        <v>0.44052863436123352</v>
      </c>
      <c r="L76" s="8">
        <v>4</v>
      </c>
      <c r="M76" s="113">
        <v>0.44052863436123352</v>
      </c>
      <c r="N76" s="8">
        <v>9</v>
      </c>
      <c r="O76" s="113">
        <v>0.99118942731277537</v>
      </c>
      <c r="P76" s="8">
        <v>3</v>
      </c>
      <c r="Q76" s="113">
        <v>0.33039647577092512</v>
      </c>
      <c r="R76" s="8">
        <v>1</v>
      </c>
      <c r="S76" s="113">
        <v>0.11013215859030838</v>
      </c>
      <c r="T76" s="16" t="str">
        <f t="shared" si="7"/>
        <v>BJP GAIN</v>
      </c>
      <c r="U76" s="114">
        <f t="shared" si="8"/>
        <v>36.674008810572694</v>
      </c>
      <c r="V76" s="24" t="str">
        <f t="shared" si="9"/>
        <v>MEDIUMMARGIN</v>
      </c>
    </row>
    <row r="77" spans="1:22">
      <c r="A77" s="8">
        <v>75</v>
      </c>
      <c r="B77" s="112" t="s">
        <v>209</v>
      </c>
      <c r="C77" s="8">
        <v>1243</v>
      </c>
      <c r="D77" s="8">
        <v>867</v>
      </c>
      <c r="E77" s="113">
        <v>69.750603378921966</v>
      </c>
      <c r="F77" s="8">
        <v>554</v>
      </c>
      <c r="G77" s="113">
        <v>63.898500576701267</v>
      </c>
      <c r="H77" s="8">
        <v>292</v>
      </c>
      <c r="I77" s="113">
        <v>33.679354094579004</v>
      </c>
      <c r="J77" s="8">
        <v>1</v>
      </c>
      <c r="K77" s="113">
        <v>0.11534025374855825</v>
      </c>
      <c r="L77" s="8">
        <v>6</v>
      </c>
      <c r="M77" s="113">
        <v>0.69204152249134954</v>
      </c>
      <c r="N77" s="8">
        <v>10</v>
      </c>
      <c r="O77" s="113">
        <v>1.1534025374855825</v>
      </c>
      <c r="P77" s="8">
        <v>3</v>
      </c>
      <c r="Q77" s="113">
        <v>0.34602076124567477</v>
      </c>
      <c r="R77" s="8">
        <v>1</v>
      </c>
      <c r="S77" s="113">
        <v>0.11534025374855825</v>
      </c>
      <c r="T77" s="16" t="str">
        <f t="shared" si="7"/>
        <v>BJP GAIN</v>
      </c>
      <c r="U77" s="114">
        <f t="shared" si="8"/>
        <v>30.219146482122262</v>
      </c>
      <c r="V77" s="24" t="str">
        <f t="shared" si="9"/>
        <v>MEDIUMMARGIN</v>
      </c>
    </row>
    <row r="78" spans="1:22">
      <c r="A78" s="8">
        <v>76</v>
      </c>
      <c r="B78" s="112" t="s">
        <v>210</v>
      </c>
      <c r="C78" s="8">
        <v>454</v>
      </c>
      <c r="D78" s="8">
        <v>308</v>
      </c>
      <c r="E78" s="113">
        <v>67.841409691629963</v>
      </c>
      <c r="F78" s="8">
        <v>167</v>
      </c>
      <c r="G78" s="113">
        <v>54.220779220779228</v>
      </c>
      <c r="H78" s="8">
        <v>131</v>
      </c>
      <c r="I78" s="113">
        <v>42.532467532467535</v>
      </c>
      <c r="J78" s="8">
        <v>1</v>
      </c>
      <c r="K78" s="113">
        <v>0.32467532467532467</v>
      </c>
      <c r="L78" s="8">
        <v>0</v>
      </c>
      <c r="M78" s="113">
        <v>0</v>
      </c>
      <c r="N78" s="8">
        <v>8</v>
      </c>
      <c r="O78" s="113">
        <v>2.5974025974025974</v>
      </c>
      <c r="P78" s="8">
        <v>1</v>
      </c>
      <c r="Q78" s="113">
        <v>0.32467532467532467</v>
      </c>
      <c r="R78" s="8">
        <v>0</v>
      </c>
      <c r="S78" s="113">
        <v>0</v>
      </c>
      <c r="T78" s="16" t="str">
        <f t="shared" si="7"/>
        <v>BJP GAIN</v>
      </c>
      <c r="U78" s="114">
        <f t="shared" si="8"/>
        <v>11.688311688311693</v>
      </c>
      <c r="V78" s="15" t="str">
        <f t="shared" si="9"/>
        <v>LOWMARGIN</v>
      </c>
    </row>
    <row r="79" spans="1:22">
      <c r="A79" s="8">
        <v>77</v>
      </c>
      <c r="B79" s="112" t="s">
        <v>211</v>
      </c>
      <c r="C79" s="8">
        <v>869</v>
      </c>
      <c r="D79" s="8">
        <v>621</v>
      </c>
      <c r="E79" s="113">
        <v>71.461449942462593</v>
      </c>
      <c r="F79" s="8">
        <v>349</v>
      </c>
      <c r="G79" s="113">
        <v>56.199677938808378</v>
      </c>
      <c r="H79" s="8">
        <v>249</v>
      </c>
      <c r="I79" s="113">
        <v>40.096618357487927</v>
      </c>
      <c r="J79" s="8">
        <v>1</v>
      </c>
      <c r="K79" s="113">
        <v>0.1610305958132045</v>
      </c>
      <c r="L79" s="8">
        <v>2</v>
      </c>
      <c r="M79" s="113">
        <v>0.322061191626409</v>
      </c>
      <c r="N79" s="8">
        <v>18</v>
      </c>
      <c r="O79" s="113">
        <v>2.8985507246376812</v>
      </c>
      <c r="P79" s="8">
        <v>1</v>
      </c>
      <c r="Q79" s="113">
        <v>0.1610305958132045</v>
      </c>
      <c r="R79" s="8">
        <v>1</v>
      </c>
      <c r="S79" s="113">
        <v>0.1610305958132045</v>
      </c>
      <c r="T79" s="16" t="str">
        <f t="shared" si="7"/>
        <v>BJP GAIN</v>
      </c>
      <c r="U79" s="114">
        <f t="shared" si="8"/>
        <v>16.103059581320451</v>
      </c>
      <c r="V79" s="15" t="str">
        <f t="shared" si="9"/>
        <v>LOWMARGIN</v>
      </c>
    </row>
    <row r="80" spans="1:22">
      <c r="A80" s="8">
        <v>78</v>
      </c>
      <c r="B80" s="112" t="s">
        <v>212</v>
      </c>
      <c r="C80" s="8">
        <v>1227</v>
      </c>
      <c r="D80" s="8">
        <v>883</v>
      </c>
      <c r="E80" s="113">
        <v>71.964140179299108</v>
      </c>
      <c r="F80" s="8">
        <v>567</v>
      </c>
      <c r="G80" s="113">
        <v>64.212910532276339</v>
      </c>
      <c r="H80" s="8">
        <v>300</v>
      </c>
      <c r="I80" s="113">
        <v>33.975084937712346</v>
      </c>
      <c r="J80" s="8">
        <v>1</v>
      </c>
      <c r="K80" s="113">
        <v>0.11325028312570783</v>
      </c>
      <c r="L80" s="8">
        <v>0</v>
      </c>
      <c r="M80" s="113">
        <v>0</v>
      </c>
      <c r="N80" s="8">
        <v>6</v>
      </c>
      <c r="O80" s="113">
        <v>0.67950169875424693</v>
      </c>
      <c r="P80" s="8">
        <v>8</v>
      </c>
      <c r="Q80" s="113">
        <v>0.90600226500566261</v>
      </c>
      <c r="R80" s="8">
        <v>1</v>
      </c>
      <c r="S80" s="113">
        <v>0.11325028312570783</v>
      </c>
      <c r="T80" s="16" t="str">
        <f t="shared" si="7"/>
        <v>BJP GAIN</v>
      </c>
      <c r="U80" s="114">
        <f t="shared" si="8"/>
        <v>30.237825594563994</v>
      </c>
      <c r="V80" s="24" t="str">
        <f t="shared" si="9"/>
        <v>MEDIUMMARGIN</v>
      </c>
    </row>
    <row r="81" spans="1:22">
      <c r="A81" s="8">
        <v>79</v>
      </c>
      <c r="B81" s="112" t="s">
        <v>213</v>
      </c>
      <c r="C81" s="8">
        <v>728</v>
      </c>
      <c r="D81" s="8">
        <v>512</v>
      </c>
      <c r="E81" s="113">
        <v>70.329670329670336</v>
      </c>
      <c r="F81" s="8">
        <v>340</v>
      </c>
      <c r="G81" s="113">
        <v>66.40625</v>
      </c>
      <c r="H81" s="8">
        <v>157</v>
      </c>
      <c r="I81" s="113">
        <v>30.6640625</v>
      </c>
      <c r="J81" s="8">
        <v>3</v>
      </c>
      <c r="K81" s="113">
        <v>0.5859375</v>
      </c>
      <c r="L81" s="8">
        <v>1</v>
      </c>
      <c r="M81" s="113">
        <v>0.1953125</v>
      </c>
      <c r="N81" s="8">
        <v>7</v>
      </c>
      <c r="O81" s="113">
        <v>1.3671875</v>
      </c>
      <c r="P81" s="8">
        <v>2</v>
      </c>
      <c r="Q81" s="113">
        <v>0.390625</v>
      </c>
      <c r="R81" s="8">
        <v>2</v>
      </c>
      <c r="S81" s="113">
        <v>0.390625</v>
      </c>
      <c r="T81" s="16" t="str">
        <f t="shared" si="7"/>
        <v>BJP GAIN</v>
      </c>
      <c r="U81" s="114">
        <f t="shared" si="8"/>
        <v>35.7421875</v>
      </c>
      <c r="V81" s="24" t="str">
        <f t="shared" si="9"/>
        <v>MEDIUMMARGIN</v>
      </c>
    </row>
    <row r="82" spans="1:22">
      <c r="A82" s="8">
        <v>80</v>
      </c>
      <c r="B82" s="112" t="s">
        <v>214</v>
      </c>
      <c r="C82" s="8">
        <v>1156</v>
      </c>
      <c r="D82" s="8">
        <v>817</v>
      </c>
      <c r="E82" s="113">
        <v>70.674740484429066</v>
      </c>
      <c r="F82" s="8">
        <v>491</v>
      </c>
      <c r="G82" s="113">
        <v>60.097919216646268</v>
      </c>
      <c r="H82" s="8">
        <v>301</v>
      </c>
      <c r="I82" s="113">
        <v>36.84210526315789</v>
      </c>
      <c r="J82" s="8">
        <v>1</v>
      </c>
      <c r="K82" s="113">
        <v>0.12239902080783352</v>
      </c>
      <c r="L82" s="8">
        <v>6</v>
      </c>
      <c r="M82" s="113">
        <v>0.73439412484700128</v>
      </c>
      <c r="N82" s="8">
        <v>16</v>
      </c>
      <c r="O82" s="113">
        <v>1.9583843329253363</v>
      </c>
      <c r="P82" s="8">
        <v>2</v>
      </c>
      <c r="Q82" s="113">
        <v>0.24479804161566704</v>
      </c>
      <c r="R82" s="8">
        <v>0</v>
      </c>
      <c r="S82" s="113">
        <v>0</v>
      </c>
      <c r="T82" s="16" t="str">
        <f t="shared" si="7"/>
        <v>BJP GAIN</v>
      </c>
      <c r="U82" s="114">
        <f t="shared" si="8"/>
        <v>23.255813953488378</v>
      </c>
      <c r="V82" s="15" t="str">
        <f t="shared" si="9"/>
        <v>LOWMARGIN</v>
      </c>
    </row>
    <row r="83" spans="1:22">
      <c r="A83" s="8">
        <v>81</v>
      </c>
      <c r="B83" s="112" t="s">
        <v>215</v>
      </c>
      <c r="C83" s="8">
        <v>958</v>
      </c>
      <c r="D83" s="8">
        <v>720</v>
      </c>
      <c r="E83" s="113">
        <v>75.156576200417533</v>
      </c>
      <c r="F83" s="8">
        <v>475</v>
      </c>
      <c r="G83" s="113">
        <v>65.972222222222214</v>
      </c>
      <c r="H83" s="8">
        <v>229</v>
      </c>
      <c r="I83" s="113">
        <v>31.805555555555554</v>
      </c>
      <c r="J83" s="8">
        <v>0</v>
      </c>
      <c r="K83" s="113">
        <v>0</v>
      </c>
      <c r="L83" s="8">
        <v>0</v>
      </c>
      <c r="M83" s="113">
        <v>0</v>
      </c>
      <c r="N83" s="8">
        <v>9</v>
      </c>
      <c r="O83" s="113">
        <v>1.25</v>
      </c>
      <c r="P83" s="8">
        <v>7</v>
      </c>
      <c r="Q83" s="113">
        <v>0.97222222222222221</v>
      </c>
      <c r="R83" s="8">
        <v>0</v>
      </c>
      <c r="S83" s="113">
        <v>0</v>
      </c>
      <c r="T83" s="16" t="str">
        <f t="shared" si="7"/>
        <v>BJP GAIN</v>
      </c>
      <c r="U83" s="114">
        <f t="shared" si="8"/>
        <v>34.166666666666657</v>
      </c>
      <c r="V83" s="24" t="str">
        <f t="shared" si="9"/>
        <v>MEDIUMMARGIN</v>
      </c>
    </row>
    <row r="84" spans="1:22">
      <c r="A84" s="8">
        <v>82</v>
      </c>
      <c r="B84" s="112" t="s">
        <v>216</v>
      </c>
      <c r="C84" s="8">
        <v>522</v>
      </c>
      <c r="D84" s="8">
        <v>445</v>
      </c>
      <c r="E84" s="113">
        <v>85.249042145593862</v>
      </c>
      <c r="F84" s="8">
        <v>290</v>
      </c>
      <c r="G84" s="113">
        <v>65.168539325842701</v>
      </c>
      <c r="H84" s="8">
        <v>150</v>
      </c>
      <c r="I84" s="113">
        <v>33.707865168539328</v>
      </c>
      <c r="J84" s="8">
        <v>0</v>
      </c>
      <c r="K84" s="113">
        <v>0</v>
      </c>
      <c r="L84" s="8">
        <v>0</v>
      </c>
      <c r="M84" s="113">
        <v>0</v>
      </c>
      <c r="N84" s="8">
        <v>1</v>
      </c>
      <c r="O84" s="113">
        <v>0.22471910112359553</v>
      </c>
      <c r="P84" s="8">
        <v>1</v>
      </c>
      <c r="Q84" s="113">
        <v>0.22471910112359553</v>
      </c>
      <c r="R84" s="8">
        <v>3</v>
      </c>
      <c r="S84" s="113">
        <v>0.6741573033707865</v>
      </c>
      <c r="T84" s="16" t="str">
        <f t="shared" si="7"/>
        <v>BJP GAIN</v>
      </c>
      <c r="U84" s="114">
        <f t="shared" si="8"/>
        <v>31.460674157303373</v>
      </c>
      <c r="V84" s="24" t="str">
        <f t="shared" si="9"/>
        <v>MEDIUMMARGIN</v>
      </c>
    </row>
    <row r="85" spans="1:22">
      <c r="A85" s="8">
        <v>83</v>
      </c>
      <c r="B85" s="112" t="s">
        <v>217</v>
      </c>
      <c r="C85" s="8">
        <v>902</v>
      </c>
      <c r="D85" s="8">
        <v>716</v>
      </c>
      <c r="E85" s="113">
        <v>79.379157427937912</v>
      </c>
      <c r="F85" s="8">
        <v>379</v>
      </c>
      <c r="G85" s="113">
        <v>52.932960893854755</v>
      </c>
      <c r="H85" s="8">
        <v>322</v>
      </c>
      <c r="I85" s="113">
        <v>44.972067039106143</v>
      </c>
      <c r="J85" s="8">
        <v>1</v>
      </c>
      <c r="K85" s="113">
        <v>0.13966480446927373</v>
      </c>
      <c r="L85" s="8">
        <v>4</v>
      </c>
      <c r="M85" s="113">
        <v>0.55865921787709494</v>
      </c>
      <c r="N85" s="8">
        <v>6</v>
      </c>
      <c r="O85" s="113">
        <v>0.83798882681564246</v>
      </c>
      <c r="P85" s="8">
        <v>1</v>
      </c>
      <c r="Q85" s="113">
        <v>0.13966480446927373</v>
      </c>
      <c r="R85" s="8">
        <v>3</v>
      </c>
      <c r="S85" s="113">
        <v>0.41899441340782123</v>
      </c>
      <c r="T85" s="16" t="str">
        <f t="shared" si="7"/>
        <v>BJP GAIN</v>
      </c>
      <c r="U85" s="114">
        <f t="shared" si="8"/>
        <v>7.9608938547486119</v>
      </c>
      <c r="V85" s="34" t="str">
        <f t="shared" si="9"/>
        <v>NARROWMARGIN</v>
      </c>
    </row>
    <row r="86" spans="1:22">
      <c r="A86" s="8">
        <v>84</v>
      </c>
      <c r="B86" s="112" t="s">
        <v>218</v>
      </c>
      <c r="C86" s="8">
        <v>727</v>
      </c>
      <c r="D86" s="8">
        <v>554</v>
      </c>
      <c r="E86" s="113">
        <v>76.203576341127928</v>
      </c>
      <c r="F86" s="8">
        <v>424</v>
      </c>
      <c r="G86" s="113">
        <v>76.53429602888086</v>
      </c>
      <c r="H86" s="8">
        <v>109</v>
      </c>
      <c r="I86" s="113">
        <v>19.67509025270758</v>
      </c>
      <c r="J86" s="8">
        <v>3</v>
      </c>
      <c r="K86" s="113">
        <v>0.54151624548736454</v>
      </c>
      <c r="L86" s="8">
        <v>3</v>
      </c>
      <c r="M86" s="113">
        <v>0.54151624548736454</v>
      </c>
      <c r="N86" s="8">
        <v>3</v>
      </c>
      <c r="O86" s="113">
        <v>0.54151624548736454</v>
      </c>
      <c r="P86" s="8">
        <v>3</v>
      </c>
      <c r="Q86" s="113">
        <v>0.54151624548736454</v>
      </c>
      <c r="R86" s="8">
        <v>9</v>
      </c>
      <c r="S86" s="113">
        <v>1.6245487364620936</v>
      </c>
      <c r="T86" s="16" t="str">
        <f t="shared" si="7"/>
        <v>BJP GAIN</v>
      </c>
      <c r="U86" s="114">
        <f t="shared" si="8"/>
        <v>56.859205776173283</v>
      </c>
      <c r="V86" s="14" t="str">
        <f t="shared" si="9"/>
        <v>VERYHIGHMARGIN</v>
      </c>
    </row>
    <row r="87" spans="1:22">
      <c r="A87" s="8">
        <v>85</v>
      </c>
      <c r="B87" s="112" t="s">
        <v>219</v>
      </c>
      <c r="C87" s="8">
        <v>1079</v>
      </c>
      <c r="D87" s="8">
        <v>767</v>
      </c>
      <c r="E87" s="113">
        <v>71.084337349397586</v>
      </c>
      <c r="F87" s="8">
        <v>27</v>
      </c>
      <c r="G87" s="113">
        <v>3.5202086049543677</v>
      </c>
      <c r="H87" s="8">
        <v>655</v>
      </c>
      <c r="I87" s="113">
        <v>85.39765319426337</v>
      </c>
      <c r="J87" s="8">
        <v>1</v>
      </c>
      <c r="K87" s="113">
        <v>0.1303780964797914</v>
      </c>
      <c r="L87" s="8">
        <v>8</v>
      </c>
      <c r="M87" s="113">
        <v>1.0430247718383312</v>
      </c>
      <c r="N87" s="8">
        <v>4</v>
      </c>
      <c r="O87" s="113">
        <v>0.5215123859191656</v>
      </c>
      <c r="P87" s="8">
        <v>10</v>
      </c>
      <c r="Q87" s="113">
        <v>1.3037809647979139</v>
      </c>
      <c r="R87" s="8">
        <v>62</v>
      </c>
      <c r="S87" s="113">
        <v>8.0834419817470664</v>
      </c>
      <c r="T87" s="14" t="str">
        <f t="shared" si="7"/>
        <v>CONGRESS GAIN</v>
      </c>
      <c r="U87" s="114">
        <f t="shared" ref="U87:U92" si="10">I87-G87</f>
        <v>81.877444589309007</v>
      </c>
      <c r="V87" s="14" t="str">
        <f t="shared" si="9"/>
        <v>VERYHIGHMARGIN</v>
      </c>
    </row>
    <row r="88" spans="1:22">
      <c r="A88" s="8">
        <v>86</v>
      </c>
      <c r="B88" s="112" t="s">
        <v>220</v>
      </c>
      <c r="C88" s="8">
        <v>861</v>
      </c>
      <c r="D88" s="8">
        <v>610</v>
      </c>
      <c r="E88" s="113">
        <v>70.847851335656202</v>
      </c>
      <c r="F88" s="8">
        <v>15</v>
      </c>
      <c r="G88" s="113">
        <v>2.459016393442623</v>
      </c>
      <c r="H88" s="8">
        <v>507</v>
      </c>
      <c r="I88" s="113">
        <v>83.114754098360649</v>
      </c>
      <c r="J88" s="8">
        <v>1</v>
      </c>
      <c r="K88" s="113">
        <v>0.16393442622950818</v>
      </c>
      <c r="L88" s="8">
        <v>4</v>
      </c>
      <c r="M88" s="113">
        <v>0.65573770491803274</v>
      </c>
      <c r="N88" s="8">
        <v>1</v>
      </c>
      <c r="O88" s="113">
        <v>0.16393442622950818</v>
      </c>
      <c r="P88" s="8">
        <v>1</v>
      </c>
      <c r="Q88" s="113">
        <v>0.16393442622950818</v>
      </c>
      <c r="R88" s="8">
        <v>81</v>
      </c>
      <c r="S88" s="113">
        <v>13.278688524590162</v>
      </c>
      <c r="T88" s="14" t="str">
        <f t="shared" si="7"/>
        <v>CONGRESS GAIN</v>
      </c>
      <c r="U88" s="114">
        <f t="shared" si="10"/>
        <v>80.655737704918025</v>
      </c>
      <c r="V88" s="14" t="str">
        <f t="shared" si="9"/>
        <v>VERYHIGHMARGIN</v>
      </c>
    </row>
    <row r="89" spans="1:22">
      <c r="A89" s="8">
        <v>87</v>
      </c>
      <c r="B89" s="112" t="s">
        <v>221</v>
      </c>
      <c r="C89" s="8">
        <v>618</v>
      </c>
      <c r="D89" s="8">
        <v>457</v>
      </c>
      <c r="E89" s="113">
        <v>73.948220064724921</v>
      </c>
      <c r="F89" s="8">
        <v>7</v>
      </c>
      <c r="G89" s="113">
        <v>1.5317286652078774</v>
      </c>
      <c r="H89" s="8">
        <v>393</v>
      </c>
      <c r="I89" s="113">
        <v>85.995623632385119</v>
      </c>
      <c r="J89" s="8">
        <v>0</v>
      </c>
      <c r="K89" s="113">
        <v>0</v>
      </c>
      <c r="L89" s="8">
        <v>7</v>
      </c>
      <c r="M89" s="113">
        <v>1.5317286652078774</v>
      </c>
      <c r="N89" s="8">
        <v>1</v>
      </c>
      <c r="O89" s="113">
        <v>0.21881838074398249</v>
      </c>
      <c r="P89" s="8">
        <v>5</v>
      </c>
      <c r="Q89" s="113">
        <v>1.0940919037199124</v>
      </c>
      <c r="R89" s="8">
        <v>44</v>
      </c>
      <c r="S89" s="113">
        <v>9.62800875273523</v>
      </c>
      <c r="T89" s="14" t="str">
        <f t="shared" si="7"/>
        <v>CONGRESS GAIN</v>
      </c>
      <c r="U89" s="114">
        <f t="shared" si="10"/>
        <v>84.463894967177239</v>
      </c>
      <c r="V89" s="14" t="str">
        <f t="shared" si="9"/>
        <v>VERYHIGHMARGIN</v>
      </c>
    </row>
    <row r="90" spans="1:22">
      <c r="A90" s="8">
        <v>88</v>
      </c>
      <c r="B90" s="112" t="s">
        <v>222</v>
      </c>
      <c r="C90" s="8">
        <v>907</v>
      </c>
      <c r="D90" s="8">
        <v>625</v>
      </c>
      <c r="E90" s="113">
        <v>68.908489525909587</v>
      </c>
      <c r="F90" s="8">
        <v>13</v>
      </c>
      <c r="G90" s="113">
        <v>2.08</v>
      </c>
      <c r="H90" s="8">
        <v>517</v>
      </c>
      <c r="I90" s="113">
        <v>82.72</v>
      </c>
      <c r="J90" s="8">
        <v>1</v>
      </c>
      <c r="K90" s="113">
        <v>0.16</v>
      </c>
      <c r="L90" s="8">
        <v>3</v>
      </c>
      <c r="M90" s="113">
        <v>0.48</v>
      </c>
      <c r="N90" s="8">
        <v>2</v>
      </c>
      <c r="O90" s="113">
        <v>0.32</v>
      </c>
      <c r="P90" s="8">
        <v>1</v>
      </c>
      <c r="Q90" s="113">
        <v>0.16</v>
      </c>
      <c r="R90" s="8">
        <v>88</v>
      </c>
      <c r="S90" s="113">
        <v>14.08</v>
      </c>
      <c r="T90" s="14" t="str">
        <f t="shared" si="7"/>
        <v>CONGRESS GAIN</v>
      </c>
      <c r="U90" s="114">
        <f t="shared" si="10"/>
        <v>80.64</v>
      </c>
      <c r="V90" s="14" t="str">
        <f t="shared" si="9"/>
        <v>VERYHIGHMARGIN</v>
      </c>
    </row>
    <row r="91" spans="1:22">
      <c r="A91" s="8">
        <v>89</v>
      </c>
      <c r="B91" s="112" t="s">
        <v>223</v>
      </c>
      <c r="C91" s="8">
        <v>1025</v>
      </c>
      <c r="D91" s="8">
        <v>750</v>
      </c>
      <c r="E91" s="113">
        <v>73.170731707317074</v>
      </c>
      <c r="F91" s="8">
        <v>10</v>
      </c>
      <c r="G91" s="113">
        <v>1.3333333333333335</v>
      </c>
      <c r="H91" s="8">
        <v>635</v>
      </c>
      <c r="I91" s="113">
        <v>84.666666666666671</v>
      </c>
      <c r="J91" s="8">
        <v>0</v>
      </c>
      <c r="K91" s="113">
        <v>0</v>
      </c>
      <c r="L91" s="8">
        <v>11</v>
      </c>
      <c r="M91" s="113">
        <v>1.4666666666666666</v>
      </c>
      <c r="N91" s="8">
        <v>1</v>
      </c>
      <c r="O91" s="113">
        <v>0.13333333333333333</v>
      </c>
      <c r="P91" s="8">
        <v>11</v>
      </c>
      <c r="Q91" s="113">
        <v>1.4666666666666666</v>
      </c>
      <c r="R91" s="8">
        <v>82</v>
      </c>
      <c r="S91" s="113">
        <v>10.933333333333334</v>
      </c>
      <c r="T91" s="14" t="str">
        <f t="shared" si="7"/>
        <v>CONGRESS GAIN</v>
      </c>
      <c r="U91" s="114">
        <f t="shared" si="10"/>
        <v>83.333333333333343</v>
      </c>
      <c r="V91" s="14" t="str">
        <f t="shared" si="9"/>
        <v>VERYHIGHMARGIN</v>
      </c>
    </row>
    <row r="92" spans="1:22">
      <c r="A92" s="8">
        <v>90</v>
      </c>
      <c r="B92" s="112" t="s">
        <v>224</v>
      </c>
      <c r="C92" s="8">
        <v>1012</v>
      </c>
      <c r="D92" s="8">
        <v>711</v>
      </c>
      <c r="E92" s="113">
        <v>70.256916996047437</v>
      </c>
      <c r="F92" s="8">
        <v>18</v>
      </c>
      <c r="G92" s="113">
        <v>2.5316455696202533</v>
      </c>
      <c r="H92" s="8">
        <v>616</v>
      </c>
      <c r="I92" s="113">
        <v>86.638537271448669</v>
      </c>
      <c r="J92" s="8">
        <v>0</v>
      </c>
      <c r="K92" s="113">
        <v>0</v>
      </c>
      <c r="L92" s="8">
        <v>4</v>
      </c>
      <c r="M92" s="113">
        <v>0.56258790436005623</v>
      </c>
      <c r="N92" s="8">
        <v>1</v>
      </c>
      <c r="O92" s="113">
        <v>0.14064697609001406</v>
      </c>
      <c r="P92" s="8">
        <v>6</v>
      </c>
      <c r="Q92" s="113">
        <v>0.8438818565400843</v>
      </c>
      <c r="R92" s="8">
        <v>66</v>
      </c>
      <c r="S92" s="113">
        <v>9.2827004219409286</v>
      </c>
      <c r="T92" s="14" t="str">
        <f t="shared" si="7"/>
        <v>CONGRESS GAIN</v>
      </c>
      <c r="U92" s="114">
        <f t="shared" si="10"/>
        <v>84.106891701828417</v>
      </c>
      <c r="V92" s="14" t="str">
        <f t="shared" si="9"/>
        <v>VERYHIGHMARGIN</v>
      </c>
    </row>
    <row r="93" spans="1:22">
      <c r="A93" s="8">
        <v>91</v>
      </c>
      <c r="B93" s="112" t="s">
        <v>225</v>
      </c>
      <c r="C93" s="8">
        <v>985</v>
      </c>
      <c r="D93" s="8">
        <v>791</v>
      </c>
      <c r="E93" s="113">
        <v>80.304568527918789</v>
      </c>
      <c r="F93" s="8">
        <v>630</v>
      </c>
      <c r="G93" s="113">
        <v>79.646017699115049</v>
      </c>
      <c r="H93" s="8">
        <v>152</v>
      </c>
      <c r="I93" s="113">
        <v>19.216182048040455</v>
      </c>
      <c r="J93" s="8">
        <v>2</v>
      </c>
      <c r="K93" s="113">
        <v>0.25284450063211128</v>
      </c>
      <c r="L93" s="8">
        <v>0</v>
      </c>
      <c r="M93" s="113">
        <v>0</v>
      </c>
      <c r="N93" s="8">
        <v>0</v>
      </c>
      <c r="O93" s="113">
        <v>0</v>
      </c>
      <c r="P93" s="8">
        <v>3</v>
      </c>
      <c r="Q93" s="113">
        <v>0.37926675094816686</v>
      </c>
      <c r="R93" s="8">
        <v>4</v>
      </c>
      <c r="S93" s="113">
        <v>0.50568900126422256</v>
      </c>
      <c r="T93" s="16" t="str">
        <f t="shared" si="7"/>
        <v>BJP GAIN</v>
      </c>
      <c r="U93" s="114">
        <f t="shared" si="8"/>
        <v>60.429835651074598</v>
      </c>
      <c r="V93" s="14" t="str">
        <f t="shared" si="9"/>
        <v>VERYHIGHMARGIN</v>
      </c>
    </row>
    <row r="94" spans="1:22">
      <c r="A94" s="8">
        <v>92</v>
      </c>
      <c r="B94" s="112" t="s">
        <v>226</v>
      </c>
      <c r="C94" s="8">
        <v>482</v>
      </c>
      <c r="D94" s="8">
        <v>387</v>
      </c>
      <c r="E94" s="113">
        <v>80.290456431535276</v>
      </c>
      <c r="F94" s="8">
        <v>215</v>
      </c>
      <c r="G94" s="113">
        <v>55.555555555555557</v>
      </c>
      <c r="H94" s="8">
        <v>158</v>
      </c>
      <c r="I94" s="113">
        <v>40.826873385012917</v>
      </c>
      <c r="J94" s="8">
        <v>2</v>
      </c>
      <c r="K94" s="113">
        <v>0.516795865633075</v>
      </c>
      <c r="L94" s="8">
        <v>0</v>
      </c>
      <c r="M94" s="113">
        <v>0</v>
      </c>
      <c r="N94" s="8">
        <v>2</v>
      </c>
      <c r="O94" s="113">
        <v>0.516795865633075</v>
      </c>
      <c r="P94" s="8">
        <v>3</v>
      </c>
      <c r="Q94" s="113">
        <v>0.77519379844961245</v>
      </c>
      <c r="R94" s="8">
        <v>7</v>
      </c>
      <c r="S94" s="113">
        <v>1.8087855297157622</v>
      </c>
      <c r="T94" s="16" t="str">
        <f t="shared" si="7"/>
        <v>BJP GAIN</v>
      </c>
      <c r="U94" s="114">
        <f t="shared" si="8"/>
        <v>14.728682170542641</v>
      </c>
      <c r="V94" s="15" t="str">
        <f t="shared" si="9"/>
        <v>LOWMARGIN</v>
      </c>
    </row>
    <row r="95" spans="1:22">
      <c r="A95" s="8">
        <v>93</v>
      </c>
      <c r="B95" s="112" t="s">
        <v>227</v>
      </c>
      <c r="C95" s="8">
        <v>1158</v>
      </c>
      <c r="D95" s="8">
        <v>951</v>
      </c>
      <c r="E95" s="113">
        <v>82.124352331606218</v>
      </c>
      <c r="F95" s="8">
        <v>792</v>
      </c>
      <c r="G95" s="113">
        <v>83.280757097791806</v>
      </c>
      <c r="H95" s="8">
        <v>139</v>
      </c>
      <c r="I95" s="113">
        <v>14.616193480546794</v>
      </c>
      <c r="J95" s="8">
        <v>6</v>
      </c>
      <c r="K95" s="113">
        <v>0.63091482649842268</v>
      </c>
      <c r="L95" s="8">
        <v>1</v>
      </c>
      <c r="M95" s="113">
        <v>0.10515247108307045</v>
      </c>
      <c r="N95" s="8">
        <v>0</v>
      </c>
      <c r="O95" s="113">
        <v>0</v>
      </c>
      <c r="P95" s="8">
        <v>3</v>
      </c>
      <c r="Q95" s="113">
        <v>0.31545741324921134</v>
      </c>
      <c r="R95" s="8">
        <v>10</v>
      </c>
      <c r="S95" s="113">
        <v>1.0515247108307046</v>
      </c>
      <c r="T95" s="16" t="str">
        <f t="shared" si="7"/>
        <v>BJP GAIN</v>
      </c>
      <c r="U95" s="114">
        <f t="shared" si="8"/>
        <v>68.664563617245008</v>
      </c>
      <c r="V95" s="14" t="str">
        <f t="shared" si="9"/>
        <v>VERYHIGHMARGIN</v>
      </c>
    </row>
    <row r="96" spans="1:22">
      <c r="A96" s="8">
        <v>94</v>
      </c>
      <c r="B96" s="112" t="s">
        <v>228</v>
      </c>
      <c r="C96" s="8">
        <v>875</v>
      </c>
      <c r="D96" s="8">
        <v>616</v>
      </c>
      <c r="E96" s="113">
        <v>70.399999999999991</v>
      </c>
      <c r="F96" s="8">
        <v>237</v>
      </c>
      <c r="G96" s="113">
        <v>38.47402597402597</v>
      </c>
      <c r="H96" s="8">
        <v>363</v>
      </c>
      <c r="I96" s="113">
        <v>58.928571428571431</v>
      </c>
      <c r="J96" s="8">
        <v>0</v>
      </c>
      <c r="K96" s="113">
        <v>0</v>
      </c>
      <c r="L96" s="8">
        <v>1</v>
      </c>
      <c r="M96" s="113">
        <v>0.16233766233766234</v>
      </c>
      <c r="N96" s="8">
        <v>3</v>
      </c>
      <c r="O96" s="113">
        <v>0.48701298701298701</v>
      </c>
      <c r="P96" s="8">
        <v>2</v>
      </c>
      <c r="Q96" s="113">
        <v>0.32467532467532467</v>
      </c>
      <c r="R96" s="8">
        <v>10</v>
      </c>
      <c r="S96" s="113">
        <v>1.6233766233766231</v>
      </c>
      <c r="T96" s="14" t="str">
        <f t="shared" si="7"/>
        <v>CONGRESS GAIN</v>
      </c>
      <c r="U96" s="114">
        <f t="shared" ref="U96:U102" si="11">I96-G96</f>
        <v>20.45454545454546</v>
      </c>
      <c r="V96" s="15" t="str">
        <f t="shared" si="9"/>
        <v>LOWMARGIN</v>
      </c>
    </row>
    <row r="97" spans="1:22">
      <c r="A97" s="8">
        <v>95</v>
      </c>
      <c r="B97" s="112" t="s">
        <v>229</v>
      </c>
      <c r="C97" s="8">
        <v>959</v>
      </c>
      <c r="D97" s="8">
        <v>704</v>
      </c>
      <c r="E97" s="113">
        <v>73.409801876955157</v>
      </c>
      <c r="F97" s="8">
        <v>138</v>
      </c>
      <c r="G97" s="113">
        <v>19.602272727272727</v>
      </c>
      <c r="H97" s="8">
        <v>510</v>
      </c>
      <c r="I97" s="113">
        <v>72.443181818181827</v>
      </c>
      <c r="J97" s="8">
        <v>1</v>
      </c>
      <c r="K97" s="113">
        <v>0.14204545454545456</v>
      </c>
      <c r="L97" s="8">
        <v>0</v>
      </c>
      <c r="M97" s="113">
        <v>0</v>
      </c>
      <c r="N97" s="8">
        <v>2</v>
      </c>
      <c r="O97" s="113">
        <v>0.28409090909090912</v>
      </c>
      <c r="P97" s="8">
        <v>2</v>
      </c>
      <c r="Q97" s="113">
        <v>0.28409090909090912</v>
      </c>
      <c r="R97" s="8">
        <v>51</v>
      </c>
      <c r="S97" s="113">
        <v>7.2443181818181825</v>
      </c>
      <c r="T97" s="14" t="str">
        <f t="shared" si="7"/>
        <v>CONGRESS GAIN</v>
      </c>
      <c r="U97" s="114">
        <f t="shared" si="11"/>
        <v>52.840909090909101</v>
      </c>
      <c r="V97" s="14" t="str">
        <f t="shared" si="9"/>
        <v>VERYHIGHMARGIN</v>
      </c>
    </row>
    <row r="98" spans="1:22">
      <c r="A98" s="8">
        <v>96</v>
      </c>
      <c r="B98" s="112" t="s">
        <v>230</v>
      </c>
      <c r="C98" s="8">
        <v>807</v>
      </c>
      <c r="D98" s="8">
        <v>531</v>
      </c>
      <c r="E98" s="113">
        <v>65.79925650557621</v>
      </c>
      <c r="F98" s="8">
        <v>81</v>
      </c>
      <c r="G98" s="113">
        <v>15.254237288135593</v>
      </c>
      <c r="H98" s="8">
        <v>417</v>
      </c>
      <c r="I98" s="113">
        <v>78.531073446327682</v>
      </c>
      <c r="J98" s="8">
        <v>0</v>
      </c>
      <c r="K98" s="113">
        <v>0</v>
      </c>
      <c r="L98" s="8">
        <v>0</v>
      </c>
      <c r="M98" s="113">
        <v>0</v>
      </c>
      <c r="N98" s="8">
        <v>0</v>
      </c>
      <c r="O98" s="113">
        <v>0</v>
      </c>
      <c r="P98" s="8">
        <v>0</v>
      </c>
      <c r="Q98" s="113">
        <v>0</v>
      </c>
      <c r="R98" s="8">
        <v>33</v>
      </c>
      <c r="S98" s="113">
        <v>6.2146892655367232</v>
      </c>
      <c r="T98" s="14" t="str">
        <f t="shared" si="7"/>
        <v>CONGRESS GAIN</v>
      </c>
      <c r="U98" s="114">
        <f t="shared" si="11"/>
        <v>63.27683615819209</v>
      </c>
      <c r="V98" s="14" t="str">
        <f t="shared" si="9"/>
        <v>VERYHIGHMARGIN</v>
      </c>
    </row>
    <row r="99" spans="1:22">
      <c r="A99" s="8">
        <v>97</v>
      </c>
      <c r="B99" s="112" t="s">
        <v>231</v>
      </c>
      <c r="C99" s="8">
        <v>900</v>
      </c>
      <c r="D99" s="8">
        <v>651</v>
      </c>
      <c r="E99" s="113">
        <v>72.333333333333343</v>
      </c>
      <c r="F99" s="8">
        <v>224</v>
      </c>
      <c r="G99" s="113">
        <v>34.408602150537639</v>
      </c>
      <c r="H99" s="8">
        <v>381</v>
      </c>
      <c r="I99" s="113">
        <v>58.525345622119815</v>
      </c>
      <c r="J99" s="8">
        <v>1</v>
      </c>
      <c r="K99" s="113">
        <v>0.15360983102918588</v>
      </c>
      <c r="L99" s="8">
        <v>1</v>
      </c>
      <c r="M99" s="113">
        <v>0.15360983102918588</v>
      </c>
      <c r="N99" s="8">
        <v>5</v>
      </c>
      <c r="O99" s="113">
        <v>0.76804915514592931</v>
      </c>
      <c r="P99" s="8">
        <v>3</v>
      </c>
      <c r="Q99" s="113">
        <v>0.46082949308755761</v>
      </c>
      <c r="R99" s="8">
        <v>36</v>
      </c>
      <c r="S99" s="113">
        <v>5.5299539170506913</v>
      </c>
      <c r="T99" s="14" t="str">
        <f t="shared" si="7"/>
        <v>CONGRESS GAIN</v>
      </c>
      <c r="U99" s="114">
        <f t="shared" si="11"/>
        <v>24.116743471582176</v>
      </c>
      <c r="V99" s="15" t="str">
        <f t="shared" si="9"/>
        <v>LOWMARGIN</v>
      </c>
    </row>
    <row r="100" spans="1:22">
      <c r="A100" s="8">
        <v>98</v>
      </c>
      <c r="B100" s="112" t="s">
        <v>232</v>
      </c>
      <c r="C100" s="8">
        <v>1154</v>
      </c>
      <c r="D100" s="8">
        <v>813</v>
      </c>
      <c r="E100" s="113">
        <v>70.450606585788563</v>
      </c>
      <c r="F100" s="8">
        <v>646</v>
      </c>
      <c r="G100" s="113">
        <v>79.458794587945874</v>
      </c>
      <c r="H100" s="8">
        <v>160</v>
      </c>
      <c r="I100" s="113">
        <v>19.68019680196802</v>
      </c>
      <c r="J100" s="8">
        <v>0</v>
      </c>
      <c r="K100" s="113">
        <v>0</v>
      </c>
      <c r="L100" s="8">
        <v>1</v>
      </c>
      <c r="M100" s="113">
        <v>0.12300123001230012</v>
      </c>
      <c r="N100" s="8">
        <v>3</v>
      </c>
      <c r="O100" s="113">
        <v>0.36900369003690037</v>
      </c>
      <c r="P100" s="8">
        <v>3</v>
      </c>
      <c r="Q100" s="113">
        <v>0.36900369003690037</v>
      </c>
      <c r="R100" s="8">
        <v>0</v>
      </c>
      <c r="S100" s="113">
        <v>0</v>
      </c>
      <c r="T100" s="16" t="str">
        <f t="shared" si="7"/>
        <v>BJP GAIN</v>
      </c>
      <c r="U100" s="114">
        <f t="shared" si="8"/>
        <v>59.778597785977851</v>
      </c>
      <c r="V100" s="14" t="str">
        <f t="shared" si="9"/>
        <v>VERYHIGHMARGIN</v>
      </c>
    </row>
    <row r="101" spans="1:22">
      <c r="A101" s="8">
        <v>99</v>
      </c>
      <c r="B101" s="112" t="s">
        <v>233</v>
      </c>
      <c r="C101" s="8">
        <v>1345</v>
      </c>
      <c r="D101" s="8">
        <v>897</v>
      </c>
      <c r="E101" s="113">
        <v>66.691449814126386</v>
      </c>
      <c r="F101" s="8">
        <v>205</v>
      </c>
      <c r="G101" s="113">
        <v>22.853957636566332</v>
      </c>
      <c r="H101" s="8">
        <v>643</v>
      </c>
      <c r="I101" s="113">
        <v>71.683389074693423</v>
      </c>
      <c r="J101" s="8">
        <v>0</v>
      </c>
      <c r="K101" s="113">
        <v>0</v>
      </c>
      <c r="L101" s="8">
        <v>1</v>
      </c>
      <c r="M101" s="113">
        <v>0.11148272017837235</v>
      </c>
      <c r="N101" s="8">
        <v>6</v>
      </c>
      <c r="O101" s="113">
        <v>0.66889632107023411</v>
      </c>
      <c r="P101" s="8">
        <v>1</v>
      </c>
      <c r="Q101" s="113">
        <v>0.11148272017837235</v>
      </c>
      <c r="R101" s="8">
        <v>41</v>
      </c>
      <c r="S101" s="113">
        <v>4.5707915273132667</v>
      </c>
      <c r="T101" s="14" t="str">
        <f t="shared" si="7"/>
        <v>CONGRESS GAIN</v>
      </c>
      <c r="U101" s="114">
        <f t="shared" si="11"/>
        <v>48.829431438127088</v>
      </c>
      <c r="V101" s="57" t="str">
        <f t="shared" si="9"/>
        <v>HIGHMARGIN</v>
      </c>
    </row>
    <row r="102" spans="1:22">
      <c r="A102" s="8">
        <v>100</v>
      </c>
      <c r="B102" s="112" t="s">
        <v>234</v>
      </c>
      <c r="C102" s="8">
        <v>665</v>
      </c>
      <c r="D102" s="8">
        <v>445</v>
      </c>
      <c r="E102" s="113">
        <v>66.917293233082702</v>
      </c>
      <c r="F102" s="8">
        <v>140</v>
      </c>
      <c r="G102" s="113">
        <v>31.460674157303369</v>
      </c>
      <c r="H102" s="8">
        <v>270</v>
      </c>
      <c r="I102" s="113">
        <v>60.674157303370791</v>
      </c>
      <c r="J102" s="8">
        <v>0</v>
      </c>
      <c r="K102" s="113">
        <v>0</v>
      </c>
      <c r="L102" s="8">
        <v>1</v>
      </c>
      <c r="M102" s="113">
        <v>0.22471910112359553</v>
      </c>
      <c r="N102" s="8">
        <v>4</v>
      </c>
      <c r="O102" s="113">
        <v>0.89887640449438211</v>
      </c>
      <c r="P102" s="8">
        <v>0</v>
      </c>
      <c r="Q102" s="113">
        <v>0</v>
      </c>
      <c r="R102" s="8">
        <v>30</v>
      </c>
      <c r="S102" s="113">
        <v>6.7415730337078648</v>
      </c>
      <c r="T102" s="14" t="str">
        <f t="shared" si="7"/>
        <v>CONGRESS GAIN</v>
      </c>
      <c r="U102" s="114">
        <f t="shared" si="11"/>
        <v>29.213483146067421</v>
      </c>
      <c r="V102" s="15" t="str">
        <f t="shared" si="9"/>
        <v>LOWMARGIN</v>
      </c>
    </row>
    <row r="103" spans="1:22">
      <c r="A103" s="8">
        <v>101</v>
      </c>
      <c r="B103" s="112" t="s">
        <v>235</v>
      </c>
      <c r="C103" s="8">
        <v>507</v>
      </c>
      <c r="D103" s="8">
        <v>393</v>
      </c>
      <c r="E103" s="113">
        <v>77.514792899408278</v>
      </c>
      <c r="F103" s="8">
        <v>327</v>
      </c>
      <c r="G103" s="113">
        <v>83.206106870229007</v>
      </c>
      <c r="H103" s="8">
        <v>64</v>
      </c>
      <c r="I103" s="113">
        <v>16.284987277353689</v>
      </c>
      <c r="J103" s="8">
        <v>0</v>
      </c>
      <c r="K103" s="113">
        <v>0</v>
      </c>
      <c r="L103" s="8">
        <v>0</v>
      </c>
      <c r="M103" s="113">
        <v>0</v>
      </c>
      <c r="N103" s="8">
        <v>0</v>
      </c>
      <c r="O103" s="113">
        <v>0</v>
      </c>
      <c r="P103" s="8">
        <v>1</v>
      </c>
      <c r="Q103" s="113">
        <v>0.2544529262086514</v>
      </c>
      <c r="R103" s="8">
        <v>1</v>
      </c>
      <c r="S103" s="113">
        <v>0.2544529262086514</v>
      </c>
      <c r="T103" s="16" t="str">
        <f t="shared" si="7"/>
        <v>BJP GAIN</v>
      </c>
      <c r="U103" s="114">
        <f t="shared" si="8"/>
        <v>66.921119592875314</v>
      </c>
      <c r="V103" s="14" t="str">
        <f t="shared" si="9"/>
        <v>VERYHIGHMARGIN</v>
      </c>
    </row>
    <row r="104" spans="1:22">
      <c r="A104" s="8">
        <v>102</v>
      </c>
      <c r="B104" s="112" t="s">
        <v>236</v>
      </c>
      <c r="C104" s="8">
        <v>1009</v>
      </c>
      <c r="D104" s="8">
        <v>745</v>
      </c>
      <c r="E104" s="113">
        <v>73.835480673934583</v>
      </c>
      <c r="F104" s="8">
        <v>649</v>
      </c>
      <c r="G104" s="113">
        <v>87.114093959731548</v>
      </c>
      <c r="H104" s="8">
        <v>83</v>
      </c>
      <c r="I104" s="113">
        <v>11.140939597315436</v>
      </c>
      <c r="J104" s="8">
        <v>0</v>
      </c>
      <c r="K104" s="113">
        <v>0</v>
      </c>
      <c r="L104" s="8">
        <v>0</v>
      </c>
      <c r="M104" s="113">
        <v>0</v>
      </c>
      <c r="N104" s="8">
        <v>11</v>
      </c>
      <c r="O104" s="113">
        <v>1.476510067114094</v>
      </c>
      <c r="P104" s="8">
        <v>2</v>
      </c>
      <c r="Q104" s="113">
        <v>0.26845637583892618</v>
      </c>
      <c r="R104" s="8">
        <v>0</v>
      </c>
      <c r="S104" s="113">
        <v>0</v>
      </c>
      <c r="T104" s="16" t="str">
        <f t="shared" si="7"/>
        <v>BJP GAIN</v>
      </c>
      <c r="U104" s="114">
        <f t="shared" si="8"/>
        <v>75.973154362416111</v>
      </c>
      <c r="V104" s="14" t="str">
        <f t="shared" si="9"/>
        <v>VERYHIGHMARGIN</v>
      </c>
    </row>
    <row r="105" spans="1:22">
      <c r="A105" s="8">
        <v>103</v>
      </c>
      <c r="B105" s="112" t="s">
        <v>237</v>
      </c>
      <c r="C105" s="8">
        <v>793</v>
      </c>
      <c r="D105" s="8">
        <v>569</v>
      </c>
      <c r="E105" s="113">
        <v>71.752837326607818</v>
      </c>
      <c r="F105" s="8">
        <v>221</v>
      </c>
      <c r="G105" s="113">
        <v>38.840070298769767</v>
      </c>
      <c r="H105" s="8">
        <v>326</v>
      </c>
      <c r="I105" s="113">
        <v>57.293497363796128</v>
      </c>
      <c r="J105" s="8">
        <v>0</v>
      </c>
      <c r="K105" s="113">
        <v>0</v>
      </c>
      <c r="L105" s="8">
        <v>3</v>
      </c>
      <c r="M105" s="113">
        <v>0.52724077328646746</v>
      </c>
      <c r="N105" s="8">
        <v>1</v>
      </c>
      <c r="O105" s="113">
        <v>0.17574692442882248</v>
      </c>
      <c r="P105" s="8">
        <v>1</v>
      </c>
      <c r="Q105" s="113">
        <v>0.17574692442882248</v>
      </c>
      <c r="R105" s="8">
        <v>17</v>
      </c>
      <c r="S105" s="113">
        <v>2.9876977152899822</v>
      </c>
      <c r="T105" s="14" t="str">
        <f t="shared" si="7"/>
        <v>CONGRESS GAIN</v>
      </c>
      <c r="U105" s="114">
        <f t="shared" ref="U105" si="12">I105-G105</f>
        <v>18.453427065026361</v>
      </c>
      <c r="V105" s="15" t="str">
        <f t="shared" si="9"/>
        <v>LOWMARGIN</v>
      </c>
    </row>
    <row r="106" spans="1:22">
      <c r="A106" s="8">
        <v>104</v>
      </c>
      <c r="B106" s="112" t="s">
        <v>238</v>
      </c>
      <c r="C106" s="8">
        <v>715</v>
      </c>
      <c r="D106" s="8">
        <v>492</v>
      </c>
      <c r="E106" s="113">
        <v>68.811188811188799</v>
      </c>
      <c r="F106" s="8">
        <v>267</v>
      </c>
      <c r="G106" s="113">
        <v>54.268292682926834</v>
      </c>
      <c r="H106" s="8">
        <v>205</v>
      </c>
      <c r="I106" s="113">
        <v>41.666666666666671</v>
      </c>
      <c r="J106" s="8">
        <v>1</v>
      </c>
      <c r="K106" s="113">
        <v>0.20325203252032523</v>
      </c>
      <c r="L106" s="8">
        <v>3</v>
      </c>
      <c r="M106" s="113">
        <v>0.6097560975609756</v>
      </c>
      <c r="N106" s="8">
        <v>7</v>
      </c>
      <c r="O106" s="113">
        <v>1.4227642276422763</v>
      </c>
      <c r="P106" s="8">
        <v>2</v>
      </c>
      <c r="Q106" s="113">
        <v>0.40650406504065045</v>
      </c>
      <c r="R106" s="8">
        <v>7</v>
      </c>
      <c r="S106" s="113">
        <v>1.4227642276422763</v>
      </c>
      <c r="T106" s="16" t="str">
        <f t="shared" si="7"/>
        <v>BJP GAIN</v>
      </c>
      <c r="U106" s="114">
        <f t="shared" si="8"/>
        <v>12.601626016260163</v>
      </c>
      <c r="V106" s="15" t="str">
        <f t="shared" si="9"/>
        <v>LOWMARGIN</v>
      </c>
    </row>
    <row r="107" spans="1:22">
      <c r="A107" s="8">
        <v>105</v>
      </c>
      <c r="B107" s="112" t="s">
        <v>239</v>
      </c>
      <c r="C107" s="8">
        <v>763</v>
      </c>
      <c r="D107" s="8">
        <v>508</v>
      </c>
      <c r="E107" s="113">
        <v>66.579292267365659</v>
      </c>
      <c r="F107" s="8">
        <v>33</v>
      </c>
      <c r="G107" s="113">
        <v>6.4960629921259834</v>
      </c>
      <c r="H107" s="8">
        <v>414</v>
      </c>
      <c r="I107" s="113">
        <v>81.496062992125985</v>
      </c>
      <c r="J107" s="8">
        <v>1</v>
      </c>
      <c r="K107" s="113">
        <v>0.19685039370078738</v>
      </c>
      <c r="L107" s="8">
        <v>1</v>
      </c>
      <c r="M107" s="113">
        <v>0.19685039370078738</v>
      </c>
      <c r="N107" s="8">
        <v>3</v>
      </c>
      <c r="O107" s="113">
        <v>0.59055118110236215</v>
      </c>
      <c r="P107" s="8">
        <v>3</v>
      </c>
      <c r="Q107" s="113">
        <v>0.59055118110236215</v>
      </c>
      <c r="R107" s="8">
        <v>53</v>
      </c>
      <c r="S107" s="113">
        <v>10.433070866141732</v>
      </c>
      <c r="T107" s="14" t="str">
        <f t="shared" si="7"/>
        <v>CONGRESS GAIN</v>
      </c>
      <c r="U107" s="114">
        <f t="shared" ref="U107" si="13">I107-G107</f>
        <v>75</v>
      </c>
      <c r="V107" s="14" t="str">
        <f t="shared" si="9"/>
        <v>VERYHIGHMARGIN</v>
      </c>
    </row>
    <row r="108" spans="1:22">
      <c r="A108" s="8">
        <v>106</v>
      </c>
      <c r="B108" s="112" t="s">
        <v>240</v>
      </c>
      <c r="C108" s="8">
        <v>1175</v>
      </c>
      <c r="D108" s="8">
        <v>815</v>
      </c>
      <c r="E108" s="113">
        <v>69.361702127659569</v>
      </c>
      <c r="F108" s="8">
        <v>391</v>
      </c>
      <c r="G108" s="113">
        <v>47.975460122699388</v>
      </c>
      <c r="H108" s="8">
        <v>381</v>
      </c>
      <c r="I108" s="113">
        <v>46.748466257668717</v>
      </c>
      <c r="J108" s="8">
        <v>2</v>
      </c>
      <c r="K108" s="113">
        <v>0.245398773006135</v>
      </c>
      <c r="L108" s="8">
        <v>0</v>
      </c>
      <c r="M108" s="113">
        <v>0</v>
      </c>
      <c r="N108" s="8">
        <v>2</v>
      </c>
      <c r="O108" s="113">
        <v>0.245398773006135</v>
      </c>
      <c r="P108" s="8">
        <v>6</v>
      </c>
      <c r="Q108" s="113">
        <v>0.73619631901840488</v>
      </c>
      <c r="R108" s="8">
        <v>33</v>
      </c>
      <c r="S108" s="113">
        <v>4.0490797546012276</v>
      </c>
      <c r="T108" s="16" t="str">
        <f t="shared" si="7"/>
        <v>BJP GAIN</v>
      </c>
      <c r="U108" s="114">
        <f t="shared" si="8"/>
        <v>1.2269938650306713</v>
      </c>
      <c r="V108" s="34" t="str">
        <f t="shared" si="9"/>
        <v>NARROWMARGIN</v>
      </c>
    </row>
    <row r="109" spans="1:22">
      <c r="A109" s="8">
        <v>107</v>
      </c>
      <c r="B109" s="112" t="s">
        <v>241</v>
      </c>
      <c r="C109" s="8">
        <v>753</v>
      </c>
      <c r="D109" s="8">
        <v>576</v>
      </c>
      <c r="E109" s="113">
        <v>76.494023904382473</v>
      </c>
      <c r="F109" s="8">
        <v>124</v>
      </c>
      <c r="G109" s="113">
        <v>21.527777777777779</v>
      </c>
      <c r="H109" s="8">
        <v>395</v>
      </c>
      <c r="I109" s="113">
        <v>68.576388888888886</v>
      </c>
      <c r="J109" s="8">
        <v>1</v>
      </c>
      <c r="K109" s="113">
        <v>0.1736111111111111</v>
      </c>
      <c r="L109" s="8">
        <v>2</v>
      </c>
      <c r="M109" s="113">
        <v>0.34722222222222221</v>
      </c>
      <c r="N109" s="8">
        <v>2</v>
      </c>
      <c r="O109" s="113">
        <v>0.34722222222222221</v>
      </c>
      <c r="P109" s="8">
        <v>4</v>
      </c>
      <c r="Q109" s="113">
        <v>0.69444444444444442</v>
      </c>
      <c r="R109" s="8">
        <v>48</v>
      </c>
      <c r="S109" s="113">
        <v>8.3333333333333321</v>
      </c>
      <c r="T109" s="14" t="str">
        <f t="shared" si="7"/>
        <v>CONGRESS GAIN</v>
      </c>
      <c r="U109" s="114">
        <f t="shared" ref="U109:U110" si="14">I109-G109</f>
        <v>47.048611111111107</v>
      </c>
      <c r="V109" s="57" t="str">
        <f t="shared" si="9"/>
        <v>HIGHMARGIN</v>
      </c>
    </row>
    <row r="110" spans="1:22">
      <c r="A110" s="8">
        <v>108</v>
      </c>
      <c r="B110" s="112" t="s">
        <v>242</v>
      </c>
      <c r="C110" s="8">
        <v>1012</v>
      </c>
      <c r="D110" s="8">
        <v>648</v>
      </c>
      <c r="E110" s="113">
        <v>64.031620553359687</v>
      </c>
      <c r="F110" s="8">
        <v>16</v>
      </c>
      <c r="G110" s="113">
        <v>2.4691358024691357</v>
      </c>
      <c r="H110" s="8">
        <v>547</v>
      </c>
      <c r="I110" s="113">
        <v>84.413580246913583</v>
      </c>
      <c r="J110" s="8">
        <v>0</v>
      </c>
      <c r="K110" s="113">
        <v>0</v>
      </c>
      <c r="L110" s="8">
        <v>1</v>
      </c>
      <c r="M110" s="113">
        <v>0.15432098765432098</v>
      </c>
      <c r="N110" s="8">
        <v>8</v>
      </c>
      <c r="O110" s="113">
        <v>1.2345679012345678</v>
      </c>
      <c r="P110" s="8">
        <v>1</v>
      </c>
      <c r="Q110" s="113">
        <v>0.15432098765432098</v>
      </c>
      <c r="R110" s="8">
        <v>75</v>
      </c>
      <c r="S110" s="113">
        <v>11.574074074074074</v>
      </c>
      <c r="T110" s="14" t="str">
        <f t="shared" si="7"/>
        <v>CONGRESS GAIN</v>
      </c>
      <c r="U110" s="114">
        <f t="shared" si="14"/>
        <v>81.944444444444443</v>
      </c>
      <c r="V110" s="14" t="str">
        <f t="shared" si="9"/>
        <v>VERYHIGHMARGIN</v>
      </c>
    </row>
    <row r="111" spans="1:22">
      <c r="A111" s="8">
        <v>109</v>
      </c>
      <c r="B111" s="112" t="s">
        <v>243</v>
      </c>
      <c r="C111" s="8">
        <v>660</v>
      </c>
      <c r="D111" s="8">
        <v>436</v>
      </c>
      <c r="E111" s="113">
        <v>66.060606060606062</v>
      </c>
      <c r="F111" s="8">
        <v>230</v>
      </c>
      <c r="G111" s="113">
        <v>52.752293577981646</v>
      </c>
      <c r="H111" s="8">
        <v>197</v>
      </c>
      <c r="I111" s="113">
        <v>45.183486238532112</v>
      </c>
      <c r="J111" s="8">
        <v>0</v>
      </c>
      <c r="K111" s="113">
        <v>0</v>
      </c>
      <c r="L111" s="8">
        <v>1</v>
      </c>
      <c r="M111" s="113">
        <v>0.22935779816513763</v>
      </c>
      <c r="N111" s="8">
        <v>1</v>
      </c>
      <c r="O111" s="113">
        <v>0.22935779816513763</v>
      </c>
      <c r="P111" s="8">
        <v>2</v>
      </c>
      <c r="Q111" s="113">
        <v>0.45871559633027525</v>
      </c>
      <c r="R111" s="8">
        <v>5</v>
      </c>
      <c r="S111" s="113">
        <v>1.1467889908256881</v>
      </c>
      <c r="T111" s="16" t="str">
        <f t="shared" si="7"/>
        <v>BJP GAIN</v>
      </c>
      <c r="U111" s="114">
        <f t="shared" si="8"/>
        <v>7.5688073394495348</v>
      </c>
      <c r="V111" s="34" t="str">
        <f t="shared" si="9"/>
        <v>NARROWMARGIN</v>
      </c>
    </row>
    <row r="112" spans="1:22">
      <c r="A112" s="8">
        <v>110</v>
      </c>
      <c r="B112" s="112" t="s">
        <v>244</v>
      </c>
      <c r="C112" s="8">
        <v>966</v>
      </c>
      <c r="D112" s="8">
        <v>664</v>
      </c>
      <c r="E112" s="113">
        <v>68.737060041407872</v>
      </c>
      <c r="F112" s="8">
        <v>511</v>
      </c>
      <c r="G112" s="113">
        <v>76.957831325301214</v>
      </c>
      <c r="H112" s="8">
        <v>140</v>
      </c>
      <c r="I112" s="113">
        <v>21.084337349397593</v>
      </c>
      <c r="J112" s="8">
        <v>0</v>
      </c>
      <c r="K112" s="113">
        <v>0</v>
      </c>
      <c r="L112" s="8">
        <v>3</v>
      </c>
      <c r="M112" s="113">
        <v>0.45180722891566261</v>
      </c>
      <c r="N112" s="8">
        <v>4</v>
      </c>
      <c r="O112" s="113">
        <v>0.60240963855421692</v>
      </c>
      <c r="P112" s="8">
        <v>2</v>
      </c>
      <c r="Q112" s="113">
        <v>0.30120481927710846</v>
      </c>
      <c r="R112" s="8">
        <v>4</v>
      </c>
      <c r="S112" s="113">
        <v>0.60240963855421692</v>
      </c>
      <c r="T112" s="16" t="str">
        <f t="shared" si="7"/>
        <v>BJP GAIN</v>
      </c>
      <c r="U112" s="114">
        <f t="shared" si="8"/>
        <v>55.873493975903621</v>
      </c>
      <c r="V112" s="14" t="str">
        <f t="shared" si="9"/>
        <v>VERYHIGHMARGIN</v>
      </c>
    </row>
    <row r="113" spans="1:22">
      <c r="A113" s="8">
        <v>111</v>
      </c>
      <c r="B113" s="112" t="s">
        <v>245</v>
      </c>
      <c r="C113" s="8">
        <v>856</v>
      </c>
      <c r="D113" s="8">
        <v>627</v>
      </c>
      <c r="E113" s="113">
        <v>73.247663551401871</v>
      </c>
      <c r="F113" s="8">
        <v>487</v>
      </c>
      <c r="G113" s="113">
        <v>77.671451355661887</v>
      </c>
      <c r="H113" s="8">
        <v>128</v>
      </c>
      <c r="I113" s="113">
        <v>20.414673046251995</v>
      </c>
      <c r="J113" s="8">
        <v>1</v>
      </c>
      <c r="K113" s="113">
        <v>0.15948963317384371</v>
      </c>
      <c r="L113" s="8">
        <v>2</v>
      </c>
      <c r="M113" s="113">
        <v>0.31897926634768742</v>
      </c>
      <c r="N113" s="8">
        <v>4</v>
      </c>
      <c r="O113" s="113">
        <v>0.63795853269537484</v>
      </c>
      <c r="P113" s="8">
        <v>4</v>
      </c>
      <c r="Q113" s="113">
        <v>0.63795853269537484</v>
      </c>
      <c r="R113" s="8">
        <v>1</v>
      </c>
      <c r="S113" s="113">
        <v>0.15948963317384371</v>
      </c>
      <c r="T113" s="16" t="str">
        <f t="shared" si="7"/>
        <v>BJP GAIN</v>
      </c>
      <c r="U113" s="114">
        <f t="shared" si="8"/>
        <v>57.256778309409896</v>
      </c>
      <c r="V113" s="14" t="str">
        <f t="shared" si="9"/>
        <v>VERYHIGHMARGIN</v>
      </c>
    </row>
    <row r="114" spans="1:22">
      <c r="A114" s="8">
        <v>112</v>
      </c>
      <c r="B114" s="112" t="s">
        <v>246</v>
      </c>
      <c r="C114" s="8">
        <v>1219</v>
      </c>
      <c r="D114" s="8">
        <v>852</v>
      </c>
      <c r="E114" s="113">
        <v>69.89335520918786</v>
      </c>
      <c r="F114" s="8">
        <v>710</v>
      </c>
      <c r="G114" s="113">
        <v>83.333333333333343</v>
      </c>
      <c r="H114" s="8">
        <v>120</v>
      </c>
      <c r="I114" s="113">
        <v>14.084507042253522</v>
      </c>
      <c r="J114" s="8">
        <v>1</v>
      </c>
      <c r="K114" s="113">
        <v>0.11737089201877934</v>
      </c>
      <c r="L114" s="8">
        <v>4</v>
      </c>
      <c r="M114" s="113">
        <v>0.46948356807511737</v>
      </c>
      <c r="N114" s="8">
        <v>10</v>
      </c>
      <c r="O114" s="113">
        <v>1.1737089201877933</v>
      </c>
      <c r="P114" s="8">
        <v>5</v>
      </c>
      <c r="Q114" s="113">
        <v>0.58685446009389663</v>
      </c>
      <c r="R114" s="8">
        <v>2</v>
      </c>
      <c r="S114" s="113">
        <v>0.23474178403755869</v>
      </c>
      <c r="T114" s="16" t="str">
        <f t="shared" si="7"/>
        <v>BJP GAIN</v>
      </c>
      <c r="U114" s="114">
        <f t="shared" si="8"/>
        <v>69.248826291079823</v>
      </c>
      <c r="V114" s="14" t="str">
        <f t="shared" si="9"/>
        <v>VERYHIGHMARGIN</v>
      </c>
    </row>
    <row r="115" spans="1:22">
      <c r="A115" s="8">
        <v>113</v>
      </c>
      <c r="B115" s="112" t="s">
        <v>247</v>
      </c>
      <c r="C115" s="8">
        <v>838</v>
      </c>
      <c r="D115" s="8">
        <v>656</v>
      </c>
      <c r="E115" s="113">
        <v>78.281622911694512</v>
      </c>
      <c r="F115" s="8">
        <v>555</v>
      </c>
      <c r="G115" s="113">
        <v>84.603658536585371</v>
      </c>
      <c r="H115" s="8">
        <v>90</v>
      </c>
      <c r="I115" s="113">
        <v>13.719512195121952</v>
      </c>
      <c r="J115" s="8">
        <v>1</v>
      </c>
      <c r="K115" s="113">
        <v>0.1524390243902439</v>
      </c>
      <c r="L115" s="8">
        <v>3</v>
      </c>
      <c r="M115" s="113">
        <v>0.45731707317073167</v>
      </c>
      <c r="N115" s="8">
        <v>2</v>
      </c>
      <c r="O115" s="113">
        <v>0.3048780487804878</v>
      </c>
      <c r="P115" s="8">
        <v>4</v>
      </c>
      <c r="Q115" s="113">
        <v>0.6097560975609756</v>
      </c>
      <c r="R115" s="8">
        <v>1</v>
      </c>
      <c r="S115" s="113">
        <v>0.1524390243902439</v>
      </c>
      <c r="T115" s="16" t="str">
        <f t="shared" si="7"/>
        <v>BJP GAIN</v>
      </c>
      <c r="U115" s="114">
        <f t="shared" si="8"/>
        <v>70.884146341463421</v>
      </c>
      <c r="V115" s="14" t="str">
        <f t="shared" si="9"/>
        <v>VERYHIGHMARGIN</v>
      </c>
    </row>
    <row r="116" spans="1:22">
      <c r="A116" s="8">
        <v>114</v>
      </c>
      <c r="B116" s="112" t="s">
        <v>248</v>
      </c>
      <c r="C116" s="8">
        <v>927</v>
      </c>
      <c r="D116" s="8">
        <v>578</v>
      </c>
      <c r="E116" s="113">
        <v>62.351672060409925</v>
      </c>
      <c r="F116" s="8">
        <v>370</v>
      </c>
      <c r="G116" s="113">
        <v>64.013840830449837</v>
      </c>
      <c r="H116" s="8">
        <v>189</v>
      </c>
      <c r="I116" s="113">
        <v>32.698961937716263</v>
      </c>
      <c r="J116" s="8">
        <v>0</v>
      </c>
      <c r="K116" s="113">
        <v>0</v>
      </c>
      <c r="L116" s="8">
        <v>2</v>
      </c>
      <c r="M116" s="113">
        <v>0.34602076124567477</v>
      </c>
      <c r="N116" s="8">
        <v>16</v>
      </c>
      <c r="O116" s="113">
        <v>2.7681660899653981</v>
      </c>
      <c r="P116" s="8">
        <v>1</v>
      </c>
      <c r="Q116" s="113">
        <v>0.17301038062283738</v>
      </c>
      <c r="R116" s="8">
        <v>0</v>
      </c>
      <c r="S116" s="113">
        <v>0</v>
      </c>
      <c r="T116" s="16" t="str">
        <f t="shared" si="7"/>
        <v>BJP GAIN</v>
      </c>
      <c r="U116" s="114">
        <f t="shared" si="8"/>
        <v>31.314878892733574</v>
      </c>
      <c r="V116" s="24" t="str">
        <f t="shared" si="9"/>
        <v>MEDIUMMARGIN</v>
      </c>
    </row>
    <row r="117" spans="1:22">
      <c r="A117" s="8">
        <v>115</v>
      </c>
      <c r="B117" s="112" t="s">
        <v>249</v>
      </c>
      <c r="C117" s="8">
        <v>1046</v>
      </c>
      <c r="D117" s="8">
        <v>617</v>
      </c>
      <c r="E117" s="113">
        <v>58.986615678776289</v>
      </c>
      <c r="F117" s="8">
        <v>232</v>
      </c>
      <c r="G117" s="113">
        <v>37.601296596434359</v>
      </c>
      <c r="H117" s="8">
        <v>338</v>
      </c>
      <c r="I117" s="113">
        <v>54.78119935170178</v>
      </c>
      <c r="J117" s="8">
        <v>2</v>
      </c>
      <c r="K117" s="113">
        <v>0.32414910858995138</v>
      </c>
      <c r="L117" s="8">
        <v>3</v>
      </c>
      <c r="M117" s="113">
        <v>0.48622366288492713</v>
      </c>
      <c r="N117" s="8">
        <v>34</v>
      </c>
      <c r="O117" s="113">
        <v>5.5105348460291737</v>
      </c>
      <c r="P117" s="8">
        <v>2</v>
      </c>
      <c r="Q117" s="113">
        <v>0.32414910858995138</v>
      </c>
      <c r="R117" s="8">
        <v>6</v>
      </c>
      <c r="S117" s="113">
        <v>0.97244732576985426</v>
      </c>
      <c r="T117" s="14" t="str">
        <f t="shared" si="7"/>
        <v>CONGRESS GAIN</v>
      </c>
      <c r="U117" s="114">
        <f t="shared" ref="U117" si="15">I117-G117</f>
        <v>17.17990275526742</v>
      </c>
      <c r="V117" s="15" t="str">
        <f t="shared" si="9"/>
        <v>LOWMARGIN</v>
      </c>
    </row>
    <row r="118" spans="1:22">
      <c r="A118" s="8">
        <v>116</v>
      </c>
      <c r="B118" s="112" t="s">
        <v>250</v>
      </c>
      <c r="C118" s="8">
        <v>888</v>
      </c>
      <c r="D118" s="8">
        <v>536</v>
      </c>
      <c r="E118" s="113">
        <v>60.360360360360367</v>
      </c>
      <c r="F118" s="8">
        <v>291</v>
      </c>
      <c r="G118" s="113">
        <v>54.291044776119399</v>
      </c>
      <c r="H118" s="8">
        <v>207</v>
      </c>
      <c r="I118" s="113">
        <v>38.619402985074622</v>
      </c>
      <c r="J118" s="8">
        <v>0</v>
      </c>
      <c r="K118" s="113">
        <v>0</v>
      </c>
      <c r="L118" s="8">
        <v>1</v>
      </c>
      <c r="M118" s="113">
        <v>0.18656716417910446</v>
      </c>
      <c r="N118" s="8">
        <v>32</v>
      </c>
      <c r="O118" s="113">
        <v>5.9701492537313428</v>
      </c>
      <c r="P118" s="8">
        <v>3</v>
      </c>
      <c r="Q118" s="113">
        <v>0.55970149253731338</v>
      </c>
      <c r="R118" s="8">
        <v>2</v>
      </c>
      <c r="S118" s="113">
        <v>0.37313432835820892</v>
      </c>
      <c r="T118" s="16" t="str">
        <f t="shared" si="7"/>
        <v>BJP GAIN</v>
      </c>
      <c r="U118" s="114">
        <f t="shared" si="8"/>
        <v>15.671641791044777</v>
      </c>
      <c r="V118" s="15" t="str">
        <f t="shared" si="9"/>
        <v>LOWMARGIN</v>
      </c>
    </row>
    <row r="119" spans="1:22">
      <c r="A119" s="8">
        <v>117</v>
      </c>
      <c r="B119" s="112" t="s">
        <v>251</v>
      </c>
      <c r="C119" s="8">
        <v>941</v>
      </c>
      <c r="D119" s="8">
        <v>629</v>
      </c>
      <c r="E119" s="113">
        <v>66.843783209351741</v>
      </c>
      <c r="F119" s="8">
        <v>318</v>
      </c>
      <c r="G119" s="113">
        <v>50.556438791732901</v>
      </c>
      <c r="H119" s="8">
        <v>266</v>
      </c>
      <c r="I119" s="113">
        <v>42.289348171701114</v>
      </c>
      <c r="J119" s="8">
        <v>0</v>
      </c>
      <c r="K119" s="113">
        <v>0</v>
      </c>
      <c r="L119" s="8">
        <v>4</v>
      </c>
      <c r="M119" s="113">
        <v>0.63593004769475359</v>
      </c>
      <c r="N119" s="8">
        <v>29</v>
      </c>
      <c r="O119" s="113">
        <v>4.6104928457869638</v>
      </c>
      <c r="P119" s="8">
        <v>8</v>
      </c>
      <c r="Q119" s="113">
        <v>1.2718600953895072</v>
      </c>
      <c r="R119" s="8">
        <v>4</v>
      </c>
      <c r="S119" s="113">
        <v>0.63593004769475359</v>
      </c>
      <c r="T119" s="16" t="str">
        <f t="shared" si="7"/>
        <v>BJP GAIN</v>
      </c>
      <c r="U119" s="114">
        <f t="shared" si="8"/>
        <v>8.2670906200317873</v>
      </c>
      <c r="V119" s="34" t="str">
        <f t="shared" si="9"/>
        <v>NARROWMARGIN</v>
      </c>
    </row>
    <row r="120" spans="1:22">
      <c r="A120" s="8">
        <v>118</v>
      </c>
      <c r="B120" s="112" t="s">
        <v>252</v>
      </c>
      <c r="C120" s="8">
        <v>1003</v>
      </c>
      <c r="D120" s="8">
        <v>671</v>
      </c>
      <c r="E120" s="113">
        <v>66.899302093718845</v>
      </c>
      <c r="F120" s="8">
        <v>244</v>
      </c>
      <c r="G120" s="113">
        <v>36.363636363636367</v>
      </c>
      <c r="H120" s="8">
        <v>390</v>
      </c>
      <c r="I120" s="113">
        <v>58.122205663189277</v>
      </c>
      <c r="J120" s="8">
        <v>1</v>
      </c>
      <c r="K120" s="113">
        <v>0.14903129657228018</v>
      </c>
      <c r="L120" s="8">
        <v>0</v>
      </c>
      <c r="M120" s="113">
        <v>0</v>
      </c>
      <c r="N120" s="8">
        <v>30</v>
      </c>
      <c r="O120" s="113">
        <v>4.4709388971684056</v>
      </c>
      <c r="P120" s="8">
        <v>4</v>
      </c>
      <c r="Q120" s="113">
        <v>0.5961251862891207</v>
      </c>
      <c r="R120" s="8">
        <v>2</v>
      </c>
      <c r="S120" s="113">
        <v>0.29806259314456035</v>
      </c>
      <c r="T120" s="14" t="str">
        <f t="shared" si="7"/>
        <v>CONGRESS GAIN</v>
      </c>
      <c r="U120" s="114">
        <f t="shared" ref="U120:U126" si="16">I120-G120</f>
        <v>21.75856929955291</v>
      </c>
      <c r="V120" s="15" t="str">
        <f t="shared" si="9"/>
        <v>LOWMARGIN</v>
      </c>
    </row>
    <row r="121" spans="1:22">
      <c r="A121" s="8">
        <v>119</v>
      </c>
      <c r="B121" s="112" t="s">
        <v>253</v>
      </c>
      <c r="C121" s="8">
        <v>1302</v>
      </c>
      <c r="D121" s="8">
        <v>850</v>
      </c>
      <c r="E121" s="113">
        <v>65.284178187403995</v>
      </c>
      <c r="F121" s="8">
        <v>304</v>
      </c>
      <c r="G121" s="113">
        <v>35.764705882352942</v>
      </c>
      <c r="H121" s="8">
        <v>504</v>
      </c>
      <c r="I121" s="113">
        <v>59.294117647058819</v>
      </c>
      <c r="J121" s="8">
        <v>0</v>
      </c>
      <c r="K121" s="113">
        <v>0</v>
      </c>
      <c r="L121" s="8">
        <v>2</v>
      </c>
      <c r="M121" s="113">
        <v>0.23529411764705879</v>
      </c>
      <c r="N121" s="8">
        <v>34</v>
      </c>
      <c r="O121" s="113">
        <v>4</v>
      </c>
      <c r="P121" s="8">
        <v>5</v>
      </c>
      <c r="Q121" s="113">
        <v>0.58823529411764708</v>
      </c>
      <c r="R121" s="8">
        <v>1</v>
      </c>
      <c r="S121" s="113">
        <v>0.1176470588235294</v>
      </c>
      <c r="T121" s="14" t="str">
        <f t="shared" si="7"/>
        <v>CONGRESS GAIN</v>
      </c>
      <c r="U121" s="114">
        <f t="shared" si="16"/>
        <v>23.529411764705877</v>
      </c>
      <c r="V121" s="15" t="str">
        <f t="shared" si="9"/>
        <v>LOWMARGIN</v>
      </c>
    </row>
    <row r="122" spans="1:22">
      <c r="A122" s="8">
        <v>120</v>
      </c>
      <c r="B122" s="112" t="s">
        <v>254</v>
      </c>
      <c r="C122" s="8">
        <v>878</v>
      </c>
      <c r="D122" s="8">
        <v>613</v>
      </c>
      <c r="E122" s="113">
        <v>69.817767653758551</v>
      </c>
      <c r="F122" s="8">
        <v>277</v>
      </c>
      <c r="G122" s="113">
        <v>45.187601957585642</v>
      </c>
      <c r="H122" s="8">
        <v>308</v>
      </c>
      <c r="I122" s="113">
        <v>50.244698205546491</v>
      </c>
      <c r="J122" s="8">
        <v>1</v>
      </c>
      <c r="K122" s="113">
        <v>0.16313213703099511</v>
      </c>
      <c r="L122" s="8">
        <v>4</v>
      </c>
      <c r="M122" s="113">
        <v>0.65252854812398042</v>
      </c>
      <c r="N122" s="8">
        <v>11</v>
      </c>
      <c r="O122" s="113">
        <v>1.794453507340946</v>
      </c>
      <c r="P122" s="8">
        <v>6</v>
      </c>
      <c r="Q122" s="113">
        <v>0.97879282218597052</v>
      </c>
      <c r="R122" s="8">
        <v>6</v>
      </c>
      <c r="S122" s="113">
        <v>0.97879282218597052</v>
      </c>
      <c r="T122" s="14" t="str">
        <f t="shared" si="7"/>
        <v>CONGRESS GAIN</v>
      </c>
      <c r="U122" s="114">
        <f t="shared" si="16"/>
        <v>5.0570962479608497</v>
      </c>
      <c r="V122" s="34" t="str">
        <f t="shared" si="9"/>
        <v>NARROWMARGIN</v>
      </c>
    </row>
    <row r="123" spans="1:22">
      <c r="A123" s="8">
        <v>121</v>
      </c>
      <c r="B123" s="112" t="s">
        <v>255</v>
      </c>
      <c r="C123" s="8">
        <v>939</v>
      </c>
      <c r="D123" s="8">
        <v>487</v>
      </c>
      <c r="E123" s="113">
        <v>51.863684771033014</v>
      </c>
      <c r="F123" s="8">
        <v>130</v>
      </c>
      <c r="G123" s="113">
        <v>26.69404517453799</v>
      </c>
      <c r="H123" s="8">
        <v>317</v>
      </c>
      <c r="I123" s="113">
        <v>65.092402464065714</v>
      </c>
      <c r="J123" s="8">
        <v>0</v>
      </c>
      <c r="K123" s="113">
        <v>0</v>
      </c>
      <c r="L123" s="8">
        <v>1</v>
      </c>
      <c r="M123" s="113">
        <v>0.20533880903490762</v>
      </c>
      <c r="N123" s="8">
        <v>36</v>
      </c>
      <c r="O123" s="113">
        <v>7.3921971252566738</v>
      </c>
      <c r="P123" s="8">
        <v>2</v>
      </c>
      <c r="Q123" s="113">
        <v>0.41067761806981523</v>
      </c>
      <c r="R123" s="8">
        <v>1</v>
      </c>
      <c r="S123" s="113">
        <v>0.20533880903490762</v>
      </c>
      <c r="T123" s="14" t="str">
        <f t="shared" si="7"/>
        <v>CONGRESS GAIN</v>
      </c>
      <c r="U123" s="114">
        <f t="shared" si="16"/>
        <v>38.398357289527723</v>
      </c>
      <c r="V123" s="24" t="str">
        <f t="shared" si="9"/>
        <v>MEDIUMMARGIN</v>
      </c>
    </row>
    <row r="124" spans="1:22">
      <c r="A124" s="8">
        <v>122</v>
      </c>
      <c r="B124" s="112" t="s">
        <v>256</v>
      </c>
      <c r="C124" s="8">
        <v>824</v>
      </c>
      <c r="D124" s="8">
        <v>540</v>
      </c>
      <c r="E124" s="113">
        <v>65.533980582524279</v>
      </c>
      <c r="F124" s="8">
        <v>209</v>
      </c>
      <c r="G124" s="113">
        <v>38.703703703703702</v>
      </c>
      <c r="H124" s="8">
        <v>300</v>
      </c>
      <c r="I124" s="113">
        <v>55.555555555555557</v>
      </c>
      <c r="J124" s="8">
        <v>1</v>
      </c>
      <c r="K124" s="113">
        <v>0.1851851851851852</v>
      </c>
      <c r="L124" s="8">
        <v>1</v>
      </c>
      <c r="M124" s="113">
        <v>0.1851851851851852</v>
      </c>
      <c r="N124" s="8">
        <v>23</v>
      </c>
      <c r="O124" s="113">
        <v>4.2592592592592595</v>
      </c>
      <c r="P124" s="8">
        <v>6</v>
      </c>
      <c r="Q124" s="113">
        <v>1.1111111111111112</v>
      </c>
      <c r="R124" s="8">
        <v>0</v>
      </c>
      <c r="S124" s="113">
        <v>0</v>
      </c>
      <c r="T124" s="14" t="str">
        <f t="shared" si="7"/>
        <v>CONGRESS GAIN</v>
      </c>
      <c r="U124" s="114">
        <f t="shared" si="16"/>
        <v>16.851851851851855</v>
      </c>
      <c r="V124" s="15" t="str">
        <f t="shared" si="9"/>
        <v>LOWMARGIN</v>
      </c>
    </row>
    <row r="125" spans="1:22">
      <c r="A125" s="8">
        <v>123</v>
      </c>
      <c r="B125" s="112" t="s">
        <v>257</v>
      </c>
      <c r="C125" s="8">
        <v>1192</v>
      </c>
      <c r="D125" s="8">
        <v>668</v>
      </c>
      <c r="E125" s="113">
        <v>56.040268456375841</v>
      </c>
      <c r="F125" s="8">
        <v>283</v>
      </c>
      <c r="G125" s="113">
        <v>42.365269461077844</v>
      </c>
      <c r="H125" s="8">
        <v>347</v>
      </c>
      <c r="I125" s="113">
        <v>51.946107784431142</v>
      </c>
      <c r="J125" s="8">
        <v>1</v>
      </c>
      <c r="K125" s="113">
        <v>0.14970059880239522</v>
      </c>
      <c r="L125" s="8">
        <v>2</v>
      </c>
      <c r="M125" s="113">
        <v>0.29940119760479045</v>
      </c>
      <c r="N125" s="8">
        <v>31</v>
      </c>
      <c r="O125" s="113">
        <v>4.6407185628742509</v>
      </c>
      <c r="P125" s="8">
        <v>2</v>
      </c>
      <c r="Q125" s="113">
        <v>0.29940119760479045</v>
      </c>
      <c r="R125" s="8">
        <v>2</v>
      </c>
      <c r="S125" s="113">
        <v>0.29940119760479045</v>
      </c>
      <c r="T125" s="14" t="str">
        <f t="shared" si="7"/>
        <v>CONGRESS GAIN</v>
      </c>
      <c r="U125" s="114">
        <f t="shared" si="16"/>
        <v>9.5808383233532979</v>
      </c>
      <c r="V125" s="34" t="str">
        <f t="shared" si="9"/>
        <v>NARROWMARGIN</v>
      </c>
    </row>
    <row r="126" spans="1:22">
      <c r="A126" s="8">
        <v>124</v>
      </c>
      <c r="B126" s="112" t="s">
        <v>258</v>
      </c>
      <c r="C126" s="8">
        <v>1075</v>
      </c>
      <c r="D126" s="8">
        <v>708</v>
      </c>
      <c r="E126" s="113">
        <v>65.860465116279059</v>
      </c>
      <c r="F126" s="8">
        <v>278</v>
      </c>
      <c r="G126" s="113">
        <v>39.265536723163841</v>
      </c>
      <c r="H126" s="8">
        <v>387</v>
      </c>
      <c r="I126" s="113">
        <v>54.66101694915254</v>
      </c>
      <c r="J126" s="8">
        <v>0</v>
      </c>
      <c r="K126" s="113">
        <v>0</v>
      </c>
      <c r="L126" s="8">
        <v>1</v>
      </c>
      <c r="M126" s="113">
        <v>0.14124293785310735</v>
      </c>
      <c r="N126" s="8">
        <v>32</v>
      </c>
      <c r="O126" s="113">
        <v>4.5197740112994351</v>
      </c>
      <c r="P126" s="8">
        <v>8</v>
      </c>
      <c r="Q126" s="113">
        <v>1.1299435028248588</v>
      </c>
      <c r="R126" s="8">
        <v>2</v>
      </c>
      <c r="S126" s="113">
        <v>0.2824858757062147</v>
      </c>
      <c r="T126" s="14" t="str">
        <f t="shared" si="7"/>
        <v>CONGRESS GAIN</v>
      </c>
      <c r="U126" s="114">
        <f t="shared" si="16"/>
        <v>15.395480225988699</v>
      </c>
      <c r="V126" s="15" t="str">
        <f t="shared" si="9"/>
        <v>LOWMARGIN</v>
      </c>
    </row>
    <row r="127" spans="1:22">
      <c r="A127" s="8">
        <v>125</v>
      </c>
      <c r="B127" s="112" t="s">
        <v>259</v>
      </c>
      <c r="C127" s="8">
        <v>995</v>
      </c>
      <c r="D127" s="8">
        <v>760</v>
      </c>
      <c r="E127" s="113">
        <v>76.381909547738687</v>
      </c>
      <c r="F127" s="8">
        <v>527</v>
      </c>
      <c r="G127" s="113">
        <v>69.34210526315789</v>
      </c>
      <c r="H127" s="8">
        <v>205</v>
      </c>
      <c r="I127" s="113">
        <v>26.973684210526315</v>
      </c>
      <c r="J127" s="8">
        <v>1</v>
      </c>
      <c r="K127" s="113">
        <v>0.13157894736842105</v>
      </c>
      <c r="L127" s="8">
        <v>6</v>
      </c>
      <c r="M127" s="113">
        <v>0.78947368421052633</v>
      </c>
      <c r="N127" s="8">
        <v>12</v>
      </c>
      <c r="O127" s="113">
        <v>1.5789473684210527</v>
      </c>
      <c r="P127" s="8">
        <v>7</v>
      </c>
      <c r="Q127" s="113">
        <v>0.92105263157894723</v>
      </c>
      <c r="R127" s="8">
        <v>2</v>
      </c>
      <c r="S127" s="113">
        <v>0.26315789473684209</v>
      </c>
      <c r="T127" s="16" t="str">
        <f t="shared" si="7"/>
        <v>BJP GAIN</v>
      </c>
      <c r="U127" s="114">
        <f t="shared" si="8"/>
        <v>42.368421052631575</v>
      </c>
      <c r="V127" s="57" t="str">
        <f t="shared" si="9"/>
        <v>HIGHMARGIN</v>
      </c>
    </row>
    <row r="128" spans="1:22">
      <c r="A128" s="8">
        <v>126</v>
      </c>
      <c r="B128" s="112" t="s">
        <v>260</v>
      </c>
      <c r="C128" s="8">
        <v>1363</v>
      </c>
      <c r="D128" s="8">
        <v>917</v>
      </c>
      <c r="E128" s="113">
        <v>67.278063096111524</v>
      </c>
      <c r="F128" s="8">
        <v>503</v>
      </c>
      <c r="G128" s="113">
        <v>54.852780806979283</v>
      </c>
      <c r="H128" s="8">
        <v>373</v>
      </c>
      <c r="I128" s="113">
        <v>40.676117775354413</v>
      </c>
      <c r="J128" s="8">
        <v>2</v>
      </c>
      <c r="K128" s="113">
        <v>0.21810250817884408</v>
      </c>
      <c r="L128" s="8">
        <v>1</v>
      </c>
      <c r="M128" s="113">
        <v>0.10905125408942204</v>
      </c>
      <c r="N128" s="8">
        <v>27</v>
      </c>
      <c r="O128" s="113">
        <v>2.9443838604143946</v>
      </c>
      <c r="P128" s="8">
        <v>9</v>
      </c>
      <c r="Q128" s="113">
        <v>0.98146128680479827</v>
      </c>
      <c r="R128" s="8">
        <v>2</v>
      </c>
      <c r="S128" s="113">
        <v>0.21810250817884408</v>
      </c>
      <c r="T128" s="16" t="str">
        <f t="shared" si="7"/>
        <v>BJP GAIN</v>
      </c>
      <c r="U128" s="114">
        <f t="shared" si="8"/>
        <v>14.176663031624869</v>
      </c>
      <c r="V128" s="15" t="str">
        <f t="shared" si="9"/>
        <v>LOWMARGIN</v>
      </c>
    </row>
    <row r="129" spans="1:22">
      <c r="A129" s="8">
        <v>127</v>
      </c>
      <c r="B129" s="112" t="s">
        <v>261</v>
      </c>
      <c r="C129" s="8">
        <v>953</v>
      </c>
      <c r="D129" s="8">
        <v>677</v>
      </c>
      <c r="E129" s="113">
        <v>71.038824763903463</v>
      </c>
      <c r="F129" s="8">
        <v>309</v>
      </c>
      <c r="G129" s="113">
        <v>45.642540620384047</v>
      </c>
      <c r="H129" s="8">
        <v>347</v>
      </c>
      <c r="I129" s="113">
        <v>51.255539143279172</v>
      </c>
      <c r="J129" s="8">
        <v>2</v>
      </c>
      <c r="K129" s="113">
        <v>0.29542097488921715</v>
      </c>
      <c r="L129" s="8">
        <v>0</v>
      </c>
      <c r="M129" s="113">
        <v>0</v>
      </c>
      <c r="N129" s="8">
        <v>14</v>
      </c>
      <c r="O129" s="113">
        <v>2.0679468242245198</v>
      </c>
      <c r="P129" s="8">
        <v>3</v>
      </c>
      <c r="Q129" s="113">
        <v>0.44313146233382572</v>
      </c>
      <c r="R129" s="8">
        <v>2</v>
      </c>
      <c r="S129" s="113">
        <v>0.29542097488921715</v>
      </c>
      <c r="T129" s="14" t="str">
        <f t="shared" si="7"/>
        <v>CONGRESS GAIN</v>
      </c>
      <c r="U129" s="114">
        <f t="shared" ref="U129" si="17">I129-G129</f>
        <v>5.6129985228951256</v>
      </c>
      <c r="V129" s="34" t="str">
        <f t="shared" si="9"/>
        <v>NARROWMARGIN</v>
      </c>
    </row>
    <row r="130" spans="1:22">
      <c r="A130" s="8">
        <v>128</v>
      </c>
      <c r="B130" s="112" t="s">
        <v>262</v>
      </c>
      <c r="C130" s="8">
        <v>1049</v>
      </c>
      <c r="D130" s="8">
        <v>597</v>
      </c>
      <c r="E130" s="113">
        <v>56.911344137273588</v>
      </c>
      <c r="F130" s="8">
        <v>463</v>
      </c>
      <c r="G130" s="113">
        <v>77.554438860971516</v>
      </c>
      <c r="H130" s="8">
        <v>132</v>
      </c>
      <c r="I130" s="113">
        <v>22.110552763819097</v>
      </c>
      <c r="J130" s="8">
        <v>0</v>
      </c>
      <c r="K130" s="113">
        <v>0</v>
      </c>
      <c r="L130" s="8">
        <v>0</v>
      </c>
      <c r="M130" s="113">
        <v>0</v>
      </c>
      <c r="N130" s="8">
        <v>0</v>
      </c>
      <c r="O130" s="113">
        <v>0</v>
      </c>
      <c r="P130" s="8">
        <v>1</v>
      </c>
      <c r="Q130" s="113">
        <v>0.16750418760469013</v>
      </c>
      <c r="R130" s="8">
        <v>1</v>
      </c>
      <c r="S130" s="113">
        <v>0.16750418760469013</v>
      </c>
      <c r="T130" s="16" t="str">
        <f t="shared" si="7"/>
        <v>BJP GAIN</v>
      </c>
      <c r="U130" s="114">
        <f t="shared" si="8"/>
        <v>55.443886097152415</v>
      </c>
      <c r="V130" s="14" t="str">
        <f t="shared" si="9"/>
        <v>VERYHIGHMARGIN</v>
      </c>
    </row>
    <row r="131" spans="1:22">
      <c r="A131" s="8">
        <v>129</v>
      </c>
      <c r="B131" s="112" t="s">
        <v>263</v>
      </c>
      <c r="C131" s="8">
        <v>860</v>
      </c>
      <c r="D131" s="8">
        <v>545</v>
      </c>
      <c r="E131" s="113">
        <v>63.372093023255815</v>
      </c>
      <c r="F131" s="8">
        <v>203</v>
      </c>
      <c r="G131" s="113">
        <v>37.247706422018354</v>
      </c>
      <c r="H131" s="8">
        <v>313</v>
      </c>
      <c r="I131" s="113">
        <v>57.431192660550458</v>
      </c>
      <c r="J131" s="8">
        <v>0</v>
      </c>
      <c r="K131" s="113">
        <v>0</v>
      </c>
      <c r="L131" s="8">
        <v>1</v>
      </c>
      <c r="M131" s="113">
        <v>0.1834862385321101</v>
      </c>
      <c r="N131" s="8">
        <v>19</v>
      </c>
      <c r="O131" s="113">
        <v>3.4862385321100922</v>
      </c>
      <c r="P131" s="8">
        <v>4</v>
      </c>
      <c r="Q131" s="113">
        <v>0.73394495412844041</v>
      </c>
      <c r="R131" s="8">
        <v>5</v>
      </c>
      <c r="S131" s="113">
        <v>0.91743119266055051</v>
      </c>
      <c r="T131" s="14" t="str">
        <f t="shared" si="7"/>
        <v>CONGRESS GAIN</v>
      </c>
      <c r="U131" s="114">
        <f t="shared" ref="U131" si="18">I131-G131</f>
        <v>20.183486238532105</v>
      </c>
      <c r="V131" s="15" t="str">
        <f t="shared" si="9"/>
        <v>LOWMARGIN</v>
      </c>
    </row>
    <row r="132" spans="1:22">
      <c r="A132" s="8">
        <v>130</v>
      </c>
      <c r="B132" s="112" t="s">
        <v>264</v>
      </c>
      <c r="C132" s="8">
        <v>592</v>
      </c>
      <c r="D132" s="8">
        <v>336</v>
      </c>
      <c r="E132" s="113">
        <v>56.756756756756758</v>
      </c>
      <c r="F132" s="8">
        <v>218</v>
      </c>
      <c r="G132" s="113">
        <v>64.88095238095238</v>
      </c>
      <c r="H132" s="8">
        <v>98</v>
      </c>
      <c r="I132" s="113">
        <v>29.166666666666668</v>
      </c>
      <c r="J132" s="8">
        <v>0</v>
      </c>
      <c r="K132" s="113">
        <v>0</v>
      </c>
      <c r="L132" s="8">
        <v>10</v>
      </c>
      <c r="M132" s="113">
        <v>2.9761904761904758</v>
      </c>
      <c r="N132" s="8">
        <v>6</v>
      </c>
      <c r="O132" s="113">
        <v>1.7857142857142856</v>
      </c>
      <c r="P132" s="8">
        <v>3</v>
      </c>
      <c r="Q132" s="113">
        <v>0.89285714285714279</v>
      </c>
      <c r="R132" s="8">
        <v>1</v>
      </c>
      <c r="S132" s="113">
        <v>0.29761904761904762</v>
      </c>
      <c r="T132" s="16" t="str">
        <f t="shared" ref="T132:T195" si="19">IF(G132&gt;I132,"BJP GAIN", "CONGRESS GAIN")</f>
        <v>BJP GAIN</v>
      </c>
      <c r="U132" s="114">
        <f t="shared" ref="U132:U195" si="20">G132-I132</f>
        <v>35.714285714285708</v>
      </c>
      <c r="V132" s="24" t="str">
        <f t="shared" si="9"/>
        <v>MEDIUMMARGIN</v>
      </c>
    </row>
    <row r="133" spans="1:22">
      <c r="A133" s="8">
        <v>131</v>
      </c>
      <c r="B133" s="112" t="s">
        <v>265</v>
      </c>
      <c r="C133" s="8">
        <v>1346</v>
      </c>
      <c r="D133" s="8">
        <v>902</v>
      </c>
      <c r="E133" s="113">
        <v>67.01337295690935</v>
      </c>
      <c r="F133" s="8">
        <v>471</v>
      </c>
      <c r="G133" s="113">
        <v>52.217294900221731</v>
      </c>
      <c r="H133" s="8">
        <v>407</v>
      </c>
      <c r="I133" s="113">
        <v>45.121951219512198</v>
      </c>
      <c r="J133" s="8">
        <v>1</v>
      </c>
      <c r="K133" s="113">
        <v>0.11086474501108648</v>
      </c>
      <c r="L133" s="8">
        <v>3</v>
      </c>
      <c r="M133" s="113">
        <v>0.33259423503325941</v>
      </c>
      <c r="N133" s="8">
        <v>9</v>
      </c>
      <c r="O133" s="113">
        <v>0.99778270509977818</v>
      </c>
      <c r="P133" s="8">
        <v>3</v>
      </c>
      <c r="Q133" s="113">
        <v>0.33259423503325941</v>
      </c>
      <c r="R133" s="8">
        <v>8</v>
      </c>
      <c r="S133" s="113">
        <v>0.88691796008869184</v>
      </c>
      <c r="T133" s="16" t="str">
        <f t="shared" si="19"/>
        <v>BJP GAIN</v>
      </c>
      <c r="U133" s="114">
        <f t="shared" si="20"/>
        <v>7.0953436807095329</v>
      </c>
      <c r="V133" s="34" t="str">
        <f t="shared" ref="V133:V196" si="21">IF(U133&gt;=50,"VERYHIGHMARGIN",IF(U133&gt;=40,"HIGHMARGIN",IF(U133&gt;=30,"MEDIUMMARGIN",IF(U133&gt;10,"LOWMARGIN",IF(U133&gt;=1,"NARROWMARGIN")))))</f>
        <v>NARROWMARGIN</v>
      </c>
    </row>
    <row r="134" spans="1:22">
      <c r="A134" s="8">
        <v>132</v>
      </c>
      <c r="B134" s="112" t="s">
        <v>266</v>
      </c>
      <c r="C134" s="8">
        <v>945</v>
      </c>
      <c r="D134" s="8">
        <v>603</v>
      </c>
      <c r="E134" s="113">
        <v>63.809523809523803</v>
      </c>
      <c r="F134" s="8">
        <v>282</v>
      </c>
      <c r="G134" s="113">
        <v>46.766169154228855</v>
      </c>
      <c r="H134" s="8">
        <v>287</v>
      </c>
      <c r="I134" s="113">
        <v>47.595356550580433</v>
      </c>
      <c r="J134" s="8">
        <v>1</v>
      </c>
      <c r="K134" s="113">
        <v>0.16583747927031509</v>
      </c>
      <c r="L134" s="8">
        <v>2</v>
      </c>
      <c r="M134" s="113">
        <v>0.33167495854063017</v>
      </c>
      <c r="N134" s="8">
        <v>14</v>
      </c>
      <c r="O134" s="113">
        <v>2.3217247097844109</v>
      </c>
      <c r="P134" s="8">
        <v>2</v>
      </c>
      <c r="Q134" s="113">
        <v>0.33167495854063017</v>
      </c>
      <c r="R134" s="8">
        <v>15</v>
      </c>
      <c r="S134" s="113">
        <v>2.4875621890547266</v>
      </c>
      <c r="T134" s="14" t="str">
        <f t="shared" si="19"/>
        <v>CONGRESS GAIN</v>
      </c>
      <c r="U134" s="114">
        <f t="shared" ref="U134" si="22">I134-G134</f>
        <v>0.82918739635157834</v>
      </c>
      <c r="V134" s="34" t="str">
        <f>IF(U134&gt;=50,"VERYHIGHMARGIN",IF(U134&gt;=40,"HIGHMARGIN",IF(U134&gt;=30,"MEDIUMMARGIN",IF(U134&gt;10,"LOWMARGIN",IF(U134&lt;1,"NARROWMARGIN")))))</f>
        <v>NARROWMARGIN</v>
      </c>
    </row>
    <row r="135" spans="1:22">
      <c r="A135" s="8">
        <v>133</v>
      </c>
      <c r="B135" s="112" t="s">
        <v>267</v>
      </c>
      <c r="C135" s="8">
        <v>1158</v>
      </c>
      <c r="D135" s="8">
        <v>739</v>
      </c>
      <c r="E135" s="113">
        <v>63.816925734024174</v>
      </c>
      <c r="F135" s="8">
        <v>369</v>
      </c>
      <c r="G135" s="113">
        <v>49.93234100135318</v>
      </c>
      <c r="H135" s="8">
        <v>355</v>
      </c>
      <c r="I135" s="113">
        <v>48.037889039242224</v>
      </c>
      <c r="J135" s="8">
        <v>0</v>
      </c>
      <c r="K135" s="113">
        <v>0</v>
      </c>
      <c r="L135" s="8">
        <v>1</v>
      </c>
      <c r="M135" s="113">
        <v>0.13531799729364005</v>
      </c>
      <c r="N135" s="8">
        <v>8</v>
      </c>
      <c r="O135" s="113">
        <v>1.0825439783491204</v>
      </c>
      <c r="P135" s="8">
        <v>3</v>
      </c>
      <c r="Q135" s="113">
        <v>0.40595399188092013</v>
      </c>
      <c r="R135" s="8">
        <v>3</v>
      </c>
      <c r="S135" s="113">
        <v>0.40595399188092013</v>
      </c>
      <c r="T135" s="16" t="str">
        <f t="shared" si="19"/>
        <v>BJP GAIN</v>
      </c>
      <c r="U135" s="114">
        <f t="shared" si="20"/>
        <v>1.8944519621109563</v>
      </c>
      <c r="V135" s="34" t="str">
        <f t="shared" si="21"/>
        <v>NARROWMARGIN</v>
      </c>
    </row>
    <row r="136" spans="1:22">
      <c r="A136" s="8">
        <v>134</v>
      </c>
      <c r="B136" s="112" t="s">
        <v>268</v>
      </c>
      <c r="C136" s="8">
        <v>951</v>
      </c>
      <c r="D136" s="8">
        <v>630</v>
      </c>
      <c r="E136" s="113">
        <v>66.246056782334378</v>
      </c>
      <c r="F136" s="8">
        <v>205</v>
      </c>
      <c r="G136" s="113">
        <v>32.539682539682538</v>
      </c>
      <c r="H136" s="8">
        <v>406</v>
      </c>
      <c r="I136" s="113">
        <v>64.444444444444443</v>
      </c>
      <c r="J136" s="8">
        <v>0</v>
      </c>
      <c r="K136" s="113">
        <v>0</v>
      </c>
      <c r="L136" s="8">
        <v>1</v>
      </c>
      <c r="M136" s="113">
        <v>0.15873015873015872</v>
      </c>
      <c r="N136" s="8">
        <v>9</v>
      </c>
      <c r="O136" s="113">
        <v>1.4285714285714286</v>
      </c>
      <c r="P136" s="8">
        <v>3</v>
      </c>
      <c r="Q136" s="113">
        <v>0.47619047619047622</v>
      </c>
      <c r="R136" s="8">
        <v>6</v>
      </c>
      <c r="S136" s="113">
        <v>0.95238095238095244</v>
      </c>
      <c r="T136" s="14" t="str">
        <f t="shared" si="19"/>
        <v>CONGRESS GAIN</v>
      </c>
      <c r="U136" s="114">
        <f t="shared" ref="U136:U138" si="23">I136-G136</f>
        <v>31.904761904761905</v>
      </c>
      <c r="V136" s="24" t="str">
        <f t="shared" si="21"/>
        <v>MEDIUMMARGIN</v>
      </c>
    </row>
    <row r="137" spans="1:22">
      <c r="A137" s="8">
        <v>135</v>
      </c>
      <c r="B137" s="112" t="s">
        <v>269</v>
      </c>
      <c r="C137" s="8">
        <v>1241</v>
      </c>
      <c r="D137" s="8">
        <v>791</v>
      </c>
      <c r="E137" s="113">
        <v>63.738920225624497</v>
      </c>
      <c r="F137" s="8">
        <v>163</v>
      </c>
      <c r="G137" s="113">
        <v>20.606826801517066</v>
      </c>
      <c r="H137" s="8">
        <v>600</v>
      </c>
      <c r="I137" s="113">
        <v>75.853350189633375</v>
      </c>
      <c r="J137" s="8">
        <v>0</v>
      </c>
      <c r="K137" s="113">
        <v>0</v>
      </c>
      <c r="L137" s="8">
        <v>1</v>
      </c>
      <c r="M137" s="113">
        <v>0.12642225031605564</v>
      </c>
      <c r="N137" s="8">
        <v>6</v>
      </c>
      <c r="O137" s="113">
        <v>0.75853350189633373</v>
      </c>
      <c r="P137" s="8">
        <v>1</v>
      </c>
      <c r="Q137" s="113">
        <v>0.12642225031605564</v>
      </c>
      <c r="R137" s="8">
        <v>20</v>
      </c>
      <c r="S137" s="113">
        <v>2.5284450063211126</v>
      </c>
      <c r="T137" s="14" t="str">
        <f t="shared" si="19"/>
        <v>CONGRESS GAIN</v>
      </c>
      <c r="U137" s="114">
        <f t="shared" si="23"/>
        <v>55.246523388116309</v>
      </c>
      <c r="V137" s="14" t="str">
        <f t="shared" si="21"/>
        <v>VERYHIGHMARGIN</v>
      </c>
    </row>
    <row r="138" spans="1:22">
      <c r="A138" s="8">
        <v>136</v>
      </c>
      <c r="B138" s="112" t="s">
        <v>270</v>
      </c>
      <c r="C138" s="8">
        <v>1026</v>
      </c>
      <c r="D138" s="8">
        <v>655</v>
      </c>
      <c r="E138" s="113">
        <v>63.840155945419106</v>
      </c>
      <c r="F138" s="8">
        <v>290</v>
      </c>
      <c r="G138" s="113">
        <v>44.274809160305345</v>
      </c>
      <c r="H138" s="8">
        <v>341</v>
      </c>
      <c r="I138" s="113">
        <v>52.061068702290079</v>
      </c>
      <c r="J138" s="8">
        <v>1</v>
      </c>
      <c r="K138" s="113">
        <v>0.15267175572519084</v>
      </c>
      <c r="L138" s="8">
        <v>11</v>
      </c>
      <c r="M138" s="113">
        <v>1.6793893129770994</v>
      </c>
      <c r="N138" s="8">
        <v>10</v>
      </c>
      <c r="O138" s="113">
        <v>1.5267175572519083</v>
      </c>
      <c r="P138" s="8">
        <v>1</v>
      </c>
      <c r="Q138" s="113">
        <v>0.15267175572519084</v>
      </c>
      <c r="R138" s="8">
        <v>1</v>
      </c>
      <c r="S138" s="113">
        <v>0.15267175572519084</v>
      </c>
      <c r="T138" s="14" t="str">
        <f t="shared" si="19"/>
        <v>CONGRESS GAIN</v>
      </c>
      <c r="U138" s="114">
        <f t="shared" si="23"/>
        <v>7.7862595419847338</v>
      </c>
      <c r="V138" s="34" t="str">
        <f t="shared" si="21"/>
        <v>NARROWMARGIN</v>
      </c>
    </row>
    <row r="139" spans="1:22">
      <c r="A139" s="8">
        <v>137</v>
      </c>
      <c r="B139" s="112" t="s">
        <v>271</v>
      </c>
      <c r="C139" s="8">
        <v>901</v>
      </c>
      <c r="D139" s="8">
        <v>646</v>
      </c>
      <c r="E139" s="113">
        <v>71.698113207547166</v>
      </c>
      <c r="F139" s="8">
        <v>453</v>
      </c>
      <c r="G139" s="113">
        <v>70.12383900928792</v>
      </c>
      <c r="H139" s="8">
        <v>184</v>
      </c>
      <c r="I139" s="113">
        <v>28.482972136222912</v>
      </c>
      <c r="J139" s="8">
        <v>0</v>
      </c>
      <c r="K139" s="113">
        <v>0</v>
      </c>
      <c r="L139" s="8">
        <v>1</v>
      </c>
      <c r="M139" s="113">
        <v>0.15479876160990713</v>
      </c>
      <c r="N139" s="8">
        <v>5</v>
      </c>
      <c r="O139" s="113">
        <v>0.77399380804953566</v>
      </c>
      <c r="P139" s="8">
        <v>2</v>
      </c>
      <c r="Q139" s="113">
        <v>0.30959752321981426</v>
      </c>
      <c r="R139" s="8">
        <v>1</v>
      </c>
      <c r="S139" s="113">
        <v>0.15479876160990713</v>
      </c>
      <c r="T139" s="16" t="str">
        <f t="shared" si="19"/>
        <v>BJP GAIN</v>
      </c>
      <c r="U139" s="114">
        <f t="shared" si="20"/>
        <v>41.640866873065008</v>
      </c>
      <c r="V139" s="57" t="str">
        <f t="shared" si="21"/>
        <v>HIGHMARGIN</v>
      </c>
    </row>
    <row r="140" spans="1:22">
      <c r="A140" s="8">
        <v>138</v>
      </c>
      <c r="B140" s="112" t="s">
        <v>272</v>
      </c>
      <c r="C140" s="8">
        <v>846</v>
      </c>
      <c r="D140" s="8">
        <v>606</v>
      </c>
      <c r="E140" s="113">
        <v>71.63120567375887</v>
      </c>
      <c r="F140" s="8">
        <v>395</v>
      </c>
      <c r="G140" s="113">
        <v>65.181518151815183</v>
      </c>
      <c r="H140" s="8">
        <v>192</v>
      </c>
      <c r="I140" s="113">
        <v>31.683168316831683</v>
      </c>
      <c r="J140" s="8">
        <v>1</v>
      </c>
      <c r="K140" s="113">
        <v>0.16501650165016502</v>
      </c>
      <c r="L140" s="8">
        <v>5</v>
      </c>
      <c r="M140" s="113">
        <v>0.82508250825082496</v>
      </c>
      <c r="N140" s="8">
        <v>5</v>
      </c>
      <c r="O140" s="113">
        <v>0.82508250825082496</v>
      </c>
      <c r="P140" s="8">
        <v>4</v>
      </c>
      <c r="Q140" s="113">
        <v>0.66006600660066006</v>
      </c>
      <c r="R140" s="8">
        <v>4</v>
      </c>
      <c r="S140" s="113">
        <v>0.66006600660066006</v>
      </c>
      <c r="T140" s="16" t="str">
        <f t="shared" si="19"/>
        <v>BJP GAIN</v>
      </c>
      <c r="U140" s="114">
        <f t="shared" si="20"/>
        <v>33.4983498349835</v>
      </c>
      <c r="V140" s="24" t="str">
        <f t="shared" si="21"/>
        <v>MEDIUMMARGIN</v>
      </c>
    </row>
    <row r="141" spans="1:22">
      <c r="A141" s="8">
        <v>139</v>
      </c>
      <c r="B141" s="112" t="s">
        <v>273</v>
      </c>
      <c r="C141" s="8">
        <v>713</v>
      </c>
      <c r="D141" s="8">
        <v>533</v>
      </c>
      <c r="E141" s="113">
        <v>74.754558204768585</v>
      </c>
      <c r="F141" s="8">
        <v>286</v>
      </c>
      <c r="G141" s="113">
        <v>53.658536585365859</v>
      </c>
      <c r="H141" s="8">
        <v>233</v>
      </c>
      <c r="I141" s="113">
        <v>43.714821763602252</v>
      </c>
      <c r="J141" s="8">
        <v>1</v>
      </c>
      <c r="K141" s="113">
        <v>0.18761726078799248</v>
      </c>
      <c r="L141" s="8">
        <v>3</v>
      </c>
      <c r="M141" s="113">
        <v>0.56285178236397748</v>
      </c>
      <c r="N141" s="8">
        <v>6</v>
      </c>
      <c r="O141" s="113">
        <v>1.125703564727955</v>
      </c>
      <c r="P141" s="8">
        <v>2</v>
      </c>
      <c r="Q141" s="113">
        <v>0.37523452157598497</v>
      </c>
      <c r="R141" s="8">
        <v>2</v>
      </c>
      <c r="S141" s="113">
        <v>0.37523452157598497</v>
      </c>
      <c r="T141" s="16" t="str">
        <f t="shared" si="19"/>
        <v>BJP GAIN</v>
      </c>
      <c r="U141" s="114">
        <f t="shared" si="20"/>
        <v>9.9437148217636064</v>
      </c>
      <c r="V141" s="34" t="str">
        <f t="shared" si="21"/>
        <v>NARROWMARGIN</v>
      </c>
    </row>
    <row r="142" spans="1:22">
      <c r="A142" s="8">
        <v>140</v>
      </c>
      <c r="B142" s="112" t="s">
        <v>274</v>
      </c>
      <c r="C142" s="8">
        <v>802</v>
      </c>
      <c r="D142" s="8">
        <v>571</v>
      </c>
      <c r="E142" s="113">
        <v>71.197007481296765</v>
      </c>
      <c r="F142" s="8">
        <v>345</v>
      </c>
      <c r="G142" s="113">
        <v>60.420315236427328</v>
      </c>
      <c r="H142" s="8">
        <v>205</v>
      </c>
      <c r="I142" s="113">
        <v>35.901926444833627</v>
      </c>
      <c r="J142" s="8">
        <v>1</v>
      </c>
      <c r="K142" s="113">
        <v>0.17513134851138354</v>
      </c>
      <c r="L142" s="8">
        <v>8</v>
      </c>
      <c r="M142" s="113">
        <v>1.4010507880910683</v>
      </c>
      <c r="N142" s="8">
        <v>7</v>
      </c>
      <c r="O142" s="113">
        <v>1.2259194395796849</v>
      </c>
      <c r="P142" s="8">
        <v>1</v>
      </c>
      <c r="Q142" s="113">
        <v>0.17513134851138354</v>
      </c>
      <c r="R142" s="8">
        <v>4</v>
      </c>
      <c r="S142" s="113">
        <v>0.70052539404553416</v>
      </c>
      <c r="T142" s="16" t="str">
        <f t="shared" si="19"/>
        <v>BJP GAIN</v>
      </c>
      <c r="U142" s="114">
        <f t="shared" si="20"/>
        <v>24.518388791593701</v>
      </c>
      <c r="V142" s="15" t="str">
        <f t="shared" si="21"/>
        <v>LOWMARGIN</v>
      </c>
    </row>
    <row r="143" spans="1:22">
      <c r="A143" s="8">
        <v>141</v>
      </c>
      <c r="B143" s="112" t="s">
        <v>275</v>
      </c>
      <c r="C143" s="8">
        <v>715</v>
      </c>
      <c r="D143" s="8">
        <v>472</v>
      </c>
      <c r="E143" s="113">
        <v>66.013986013986013</v>
      </c>
      <c r="F143" s="8">
        <v>183</v>
      </c>
      <c r="G143" s="113">
        <v>38.771186440677965</v>
      </c>
      <c r="H143" s="8">
        <v>268</v>
      </c>
      <c r="I143" s="113">
        <v>56.779661016949156</v>
      </c>
      <c r="J143" s="8">
        <v>0</v>
      </c>
      <c r="K143" s="113">
        <v>0</v>
      </c>
      <c r="L143" s="8">
        <v>4</v>
      </c>
      <c r="M143" s="113">
        <v>0.84745762711864403</v>
      </c>
      <c r="N143" s="8">
        <v>12</v>
      </c>
      <c r="O143" s="113">
        <v>2.5423728813559325</v>
      </c>
      <c r="P143" s="8">
        <v>3</v>
      </c>
      <c r="Q143" s="113">
        <v>0.63559322033898313</v>
      </c>
      <c r="R143" s="8">
        <v>2</v>
      </c>
      <c r="S143" s="113">
        <v>0.42372881355932202</v>
      </c>
      <c r="T143" s="14" t="str">
        <f t="shared" si="19"/>
        <v>CONGRESS GAIN</v>
      </c>
      <c r="U143" s="114">
        <f t="shared" ref="U143:U144" si="24">I143-G143</f>
        <v>18.00847457627119</v>
      </c>
      <c r="V143" s="15" t="str">
        <f t="shared" si="21"/>
        <v>LOWMARGIN</v>
      </c>
    </row>
    <row r="144" spans="1:22">
      <c r="A144" s="8">
        <v>142</v>
      </c>
      <c r="B144" s="112" t="s">
        <v>276</v>
      </c>
      <c r="C144" s="8">
        <v>1355</v>
      </c>
      <c r="D144" s="8">
        <v>887</v>
      </c>
      <c r="E144" s="113">
        <v>65.461254612546128</v>
      </c>
      <c r="F144" s="8">
        <v>326</v>
      </c>
      <c r="G144" s="113">
        <v>36.753100338218715</v>
      </c>
      <c r="H144" s="8">
        <v>517</v>
      </c>
      <c r="I144" s="113">
        <v>58.286358511837655</v>
      </c>
      <c r="J144" s="8">
        <v>1</v>
      </c>
      <c r="K144" s="113">
        <v>0.11273957158962795</v>
      </c>
      <c r="L144" s="8">
        <v>9</v>
      </c>
      <c r="M144" s="113">
        <v>1.0146561443066515</v>
      </c>
      <c r="N144" s="8">
        <v>8</v>
      </c>
      <c r="O144" s="113">
        <v>0.90191657271702363</v>
      </c>
      <c r="P144" s="8">
        <v>16</v>
      </c>
      <c r="Q144" s="113">
        <v>1.8038331454340473</v>
      </c>
      <c r="R144" s="8">
        <v>10</v>
      </c>
      <c r="S144" s="113">
        <v>1.1273957158962795</v>
      </c>
      <c r="T144" s="14" t="str">
        <f t="shared" si="19"/>
        <v>CONGRESS GAIN</v>
      </c>
      <c r="U144" s="114">
        <f t="shared" si="24"/>
        <v>21.53325817361894</v>
      </c>
      <c r="V144" s="15" t="str">
        <f t="shared" si="21"/>
        <v>LOWMARGIN</v>
      </c>
    </row>
    <row r="145" spans="1:22">
      <c r="A145" s="8">
        <v>143</v>
      </c>
      <c r="B145" s="112" t="s">
        <v>277</v>
      </c>
      <c r="C145" s="8">
        <v>1007</v>
      </c>
      <c r="D145" s="8">
        <v>732</v>
      </c>
      <c r="E145" s="113">
        <v>72.691161866931481</v>
      </c>
      <c r="F145" s="8">
        <v>399</v>
      </c>
      <c r="G145" s="113">
        <v>54.508196721311478</v>
      </c>
      <c r="H145" s="8">
        <v>304</v>
      </c>
      <c r="I145" s="113">
        <v>41.530054644808743</v>
      </c>
      <c r="J145" s="8">
        <v>0</v>
      </c>
      <c r="K145" s="113">
        <v>0</v>
      </c>
      <c r="L145" s="8">
        <v>15</v>
      </c>
      <c r="M145" s="113">
        <v>2.0491803278688523</v>
      </c>
      <c r="N145" s="8">
        <v>7</v>
      </c>
      <c r="O145" s="113">
        <v>0.95628415300546454</v>
      </c>
      <c r="P145" s="8">
        <v>3</v>
      </c>
      <c r="Q145" s="113">
        <v>0.4098360655737705</v>
      </c>
      <c r="R145" s="8">
        <v>4</v>
      </c>
      <c r="S145" s="113">
        <v>0.54644808743169404</v>
      </c>
      <c r="T145" s="16" t="str">
        <f t="shared" si="19"/>
        <v>BJP GAIN</v>
      </c>
      <c r="U145" s="114">
        <f t="shared" si="20"/>
        <v>12.978142076502735</v>
      </c>
      <c r="V145" s="15" t="str">
        <f t="shared" si="21"/>
        <v>LOWMARGIN</v>
      </c>
    </row>
    <row r="146" spans="1:22">
      <c r="A146" s="8">
        <v>144</v>
      </c>
      <c r="B146" s="112" t="s">
        <v>278</v>
      </c>
      <c r="C146" s="8">
        <v>607</v>
      </c>
      <c r="D146" s="8">
        <v>409</v>
      </c>
      <c r="E146" s="113">
        <v>67.380560131795718</v>
      </c>
      <c r="F146" s="8">
        <v>38</v>
      </c>
      <c r="G146" s="113">
        <v>9.2909535452322736</v>
      </c>
      <c r="H146" s="8">
        <v>358</v>
      </c>
      <c r="I146" s="113">
        <v>87.530562347188265</v>
      </c>
      <c r="J146" s="8">
        <v>1</v>
      </c>
      <c r="K146" s="113">
        <v>0.24449877750611246</v>
      </c>
      <c r="L146" s="8">
        <v>0</v>
      </c>
      <c r="M146" s="113">
        <v>0</v>
      </c>
      <c r="N146" s="8">
        <v>7</v>
      </c>
      <c r="O146" s="113">
        <v>1.7114914425427872</v>
      </c>
      <c r="P146" s="8">
        <v>4</v>
      </c>
      <c r="Q146" s="113">
        <v>0.97799511002444983</v>
      </c>
      <c r="R146" s="8">
        <v>1</v>
      </c>
      <c r="S146" s="113">
        <v>0.24449877750611246</v>
      </c>
      <c r="T146" s="14" t="str">
        <f t="shared" si="19"/>
        <v>CONGRESS GAIN</v>
      </c>
      <c r="U146" s="114">
        <f t="shared" ref="U146:U159" si="25">I146-G146</f>
        <v>78.239608801955995</v>
      </c>
      <c r="V146" s="14" t="str">
        <f t="shared" si="21"/>
        <v>VERYHIGHMARGIN</v>
      </c>
    </row>
    <row r="147" spans="1:22">
      <c r="A147" s="8">
        <v>145</v>
      </c>
      <c r="B147" s="112" t="s">
        <v>279</v>
      </c>
      <c r="C147" s="8">
        <v>914</v>
      </c>
      <c r="D147" s="8">
        <v>581</v>
      </c>
      <c r="E147" s="113">
        <v>63.566739606126909</v>
      </c>
      <c r="F147" s="8">
        <v>42</v>
      </c>
      <c r="G147" s="113">
        <v>7.2289156626506017</v>
      </c>
      <c r="H147" s="8">
        <v>506</v>
      </c>
      <c r="I147" s="113">
        <v>87.091222030981058</v>
      </c>
      <c r="J147" s="8">
        <v>1</v>
      </c>
      <c r="K147" s="113">
        <v>0.17211703958691912</v>
      </c>
      <c r="L147" s="8">
        <v>2</v>
      </c>
      <c r="M147" s="113">
        <v>0.34423407917383825</v>
      </c>
      <c r="N147" s="8">
        <v>13</v>
      </c>
      <c r="O147" s="113">
        <v>2.2375215146299485</v>
      </c>
      <c r="P147" s="8">
        <v>13</v>
      </c>
      <c r="Q147" s="113">
        <v>2.2375215146299485</v>
      </c>
      <c r="R147" s="8">
        <v>4</v>
      </c>
      <c r="S147" s="113">
        <v>0.6884681583476765</v>
      </c>
      <c r="T147" s="14" t="str">
        <f t="shared" si="19"/>
        <v>CONGRESS GAIN</v>
      </c>
      <c r="U147" s="114">
        <f t="shared" si="25"/>
        <v>79.862306368330451</v>
      </c>
      <c r="V147" s="14" t="str">
        <f t="shared" si="21"/>
        <v>VERYHIGHMARGIN</v>
      </c>
    </row>
    <row r="148" spans="1:22">
      <c r="A148" s="8">
        <v>146</v>
      </c>
      <c r="B148" s="112" t="s">
        <v>280</v>
      </c>
      <c r="C148" s="8">
        <v>910</v>
      </c>
      <c r="D148" s="8">
        <v>476</v>
      </c>
      <c r="E148" s="113">
        <v>52.307692307692314</v>
      </c>
      <c r="F148" s="8">
        <v>46</v>
      </c>
      <c r="G148" s="113">
        <v>9.6638655462184886</v>
      </c>
      <c r="H148" s="8">
        <v>405</v>
      </c>
      <c r="I148" s="113">
        <v>85.084033613445371</v>
      </c>
      <c r="J148" s="8">
        <v>0</v>
      </c>
      <c r="K148" s="113">
        <v>0</v>
      </c>
      <c r="L148" s="8">
        <v>1</v>
      </c>
      <c r="M148" s="113">
        <v>0.21008403361344538</v>
      </c>
      <c r="N148" s="8">
        <v>20</v>
      </c>
      <c r="O148" s="113">
        <v>4.2016806722689077</v>
      </c>
      <c r="P148" s="8">
        <v>0</v>
      </c>
      <c r="Q148" s="113">
        <v>0</v>
      </c>
      <c r="R148" s="8">
        <v>4</v>
      </c>
      <c r="S148" s="113">
        <v>0.84033613445378152</v>
      </c>
      <c r="T148" s="14" t="str">
        <f t="shared" si="19"/>
        <v>CONGRESS GAIN</v>
      </c>
      <c r="U148" s="114">
        <f t="shared" si="25"/>
        <v>75.420168067226882</v>
      </c>
      <c r="V148" s="14" t="str">
        <f t="shared" si="21"/>
        <v>VERYHIGHMARGIN</v>
      </c>
    </row>
    <row r="149" spans="1:22">
      <c r="A149" s="8">
        <v>147</v>
      </c>
      <c r="B149" s="112" t="s">
        <v>281</v>
      </c>
      <c r="C149" s="8">
        <v>887</v>
      </c>
      <c r="D149" s="8">
        <v>519</v>
      </c>
      <c r="E149" s="113">
        <v>58.511837655016905</v>
      </c>
      <c r="F149" s="8">
        <v>55</v>
      </c>
      <c r="G149" s="113">
        <v>10.597302504816955</v>
      </c>
      <c r="H149" s="8">
        <v>431</v>
      </c>
      <c r="I149" s="113">
        <v>83.044315992292866</v>
      </c>
      <c r="J149" s="8">
        <v>3</v>
      </c>
      <c r="K149" s="113">
        <v>0.57803468208092479</v>
      </c>
      <c r="L149" s="8">
        <v>0</v>
      </c>
      <c r="M149" s="113">
        <v>0</v>
      </c>
      <c r="N149" s="8">
        <v>16</v>
      </c>
      <c r="O149" s="113">
        <v>3.0828516377649327</v>
      </c>
      <c r="P149" s="8">
        <v>7</v>
      </c>
      <c r="Q149" s="113">
        <v>1.3487475915221581</v>
      </c>
      <c r="R149" s="8">
        <v>7</v>
      </c>
      <c r="S149" s="113">
        <v>1.3487475915221581</v>
      </c>
      <c r="T149" s="14" t="str">
        <f t="shared" si="19"/>
        <v>CONGRESS GAIN</v>
      </c>
      <c r="U149" s="114">
        <f t="shared" si="25"/>
        <v>72.447013487475914</v>
      </c>
      <c r="V149" s="14" t="str">
        <f t="shared" si="21"/>
        <v>VERYHIGHMARGIN</v>
      </c>
    </row>
    <row r="150" spans="1:22">
      <c r="A150" s="8">
        <v>148</v>
      </c>
      <c r="B150" s="112" t="s">
        <v>282</v>
      </c>
      <c r="C150" s="8">
        <v>921</v>
      </c>
      <c r="D150" s="8">
        <v>498</v>
      </c>
      <c r="E150" s="113">
        <v>54.071661237785015</v>
      </c>
      <c r="F150" s="8">
        <v>101</v>
      </c>
      <c r="G150" s="113">
        <v>20.281124497991968</v>
      </c>
      <c r="H150" s="8">
        <v>359</v>
      </c>
      <c r="I150" s="113">
        <v>72.088353413654616</v>
      </c>
      <c r="J150" s="8">
        <v>1</v>
      </c>
      <c r="K150" s="113">
        <v>0.20080321285140559</v>
      </c>
      <c r="L150" s="8">
        <v>2</v>
      </c>
      <c r="M150" s="113">
        <v>0.40160642570281119</v>
      </c>
      <c r="N150" s="8">
        <v>27</v>
      </c>
      <c r="O150" s="113">
        <v>5.4216867469879517</v>
      </c>
      <c r="P150" s="8">
        <v>4</v>
      </c>
      <c r="Q150" s="113">
        <v>0.80321285140562237</v>
      </c>
      <c r="R150" s="8">
        <v>4</v>
      </c>
      <c r="S150" s="113">
        <v>0.80321285140562237</v>
      </c>
      <c r="T150" s="14" t="str">
        <f t="shared" si="19"/>
        <v>CONGRESS GAIN</v>
      </c>
      <c r="U150" s="114">
        <f t="shared" si="25"/>
        <v>51.807228915662648</v>
      </c>
      <c r="V150" s="14" t="str">
        <f t="shared" si="21"/>
        <v>VERYHIGHMARGIN</v>
      </c>
    </row>
    <row r="151" spans="1:22">
      <c r="A151" s="8">
        <v>149</v>
      </c>
      <c r="B151" s="112" t="s">
        <v>282</v>
      </c>
      <c r="C151" s="8">
        <v>856</v>
      </c>
      <c r="D151" s="8">
        <v>554</v>
      </c>
      <c r="E151" s="113">
        <v>64.719626168224295</v>
      </c>
      <c r="F151" s="8">
        <v>118</v>
      </c>
      <c r="G151" s="113">
        <v>21.299638989169676</v>
      </c>
      <c r="H151" s="8">
        <v>409</v>
      </c>
      <c r="I151" s="113">
        <v>73.826714801444055</v>
      </c>
      <c r="J151" s="8">
        <v>0</v>
      </c>
      <c r="K151" s="113">
        <v>0</v>
      </c>
      <c r="L151" s="8">
        <v>0</v>
      </c>
      <c r="M151" s="113">
        <v>0</v>
      </c>
      <c r="N151" s="8">
        <v>19</v>
      </c>
      <c r="O151" s="113">
        <v>3.4296028880866429</v>
      </c>
      <c r="P151" s="8">
        <v>3</v>
      </c>
      <c r="Q151" s="113">
        <v>0.54151624548736454</v>
      </c>
      <c r="R151" s="8">
        <v>5</v>
      </c>
      <c r="S151" s="113">
        <v>0.90252707581227432</v>
      </c>
      <c r="T151" s="14" t="str">
        <f t="shared" si="19"/>
        <v>CONGRESS GAIN</v>
      </c>
      <c r="U151" s="114">
        <f t="shared" si="25"/>
        <v>52.527075812274376</v>
      </c>
      <c r="V151" s="14" t="str">
        <f t="shared" si="21"/>
        <v>VERYHIGHMARGIN</v>
      </c>
    </row>
    <row r="152" spans="1:22">
      <c r="A152" s="8">
        <v>150</v>
      </c>
      <c r="B152" s="112" t="s">
        <v>283</v>
      </c>
      <c r="C152" s="8">
        <v>1077</v>
      </c>
      <c r="D152" s="8">
        <v>670</v>
      </c>
      <c r="E152" s="113">
        <v>62.209842154131842</v>
      </c>
      <c r="F152" s="8">
        <v>265</v>
      </c>
      <c r="G152" s="113">
        <v>39.552238805970148</v>
      </c>
      <c r="H152" s="8">
        <v>378</v>
      </c>
      <c r="I152" s="113">
        <v>56.417910447761201</v>
      </c>
      <c r="J152" s="8">
        <v>0</v>
      </c>
      <c r="K152" s="113">
        <v>0</v>
      </c>
      <c r="L152" s="8">
        <v>4</v>
      </c>
      <c r="M152" s="113">
        <v>0.59701492537313439</v>
      </c>
      <c r="N152" s="8">
        <v>15</v>
      </c>
      <c r="O152" s="113">
        <v>2.2388059701492535</v>
      </c>
      <c r="P152" s="8">
        <v>5</v>
      </c>
      <c r="Q152" s="113">
        <v>0.74626865671641784</v>
      </c>
      <c r="R152" s="8">
        <v>3</v>
      </c>
      <c r="S152" s="113">
        <v>0.44776119402985076</v>
      </c>
      <c r="T152" s="14" t="str">
        <f t="shared" si="19"/>
        <v>CONGRESS GAIN</v>
      </c>
      <c r="U152" s="114">
        <f t="shared" si="25"/>
        <v>16.865671641791053</v>
      </c>
      <c r="V152" s="15" t="str">
        <f t="shared" si="21"/>
        <v>LOWMARGIN</v>
      </c>
    </row>
    <row r="153" spans="1:22">
      <c r="A153" s="8">
        <v>151</v>
      </c>
      <c r="B153" s="112" t="s">
        <v>284</v>
      </c>
      <c r="C153" s="8">
        <v>1233</v>
      </c>
      <c r="D153" s="8">
        <v>722</v>
      </c>
      <c r="E153" s="113">
        <v>58.556366585563666</v>
      </c>
      <c r="F153" s="8">
        <v>248</v>
      </c>
      <c r="G153" s="113">
        <v>34.34903047091413</v>
      </c>
      <c r="H153" s="8">
        <v>421</v>
      </c>
      <c r="I153" s="113">
        <v>58.310249307479225</v>
      </c>
      <c r="J153" s="8">
        <v>0</v>
      </c>
      <c r="K153" s="113">
        <v>0</v>
      </c>
      <c r="L153" s="8">
        <v>2</v>
      </c>
      <c r="M153" s="113">
        <v>0.2770083102493075</v>
      </c>
      <c r="N153" s="8">
        <v>43</v>
      </c>
      <c r="O153" s="113">
        <v>5.9556786703601112</v>
      </c>
      <c r="P153" s="8">
        <v>3</v>
      </c>
      <c r="Q153" s="113">
        <v>0.41551246537396125</v>
      </c>
      <c r="R153" s="8">
        <v>5</v>
      </c>
      <c r="S153" s="113">
        <v>0.69252077562326864</v>
      </c>
      <c r="T153" s="14" t="str">
        <f t="shared" si="19"/>
        <v>CONGRESS GAIN</v>
      </c>
      <c r="U153" s="114">
        <f t="shared" si="25"/>
        <v>23.961218836565095</v>
      </c>
      <c r="V153" s="15" t="str">
        <f t="shared" si="21"/>
        <v>LOWMARGIN</v>
      </c>
    </row>
    <row r="154" spans="1:22">
      <c r="A154" s="8">
        <v>152</v>
      </c>
      <c r="B154" s="112" t="s">
        <v>285</v>
      </c>
      <c r="C154" s="8">
        <v>1015</v>
      </c>
      <c r="D154" s="8">
        <v>618</v>
      </c>
      <c r="E154" s="113">
        <v>60.886699507389167</v>
      </c>
      <c r="F154" s="8">
        <v>197</v>
      </c>
      <c r="G154" s="113">
        <v>31.877022653721681</v>
      </c>
      <c r="H154" s="8">
        <v>378</v>
      </c>
      <c r="I154" s="113">
        <v>61.165048543689316</v>
      </c>
      <c r="J154" s="8">
        <v>0</v>
      </c>
      <c r="K154" s="113">
        <v>0</v>
      </c>
      <c r="L154" s="8">
        <v>0</v>
      </c>
      <c r="M154" s="113">
        <v>0</v>
      </c>
      <c r="N154" s="8">
        <v>37</v>
      </c>
      <c r="O154" s="113">
        <v>5.9870550161812295</v>
      </c>
      <c r="P154" s="8">
        <v>3</v>
      </c>
      <c r="Q154" s="113">
        <v>0.48543689320388345</v>
      </c>
      <c r="R154" s="8">
        <v>3</v>
      </c>
      <c r="S154" s="113">
        <v>0.48543689320388345</v>
      </c>
      <c r="T154" s="14" t="str">
        <f t="shared" si="19"/>
        <v>CONGRESS GAIN</v>
      </c>
      <c r="U154" s="114">
        <f t="shared" si="25"/>
        <v>29.288025889967635</v>
      </c>
      <c r="V154" s="15" t="str">
        <f t="shared" si="21"/>
        <v>LOWMARGIN</v>
      </c>
    </row>
    <row r="155" spans="1:22">
      <c r="A155" s="8">
        <v>153</v>
      </c>
      <c r="B155" s="112" t="s">
        <v>286</v>
      </c>
      <c r="C155" s="8">
        <v>864</v>
      </c>
      <c r="D155" s="8">
        <v>419</v>
      </c>
      <c r="E155" s="113">
        <v>48.495370370370374</v>
      </c>
      <c r="F155" s="8">
        <v>96</v>
      </c>
      <c r="G155" s="113">
        <v>22.911694510739856</v>
      </c>
      <c r="H155" s="8">
        <v>307</v>
      </c>
      <c r="I155" s="113">
        <v>73.269689737470173</v>
      </c>
      <c r="J155" s="8">
        <v>0</v>
      </c>
      <c r="K155" s="113">
        <v>0</v>
      </c>
      <c r="L155" s="8">
        <v>1</v>
      </c>
      <c r="M155" s="113">
        <v>0.23866348448687352</v>
      </c>
      <c r="N155" s="8">
        <v>10</v>
      </c>
      <c r="O155" s="113">
        <v>2.3866348448687349</v>
      </c>
      <c r="P155" s="8">
        <v>1</v>
      </c>
      <c r="Q155" s="113">
        <v>0.23866348448687352</v>
      </c>
      <c r="R155" s="8">
        <v>4</v>
      </c>
      <c r="S155" s="113">
        <v>0.95465393794749409</v>
      </c>
      <c r="T155" s="14" t="str">
        <f t="shared" si="19"/>
        <v>CONGRESS GAIN</v>
      </c>
      <c r="U155" s="114">
        <f t="shared" si="25"/>
        <v>50.357995226730317</v>
      </c>
      <c r="V155" s="14" t="str">
        <f t="shared" si="21"/>
        <v>VERYHIGHMARGIN</v>
      </c>
    </row>
    <row r="156" spans="1:22">
      <c r="A156" s="8">
        <v>154</v>
      </c>
      <c r="B156" s="112" t="s">
        <v>287</v>
      </c>
      <c r="C156" s="8">
        <v>1314</v>
      </c>
      <c r="D156" s="8">
        <v>877</v>
      </c>
      <c r="E156" s="113">
        <v>66.742770167427707</v>
      </c>
      <c r="F156" s="8">
        <v>313</v>
      </c>
      <c r="G156" s="113">
        <v>35.689851767388824</v>
      </c>
      <c r="H156" s="8">
        <v>523</v>
      </c>
      <c r="I156" s="113">
        <v>59.635119726339795</v>
      </c>
      <c r="J156" s="8">
        <v>1</v>
      </c>
      <c r="K156" s="113">
        <v>0.11402508551881414</v>
      </c>
      <c r="L156" s="8">
        <v>1</v>
      </c>
      <c r="M156" s="113">
        <v>0.11402508551881414</v>
      </c>
      <c r="N156" s="8">
        <v>26</v>
      </c>
      <c r="O156" s="113">
        <v>2.9646522234891677</v>
      </c>
      <c r="P156" s="8">
        <v>10</v>
      </c>
      <c r="Q156" s="113">
        <v>1.1402508551881414</v>
      </c>
      <c r="R156" s="8">
        <v>3</v>
      </c>
      <c r="S156" s="113">
        <v>0.34207525655644244</v>
      </c>
      <c r="T156" s="14" t="str">
        <f t="shared" si="19"/>
        <v>CONGRESS GAIN</v>
      </c>
      <c r="U156" s="114">
        <f t="shared" si="25"/>
        <v>23.945267958950971</v>
      </c>
      <c r="V156" s="15" t="str">
        <f t="shared" si="21"/>
        <v>LOWMARGIN</v>
      </c>
    </row>
    <row r="157" spans="1:22">
      <c r="A157" s="8">
        <v>155</v>
      </c>
      <c r="B157" s="112" t="s">
        <v>288</v>
      </c>
      <c r="C157" s="8">
        <v>1375</v>
      </c>
      <c r="D157" s="8">
        <v>902</v>
      </c>
      <c r="E157" s="113">
        <v>65.600000000000009</v>
      </c>
      <c r="F157" s="8">
        <v>497</v>
      </c>
      <c r="G157" s="113">
        <v>55.099778270509979</v>
      </c>
      <c r="H157" s="8">
        <v>367</v>
      </c>
      <c r="I157" s="113">
        <v>40.687361419068736</v>
      </c>
      <c r="J157" s="8">
        <v>4</v>
      </c>
      <c r="K157" s="113">
        <v>0.44345898004434592</v>
      </c>
      <c r="L157" s="8">
        <v>9</v>
      </c>
      <c r="M157" s="113">
        <v>0.99778270509977818</v>
      </c>
      <c r="N157" s="8">
        <v>12</v>
      </c>
      <c r="O157" s="113">
        <v>1.3303769401330376</v>
      </c>
      <c r="P157" s="8">
        <v>9</v>
      </c>
      <c r="Q157" s="113">
        <v>0.99778270509977818</v>
      </c>
      <c r="R157" s="8">
        <v>4</v>
      </c>
      <c r="S157" s="113">
        <v>0.44345898004434592</v>
      </c>
      <c r="T157" s="16" t="str">
        <f t="shared" si="19"/>
        <v>BJP GAIN</v>
      </c>
      <c r="U157" s="114">
        <f t="shared" si="20"/>
        <v>14.412416851441243</v>
      </c>
      <c r="V157" s="15" t="str">
        <f t="shared" si="21"/>
        <v>LOWMARGIN</v>
      </c>
    </row>
    <row r="158" spans="1:22">
      <c r="A158" s="8">
        <v>156</v>
      </c>
      <c r="B158" s="112" t="s">
        <v>289</v>
      </c>
      <c r="C158" s="8">
        <v>734</v>
      </c>
      <c r="D158" s="8">
        <v>523</v>
      </c>
      <c r="E158" s="113">
        <v>71.253405994550405</v>
      </c>
      <c r="F158" s="8">
        <v>228</v>
      </c>
      <c r="G158" s="113">
        <v>43.59464627151052</v>
      </c>
      <c r="H158" s="8">
        <v>275</v>
      </c>
      <c r="I158" s="113">
        <v>52.581261950286809</v>
      </c>
      <c r="J158" s="8">
        <v>1</v>
      </c>
      <c r="K158" s="113">
        <v>0.19120458891013384</v>
      </c>
      <c r="L158" s="8">
        <v>1</v>
      </c>
      <c r="M158" s="113">
        <v>0.19120458891013384</v>
      </c>
      <c r="N158" s="8">
        <v>12</v>
      </c>
      <c r="O158" s="113">
        <v>2.2944550669216062</v>
      </c>
      <c r="P158" s="8">
        <v>4</v>
      </c>
      <c r="Q158" s="113">
        <v>0.76481835564053535</v>
      </c>
      <c r="R158" s="8">
        <v>2</v>
      </c>
      <c r="S158" s="113">
        <v>0.38240917782026768</v>
      </c>
      <c r="T158" s="14" t="str">
        <f t="shared" si="19"/>
        <v>CONGRESS GAIN</v>
      </c>
      <c r="U158" s="114">
        <f t="shared" si="25"/>
        <v>8.986615678776289</v>
      </c>
      <c r="V158" s="34" t="str">
        <f t="shared" si="21"/>
        <v>NARROWMARGIN</v>
      </c>
    </row>
    <row r="159" spans="1:22">
      <c r="A159" s="8">
        <v>157</v>
      </c>
      <c r="B159" s="112" t="s">
        <v>290</v>
      </c>
      <c r="C159" s="8">
        <v>651</v>
      </c>
      <c r="D159" s="8">
        <v>437</v>
      </c>
      <c r="E159" s="113">
        <v>67.12749615975423</v>
      </c>
      <c r="F159" s="8">
        <v>155</v>
      </c>
      <c r="G159" s="113">
        <v>35.469107551487419</v>
      </c>
      <c r="H159" s="8">
        <v>271</v>
      </c>
      <c r="I159" s="113">
        <v>62.013729977116704</v>
      </c>
      <c r="J159" s="8">
        <v>0</v>
      </c>
      <c r="K159" s="113">
        <v>0</v>
      </c>
      <c r="L159" s="8">
        <v>0</v>
      </c>
      <c r="M159" s="113">
        <v>0</v>
      </c>
      <c r="N159" s="8">
        <v>8</v>
      </c>
      <c r="O159" s="113">
        <v>1.8306636155606408</v>
      </c>
      <c r="P159" s="8">
        <v>3</v>
      </c>
      <c r="Q159" s="113">
        <v>0.68649885583524028</v>
      </c>
      <c r="R159" s="8">
        <v>0</v>
      </c>
      <c r="S159" s="113">
        <v>0</v>
      </c>
      <c r="T159" s="14" t="str">
        <f t="shared" si="19"/>
        <v>CONGRESS GAIN</v>
      </c>
      <c r="U159" s="114">
        <f t="shared" si="25"/>
        <v>26.544622425629285</v>
      </c>
      <c r="V159" s="15" t="str">
        <f t="shared" si="21"/>
        <v>LOWMARGIN</v>
      </c>
    </row>
    <row r="160" spans="1:22">
      <c r="A160" s="8">
        <v>158</v>
      </c>
      <c r="B160" s="112" t="s">
        <v>291</v>
      </c>
      <c r="C160" s="8">
        <v>1279</v>
      </c>
      <c r="D160" s="8">
        <v>882</v>
      </c>
      <c r="E160" s="113">
        <v>68.9601250977326</v>
      </c>
      <c r="F160" s="8">
        <v>441</v>
      </c>
      <c r="G160" s="113">
        <v>50</v>
      </c>
      <c r="H160" s="8">
        <v>427</v>
      </c>
      <c r="I160" s="113">
        <v>48.412698412698411</v>
      </c>
      <c r="J160" s="8">
        <v>1</v>
      </c>
      <c r="K160" s="113">
        <v>0.11337868480725624</v>
      </c>
      <c r="L160" s="8">
        <v>8</v>
      </c>
      <c r="M160" s="113">
        <v>0.90702947845804993</v>
      </c>
      <c r="N160" s="8">
        <v>2</v>
      </c>
      <c r="O160" s="113">
        <v>0.22675736961451248</v>
      </c>
      <c r="P160" s="8">
        <v>2</v>
      </c>
      <c r="Q160" s="113">
        <v>0.22675736961451248</v>
      </c>
      <c r="R160" s="8">
        <v>1</v>
      </c>
      <c r="S160" s="113">
        <v>0.11337868480725624</v>
      </c>
      <c r="T160" s="16" t="str">
        <f t="shared" si="19"/>
        <v>BJP GAIN</v>
      </c>
      <c r="U160" s="114">
        <f t="shared" si="20"/>
        <v>1.5873015873015888</v>
      </c>
      <c r="V160" s="34" t="str">
        <f t="shared" si="21"/>
        <v>NARROWMARGIN</v>
      </c>
    </row>
    <row r="161" spans="1:22">
      <c r="A161" s="8">
        <v>159</v>
      </c>
      <c r="B161" s="112" t="s">
        <v>292</v>
      </c>
      <c r="C161" s="8">
        <v>958</v>
      </c>
      <c r="D161" s="8">
        <v>666</v>
      </c>
      <c r="E161" s="113">
        <v>69.519832985386216</v>
      </c>
      <c r="F161" s="8">
        <v>365</v>
      </c>
      <c r="G161" s="113">
        <v>54.80480480480481</v>
      </c>
      <c r="H161" s="8">
        <v>278</v>
      </c>
      <c r="I161" s="113">
        <v>41.741741741741741</v>
      </c>
      <c r="J161" s="8">
        <v>1</v>
      </c>
      <c r="K161" s="113">
        <v>0.15015015015015015</v>
      </c>
      <c r="L161" s="8">
        <v>3</v>
      </c>
      <c r="M161" s="113">
        <v>0.45045045045045046</v>
      </c>
      <c r="N161" s="8">
        <v>9</v>
      </c>
      <c r="O161" s="113">
        <v>1.3513513513513513</v>
      </c>
      <c r="P161" s="8">
        <v>7</v>
      </c>
      <c r="Q161" s="113">
        <v>1.0510510510510511</v>
      </c>
      <c r="R161" s="8">
        <v>3</v>
      </c>
      <c r="S161" s="113">
        <v>0.45045045045045046</v>
      </c>
      <c r="T161" s="16" t="str">
        <f t="shared" si="19"/>
        <v>BJP GAIN</v>
      </c>
      <c r="U161" s="114">
        <f t="shared" si="20"/>
        <v>13.063063063063069</v>
      </c>
      <c r="V161" s="15" t="str">
        <f t="shared" si="21"/>
        <v>LOWMARGIN</v>
      </c>
    </row>
    <row r="162" spans="1:22">
      <c r="A162" s="8">
        <v>160</v>
      </c>
      <c r="B162" s="112" t="s">
        <v>293</v>
      </c>
      <c r="C162" s="8">
        <v>1379</v>
      </c>
      <c r="D162" s="8">
        <v>982</v>
      </c>
      <c r="E162" s="113">
        <v>71.21102248005802</v>
      </c>
      <c r="F162" s="8">
        <v>556</v>
      </c>
      <c r="G162" s="113">
        <v>56.619144602851321</v>
      </c>
      <c r="H162" s="8">
        <v>407</v>
      </c>
      <c r="I162" s="113">
        <v>41.446028513238289</v>
      </c>
      <c r="J162" s="8">
        <v>0</v>
      </c>
      <c r="K162" s="113">
        <v>0</v>
      </c>
      <c r="L162" s="8">
        <v>2</v>
      </c>
      <c r="M162" s="113">
        <v>0.20366598778004072</v>
      </c>
      <c r="N162" s="8">
        <v>9</v>
      </c>
      <c r="O162" s="113">
        <v>0.91649694501018331</v>
      </c>
      <c r="P162" s="8">
        <v>2</v>
      </c>
      <c r="Q162" s="113">
        <v>0.20366598778004072</v>
      </c>
      <c r="R162" s="8">
        <v>6</v>
      </c>
      <c r="S162" s="113">
        <v>0.61099796334012213</v>
      </c>
      <c r="T162" s="16" t="str">
        <f t="shared" si="19"/>
        <v>BJP GAIN</v>
      </c>
      <c r="U162" s="114">
        <f t="shared" si="20"/>
        <v>15.173116089613032</v>
      </c>
      <c r="V162" s="15" t="str">
        <f t="shared" si="21"/>
        <v>LOWMARGIN</v>
      </c>
    </row>
    <row r="163" spans="1:22">
      <c r="A163" s="8">
        <v>161</v>
      </c>
      <c r="B163" s="112" t="s">
        <v>294</v>
      </c>
      <c r="C163" s="8">
        <v>1288</v>
      </c>
      <c r="D163" s="8">
        <v>914</v>
      </c>
      <c r="E163" s="113">
        <v>70.962732919254663</v>
      </c>
      <c r="F163" s="8">
        <v>467</v>
      </c>
      <c r="G163" s="113">
        <v>51.094091903719907</v>
      </c>
      <c r="H163" s="8">
        <v>403</v>
      </c>
      <c r="I163" s="113">
        <v>44.091903719912473</v>
      </c>
      <c r="J163" s="8">
        <v>3</v>
      </c>
      <c r="K163" s="113">
        <v>0.32822757111597373</v>
      </c>
      <c r="L163" s="8">
        <v>11</v>
      </c>
      <c r="M163" s="113">
        <v>1.2035010940919038</v>
      </c>
      <c r="N163" s="8">
        <v>3</v>
      </c>
      <c r="O163" s="113">
        <v>0.32822757111597373</v>
      </c>
      <c r="P163" s="8">
        <v>7</v>
      </c>
      <c r="Q163" s="113">
        <v>0.76586433260393871</v>
      </c>
      <c r="R163" s="8">
        <v>20</v>
      </c>
      <c r="S163" s="113">
        <v>2.1881838074398248</v>
      </c>
      <c r="T163" s="16" t="str">
        <f t="shared" si="19"/>
        <v>BJP GAIN</v>
      </c>
      <c r="U163" s="114">
        <f t="shared" si="20"/>
        <v>7.0021881838074336</v>
      </c>
      <c r="V163" s="34" t="str">
        <f t="shared" si="21"/>
        <v>NARROWMARGIN</v>
      </c>
    </row>
    <row r="164" spans="1:22">
      <c r="A164" s="8">
        <v>162</v>
      </c>
      <c r="B164" s="112" t="s">
        <v>295</v>
      </c>
      <c r="C164" s="8">
        <v>873</v>
      </c>
      <c r="D164" s="8">
        <v>676</v>
      </c>
      <c r="E164" s="113">
        <v>77.434135166093938</v>
      </c>
      <c r="F164" s="8">
        <v>265</v>
      </c>
      <c r="G164" s="113">
        <v>39.201183431952664</v>
      </c>
      <c r="H164" s="8">
        <v>336</v>
      </c>
      <c r="I164" s="113">
        <v>49.704142011834321</v>
      </c>
      <c r="J164" s="8">
        <v>0</v>
      </c>
      <c r="K164" s="113">
        <v>0</v>
      </c>
      <c r="L164" s="8">
        <v>47</v>
      </c>
      <c r="M164" s="113">
        <v>6.9526627218934909</v>
      </c>
      <c r="N164" s="8">
        <v>4</v>
      </c>
      <c r="O164" s="113">
        <v>0.59171597633136097</v>
      </c>
      <c r="P164" s="8">
        <v>1</v>
      </c>
      <c r="Q164" s="113">
        <v>0.14792899408284024</v>
      </c>
      <c r="R164" s="8">
        <v>23</v>
      </c>
      <c r="S164" s="113">
        <v>3.4023668639053253</v>
      </c>
      <c r="T164" s="14" t="str">
        <f t="shared" si="19"/>
        <v>CONGRESS GAIN</v>
      </c>
      <c r="U164" s="114">
        <f t="shared" ref="U164" si="26">I164-G164</f>
        <v>10.502958579881657</v>
      </c>
      <c r="V164" s="15" t="str">
        <f t="shared" si="21"/>
        <v>LOWMARGIN</v>
      </c>
    </row>
    <row r="165" spans="1:22">
      <c r="A165" s="8">
        <v>163</v>
      </c>
      <c r="B165" s="112" t="s">
        <v>296</v>
      </c>
      <c r="C165" s="8">
        <v>614</v>
      </c>
      <c r="D165" s="8">
        <v>473</v>
      </c>
      <c r="E165" s="113">
        <v>77.035830618892504</v>
      </c>
      <c r="F165" s="8">
        <v>275</v>
      </c>
      <c r="G165" s="113">
        <v>58.139534883720934</v>
      </c>
      <c r="H165" s="8">
        <v>163</v>
      </c>
      <c r="I165" s="113">
        <v>34.460887949260041</v>
      </c>
      <c r="J165" s="8">
        <v>4</v>
      </c>
      <c r="K165" s="113">
        <v>0.84566596194503174</v>
      </c>
      <c r="L165" s="8">
        <v>23</v>
      </c>
      <c r="M165" s="113">
        <v>4.8625792811839323</v>
      </c>
      <c r="N165" s="8">
        <v>3</v>
      </c>
      <c r="O165" s="113">
        <v>0.63424947145877375</v>
      </c>
      <c r="P165" s="8">
        <v>1</v>
      </c>
      <c r="Q165" s="113">
        <v>0.21141649048625794</v>
      </c>
      <c r="R165" s="8">
        <v>4</v>
      </c>
      <c r="S165" s="113">
        <v>0.84566596194503174</v>
      </c>
      <c r="T165" s="16" t="str">
        <f t="shared" si="19"/>
        <v>BJP GAIN</v>
      </c>
      <c r="U165" s="114">
        <f t="shared" si="20"/>
        <v>23.678646934460893</v>
      </c>
      <c r="V165" s="15" t="str">
        <f t="shared" si="21"/>
        <v>LOWMARGIN</v>
      </c>
    </row>
    <row r="166" spans="1:22">
      <c r="A166" s="8">
        <v>164</v>
      </c>
      <c r="B166" s="112" t="s">
        <v>297</v>
      </c>
      <c r="C166" s="8">
        <v>1268</v>
      </c>
      <c r="D166" s="8">
        <v>965</v>
      </c>
      <c r="E166" s="113">
        <v>76.104100946372242</v>
      </c>
      <c r="F166" s="8">
        <v>654</v>
      </c>
      <c r="G166" s="113">
        <v>67.7720207253886</v>
      </c>
      <c r="H166" s="8">
        <v>284</v>
      </c>
      <c r="I166" s="113">
        <v>29.430051813471504</v>
      </c>
      <c r="J166" s="8">
        <v>1</v>
      </c>
      <c r="K166" s="113">
        <v>0.10362694300518134</v>
      </c>
      <c r="L166" s="8">
        <v>7</v>
      </c>
      <c r="M166" s="113">
        <v>0.72538860103626945</v>
      </c>
      <c r="N166" s="8">
        <v>9</v>
      </c>
      <c r="O166" s="113">
        <v>0.932642487046632</v>
      </c>
      <c r="P166" s="8">
        <v>4</v>
      </c>
      <c r="Q166" s="113">
        <v>0.41450777202072536</v>
      </c>
      <c r="R166" s="8">
        <v>6</v>
      </c>
      <c r="S166" s="113">
        <v>0.62176165803108807</v>
      </c>
      <c r="T166" s="16" t="str">
        <f t="shared" si="19"/>
        <v>BJP GAIN</v>
      </c>
      <c r="U166" s="114">
        <f t="shared" si="20"/>
        <v>38.341968911917093</v>
      </c>
      <c r="V166" s="24" t="str">
        <f t="shared" si="21"/>
        <v>MEDIUMMARGIN</v>
      </c>
    </row>
    <row r="167" spans="1:22">
      <c r="A167" s="8">
        <v>165</v>
      </c>
      <c r="B167" s="112" t="s">
        <v>298</v>
      </c>
      <c r="C167" s="8">
        <v>1220</v>
      </c>
      <c r="D167" s="8">
        <v>851</v>
      </c>
      <c r="E167" s="113">
        <v>69.754098360655732</v>
      </c>
      <c r="F167" s="8">
        <v>484</v>
      </c>
      <c r="G167" s="113">
        <v>56.874265569917746</v>
      </c>
      <c r="H167" s="8">
        <v>342</v>
      </c>
      <c r="I167" s="113">
        <v>40.188014101057576</v>
      </c>
      <c r="J167" s="8">
        <v>1</v>
      </c>
      <c r="K167" s="113">
        <v>0.11750881316098707</v>
      </c>
      <c r="L167" s="8">
        <v>5</v>
      </c>
      <c r="M167" s="113">
        <v>0.58754406580493534</v>
      </c>
      <c r="N167" s="8">
        <v>12</v>
      </c>
      <c r="O167" s="113">
        <v>1.410105757931845</v>
      </c>
      <c r="P167" s="8">
        <v>5</v>
      </c>
      <c r="Q167" s="113">
        <v>0.58754406580493534</v>
      </c>
      <c r="R167" s="8">
        <v>2</v>
      </c>
      <c r="S167" s="113">
        <v>0.23501762632197415</v>
      </c>
      <c r="T167" s="16" t="str">
        <f t="shared" si="19"/>
        <v>BJP GAIN</v>
      </c>
      <c r="U167" s="114">
        <f t="shared" si="20"/>
        <v>16.686251468860171</v>
      </c>
      <c r="V167" s="15" t="str">
        <f t="shared" si="21"/>
        <v>LOWMARGIN</v>
      </c>
    </row>
    <row r="168" spans="1:22">
      <c r="A168" s="8">
        <v>166</v>
      </c>
      <c r="B168" s="112" t="s">
        <v>299</v>
      </c>
      <c r="C168" s="8">
        <v>911</v>
      </c>
      <c r="D168" s="8">
        <v>628</v>
      </c>
      <c r="E168" s="113">
        <v>68.935236004390774</v>
      </c>
      <c r="F168" s="8">
        <v>420</v>
      </c>
      <c r="G168" s="113">
        <v>66.878980891719735</v>
      </c>
      <c r="H168" s="8">
        <v>183</v>
      </c>
      <c r="I168" s="113">
        <v>29.140127388535031</v>
      </c>
      <c r="J168" s="8">
        <v>2</v>
      </c>
      <c r="K168" s="113">
        <v>0.31847133757961787</v>
      </c>
      <c r="L168" s="8">
        <v>7</v>
      </c>
      <c r="M168" s="113">
        <v>1.1146496815286624</v>
      </c>
      <c r="N168" s="8">
        <v>13</v>
      </c>
      <c r="O168" s="113">
        <v>2.0700636942675157</v>
      </c>
      <c r="P168" s="8">
        <v>1</v>
      </c>
      <c r="Q168" s="113">
        <v>0.15923566878980894</v>
      </c>
      <c r="R168" s="8">
        <v>2</v>
      </c>
      <c r="S168" s="113">
        <v>0.31847133757961787</v>
      </c>
      <c r="T168" s="16" t="str">
        <f t="shared" si="19"/>
        <v>BJP GAIN</v>
      </c>
      <c r="U168" s="114">
        <f t="shared" si="20"/>
        <v>37.7388535031847</v>
      </c>
      <c r="V168" s="24" t="str">
        <f t="shared" si="21"/>
        <v>MEDIUMMARGIN</v>
      </c>
    </row>
    <row r="169" spans="1:22">
      <c r="A169" s="8">
        <v>167</v>
      </c>
      <c r="B169" s="112" t="s">
        <v>300</v>
      </c>
      <c r="C169" s="8">
        <v>529</v>
      </c>
      <c r="D169" s="8">
        <v>360</v>
      </c>
      <c r="E169" s="113">
        <v>68.052930056710764</v>
      </c>
      <c r="F169" s="8">
        <v>160</v>
      </c>
      <c r="G169" s="113">
        <v>44.444444444444443</v>
      </c>
      <c r="H169" s="8">
        <v>181</v>
      </c>
      <c r="I169" s="113">
        <v>50.277777777777779</v>
      </c>
      <c r="J169" s="8">
        <v>0</v>
      </c>
      <c r="K169" s="113">
        <v>0</v>
      </c>
      <c r="L169" s="8">
        <v>6</v>
      </c>
      <c r="M169" s="113">
        <v>1.6666666666666667</v>
      </c>
      <c r="N169" s="8">
        <v>1</v>
      </c>
      <c r="O169" s="113">
        <v>0.27777777777777779</v>
      </c>
      <c r="P169" s="8">
        <v>0</v>
      </c>
      <c r="Q169" s="113">
        <v>0</v>
      </c>
      <c r="R169" s="8">
        <v>12</v>
      </c>
      <c r="S169" s="113">
        <v>3.3333333333333335</v>
      </c>
      <c r="T169" s="14" t="str">
        <f t="shared" si="19"/>
        <v>CONGRESS GAIN</v>
      </c>
      <c r="U169" s="114">
        <f t="shared" ref="U169" si="27">I169-G169</f>
        <v>5.8333333333333357</v>
      </c>
      <c r="V169" s="34" t="str">
        <f t="shared" si="21"/>
        <v>NARROWMARGIN</v>
      </c>
    </row>
    <row r="170" spans="1:22">
      <c r="A170" s="8">
        <v>168</v>
      </c>
      <c r="B170" s="112" t="s">
        <v>301</v>
      </c>
      <c r="C170" s="8">
        <v>719</v>
      </c>
      <c r="D170" s="8">
        <v>546</v>
      </c>
      <c r="E170" s="113">
        <v>75.938803894297635</v>
      </c>
      <c r="F170" s="8">
        <v>344</v>
      </c>
      <c r="G170" s="113">
        <v>63.003663003663</v>
      </c>
      <c r="H170" s="8">
        <v>173</v>
      </c>
      <c r="I170" s="113">
        <v>31.684981684981683</v>
      </c>
      <c r="J170" s="8">
        <v>1</v>
      </c>
      <c r="K170" s="113">
        <v>0.18315018315018314</v>
      </c>
      <c r="L170" s="8">
        <v>11</v>
      </c>
      <c r="M170" s="113">
        <v>2.0146520146520146</v>
      </c>
      <c r="N170" s="8">
        <v>7</v>
      </c>
      <c r="O170" s="113">
        <v>1.2820512820512819</v>
      </c>
      <c r="P170" s="8">
        <v>5</v>
      </c>
      <c r="Q170" s="113">
        <v>0.91575091575091583</v>
      </c>
      <c r="R170" s="8">
        <v>5</v>
      </c>
      <c r="S170" s="113">
        <v>0.91575091575091583</v>
      </c>
      <c r="T170" s="16" t="str">
        <f t="shared" si="19"/>
        <v>BJP GAIN</v>
      </c>
      <c r="U170" s="114">
        <f t="shared" si="20"/>
        <v>31.318681318681318</v>
      </c>
      <c r="V170" s="24" t="str">
        <f t="shared" si="21"/>
        <v>MEDIUMMARGIN</v>
      </c>
    </row>
    <row r="171" spans="1:22">
      <c r="A171" s="8">
        <v>169</v>
      </c>
      <c r="B171" s="112" t="s">
        <v>302</v>
      </c>
      <c r="C171" s="8">
        <v>910</v>
      </c>
      <c r="D171" s="8">
        <v>695</v>
      </c>
      <c r="E171" s="113">
        <v>76.373626373626365</v>
      </c>
      <c r="F171" s="8">
        <v>504</v>
      </c>
      <c r="G171" s="113">
        <v>72.517985611510795</v>
      </c>
      <c r="H171" s="8">
        <v>168</v>
      </c>
      <c r="I171" s="113">
        <v>24.172661870503596</v>
      </c>
      <c r="J171" s="8">
        <v>2</v>
      </c>
      <c r="K171" s="113">
        <v>0.28776978417266186</v>
      </c>
      <c r="L171" s="8">
        <v>4</v>
      </c>
      <c r="M171" s="113">
        <v>0.57553956834532372</v>
      </c>
      <c r="N171" s="8">
        <v>9</v>
      </c>
      <c r="O171" s="113">
        <v>1.2949640287769784</v>
      </c>
      <c r="P171" s="8">
        <v>3</v>
      </c>
      <c r="Q171" s="113">
        <v>0.43165467625899279</v>
      </c>
      <c r="R171" s="8">
        <v>5</v>
      </c>
      <c r="S171" s="113">
        <v>0.71942446043165476</v>
      </c>
      <c r="T171" s="16" t="str">
        <f t="shared" si="19"/>
        <v>BJP GAIN</v>
      </c>
      <c r="U171" s="114">
        <f t="shared" si="20"/>
        <v>48.345323741007199</v>
      </c>
      <c r="V171" s="57" t="str">
        <f t="shared" si="21"/>
        <v>HIGHMARGIN</v>
      </c>
    </row>
    <row r="172" spans="1:22">
      <c r="A172" s="8">
        <v>170</v>
      </c>
      <c r="B172" s="112" t="s">
        <v>303</v>
      </c>
      <c r="C172" s="8">
        <v>862</v>
      </c>
      <c r="D172" s="8">
        <v>661</v>
      </c>
      <c r="E172" s="113">
        <v>76.682134570765655</v>
      </c>
      <c r="F172" s="8">
        <v>391</v>
      </c>
      <c r="G172" s="113">
        <v>59.152798789712556</v>
      </c>
      <c r="H172" s="8">
        <v>256</v>
      </c>
      <c r="I172" s="113">
        <v>38.729198184568837</v>
      </c>
      <c r="J172" s="8">
        <v>0</v>
      </c>
      <c r="K172" s="113">
        <v>0</v>
      </c>
      <c r="L172" s="8">
        <v>1</v>
      </c>
      <c r="M172" s="113">
        <v>0.15128593040847202</v>
      </c>
      <c r="N172" s="8">
        <v>7</v>
      </c>
      <c r="O172" s="113">
        <v>1.059001512859304</v>
      </c>
      <c r="P172" s="8">
        <v>0</v>
      </c>
      <c r="Q172" s="113">
        <v>0</v>
      </c>
      <c r="R172" s="8">
        <v>6</v>
      </c>
      <c r="S172" s="113">
        <v>0.90771558245083206</v>
      </c>
      <c r="T172" s="16" t="str">
        <f t="shared" si="19"/>
        <v>BJP GAIN</v>
      </c>
      <c r="U172" s="114">
        <f t="shared" si="20"/>
        <v>20.423600605143719</v>
      </c>
      <c r="V172" s="15" t="str">
        <f t="shared" si="21"/>
        <v>LOWMARGIN</v>
      </c>
    </row>
    <row r="173" spans="1:22">
      <c r="A173" s="8">
        <v>171</v>
      </c>
      <c r="B173" s="112" t="s">
        <v>304</v>
      </c>
      <c r="C173" s="8">
        <v>838</v>
      </c>
      <c r="D173" s="8">
        <v>579</v>
      </c>
      <c r="E173" s="113">
        <v>69.093078758949872</v>
      </c>
      <c r="F173" s="8">
        <v>290</v>
      </c>
      <c r="G173" s="113">
        <v>50.086355785837654</v>
      </c>
      <c r="H173" s="8">
        <v>278</v>
      </c>
      <c r="I173" s="113">
        <v>48.013816925734027</v>
      </c>
      <c r="J173" s="8">
        <v>1</v>
      </c>
      <c r="K173" s="113">
        <v>0.17271157167530224</v>
      </c>
      <c r="L173" s="8">
        <v>1</v>
      </c>
      <c r="M173" s="113">
        <v>0.17271157167530224</v>
      </c>
      <c r="N173" s="8">
        <v>8</v>
      </c>
      <c r="O173" s="113">
        <v>1.3816925734024179</v>
      </c>
      <c r="P173" s="8">
        <v>1</v>
      </c>
      <c r="Q173" s="113">
        <v>0.17271157167530224</v>
      </c>
      <c r="R173" s="8">
        <v>0</v>
      </c>
      <c r="S173" s="113">
        <v>0</v>
      </c>
      <c r="T173" s="16" t="str">
        <f t="shared" si="19"/>
        <v>BJP GAIN</v>
      </c>
      <c r="U173" s="114">
        <f t="shared" si="20"/>
        <v>2.0725388601036272</v>
      </c>
      <c r="V173" s="34" t="str">
        <f t="shared" si="21"/>
        <v>NARROWMARGIN</v>
      </c>
    </row>
    <row r="174" spans="1:22">
      <c r="A174" s="8">
        <v>172</v>
      </c>
      <c r="B174" s="112" t="s">
        <v>305</v>
      </c>
      <c r="C174" s="8">
        <v>697</v>
      </c>
      <c r="D174" s="8">
        <v>466</v>
      </c>
      <c r="E174" s="113">
        <v>66.857962697274033</v>
      </c>
      <c r="F174" s="8">
        <v>225</v>
      </c>
      <c r="G174" s="113">
        <v>48.283261802575105</v>
      </c>
      <c r="H174" s="8">
        <v>229</v>
      </c>
      <c r="I174" s="113">
        <v>49.141630901287556</v>
      </c>
      <c r="J174" s="8">
        <v>2</v>
      </c>
      <c r="K174" s="113">
        <v>0.42918454935622319</v>
      </c>
      <c r="L174" s="8">
        <v>1</v>
      </c>
      <c r="M174" s="113">
        <v>0.21459227467811159</v>
      </c>
      <c r="N174" s="8">
        <v>5</v>
      </c>
      <c r="O174" s="113">
        <v>1.0729613733905579</v>
      </c>
      <c r="P174" s="8">
        <v>3</v>
      </c>
      <c r="Q174" s="113">
        <v>0.64377682403433478</v>
      </c>
      <c r="R174" s="8">
        <v>1</v>
      </c>
      <c r="S174" s="113">
        <v>0.21459227467811159</v>
      </c>
      <c r="T174" s="14" t="str">
        <f t="shared" si="19"/>
        <v>CONGRESS GAIN</v>
      </c>
      <c r="U174" s="114">
        <f t="shared" ref="U174:U176" si="28">I174-G174</f>
        <v>0.85836909871245126</v>
      </c>
      <c r="V174" s="34" t="str">
        <f>IF(U174&gt;=50,"VERYHIGHMARGIN",IF(U174&gt;=40,"HIGHMARGIN",IF(U174&gt;=30,"MEDIUMMARGIN",IF(U174&gt;10,"LOWMARGIN",IF(U174&lt;1,"NARROWMARGIN")))))</f>
        <v>NARROWMARGIN</v>
      </c>
    </row>
    <row r="175" spans="1:22">
      <c r="A175" s="8">
        <v>173</v>
      </c>
      <c r="B175" s="112" t="s">
        <v>306</v>
      </c>
      <c r="C175" s="8">
        <v>979</v>
      </c>
      <c r="D175" s="8">
        <v>661</v>
      </c>
      <c r="E175" s="113">
        <v>67.517875383043929</v>
      </c>
      <c r="F175" s="8">
        <v>321</v>
      </c>
      <c r="G175" s="113">
        <v>48.562783661119518</v>
      </c>
      <c r="H175" s="8">
        <v>325</v>
      </c>
      <c r="I175" s="113">
        <v>49.167927382753405</v>
      </c>
      <c r="J175" s="8">
        <v>2</v>
      </c>
      <c r="K175" s="113">
        <v>0.30257186081694404</v>
      </c>
      <c r="L175" s="8">
        <v>0</v>
      </c>
      <c r="M175" s="113">
        <v>0</v>
      </c>
      <c r="N175" s="8">
        <v>6</v>
      </c>
      <c r="O175" s="113">
        <v>0.90771558245083206</v>
      </c>
      <c r="P175" s="8">
        <v>2</v>
      </c>
      <c r="Q175" s="113">
        <v>0.30257186081694404</v>
      </c>
      <c r="R175" s="8">
        <v>5</v>
      </c>
      <c r="S175" s="113">
        <v>0.75642965204236012</v>
      </c>
      <c r="T175" s="14" t="str">
        <f t="shared" si="19"/>
        <v>CONGRESS GAIN</v>
      </c>
      <c r="U175" s="114">
        <f t="shared" si="28"/>
        <v>0.60514372163388686</v>
      </c>
      <c r="V175" s="34" t="str">
        <f>IF(U175&gt;=50,"VERYHIGHMARGIN",IF(U175&gt;=40,"HIGHMARGIN",IF(U175&gt;=30,"MEDIUMMARGIN",IF(U175&gt;10,"LOWMARGIN",IF(U175&lt;1,"NARROWMARGIN")))))</f>
        <v>NARROWMARGIN</v>
      </c>
    </row>
    <row r="176" spans="1:22">
      <c r="A176" s="8">
        <v>174</v>
      </c>
      <c r="B176" s="112" t="s">
        <v>307</v>
      </c>
      <c r="C176" s="8">
        <v>813</v>
      </c>
      <c r="D176" s="8">
        <v>564</v>
      </c>
      <c r="E176" s="113">
        <v>69.372693726937271</v>
      </c>
      <c r="F176" s="8">
        <v>243</v>
      </c>
      <c r="G176" s="113">
        <v>43.085106382978722</v>
      </c>
      <c r="H176" s="8">
        <v>308</v>
      </c>
      <c r="I176" s="113">
        <v>54.609929078014183</v>
      </c>
      <c r="J176" s="8">
        <v>2</v>
      </c>
      <c r="K176" s="113">
        <v>0.3546099290780142</v>
      </c>
      <c r="L176" s="8">
        <v>2</v>
      </c>
      <c r="M176" s="113">
        <v>0.3546099290780142</v>
      </c>
      <c r="N176" s="8">
        <v>3</v>
      </c>
      <c r="O176" s="113">
        <v>0.53191489361702127</v>
      </c>
      <c r="P176" s="8">
        <v>5</v>
      </c>
      <c r="Q176" s="113">
        <v>0.88652482269503552</v>
      </c>
      <c r="R176" s="8">
        <v>1</v>
      </c>
      <c r="S176" s="113">
        <v>0.1773049645390071</v>
      </c>
      <c r="T176" s="14" t="str">
        <f t="shared" si="19"/>
        <v>CONGRESS GAIN</v>
      </c>
      <c r="U176" s="114">
        <f t="shared" si="28"/>
        <v>11.524822695035461</v>
      </c>
      <c r="V176" s="15" t="str">
        <f t="shared" si="21"/>
        <v>LOWMARGIN</v>
      </c>
    </row>
    <row r="177" spans="1:22">
      <c r="A177" s="8">
        <v>175</v>
      </c>
      <c r="B177" s="112" t="s">
        <v>308</v>
      </c>
      <c r="C177" s="8">
        <v>821</v>
      </c>
      <c r="D177" s="8">
        <v>665</v>
      </c>
      <c r="E177" s="113">
        <v>80.998781973203421</v>
      </c>
      <c r="F177" s="8">
        <v>495</v>
      </c>
      <c r="G177" s="113">
        <v>74.436090225563916</v>
      </c>
      <c r="H177" s="8">
        <v>155</v>
      </c>
      <c r="I177" s="113">
        <v>23.308270676691727</v>
      </c>
      <c r="J177" s="8">
        <v>2</v>
      </c>
      <c r="K177" s="113">
        <v>0.30075187969924816</v>
      </c>
      <c r="L177" s="8">
        <v>5</v>
      </c>
      <c r="M177" s="113">
        <v>0.75187969924812026</v>
      </c>
      <c r="N177" s="8">
        <v>1</v>
      </c>
      <c r="O177" s="113">
        <v>0.15037593984962408</v>
      </c>
      <c r="P177" s="8">
        <v>3</v>
      </c>
      <c r="Q177" s="113">
        <v>0.45112781954887221</v>
      </c>
      <c r="R177" s="8">
        <v>4</v>
      </c>
      <c r="S177" s="113">
        <v>0.60150375939849632</v>
      </c>
      <c r="T177" s="16" t="str">
        <f t="shared" si="19"/>
        <v>BJP GAIN</v>
      </c>
      <c r="U177" s="114">
        <f t="shared" si="20"/>
        <v>51.127819548872189</v>
      </c>
      <c r="V177" s="14" t="str">
        <f t="shared" si="21"/>
        <v>VERYHIGHMARGIN</v>
      </c>
    </row>
    <row r="178" spans="1:22">
      <c r="A178" s="8">
        <v>176</v>
      </c>
      <c r="B178" s="112" t="s">
        <v>309</v>
      </c>
      <c r="C178" s="8">
        <v>624</v>
      </c>
      <c r="D178" s="8">
        <v>489</v>
      </c>
      <c r="E178" s="113">
        <v>78.365384615384613</v>
      </c>
      <c r="F178" s="8">
        <v>368</v>
      </c>
      <c r="G178" s="113">
        <v>75.255623721881392</v>
      </c>
      <c r="H178" s="8">
        <v>103</v>
      </c>
      <c r="I178" s="113">
        <v>21.063394683026583</v>
      </c>
      <c r="J178" s="8">
        <v>1</v>
      </c>
      <c r="K178" s="113">
        <v>0.20449897750511251</v>
      </c>
      <c r="L178" s="8">
        <v>9</v>
      </c>
      <c r="M178" s="113">
        <v>1.8404907975460123</v>
      </c>
      <c r="N178" s="8">
        <v>1</v>
      </c>
      <c r="O178" s="113">
        <v>0.20449897750511251</v>
      </c>
      <c r="P178" s="8">
        <v>0</v>
      </c>
      <c r="Q178" s="113">
        <v>0</v>
      </c>
      <c r="R178" s="8">
        <v>7</v>
      </c>
      <c r="S178" s="113">
        <v>1.4314928425357873</v>
      </c>
      <c r="T178" s="16" t="str">
        <f t="shared" si="19"/>
        <v>BJP GAIN</v>
      </c>
      <c r="U178" s="114">
        <f t="shared" si="20"/>
        <v>54.192229038854805</v>
      </c>
      <c r="V178" s="14" t="str">
        <f t="shared" si="21"/>
        <v>VERYHIGHMARGIN</v>
      </c>
    </row>
    <row r="179" spans="1:22">
      <c r="A179" s="8">
        <v>177</v>
      </c>
      <c r="B179" s="112" t="s">
        <v>310</v>
      </c>
      <c r="C179" s="8">
        <v>1030</v>
      </c>
      <c r="D179" s="8">
        <v>760</v>
      </c>
      <c r="E179" s="113">
        <v>73.786407766990294</v>
      </c>
      <c r="F179" s="8">
        <v>412</v>
      </c>
      <c r="G179" s="113">
        <v>54.210526315789473</v>
      </c>
      <c r="H179" s="8">
        <v>306</v>
      </c>
      <c r="I179" s="113">
        <v>40.263157894736842</v>
      </c>
      <c r="J179" s="8">
        <v>2</v>
      </c>
      <c r="K179" s="113">
        <v>0.26315789473684209</v>
      </c>
      <c r="L179" s="8">
        <v>11</v>
      </c>
      <c r="M179" s="113">
        <v>1.4473684210526316</v>
      </c>
      <c r="N179" s="8">
        <v>3</v>
      </c>
      <c r="O179" s="113">
        <v>0.39473684210526316</v>
      </c>
      <c r="P179" s="8">
        <v>5</v>
      </c>
      <c r="Q179" s="113">
        <v>0.6578947368421052</v>
      </c>
      <c r="R179" s="8">
        <v>21</v>
      </c>
      <c r="S179" s="113">
        <v>2.763157894736842</v>
      </c>
      <c r="T179" s="16" t="str">
        <f t="shared" si="19"/>
        <v>BJP GAIN</v>
      </c>
      <c r="U179" s="114">
        <f t="shared" si="20"/>
        <v>13.94736842105263</v>
      </c>
      <c r="V179" s="15" t="str">
        <f t="shared" si="21"/>
        <v>LOWMARGIN</v>
      </c>
    </row>
    <row r="180" spans="1:22">
      <c r="A180" s="8">
        <v>178</v>
      </c>
      <c r="B180" s="112" t="s">
        <v>311</v>
      </c>
      <c r="C180" s="8">
        <v>1149</v>
      </c>
      <c r="D180" s="8">
        <v>667</v>
      </c>
      <c r="E180" s="113">
        <v>58.050478677110526</v>
      </c>
      <c r="F180" s="8">
        <v>10</v>
      </c>
      <c r="G180" s="113">
        <v>1.4992503748125936</v>
      </c>
      <c r="H180" s="8">
        <v>517</v>
      </c>
      <c r="I180" s="113">
        <v>77.511244377811096</v>
      </c>
      <c r="J180" s="8">
        <v>0</v>
      </c>
      <c r="K180" s="113">
        <v>0</v>
      </c>
      <c r="L180" s="8">
        <v>60</v>
      </c>
      <c r="M180" s="113">
        <v>8.995502248875562</v>
      </c>
      <c r="N180" s="8">
        <v>0</v>
      </c>
      <c r="O180" s="113">
        <v>0</v>
      </c>
      <c r="P180" s="8">
        <v>2</v>
      </c>
      <c r="Q180" s="113">
        <v>0.29985007496251875</v>
      </c>
      <c r="R180" s="8">
        <v>78</v>
      </c>
      <c r="S180" s="113">
        <v>11.694152923538232</v>
      </c>
      <c r="T180" s="14" t="str">
        <f t="shared" si="19"/>
        <v>CONGRESS GAIN</v>
      </c>
      <c r="U180" s="114">
        <f t="shared" ref="U180" si="29">I180-G180</f>
        <v>76.011994002998506</v>
      </c>
      <c r="V180" s="14" t="str">
        <f t="shared" si="21"/>
        <v>VERYHIGHMARGIN</v>
      </c>
    </row>
    <row r="181" spans="1:22">
      <c r="A181" s="8">
        <v>179</v>
      </c>
      <c r="B181" s="112" t="s">
        <v>312</v>
      </c>
      <c r="C181" s="8">
        <v>1130</v>
      </c>
      <c r="D181" s="8">
        <v>795</v>
      </c>
      <c r="E181" s="113">
        <v>70.353982300884951</v>
      </c>
      <c r="F181" s="8">
        <v>389</v>
      </c>
      <c r="G181" s="113">
        <v>48.930817610062896</v>
      </c>
      <c r="H181" s="8">
        <v>388</v>
      </c>
      <c r="I181" s="113">
        <v>48.80503144654088</v>
      </c>
      <c r="J181" s="8">
        <v>2</v>
      </c>
      <c r="K181" s="113">
        <v>0.25157232704402516</v>
      </c>
      <c r="L181" s="8">
        <v>6</v>
      </c>
      <c r="M181" s="113">
        <v>0.75471698113207553</v>
      </c>
      <c r="N181" s="8">
        <v>4</v>
      </c>
      <c r="O181" s="113">
        <v>0.50314465408805031</v>
      </c>
      <c r="P181" s="8">
        <v>4</v>
      </c>
      <c r="Q181" s="113">
        <v>0.50314465408805031</v>
      </c>
      <c r="R181" s="8">
        <v>2</v>
      </c>
      <c r="S181" s="113">
        <v>0.25157232704402516</v>
      </c>
      <c r="T181" s="16" t="str">
        <f t="shared" si="19"/>
        <v>BJP GAIN</v>
      </c>
      <c r="U181" s="114">
        <f t="shared" si="20"/>
        <v>0.12578616352201522</v>
      </c>
      <c r="V181" s="34" t="str">
        <f>IF(U181&gt;=50,"VERYHIGHMARGIN",IF(U181&gt;=40,"HIGHMARGIN",IF(U181&gt;=30,"MEDIUMMARGIN",IF(U181&gt;10,"LOWMARGIN",IF(U181&lt;1,"NARROWMARGIN")))))</f>
        <v>NARROWMARGIN</v>
      </c>
    </row>
    <row r="182" spans="1:22">
      <c r="A182" s="8">
        <v>180</v>
      </c>
      <c r="B182" s="112" t="s">
        <v>313</v>
      </c>
      <c r="C182" s="8">
        <v>1308</v>
      </c>
      <c r="D182" s="8">
        <v>893</v>
      </c>
      <c r="E182" s="113">
        <v>68.272171253822634</v>
      </c>
      <c r="F182" s="8">
        <v>46</v>
      </c>
      <c r="G182" s="113">
        <v>5.1511758118701003</v>
      </c>
      <c r="H182" s="8">
        <v>673</v>
      </c>
      <c r="I182" s="113">
        <v>75.363941769316909</v>
      </c>
      <c r="J182" s="8">
        <v>2</v>
      </c>
      <c r="K182" s="113">
        <v>0.22396416573348266</v>
      </c>
      <c r="L182" s="8">
        <v>34</v>
      </c>
      <c r="M182" s="113">
        <v>3.807390817469205</v>
      </c>
      <c r="N182" s="8">
        <v>0</v>
      </c>
      <c r="O182" s="113">
        <v>0</v>
      </c>
      <c r="P182" s="8">
        <v>4</v>
      </c>
      <c r="Q182" s="113">
        <v>0.44792833146696531</v>
      </c>
      <c r="R182" s="8">
        <v>134</v>
      </c>
      <c r="S182" s="113">
        <v>15.005599104143338</v>
      </c>
      <c r="T182" s="14" t="str">
        <f t="shared" si="19"/>
        <v>CONGRESS GAIN</v>
      </c>
      <c r="U182" s="114">
        <f t="shared" ref="U182" si="30">I182-G182</f>
        <v>70.212765957446805</v>
      </c>
      <c r="V182" s="14" t="str">
        <f t="shared" si="21"/>
        <v>VERYHIGHMARGIN</v>
      </c>
    </row>
    <row r="183" spans="1:22">
      <c r="A183" s="8">
        <v>181</v>
      </c>
      <c r="B183" s="112" t="s">
        <v>314</v>
      </c>
      <c r="C183" s="8">
        <v>825</v>
      </c>
      <c r="D183" s="8">
        <v>585</v>
      </c>
      <c r="E183" s="113">
        <v>70.909090909090907</v>
      </c>
      <c r="F183" s="8">
        <v>343</v>
      </c>
      <c r="G183" s="113">
        <v>58.632478632478637</v>
      </c>
      <c r="H183" s="8">
        <v>177</v>
      </c>
      <c r="I183" s="113">
        <v>30.256410256410255</v>
      </c>
      <c r="J183" s="8">
        <v>3</v>
      </c>
      <c r="K183" s="113">
        <v>0.51282051282051277</v>
      </c>
      <c r="L183" s="8">
        <v>39</v>
      </c>
      <c r="M183" s="113">
        <v>6.666666666666667</v>
      </c>
      <c r="N183" s="8">
        <v>2</v>
      </c>
      <c r="O183" s="113">
        <v>0.34188034188034189</v>
      </c>
      <c r="P183" s="8">
        <v>4</v>
      </c>
      <c r="Q183" s="113">
        <v>0.68376068376068377</v>
      </c>
      <c r="R183" s="8">
        <v>17</v>
      </c>
      <c r="S183" s="113">
        <v>2.9059829059829059</v>
      </c>
      <c r="T183" s="16" t="str">
        <f t="shared" si="19"/>
        <v>BJP GAIN</v>
      </c>
      <c r="U183" s="114">
        <f t="shared" si="20"/>
        <v>28.376068376068382</v>
      </c>
      <c r="V183" s="15" t="str">
        <f t="shared" si="21"/>
        <v>LOWMARGIN</v>
      </c>
    </row>
    <row r="184" spans="1:22">
      <c r="A184" s="8">
        <v>182</v>
      </c>
      <c r="B184" s="112" t="s">
        <v>315</v>
      </c>
      <c r="C184" s="8">
        <v>993</v>
      </c>
      <c r="D184" s="8">
        <v>687</v>
      </c>
      <c r="E184" s="113">
        <v>69.184290030211486</v>
      </c>
      <c r="F184" s="8">
        <v>59</v>
      </c>
      <c r="G184" s="113">
        <v>8.5880640465793299</v>
      </c>
      <c r="H184" s="8">
        <v>547</v>
      </c>
      <c r="I184" s="113">
        <v>79.621542940320239</v>
      </c>
      <c r="J184" s="8">
        <v>1</v>
      </c>
      <c r="K184" s="113">
        <v>0.14556040756914121</v>
      </c>
      <c r="L184" s="8">
        <v>11</v>
      </c>
      <c r="M184" s="113">
        <v>1.6011644832605532</v>
      </c>
      <c r="N184" s="8">
        <v>2</v>
      </c>
      <c r="O184" s="113">
        <v>0.29112081513828242</v>
      </c>
      <c r="P184" s="8">
        <v>8</v>
      </c>
      <c r="Q184" s="113">
        <v>1.1644832605531297</v>
      </c>
      <c r="R184" s="8">
        <v>59</v>
      </c>
      <c r="S184" s="113">
        <v>8.5880640465793299</v>
      </c>
      <c r="T184" s="14" t="str">
        <f t="shared" si="19"/>
        <v>CONGRESS GAIN</v>
      </c>
      <c r="U184" s="114">
        <f t="shared" ref="U184:U186" si="31">I184-G184</f>
        <v>71.033478893740906</v>
      </c>
      <c r="V184" s="14" t="str">
        <f t="shared" si="21"/>
        <v>VERYHIGHMARGIN</v>
      </c>
    </row>
    <row r="185" spans="1:22">
      <c r="A185" s="8">
        <v>183</v>
      </c>
      <c r="B185" s="112" t="s">
        <v>316</v>
      </c>
      <c r="C185" s="8">
        <v>1014</v>
      </c>
      <c r="D185" s="8">
        <v>803</v>
      </c>
      <c r="E185" s="113">
        <v>79.19132149901381</v>
      </c>
      <c r="F185" s="8">
        <v>225</v>
      </c>
      <c r="G185" s="113">
        <v>28.019925280199253</v>
      </c>
      <c r="H185" s="8">
        <v>478</v>
      </c>
      <c r="I185" s="113">
        <v>59.526774595267753</v>
      </c>
      <c r="J185" s="8">
        <v>1</v>
      </c>
      <c r="K185" s="113">
        <v>0.12453300124533001</v>
      </c>
      <c r="L185" s="8">
        <v>6</v>
      </c>
      <c r="M185" s="113">
        <v>0.74719800747198006</v>
      </c>
      <c r="N185" s="8">
        <v>2</v>
      </c>
      <c r="O185" s="113">
        <v>0.24906600249066002</v>
      </c>
      <c r="P185" s="8">
        <v>6</v>
      </c>
      <c r="Q185" s="113">
        <v>0.74719800747198006</v>
      </c>
      <c r="R185" s="8">
        <v>85</v>
      </c>
      <c r="S185" s="113">
        <v>10.585305105853053</v>
      </c>
      <c r="T185" s="14" t="str">
        <f t="shared" si="19"/>
        <v>CONGRESS GAIN</v>
      </c>
      <c r="U185" s="114">
        <f t="shared" si="31"/>
        <v>31.5068493150685</v>
      </c>
      <c r="V185" s="24" t="str">
        <f t="shared" si="21"/>
        <v>MEDIUMMARGIN</v>
      </c>
    </row>
    <row r="186" spans="1:22">
      <c r="A186" s="8">
        <v>184</v>
      </c>
      <c r="B186" s="112" t="s">
        <v>317</v>
      </c>
      <c r="C186" s="8">
        <v>1133</v>
      </c>
      <c r="D186" s="8">
        <v>850</v>
      </c>
      <c r="E186" s="113">
        <v>75.022065313327445</v>
      </c>
      <c r="F186" s="8">
        <v>179</v>
      </c>
      <c r="G186" s="113">
        <v>21.058823529411764</v>
      </c>
      <c r="H186" s="8">
        <v>550</v>
      </c>
      <c r="I186" s="113">
        <v>64.705882352941174</v>
      </c>
      <c r="J186" s="8">
        <v>1</v>
      </c>
      <c r="K186" s="113">
        <v>0.1176470588235294</v>
      </c>
      <c r="L186" s="8">
        <v>23</v>
      </c>
      <c r="M186" s="113">
        <v>2.7058823529411762</v>
      </c>
      <c r="N186" s="8">
        <v>0</v>
      </c>
      <c r="O186" s="113">
        <v>0</v>
      </c>
      <c r="P186" s="8">
        <v>9</v>
      </c>
      <c r="Q186" s="113">
        <v>1.0588235294117647</v>
      </c>
      <c r="R186" s="8">
        <v>88</v>
      </c>
      <c r="S186" s="113">
        <v>10.352941176470589</v>
      </c>
      <c r="T186" s="14" t="str">
        <f t="shared" si="19"/>
        <v>CONGRESS GAIN</v>
      </c>
      <c r="U186" s="114">
        <f t="shared" si="31"/>
        <v>43.647058823529406</v>
      </c>
      <c r="V186" s="57" t="str">
        <f t="shared" si="21"/>
        <v>HIGHMARGIN</v>
      </c>
    </row>
    <row r="187" spans="1:22">
      <c r="A187" s="8">
        <v>185</v>
      </c>
      <c r="B187" s="112" t="s">
        <v>318</v>
      </c>
      <c r="C187" s="8">
        <v>826</v>
      </c>
      <c r="D187" s="8">
        <v>685</v>
      </c>
      <c r="E187" s="113">
        <v>82.929782082324451</v>
      </c>
      <c r="F187" s="8">
        <v>463</v>
      </c>
      <c r="G187" s="113">
        <v>67.591240875912405</v>
      </c>
      <c r="H187" s="8">
        <v>189</v>
      </c>
      <c r="I187" s="113">
        <v>27.591240875912408</v>
      </c>
      <c r="J187" s="8">
        <v>2</v>
      </c>
      <c r="K187" s="113">
        <v>0.29197080291970801</v>
      </c>
      <c r="L187" s="8">
        <v>11</v>
      </c>
      <c r="M187" s="113">
        <v>1.6058394160583942</v>
      </c>
      <c r="N187" s="8">
        <v>7</v>
      </c>
      <c r="O187" s="113">
        <v>1.0218978102189782</v>
      </c>
      <c r="P187" s="8">
        <v>2</v>
      </c>
      <c r="Q187" s="113">
        <v>0.29197080291970801</v>
      </c>
      <c r="R187" s="8">
        <v>11</v>
      </c>
      <c r="S187" s="113">
        <v>1.6058394160583942</v>
      </c>
      <c r="T187" s="16" t="str">
        <f t="shared" si="19"/>
        <v>BJP GAIN</v>
      </c>
      <c r="U187" s="114">
        <f t="shared" si="20"/>
        <v>40</v>
      </c>
      <c r="V187" s="57" t="str">
        <f t="shared" si="21"/>
        <v>HIGHMARGIN</v>
      </c>
    </row>
    <row r="188" spans="1:22">
      <c r="A188" s="8">
        <v>186</v>
      </c>
      <c r="B188" s="112" t="s">
        <v>319</v>
      </c>
      <c r="C188" s="8">
        <v>845</v>
      </c>
      <c r="D188" s="8">
        <v>589</v>
      </c>
      <c r="E188" s="113">
        <v>69.704142011834321</v>
      </c>
      <c r="F188" s="8">
        <v>270</v>
      </c>
      <c r="G188" s="113">
        <v>45.840407470288625</v>
      </c>
      <c r="H188" s="8">
        <v>224</v>
      </c>
      <c r="I188" s="113">
        <v>38.030560271646856</v>
      </c>
      <c r="J188" s="8">
        <v>1</v>
      </c>
      <c r="K188" s="113">
        <v>0.1697792869269949</v>
      </c>
      <c r="L188" s="8">
        <v>38</v>
      </c>
      <c r="M188" s="113">
        <v>6.4516129032258061</v>
      </c>
      <c r="N188" s="8">
        <v>0</v>
      </c>
      <c r="O188" s="113">
        <v>0</v>
      </c>
      <c r="P188" s="8">
        <v>4</v>
      </c>
      <c r="Q188" s="113">
        <v>0.6791171477079796</v>
      </c>
      <c r="R188" s="8">
        <v>52</v>
      </c>
      <c r="S188" s="113">
        <v>8.828522920203735</v>
      </c>
      <c r="T188" s="16" t="str">
        <f t="shared" si="19"/>
        <v>BJP GAIN</v>
      </c>
      <c r="U188" s="114">
        <f t="shared" si="20"/>
        <v>7.8098471986417692</v>
      </c>
      <c r="V188" s="34" t="str">
        <f t="shared" si="21"/>
        <v>NARROWMARGIN</v>
      </c>
    </row>
    <row r="189" spans="1:22">
      <c r="A189" s="8">
        <v>187</v>
      </c>
      <c r="B189" s="112" t="s">
        <v>320</v>
      </c>
      <c r="C189" s="8">
        <v>593</v>
      </c>
      <c r="D189" s="8">
        <v>429</v>
      </c>
      <c r="E189" s="113">
        <v>72.344013490725118</v>
      </c>
      <c r="F189" s="8">
        <v>198</v>
      </c>
      <c r="G189" s="113">
        <v>46.153846153846153</v>
      </c>
      <c r="H189" s="8">
        <v>189</v>
      </c>
      <c r="I189" s="113">
        <v>44.05594405594406</v>
      </c>
      <c r="J189" s="8">
        <v>1</v>
      </c>
      <c r="K189" s="113">
        <v>0.23310023310023309</v>
      </c>
      <c r="L189" s="8">
        <v>17</v>
      </c>
      <c r="M189" s="113">
        <v>3.9627039627039626</v>
      </c>
      <c r="N189" s="8">
        <v>2</v>
      </c>
      <c r="O189" s="113">
        <v>0.46620046620046618</v>
      </c>
      <c r="P189" s="8">
        <v>1</v>
      </c>
      <c r="Q189" s="113">
        <v>0.23310023310023309</v>
      </c>
      <c r="R189" s="8">
        <v>21</v>
      </c>
      <c r="S189" s="113">
        <v>4.895104895104895</v>
      </c>
      <c r="T189" s="16" t="str">
        <f t="shared" si="19"/>
        <v>BJP GAIN</v>
      </c>
      <c r="U189" s="114">
        <f t="shared" si="20"/>
        <v>2.097902097902093</v>
      </c>
      <c r="V189" s="34" t="str">
        <f t="shared" si="21"/>
        <v>NARROWMARGIN</v>
      </c>
    </row>
    <row r="190" spans="1:22">
      <c r="A190" s="8">
        <v>188</v>
      </c>
      <c r="B190" s="112" t="s">
        <v>321</v>
      </c>
      <c r="C190" s="8">
        <v>1055</v>
      </c>
      <c r="D190" s="8">
        <v>809</v>
      </c>
      <c r="E190" s="113">
        <v>76.682464454976312</v>
      </c>
      <c r="F190" s="8">
        <v>466</v>
      </c>
      <c r="G190" s="113">
        <v>57.601977750309018</v>
      </c>
      <c r="H190" s="8">
        <v>270</v>
      </c>
      <c r="I190" s="113">
        <v>33.374536464771317</v>
      </c>
      <c r="J190" s="8">
        <v>2</v>
      </c>
      <c r="K190" s="113">
        <v>0.2472187886279357</v>
      </c>
      <c r="L190" s="8">
        <v>55</v>
      </c>
      <c r="M190" s="113">
        <v>6.7985166872682328</v>
      </c>
      <c r="N190" s="8">
        <v>2</v>
      </c>
      <c r="O190" s="113">
        <v>0.2472187886279357</v>
      </c>
      <c r="P190" s="8">
        <v>3</v>
      </c>
      <c r="Q190" s="113">
        <v>0.37082818294190362</v>
      </c>
      <c r="R190" s="8">
        <v>11</v>
      </c>
      <c r="S190" s="113">
        <v>1.3597033374536465</v>
      </c>
      <c r="T190" s="16" t="str">
        <f t="shared" si="19"/>
        <v>BJP GAIN</v>
      </c>
      <c r="U190" s="114">
        <f t="shared" si="20"/>
        <v>24.227441285537701</v>
      </c>
      <c r="V190" s="15" t="str">
        <f t="shared" si="21"/>
        <v>LOWMARGIN</v>
      </c>
    </row>
    <row r="191" spans="1:22">
      <c r="A191" s="8">
        <v>189</v>
      </c>
      <c r="B191" s="112" t="s">
        <v>322</v>
      </c>
      <c r="C191" s="8">
        <v>436</v>
      </c>
      <c r="D191" s="8">
        <v>328</v>
      </c>
      <c r="E191" s="113">
        <v>75.22935779816514</v>
      </c>
      <c r="F191" s="8">
        <v>150</v>
      </c>
      <c r="G191" s="113">
        <v>45.731707317073173</v>
      </c>
      <c r="H191" s="8">
        <v>166</v>
      </c>
      <c r="I191" s="113">
        <v>50.609756097560975</v>
      </c>
      <c r="J191" s="8">
        <v>0</v>
      </c>
      <c r="K191" s="113">
        <v>0</v>
      </c>
      <c r="L191" s="8">
        <v>10</v>
      </c>
      <c r="M191" s="113">
        <v>3.0487804878048781</v>
      </c>
      <c r="N191" s="8">
        <v>1</v>
      </c>
      <c r="O191" s="113">
        <v>0.3048780487804878</v>
      </c>
      <c r="P191" s="8">
        <v>0</v>
      </c>
      <c r="Q191" s="113">
        <v>0</v>
      </c>
      <c r="R191" s="8">
        <v>1</v>
      </c>
      <c r="S191" s="113">
        <v>0.3048780487804878</v>
      </c>
      <c r="T191" s="14" t="str">
        <f t="shared" si="19"/>
        <v>CONGRESS GAIN</v>
      </c>
      <c r="U191" s="114">
        <f t="shared" ref="U191" si="32">I191-G191</f>
        <v>4.8780487804878021</v>
      </c>
      <c r="V191" s="34" t="str">
        <f t="shared" si="21"/>
        <v>NARROWMARGIN</v>
      </c>
    </row>
    <row r="192" spans="1:22">
      <c r="A192" s="8">
        <v>190</v>
      </c>
      <c r="B192" s="112" t="s">
        <v>323</v>
      </c>
      <c r="C192" s="8">
        <v>799</v>
      </c>
      <c r="D192" s="8">
        <v>604</v>
      </c>
      <c r="E192" s="113">
        <v>75.594493116395483</v>
      </c>
      <c r="F192" s="8">
        <v>321</v>
      </c>
      <c r="G192" s="113">
        <v>53.145695364238406</v>
      </c>
      <c r="H192" s="8">
        <v>239</v>
      </c>
      <c r="I192" s="113">
        <v>39.569536423841065</v>
      </c>
      <c r="J192" s="8">
        <v>2</v>
      </c>
      <c r="K192" s="113">
        <v>0.33112582781456956</v>
      </c>
      <c r="L192" s="8">
        <v>33</v>
      </c>
      <c r="M192" s="113">
        <v>5.4635761589403975</v>
      </c>
      <c r="N192" s="8">
        <v>3</v>
      </c>
      <c r="O192" s="113">
        <v>0.49668874172185434</v>
      </c>
      <c r="P192" s="8">
        <v>2</v>
      </c>
      <c r="Q192" s="113">
        <v>0.33112582781456956</v>
      </c>
      <c r="R192" s="8">
        <v>4</v>
      </c>
      <c r="S192" s="113">
        <v>0.66225165562913912</v>
      </c>
      <c r="T192" s="16" t="str">
        <f t="shared" si="19"/>
        <v>BJP GAIN</v>
      </c>
      <c r="U192" s="114">
        <f t="shared" si="20"/>
        <v>13.576158940397342</v>
      </c>
      <c r="V192" s="15" t="str">
        <f t="shared" si="21"/>
        <v>LOWMARGIN</v>
      </c>
    </row>
    <row r="193" spans="1:22">
      <c r="A193" s="8">
        <v>191</v>
      </c>
      <c r="B193" s="112" t="s">
        <v>324</v>
      </c>
      <c r="C193" s="8">
        <v>651</v>
      </c>
      <c r="D193" s="8">
        <v>451</v>
      </c>
      <c r="E193" s="113">
        <v>69.278033794162823</v>
      </c>
      <c r="F193" s="8">
        <v>251</v>
      </c>
      <c r="G193" s="113">
        <v>55.654101995565405</v>
      </c>
      <c r="H193" s="8">
        <v>153</v>
      </c>
      <c r="I193" s="113">
        <v>33.924611973392459</v>
      </c>
      <c r="J193" s="8">
        <v>2</v>
      </c>
      <c r="K193" s="113">
        <v>0.44345898004434592</v>
      </c>
      <c r="L193" s="8">
        <v>34</v>
      </c>
      <c r="M193" s="113">
        <v>7.5388026607538805</v>
      </c>
      <c r="N193" s="8">
        <v>2</v>
      </c>
      <c r="O193" s="113">
        <v>0.44345898004434592</v>
      </c>
      <c r="P193" s="8">
        <v>1</v>
      </c>
      <c r="Q193" s="113">
        <v>0.22172949002217296</v>
      </c>
      <c r="R193" s="8">
        <v>8</v>
      </c>
      <c r="S193" s="113">
        <v>1.7738359201773837</v>
      </c>
      <c r="T193" s="16" t="str">
        <f t="shared" si="19"/>
        <v>BJP GAIN</v>
      </c>
      <c r="U193" s="114">
        <f t="shared" si="20"/>
        <v>21.729490022172946</v>
      </c>
      <c r="V193" s="15" t="str">
        <f t="shared" si="21"/>
        <v>LOWMARGIN</v>
      </c>
    </row>
    <row r="194" spans="1:22">
      <c r="A194" s="8">
        <v>192</v>
      </c>
      <c r="B194" s="112" t="s">
        <v>325</v>
      </c>
      <c r="C194" s="8">
        <v>1300</v>
      </c>
      <c r="D194" s="8">
        <v>983</v>
      </c>
      <c r="E194" s="113">
        <v>75.615384615384613</v>
      </c>
      <c r="F194" s="8">
        <v>517</v>
      </c>
      <c r="G194" s="113">
        <v>52.594099694811803</v>
      </c>
      <c r="H194" s="8">
        <v>383</v>
      </c>
      <c r="I194" s="113">
        <v>38.962360122075282</v>
      </c>
      <c r="J194" s="8">
        <v>7</v>
      </c>
      <c r="K194" s="113">
        <v>0.71210579857578837</v>
      </c>
      <c r="L194" s="8">
        <v>48</v>
      </c>
      <c r="M194" s="113">
        <v>4.8830111902339777</v>
      </c>
      <c r="N194" s="8">
        <v>1</v>
      </c>
      <c r="O194" s="113">
        <v>0.10172939979654119</v>
      </c>
      <c r="P194" s="8">
        <v>5</v>
      </c>
      <c r="Q194" s="113">
        <v>0.50864699898270604</v>
      </c>
      <c r="R194" s="8">
        <v>22</v>
      </c>
      <c r="S194" s="113">
        <v>2.2380467955239061</v>
      </c>
      <c r="T194" s="16" t="str">
        <f t="shared" si="19"/>
        <v>BJP GAIN</v>
      </c>
      <c r="U194" s="114">
        <f t="shared" si="20"/>
        <v>13.631739572736521</v>
      </c>
      <c r="V194" s="15" t="str">
        <f t="shared" si="21"/>
        <v>LOWMARGIN</v>
      </c>
    </row>
    <row r="195" spans="1:22">
      <c r="A195" s="8">
        <v>193</v>
      </c>
      <c r="B195" s="112" t="s">
        <v>326</v>
      </c>
      <c r="C195" s="8">
        <v>1259</v>
      </c>
      <c r="D195" s="8">
        <v>946</v>
      </c>
      <c r="E195" s="113">
        <v>75.138999205718832</v>
      </c>
      <c r="F195" s="8">
        <v>551</v>
      </c>
      <c r="G195" s="113">
        <v>58.245243128964063</v>
      </c>
      <c r="H195" s="8">
        <v>330</v>
      </c>
      <c r="I195" s="113">
        <v>34.883720930232556</v>
      </c>
      <c r="J195" s="8">
        <v>1</v>
      </c>
      <c r="K195" s="113">
        <v>0.10570824524312897</v>
      </c>
      <c r="L195" s="8">
        <v>40</v>
      </c>
      <c r="M195" s="113">
        <v>4.2283298097251585</v>
      </c>
      <c r="N195" s="8">
        <v>9</v>
      </c>
      <c r="O195" s="113">
        <v>0.95137420718816068</v>
      </c>
      <c r="P195" s="8">
        <v>8</v>
      </c>
      <c r="Q195" s="113">
        <v>0.84566596194503174</v>
      </c>
      <c r="R195" s="8">
        <v>7</v>
      </c>
      <c r="S195" s="113">
        <v>0.73995771670190269</v>
      </c>
      <c r="T195" s="16" t="str">
        <f t="shared" si="19"/>
        <v>BJP GAIN</v>
      </c>
      <c r="U195" s="114">
        <f t="shared" si="20"/>
        <v>23.361522198731507</v>
      </c>
      <c r="V195" s="15" t="str">
        <f t="shared" si="21"/>
        <v>LOWMARGIN</v>
      </c>
    </row>
    <row r="196" spans="1:22">
      <c r="A196" s="8">
        <v>194</v>
      </c>
      <c r="B196" s="112" t="s">
        <v>327</v>
      </c>
      <c r="C196" s="8">
        <v>1379</v>
      </c>
      <c r="D196" s="8">
        <v>1060</v>
      </c>
      <c r="E196" s="113">
        <v>76.867295141406828</v>
      </c>
      <c r="F196" s="8">
        <v>662</v>
      </c>
      <c r="G196" s="113">
        <v>62.452830188679243</v>
      </c>
      <c r="H196" s="8">
        <v>301</v>
      </c>
      <c r="I196" s="113">
        <v>28.39622641509434</v>
      </c>
      <c r="J196" s="8">
        <v>1</v>
      </c>
      <c r="K196" s="113">
        <v>9.4339622641509441E-2</v>
      </c>
      <c r="L196" s="8">
        <v>80</v>
      </c>
      <c r="M196" s="113">
        <v>7.5471698113207548</v>
      </c>
      <c r="N196" s="8">
        <v>4</v>
      </c>
      <c r="O196" s="113">
        <v>0.37735849056603776</v>
      </c>
      <c r="P196" s="8">
        <v>5</v>
      </c>
      <c r="Q196" s="113">
        <v>0.47169811320754718</v>
      </c>
      <c r="R196" s="8">
        <v>7</v>
      </c>
      <c r="S196" s="113">
        <v>0.66037735849056611</v>
      </c>
      <c r="T196" s="16" t="str">
        <f t="shared" ref="T196:T221" si="33">IF(G196&gt;I196,"BJP GAIN", "CONGRESS GAIN")</f>
        <v>BJP GAIN</v>
      </c>
      <c r="U196" s="114">
        <f t="shared" ref="U196:U220" si="34">G196-I196</f>
        <v>34.056603773584904</v>
      </c>
      <c r="V196" s="24" t="str">
        <f t="shared" si="21"/>
        <v>MEDIUMMARGIN</v>
      </c>
    </row>
    <row r="197" spans="1:22">
      <c r="A197" s="8">
        <v>195</v>
      </c>
      <c r="B197" s="112" t="s">
        <v>328</v>
      </c>
      <c r="C197" s="8">
        <v>1289</v>
      </c>
      <c r="D197" s="8">
        <v>967</v>
      </c>
      <c r="E197" s="113">
        <v>75.019394879751744</v>
      </c>
      <c r="F197" s="8">
        <v>546</v>
      </c>
      <c r="G197" s="113">
        <v>56.463288521199587</v>
      </c>
      <c r="H197" s="8">
        <v>366</v>
      </c>
      <c r="I197" s="113">
        <v>37.849017580144775</v>
      </c>
      <c r="J197" s="8">
        <v>2</v>
      </c>
      <c r="K197" s="113">
        <v>0.20682523267838679</v>
      </c>
      <c r="L197" s="8">
        <v>22</v>
      </c>
      <c r="M197" s="113">
        <v>2.2750775594622543</v>
      </c>
      <c r="N197" s="8">
        <v>5</v>
      </c>
      <c r="O197" s="113">
        <v>0.51706308169596693</v>
      </c>
      <c r="P197" s="8">
        <v>10</v>
      </c>
      <c r="Q197" s="113">
        <v>1.0341261633919339</v>
      </c>
      <c r="R197" s="8">
        <v>16</v>
      </c>
      <c r="S197" s="113">
        <v>1.6546018614270943</v>
      </c>
      <c r="T197" s="16" t="str">
        <f t="shared" si="33"/>
        <v>BJP GAIN</v>
      </c>
      <c r="U197" s="114">
        <f t="shared" si="34"/>
        <v>18.614270941054812</v>
      </c>
      <c r="V197" s="15" t="str">
        <f t="shared" ref="V197:V221" si="35">IF(U197&gt;=50,"VERYHIGHMARGIN",IF(U197&gt;=40,"HIGHMARGIN",IF(U197&gt;=30,"MEDIUMMARGIN",IF(U197&gt;10,"LOWMARGIN",IF(U197&gt;=1,"NARROWMARGIN")))))</f>
        <v>LOWMARGIN</v>
      </c>
    </row>
    <row r="198" spans="1:22">
      <c r="A198" s="8">
        <v>196</v>
      </c>
      <c r="B198" s="112" t="s">
        <v>329</v>
      </c>
      <c r="C198" s="8">
        <v>1321</v>
      </c>
      <c r="D198" s="8">
        <v>922</v>
      </c>
      <c r="E198" s="113">
        <v>69.795609386828161</v>
      </c>
      <c r="F198" s="8">
        <v>346</v>
      </c>
      <c r="G198" s="113">
        <v>37.52711496746204</v>
      </c>
      <c r="H198" s="8">
        <v>519</v>
      </c>
      <c r="I198" s="113">
        <v>56.290672451193061</v>
      </c>
      <c r="J198" s="8">
        <v>4</v>
      </c>
      <c r="K198" s="113">
        <v>0.43383947939262474</v>
      </c>
      <c r="L198" s="8">
        <v>9</v>
      </c>
      <c r="M198" s="113">
        <v>0.97613882863340562</v>
      </c>
      <c r="N198" s="8">
        <v>32</v>
      </c>
      <c r="O198" s="113">
        <v>3.4707158351409979</v>
      </c>
      <c r="P198" s="8">
        <v>9</v>
      </c>
      <c r="Q198" s="113">
        <v>0.97613882863340562</v>
      </c>
      <c r="R198" s="8">
        <v>3</v>
      </c>
      <c r="S198" s="113">
        <v>0.32537960954446854</v>
      </c>
      <c r="T198" s="14" t="str">
        <f t="shared" si="33"/>
        <v>CONGRESS GAIN</v>
      </c>
      <c r="U198" s="114">
        <f t="shared" ref="U198:U203" si="36">I198-G198</f>
        <v>18.76355748373102</v>
      </c>
      <c r="V198" s="15" t="str">
        <f t="shared" si="35"/>
        <v>LOWMARGIN</v>
      </c>
    </row>
    <row r="199" spans="1:22">
      <c r="A199" s="8">
        <v>197</v>
      </c>
      <c r="B199" s="112" t="s">
        <v>330</v>
      </c>
      <c r="C199" s="8">
        <v>716</v>
      </c>
      <c r="D199" s="8">
        <v>507</v>
      </c>
      <c r="E199" s="113">
        <v>70.810055865921782</v>
      </c>
      <c r="F199" s="8">
        <v>223</v>
      </c>
      <c r="G199" s="113">
        <v>43.984220907297832</v>
      </c>
      <c r="H199" s="8">
        <v>262</v>
      </c>
      <c r="I199" s="113">
        <v>51.676528599605518</v>
      </c>
      <c r="J199" s="8">
        <v>1</v>
      </c>
      <c r="K199" s="113">
        <v>0.19723865877712032</v>
      </c>
      <c r="L199" s="8">
        <v>0</v>
      </c>
      <c r="M199" s="113">
        <v>0</v>
      </c>
      <c r="N199" s="8">
        <v>7</v>
      </c>
      <c r="O199" s="113">
        <v>1.3806706114398422</v>
      </c>
      <c r="P199" s="8">
        <v>2</v>
      </c>
      <c r="Q199" s="113">
        <v>0.39447731755424065</v>
      </c>
      <c r="R199" s="8">
        <v>12</v>
      </c>
      <c r="S199" s="113">
        <v>2.3668639053254439</v>
      </c>
      <c r="T199" s="14" t="str">
        <f t="shared" si="33"/>
        <v>CONGRESS GAIN</v>
      </c>
      <c r="U199" s="114">
        <f t="shared" si="36"/>
        <v>7.6923076923076863</v>
      </c>
      <c r="V199" s="34" t="str">
        <f t="shared" si="35"/>
        <v>NARROWMARGIN</v>
      </c>
    </row>
    <row r="200" spans="1:22">
      <c r="A200" s="8">
        <v>198</v>
      </c>
      <c r="B200" s="112" t="s">
        <v>331</v>
      </c>
      <c r="C200" s="8">
        <v>861</v>
      </c>
      <c r="D200" s="8">
        <v>635</v>
      </c>
      <c r="E200" s="113">
        <v>73.751451800232289</v>
      </c>
      <c r="F200" s="8">
        <v>281</v>
      </c>
      <c r="G200" s="113">
        <v>44.251968503937007</v>
      </c>
      <c r="H200" s="8">
        <v>327</v>
      </c>
      <c r="I200" s="113">
        <v>51.496062992125978</v>
      </c>
      <c r="J200" s="8">
        <v>1</v>
      </c>
      <c r="K200" s="113">
        <v>0.15748031496062992</v>
      </c>
      <c r="L200" s="8">
        <v>1</v>
      </c>
      <c r="M200" s="113">
        <v>0.15748031496062992</v>
      </c>
      <c r="N200" s="8">
        <v>9</v>
      </c>
      <c r="O200" s="113">
        <v>1.4173228346456692</v>
      </c>
      <c r="P200" s="8">
        <v>6</v>
      </c>
      <c r="Q200" s="113">
        <v>0.94488188976377951</v>
      </c>
      <c r="R200" s="8">
        <v>10</v>
      </c>
      <c r="S200" s="113">
        <v>1.5748031496062991</v>
      </c>
      <c r="T200" s="14" t="str">
        <f t="shared" si="33"/>
        <v>CONGRESS GAIN</v>
      </c>
      <c r="U200" s="114">
        <f t="shared" si="36"/>
        <v>7.2440944881889706</v>
      </c>
      <c r="V200" s="34" t="str">
        <f t="shared" si="35"/>
        <v>NARROWMARGIN</v>
      </c>
    </row>
    <row r="201" spans="1:22">
      <c r="A201" s="8">
        <v>199</v>
      </c>
      <c r="B201" s="112" t="s">
        <v>332</v>
      </c>
      <c r="C201" s="8">
        <v>806</v>
      </c>
      <c r="D201" s="8">
        <v>550</v>
      </c>
      <c r="E201" s="113">
        <v>68.238213399503721</v>
      </c>
      <c r="F201" s="8">
        <v>250</v>
      </c>
      <c r="G201" s="113">
        <v>45.454545454545453</v>
      </c>
      <c r="H201" s="8">
        <v>285</v>
      </c>
      <c r="I201" s="113">
        <v>51.81818181818182</v>
      </c>
      <c r="J201" s="8">
        <v>0</v>
      </c>
      <c r="K201" s="113">
        <v>0</v>
      </c>
      <c r="L201" s="8">
        <v>0</v>
      </c>
      <c r="M201" s="113">
        <v>0</v>
      </c>
      <c r="N201" s="8">
        <v>9</v>
      </c>
      <c r="O201" s="113">
        <v>1.6363636363636365</v>
      </c>
      <c r="P201" s="8">
        <v>3</v>
      </c>
      <c r="Q201" s="113">
        <v>0.54545454545454553</v>
      </c>
      <c r="R201" s="8">
        <v>3</v>
      </c>
      <c r="S201" s="113">
        <v>0.54545454545454553</v>
      </c>
      <c r="T201" s="14" t="str">
        <f t="shared" si="33"/>
        <v>CONGRESS GAIN</v>
      </c>
      <c r="U201" s="114">
        <f t="shared" si="36"/>
        <v>6.3636363636363669</v>
      </c>
      <c r="V201" s="34" t="str">
        <f t="shared" si="35"/>
        <v>NARROWMARGIN</v>
      </c>
    </row>
    <row r="202" spans="1:22">
      <c r="A202" s="8">
        <v>200</v>
      </c>
      <c r="B202" s="112" t="s">
        <v>333</v>
      </c>
      <c r="C202" s="8">
        <v>883</v>
      </c>
      <c r="D202" s="8">
        <v>612</v>
      </c>
      <c r="E202" s="113">
        <v>69.30917327293318</v>
      </c>
      <c r="F202" s="8">
        <v>340</v>
      </c>
      <c r="G202" s="113">
        <v>55.555555555555557</v>
      </c>
      <c r="H202" s="8">
        <v>256</v>
      </c>
      <c r="I202" s="113">
        <v>41.830065359477125</v>
      </c>
      <c r="J202" s="8">
        <v>0</v>
      </c>
      <c r="K202" s="113">
        <v>0</v>
      </c>
      <c r="L202" s="8">
        <v>0</v>
      </c>
      <c r="M202" s="113">
        <v>0</v>
      </c>
      <c r="N202" s="8">
        <v>10</v>
      </c>
      <c r="O202" s="113">
        <v>1.6339869281045754</v>
      </c>
      <c r="P202" s="8">
        <v>2</v>
      </c>
      <c r="Q202" s="113">
        <v>0.32679738562091504</v>
      </c>
      <c r="R202" s="8">
        <v>4</v>
      </c>
      <c r="S202" s="113">
        <v>0.65359477124183007</v>
      </c>
      <c r="T202" s="16" t="str">
        <f t="shared" si="33"/>
        <v>BJP GAIN</v>
      </c>
      <c r="U202" s="114">
        <f t="shared" si="34"/>
        <v>13.725490196078432</v>
      </c>
      <c r="V202" s="15" t="str">
        <f t="shared" si="35"/>
        <v>LOWMARGIN</v>
      </c>
    </row>
    <row r="203" spans="1:22">
      <c r="A203" s="8">
        <v>201</v>
      </c>
      <c r="B203" s="112" t="s">
        <v>334</v>
      </c>
      <c r="C203" s="8">
        <v>1118</v>
      </c>
      <c r="D203" s="8">
        <v>811</v>
      </c>
      <c r="E203" s="113">
        <v>72.540250447227194</v>
      </c>
      <c r="F203" s="8">
        <v>356</v>
      </c>
      <c r="G203" s="113">
        <v>43.896424167694207</v>
      </c>
      <c r="H203" s="8">
        <v>425</v>
      </c>
      <c r="I203" s="113">
        <v>52.40443896424167</v>
      </c>
      <c r="J203" s="8">
        <v>1</v>
      </c>
      <c r="K203" s="113">
        <v>0.12330456226880394</v>
      </c>
      <c r="L203" s="8">
        <v>3</v>
      </c>
      <c r="M203" s="113">
        <v>0.36991368680641185</v>
      </c>
      <c r="N203" s="8">
        <v>19</v>
      </c>
      <c r="O203" s="113">
        <v>2.342786683107275</v>
      </c>
      <c r="P203" s="8">
        <v>5</v>
      </c>
      <c r="Q203" s="113">
        <v>0.61652281134401976</v>
      </c>
      <c r="R203" s="8">
        <v>2</v>
      </c>
      <c r="S203" s="113">
        <v>0.24660912453760789</v>
      </c>
      <c r="T203" s="14" t="str">
        <f t="shared" si="33"/>
        <v>CONGRESS GAIN</v>
      </c>
      <c r="U203" s="114">
        <f t="shared" si="36"/>
        <v>8.5080147965474637</v>
      </c>
      <c r="V203" s="34" t="str">
        <f t="shared" si="35"/>
        <v>NARROWMARGIN</v>
      </c>
    </row>
    <row r="204" spans="1:22">
      <c r="A204" s="8">
        <v>202</v>
      </c>
      <c r="B204" s="112" t="s">
        <v>335</v>
      </c>
      <c r="C204" s="8">
        <v>1162</v>
      </c>
      <c r="D204" s="8">
        <v>791</v>
      </c>
      <c r="E204" s="113">
        <v>68.07228915662651</v>
      </c>
      <c r="F204" s="8">
        <v>538</v>
      </c>
      <c r="G204" s="113">
        <v>68.015170670037932</v>
      </c>
      <c r="H204" s="8">
        <v>227</v>
      </c>
      <c r="I204" s="113">
        <v>28.697850821744623</v>
      </c>
      <c r="J204" s="8">
        <v>0</v>
      </c>
      <c r="K204" s="113">
        <v>0</v>
      </c>
      <c r="L204" s="8">
        <v>4</v>
      </c>
      <c r="M204" s="113">
        <v>0.50568900126422256</v>
      </c>
      <c r="N204" s="8">
        <v>13</v>
      </c>
      <c r="O204" s="113">
        <v>1.6434892541087229</v>
      </c>
      <c r="P204" s="8">
        <v>5</v>
      </c>
      <c r="Q204" s="113">
        <v>0.63211125158027814</v>
      </c>
      <c r="R204" s="8">
        <v>4</v>
      </c>
      <c r="S204" s="113">
        <v>0.50568900126422256</v>
      </c>
      <c r="T204" s="16" t="str">
        <f t="shared" si="33"/>
        <v>BJP GAIN</v>
      </c>
      <c r="U204" s="114">
        <f t="shared" si="34"/>
        <v>39.317319848293309</v>
      </c>
      <c r="V204" s="24" t="str">
        <f t="shared" si="35"/>
        <v>MEDIUMMARGIN</v>
      </c>
    </row>
    <row r="205" spans="1:22">
      <c r="A205" s="8">
        <v>203</v>
      </c>
      <c r="B205" s="112" t="s">
        <v>336</v>
      </c>
      <c r="C205" s="8">
        <v>857</v>
      </c>
      <c r="D205" s="8">
        <v>580</v>
      </c>
      <c r="E205" s="113">
        <v>67.677946324387392</v>
      </c>
      <c r="F205" s="8">
        <v>302</v>
      </c>
      <c r="G205" s="113">
        <v>52.068965517241381</v>
      </c>
      <c r="H205" s="8">
        <v>258</v>
      </c>
      <c r="I205" s="113">
        <v>44.482758620689658</v>
      </c>
      <c r="J205" s="8">
        <v>2</v>
      </c>
      <c r="K205" s="113">
        <v>0.34482758620689657</v>
      </c>
      <c r="L205" s="8">
        <v>6</v>
      </c>
      <c r="M205" s="113">
        <v>1.0344827586206897</v>
      </c>
      <c r="N205" s="8">
        <v>7</v>
      </c>
      <c r="O205" s="113">
        <v>1.2068965517241379</v>
      </c>
      <c r="P205" s="8">
        <v>5</v>
      </c>
      <c r="Q205" s="113">
        <v>0.86206896551724133</v>
      </c>
      <c r="R205" s="8">
        <v>0</v>
      </c>
      <c r="S205" s="113">
        <v>0</v>
      </c>
      <c r="T205" s="16" t="str">
        <f t="shared" si="33"/>
        <v>BJP GAIN</v>
      </c>
      <c r="U205" s="114">
        <f t="shared" si="34"/>
        <v>7.5862068965517224</v>
      </c>
      <c r="V205" s="34" t="str">
        <f t="shared" si="35"/>
        <v>NARROWMARGIN</v>
      </c>
    </row>
    <row r="206" spans="1:22">
      <c r="A206" s="8">
        <v>204</v>
      </c>
      <c r="B206" s="112" t="s">
        <v>337</v>
      </c>
      <c r="C206" s="8">
        <v>1116</v>
      </c>
      <c r="D206" s="8">
        <v>808</v>
      </c>
      <c r="E206" s="113">
        <v>72.401433691756267</v>
      </c>
      <c r="F206" s="8">
        <v>431</v>
      </c>
      <c r="G206" s="113">
        <v>53.341584158415841</v>
      </c>
      <c r="H206" s="8">
        <v>358</v>
      </c>
      <c r="I206" s="113">
        <v>44.306930693069305</v>
      </c>
      <c r="J206" s="8">
        <v>3</v>
      </c>
      <c r="K206" s="113">
        <v>0.37128712871287128</v>
      </c>
      <c r="L206" s="8">
        <v>5</v>
      </c>
      <c r="M206" s="113">
        <v>0.61881188118811881</v>
      </c>
      <c r="N206" s="8">
        <v>5</v>
      </c>
      <c r="O206" s="113">
        <v>0.61881188118811881</v>
      </c>
      <c r="P206" s="8">
        <v>3</v>
      </c>
      <c r="Q206" s="113">
        <v>0.37128712871287128</v>
      </c>
      <c r="R206" s="8">
        <v>3</v>
      </c>
      <c r="S206" s="113">
        <v>0.37128712871287128</v>
      </c>
      <c r="T206" s="16" t="str">
        <f t="shared" si="33"/>
        <v>BJP GAIN</v>
      </c>
      <c r="U206" s="114">
        <f t="shared" si="34"/>
        <v>9.0346534653465369</v>
      </c>
      <c r="V206" s="34" t="str">
        <f t="shared" si="35"/>
        <v>NARROWMARGIN</v>
      </c>
    </row>
    <row r="207" spans="1:22">
      <c r="A207" s="8">
        <v>205</v>
      </c>
      <c r="B207" s="112" t="s">
        <v>338</v>
      </c>
      <c r="C207" s="8">
        <v>1121</v>
      </c>
      <c r="D207" s="8">
        <v>767</v>
      </c>
      <c r="E207" s="113">
        <v>68.421052631578945</v>
      </c>
      <c r="F207" s="8">
        <v>304</v>
      </c>
      <c r="G207" s="113">
        <v>39.634941329856581</v>
      </c>
      <c r="H207" s="8">
        <v>428</v>
      </c>
      <c r="I207" s="113">
        <v>55.801825293350717</v>
      </c>
      <c r="J207" s="8">
        <v>0</v>
      </c>
      <c r="K207" s="113">
        <v>0</v>
      </c>
      <c r="L207" s="8">
        <v>4</v>
      </c>
      <c r="M207" s="113">
        <v>0.5215123859191656</v>
      </c>
      <c r="N207" s="8">
        <v>8</v>
      </c>
      <c r="O207" s="113">
        <v>1.0430247718383312</v>
      </c>
      <c r="P207" s="8">
        <v>5</v>
      </c>
      <c r="Q207" s="113">
        <v>0.65189048239895697</v>
      </c>
      <c r="R207" s="8">
        <v>18</v>
      </c>
      <c r="S207" s="113">
        <v>2.3468057366362451</v>
      </c>
      <c r="T207" s="14" t="str">
        <f t="shared" si="33"/>
        <v>CONGRESS GAIN</v>
      </c>
      <c r="U207" s="114">
        <f t="shared" ref="U207" si="37">I207-G207</f>
        <v>16.166883963494136</v>
      </c>
      <c r="V207" s="15" t="str">
        <f t="shared" si="35"/>
        <v>LOWMARGIN</v>
      </c>
    </row>
    <row r="208" spans="1:22">
      <c r="A208" s="8">
        <v>206</v>
      </c>
      <c r="B208" s="112" t="s">
        <v>339</v>
      </c>
      <c r="C208" s="8">
        <v>1298</v>
      </c>
      <c r="D208" s="8">
        <v>924</v>
      </c>
      <c r="E208" s="113">
        <v>71.186440677966104</v>
      </c>
      <c r="F208" s="8">
        <v>561</v>
      </c>
      <c r="G208" s="113">
        <v>60.714285714285708</v>
      </c>
      <c r="H208" s="8">
        <v>327</v>
      </c>
      <c r="I208" s="113">
        <v>35.38961038961039</v>
      </c>
      <c r="J208" s="8">
        <v>5</v>
      </c>
      <c r="K208" s="113">
        <v>0.54112554112554112</v>
      </c>
      <c r="L208" s="8">
        <v>9</v>
      </c>
      <c r="M208" s="113">
        <v>0.97402597402597402</v>
      </c>
      <c r="N208" s="8">
        <v>11</v>
      </c>
      <c r="O208" s="113">
        <v>1.1904761904761905</v>
      </c>
      <c r="P208" s="8">
        <v>3</v>
      </c>
      <c r="Q208" s="113">
        <v>0.32467532467532467</v>
      </c>
      <c r="R208" s="8">
        <v>8</v>
      </c>
      <c r="S208" s="113">
        <v>0.86580086580086579</v>
      </c>
      <c r="T208" s="16" t="str">
        <f t="shared" si="33"/>
        <v>BJP GAIN</v>
      </c>
      <c r="U208" s="114">
        <f t="shared" si="34"/>
        <v>25.324675324675319</v>
      </c>
      <c r="V208" s="15" t="str">
        <f t="shared" si="35"/>
        <v>LOWMARGIN</v>
      </c>
    </row>
    <row r="209" spans="1:23">
      <c r="A209" s="8">
        <v>207</v>
      </c>
      <c r="B209" s="112" t="s">
        <v>340</v>
      </c>
      <c r="C209" s="8">
        <v>1128</v>
      </c>
      <c r="D209" s="8">
        <v>849</v>
      </c>
      <c r="E209" s="113">
        <v>75.2659574468085</v>
      </c>
      <c r="F209" s="8">
        <v>463</v>
      </c>
      <c r="G209" s="113">
        <v>54.534746760895167</v>
      </c>
      <c r="H209" s="8">
        <v>363</v>
      </c>
      <c r="I209" s="113">
        <v>42.756183745583037</v>
      </c>
      <c r="J209" s="8">
        <v>0</v>
      </c>
      <c r="K209" s="113">
        <v>0</v>
      </c>
      <c r="L209" s="8">
        <v>4</v>
      </c>
      <c r="M209" s="113">
        <v>0.47114252061248524</v>
      </c>
      <c r="N209" s="8">
        <v>8</v>
      </c>
      <c r="O209" s="113">
        <v>0.94228504122497048</v>
      </c>
      <c r="P209" s="8">
        <v>6</v>
      </c>
      <c r="Q209" s="113">
        <v>0.70671378091872794</v>
      </c>
      <c r="R209" s="8">
        <v>5</v>
      </c>
      <c r="S209" s="113">
        <v>0.58892815076560656</v>
      </c>
      <c r="T209" s="16" t="str">
        <f t="shared" si="33"/>
        <v>BJP GAIN</v>
      </c>
      <c r="U209" s="114">
        <f t="shared" si="34"/>
        <v>11.77856301531213</v>
      </c>
      <c r="V209" s="15" t="str">
        <f t="shared" si="35"/>
        <v>LOWMARGIN</v>
      </c>
    </row>
    <row r="210" spans="1:23">
      <c r="A210" s="8">
        <v>208</v>
      </c>
      <c r="B210" s="112" t="s">
        <v>341</v>
      </c>
      <c r="C210" s="8">
        <v>1169</v>
      </c>
      <c r="D210" s="8">
        <v>793</v>
      </c>
      <c r="E210" s="113">
        <v>67.835757057313941</v>
      </c>
      <c r="F210" s="8">
        <v>440</v>
      </c>
      <c r="G210" s="113">
        <v>55.48549810844893</v>
      </c>
      <c r="H210" s="8">
        <v>332</v>
      </c>
      <c r="I210" s="113">
        <v>41.866330390920552</v>
      </c>
      <c r="J210" s="8">
        <v>1</v>
      </c>
      <c r="K210" s="113">
        <v>0.12610340479192939</v>
      </c>
      <c r="L210" s="8">
        <v>5</v>
      </c>
      <c r="M210" s="113">
        <v>0.63051702395964693</v>
      </c>
      <c r="N210" s="8">
        <v>7</v>
      </c>
      <c r="O210" s="113">
        <v>0.88272383354350581</v>
      </c>
      <c r="P210" s="8">
        <v>2</v>
      </c>
      <c r="Q210" s="113">
        <v>0.25220680958385877</v>
      </c>
      <c r="R210" s="8">
        <v>6</v>
      </c>
      <c r="S210" s="113">
        <v>0.75662042875157631</v>
      </c>
      <c r="T210" s="16" t="str">
        <f t="shared" si="33"/>
        <v>BJP GAIN</v>
      </c>
      <c r="U210" s="114">
        <f t="shared" si="34"/>
        <v>13.619167717528377</v>
      </c>
      <c r="V210" s="15" t="str">
        <f t="shared" si="35"/>
        <v>LOWMARGIN</v>
      </c>
    </row>
    <row r="211" spans="1:23">
      <c r="A211" s="8">
        <v>209</v>
      </c>
      <c r="B211" s="112" t="s">
        <v>342</v>
      </c>
      <c r="C211" s="8">
        <v>847</v>
      </c>
      <c r="D211" s="8">
        <v>582</v>
      </c>
      <c r="E211" s="113">
        <v>68.713105076741442</v>
      </c>
      <c r="F211" s="8">
        <v>303</v>
      </c>
      <c r="G211" s="113">
        <v>52.0618556701031</v>
      </c>
      <c r="H211" s="8">
        <v>251</v>
      </c>
      <c r="I211" s="113">
        <v>43.127147766323027</v>
      </c>
      <c r="J211" s="8">
        <v>0</v>
      </c>
      <c r="K211" s="113">
        <v>0</v>
      </c>
      <c r="L211" s="8">
        <v>1</v>
      </c>
      <c r="M211" s="113">
        <v>0.1718213058419244</v>
      </c>
      <c r="N211" s="8">
        <v>9</v>
      </c>
      <c r="O211" s="113">
        <v>1.5463917525773196</v>
      </c>
      <c r="P211" s="8">
        <v>2</v>
      </c>
      <c r="Q211" s="113">
        <v>0.3436426116838488</v>
      </c>
      <c r="R211" s="8">
        <v>16</v>
      </c>
      <c r="S211" s="113">
        <v>2.7491408934707904</v>
      </c>
      <c r="T211" s="16" t="str">
        <f t="shared" si="33"/>
        <v>BJP GAIN</v>
      </c>
      <c r="U211" s="114">
        <f t="shared" si="34"/>
        <v>8.9347079037800725</v>
      </c>
      <c r="V211" s="34" t="str">
        <f t="shared" si="35"/>
        <v>NARROWMARGIN</v>
      </c>
    </row>
    <row r="212" spans="1:23">
      <c r="A212" s="8">
        <v>210</v>
      </c>
      <c r="B212" s="112" t="s">
        <v>343</v>
      </c>
      <c r="C212" s="8">
        <v>989</v>
      </c>
      <c r="D212" s="8">
        <v>756</v>
      </c>
      <c r="E212" s="113">
        <v>76.440849342770477</v>
      </c>
      <c r="F212" s="8">
        <v>508</v>
      </c>
      <c r="G212" s="113">
        <v>67.195767195767203</v>
      </c>
      <c r="H212" s="8">
        <v>218</v>
      </c>
      <c r="I212" s="113">
        <v>28.835978835978835</v>
      </c>
      <c r="J212" s="8">
        <v>4</v>
      </c>
      <c r="K212" s="113">
        <v>0.52910052910052907</v>
      </c>
      <c r="L212" s="8">
        <v>12</v>
      </c>
      <c r="M212" s="113">
        <v>1.5873015873015872</v>
      </c>
      <c r="N212" s="8">
        <v>5</v>
      </c>
      <c r="O212" s="113">
        <v>0.66137566137566139</v>
      </c>
      <c r="P212" s="8">
        <v>2</v>
      </c>
      <c r="Q212" s="113">
        <v>0.26455026455026454</v>
      </c>
      <c r="R212" s="8">
        <v>7</v>
      </c>
      <c r="S212" s="113">
        <v>0.92592592592592582</v>
      </c>
      <c r="T212" s="16" t="str">
        <f t="shared" si="33"/>
        <v>BJP GAIN</v>
      </c>
      <c r="U212" s="114">
        <f t="shared" si="34"/>
        <v>38.359788359788368</v>
      </c>
      <c r="V212" s="24" t="str">
        <f t="shared" si="35"/>
        <v>MEDIUMMARGIN</v>
      </c>
    </row>
    <row r="213" spans="1:23">
      <c r="A213" s="8">
        <v>211</v>
      </c>
      <c r="B213" s="112" t="s">
        <v>344</v>
      </c>
      <c r="C213" s="8">
        <v>882</v>
      </c>
      <c r="D213" s="8">
        <v>639</v>
      </c>
      <c r="E213" s="113">
        <v>72.448979591836732</v>
      </c>
      <c r="F213" s="8">
        <v>402</v>
      </c>
      <c r="G213" s="113">
        <v>62.910798122065728</v>
      </c>
      <c r="H213" s="8">
        <v>225</v>
      </c>
      <c r="I213" s="113">
        <v>35.2112676056338</v>
      </c>
      <c r="J213" s="8">
        <v>1</v>
      </c>
      <c r="K213" s="113">
        <v>0.1564945226917058</v>
      </c>
      <c r="L213" s="8">
        <v>4</v>
      </c>
      <c r="M213" s="113">
        <v>0.6259780907668232</v>
      </c>
      <c r="N213" s="8">
        <v>0</v>
      </c>
      <c r="O213" s="113">
        <v>0</v>
      </c>
      <c r="P213" s="8">
        <v>0</v>
      </c>
      <c r="Q213" s="113">
        <v>0</v>
      </c>
      <c r="R213" s="8">
        <v>7</v>
      </c>
      <c r="S213" s="113">
        <v>1.0954616588419406</v>
      </c>
      <c r="T213" s="16" t="str">
        <f t="shared" si="33"/>
        <v>BJP GAIN</v>
      </c>
      <c r="U213" s="114">
        <f t="shared" si="34"/>
        <v>27.699530516431928</v>
      </c>
      <c r="V213" s="15" t="str">
        <f t="shared" si="35"/>
        <v>LOWMARGIN</v>
      </c>
    </row>
    <row r="214" spans="1:23">
      <c r="A214" s="8">
        <v>212</v>
      </c>
      <c r="B214" s="112" t="s">
        <v>345</v>
      </c>
      <c r="C214" s="8">
        <v>1232</v>
      </c>
      <c r="D214" s="8">
        <v>878</v>
      </c>
      <c r="E214" s="113">
        <v>71.266233766233768</v>
      </c>
      <c r="F214" s="8">
        <v>593</v>
      </c>
      <c r="G214" s="113">
        <v>67.539863325740328</v>
      </c>
      <c r="H214" s="8">
        <v>263</v>
      </c>
      <c r="I214" s="113">
        <v>29.954441913439634</v>
      </c>
      <c r="J214" s="8">
        <v>1</v>
      </c>
      <c r="K214" s="113">
        <v>0.11389521640091116</v>
      </c>
      <c r="L214" s="8">
        <v>7</v>
      </c>
      <c r="M214" s="113">
        <v>0.79726651480637822</v>
      </c>
      <c r="N214" s="8">
        <v>4</v>
      </c>
      <c r="O214" s="113">
        <v>0.45558086560364464</v>
      </c>
      <c r="P214" s="8">
        <v>7</v>
      </c>
      <c r="Q214" s="113">
        <v>0.79726651480637822</v>
      </c>
      <c r="R214" s="8">
        <v>3</v>
      </c>
      <c r="S214" s="113">
        <v>0.34168564920273348</v>
      </c>
      <c r="T214" s="16" t="str">
        <f t="shared" si="33"/>
        <v>BJP GAIN</v>
      </c>
      <c r="U214" s="114">
        <f t="shared" si="34"/>
        <v>37.58542141230069</v>
      </c>
      <c r="V214" s="24" t="str">
        <f t="shared" si="35"/>
        <v>MEDIUMMARGIN</v>
      </c>
    </row>
    <row r="215" spans="1:23">
      <c r="A215" s="8">
        <v>213</v>
      </c>
      <c r="B215" s="112" t="s">
        <v>346</v>
      </c>
      <c r="C215" s="8">
        <v>1176</v>
      </c>
      <c r="D215" s="8">
        <v>764</v>
      </c>
      <c r="E215" s="113">
        <v>64.965986394557831</v>
      </c>
      <c r="F215" s="8">
        <v>411</v>
      </c>
      <c r="G215" s="113">
        <v>53.795811518324612</v>
      </c>
      <c r="H215" s="8">
        <v>315</v>
      </c>
      <c r="I215" s="113">
        <v>41.230366492146601</v>
      </c>
      <c r="J215" s="8">
        <v>4</v>
      </c>
      <c r="K215" s="113">
        <v>0.52356020942408377</v>
      </c>
      <c r="L215" s="8">
        <v>18</v>
      </c>
      <c r="M215" s="113">
        <v>2.3560209424083771</v>
      </c>
      <c r="N215" s="8">
        <v>10</v>
      </c>
      <c r="O215" s="113">
        <v>1.3089005235602094</v>
      </c>
      <c r="P215" s="8">
        <v>1</v>
      </c>
      <c r="Q215" s="113">
        <v>0.13089005235602094</v>
      </c>
      <c r="R215" s="8">
        <v>5</v>
      </c>
      <c r="S215" s="113">
        <v>0.65445026178010468</v>
      </c>
      <c r="T215" s="16" t="str">
        <f t="shared" si="33"/>
        <v>BJP GAIN</v>
      </c>
      <c r="U215" s="114">
        <f t="shared" si="34"/>
        <v>12.565445026178011</v>
      </c>
      <c r="V215" s="15" t="str">
        <f t="shared" si="35"/>
        <v>LOWMARGIN</v>
      </c>
    </row>
    <row r="216" spans="1:23">
      <c r="A216" s="8">
        <v>214</v>
      </c>
      <c r="B216" s="112" t="s">
        <v>347</v>
      </c>
      <c r="C216" s="8">
        <v>1074</v>
      </c>
      <c r="D216" s="8">
        <v>734</v>
      </c>
      <c r="E216" s="113">
        <v>68.34264432029795</v>
      </c>
      <c r="F216" s="8">
        <v>458</v>
      </c>
      <c r="G216" s="113">
        <v>62.397820163487737</v>
      </c>
      <c r="H216" s="8">
        <v>245</v>
      </c>
      <c r="I216" s="113">
        <v>33.378746594005449</v>
      </c>
      <c r="J216" s="8">
        <v>0</v>
      </c>
      <c r="K216" s="113">
        <v>0</v>
      </c>
      <c r="L216" s="8">
        <v>8</v>
      </c>
      <c r="M216" s="113">
        <v>1.0899182561307901</v>
      </c>
      <c r="N216" s="8">
        <v>10</v>
      </c>
      <c r="O216" s="113">
        <v>1.3623978201634876</v>
      </c>
      <c r="P216" s="8">
        <v>3</v>
      </c>
      <c r="Q216" s="113">
        <v>0.40871934604904631</v>
      </c>
      <c r="R216" s="8">
        <v>10</v>
      </c>
      <c r="S216" s="113">
        <v>1.3623978201634876</v>
      </c>
      <c r="T216" s="16" t="str">
        <f t="shared" si="33"/>
        <v>BJP GAIN</v>
      </c>
      <c r="U216" s="114">
        <f t="shared" si="34"/>
        <v>29.019073569482288</v>
      </c>
      <c r="V216" s="15" t="str">
        <f t="shared" si="35"/>
        <v>LOWMARGIN</v>
      </c>
    </row>
    <row r="217" spans="1:23">
      <c r="A217" s="8">
        <v>215</v>
      </c>
      <c r="B217" s="112" t="s">
        <v>348</v>
      </c>
      <c r="C217" s="8">
        <v>1084</v>
      </c>
      <c r="D217" s="8">
        <v>758</v>
      </c>
      <c r="E217" s="113">
        <v>69.926199261992622</v>
      </c>
      <c r="F217" s="8">
        <v>367</v>
      </c>
      <c r="G217" s="113">
        <v>48.416886543535618</v>
      </c>
      <c r="H217" s="8">
        <v>359</v>
      </c>
      <c r="I217" s="113">
        <v>47.361477572559366</v>
      </c>
      <c r="J217" s="8">
        <v>3</v>
      </c>
      <c r="K217" s="113">
        <v>0.39577836411609502</v>
      </c>
      <c r="L217" s="8">
        <v>8</v>
      </c>
      <c r="M217" s="113">
        <v>1.0554089709762533</v>
      </c>
      <c r="N217" s="8">
        <v>7</v>
      </c>
      <c r="O217" s="113">
        <v>0.92348284960422167</v>
      </c>
      <c r="P217" s="8">
        <v>5</v>
      </c>
      <c r="Q217" s="113">
        <v>0.65963060686015829</v>
      </c>
      <c r="R217" s="8">
        <v>9</v>
      </c>
      <c r="S217" s="113">
        <v>1.1873350923482848</v>
      </c>
      <c r="T217" s="16" t="str">
        <f t="shared" si="33"/>
        <v>BJP GAIN</v>
      </c>
      <c r="U217" s="114">
        <f t="shared" si="34"/>
        <v>1.0554089709762522</v>
      </c>
      <c r="V217" s="34" t="str">
        <f t="shared" si="35"/>
        <v>NARROWMARGIN</v>
      </c>
    </row>
    <row r="218" spans="1:23">
      <c r="A218" s="8">
        <v>216</v>
      </c>
      <c r="B218" s="112" t="s">
        <v>349</v>
      </c>
      <c r="C218" s="8">
        <v>927</v>
      </c>
      <c r="D218" s="8">
        <v>619</v>
      </c>
      <c r="E218" s="113">
        <v>66.77454153182309</v>
      </c>
      <c r="F218" s="8">
        <v>184</v>
      </c>
      <c r="G218" s="113">
        <v>29.725363489499191</v>
      </c>
      <c r="H218" s="8">
        <v>410</v>
      </c>
      <c r="I218" s="113">
        <v>66.235864297253627</v>
      </c>
      <c r="J218" s="8">
        <v>0</v>
      </c>
      <c r="K218" s="113">
        <v>0</v>
      </c>
      <c r="L218" s="8">
        <v>4</v>
      </c>
      <c r="M218" s="113">
        <v>0.64620355411954766</v>
      </c>
      <c r="N218" s="8">
        <v>7</v>
      </c>
      <c r="O218" s="113">
        <v>1.1308562197092082</v>
      </c>
      <c r="P218" s="8">
        <v>2</v>
      </c>
      <c r="Q218" s="113">
        <v>0.32310177705977383</v>
      </c>
      <c r="R218" s="8">
        <v>12</v>
      </c>
      <c r="S218" s="113">
        <v>1.938610662358643</v>
      </c>
      <c r="T218" s="14" t="str">
        <f t="shared" si="33"/>
        <v>CONGRESS GAIN</v>
      </c>
      <c r="U218" s="114">
        <f t="shared" ref="U218:U219" si="38">I218-G218</f>
        <v>36.51050080775444</v>
      </c>
      <c r="V218" s="24" t="str">
        <f t="shared" si="35"/>
        <v>MEDIUMMARGIN</v>
      </c>
    </row>
    <row r="219" spans="1:23">
      <c r="A219" s="8">
        <v>217</v>
      </c>
      <c r="B219" s="112" t="s">
        <v>350</v>
      </c>
      <c r="C219" s="8">
        <v>864</v>
      </c>
      <c r="D219" s="8">
        <v>617</v>
      </c>
      <c r="E219" s="113">
        <v>71.412037037037038</v>
      </c>
      <c r="F219" s="8">
        <v>149</v>
      </c>
      <c r="G219" s="113">
        <v>24.149108589951375</v>
      </c>
      <c r="H219" s="8">
        <v>443</v>
      </c>
      <c r="I219" s="113">
        <v>71.799027552674232</v>
      </c>
      <c r="J219" s="8">
        <v>0</v>
      </c>
      <c r="K219" s="113">
        <v>0</v>
      </c>
      <c r="L219" s="8">
        <v>1</v>
      </c>
      <c r="M219" s="113">
        <v>0.16207455429497569</v>
      </c>
      <c r="N219" s="8">
        <v>2</v>
      </c>
      <c r="O219" s="113">
        <v>0.32414910858995138</v>
      </c>
      <c r="P219" s="8">
        <v>2</v>
      </c>
      <c r="Q219" s="113">
        <v>0.32414910858995138</v>
      </c>
      <c r="R219" s="8">
        <v>20</v>
      </c>
      <c r="S219" s="113">
        <v>3.2414910858995136</v>
      </c>
      <c r="T219" s="14" t="str">
        <f t="shared" si="33"/>
        <v>CONGRESS GAIN</v>
      </c>
      <c r="U219" s="114">
        <f t="shared" si="38"/>
        <v>47.649918962722857</v>
      </c>
      <c r="V219" s="57" t="str">
        <f t="shared" si="35"/>
        <v>HIGHMARGIN</v>
      </c>
    </row>
    <row r="220" spans="1:23">
      <c r="A220" s="8">
        <v>218</v>
      </c>
      <c r="B220" s="112" t="s">
        <v>351</v>
      </c>
      <c r="C220" s="8">
        <v>907</v>
      </c>
      <c r="D220" s="8">
        <v>681</v>
      </c>
      <c r="E220" s="113">
        <v>75.082690187431083</v>
      </c>
      <c r="F220" s="8">
        <v>378</v>
      </c>
      <c r="G220" s="113">
        <v>55.506607929515418</v>
      </c>
      <c r="H220" s="8">
        <v>276</v>
      </c>
      <c r="I220" s="113">
        <v>40.528634361233479</v>
      </c>
      <c r="J220" s="8">
        <v>0</v>
      </c>
      <c r="K220" s="113">
        <v>0</v>
      </c>
      <c r="L220" s="8">
        <v>8</v>
      </c>
      <c r="M220" s="113">
        <v>1.1747430249632893</v>
      </c>
      <c r="N220" s="8">
        <v>2</v>
      </c>
      <c r="O220" s="113">
        <v>0.29368575624082233</v>
      </c>
      <c r="P220" s="8">
        <v>8</v>
      </c>
      <c r="Q220" s="113">
        <v>1.1747430249632893</v>
      </c>
      <c r="R220" s="8">
        <v>9</v>
      </c>
      <c r="S220" s="113">
        <v>1.3215859030837005</v>
      </c>
      <c r="T220" s="16" t="str">
        <f t="shared" si="33"/>
        <v>BJP GAIN</v>
      </c>
      <c r="U220" s="114">
        <f t="shared" si="34"/>
        <v>14.977973568281939</v>
      </c>
      <c r="V220" s="15" t="str">
        <f t="shared" si="35"/>
        <v>LOWMARGIN</v>
      </c>
    </row>
    <row r="221" spans="1:23">
      <c r="A221" s="115">
        <v>219</v>
      </c>
      <c r="B221" s="116" t="s">
        <v>352</v>
      </c>
      <c r="C221" s="115">
        <v>703</v>
      </c>
      <c r="D221" s="115">
        <v>473</v>
      </c>
      <c r="E221" s="117">
        <v>67.283072546230443</v>
      </c>
      <c r="F221" s="115">
        <v>39</v>
      </c>
      <c r="G221" s="117">
        <v>8.2452431289640593</v>
      </c>
      <c r="H221" s="115">
        <v>424</v>
      </c>
      <c r="I221" s="117">
        <v>89.640591966173361</v>
      </c>
      <c r="J221" s="115">
        <v>1</v>
      </c>
      <c r="K221" s="117">
        <v>0.21141649048625794</v>
      </c>
      <c r="L221" s="115">
        <v>2</v>
      </c>
      <c r="M221" s="117">
        <v>0.42283298097251587</v>
      </c>
      <c r="N221" s="115">
        <v>2</v>
      </c>
      <c r="O221" s="117">
        <v>0.42283298097251587</v>
      </c>
      <c r="P221" s="115">
        <v>3</v>
      </c>
      <c r="Q221" s="117">
        <v>0.63424947145877375</v>
      </c>
      <c r="R221" s="115">
        <v>2</v>
      </c>
      <c r="S221" s="117">
        <v>0.42283298097251587</v>
      </c>
      <c r="T221" s="118" t="str">
        <f t="shared" si="33"/>
        <v>CONGRESS GAIN</v>
      </c>
      <c r="U221" s="119">
        <f t="shared" ref="U221" si="39">I221-G221</f>
        <v>81.395348837209298</v>
      </c>
      <c r="V221" s="120" t="str">
        <f t="shared" si="35"/>
        <v>VERYHIGHMARGIN</v>
      </c>
    </row>
    <row r="222" spans="1:23" s="71" customFormat="1" ht="15.75">
      <c r="A222" s="121" t="s">
        <v>123</v>
      </c>
      <c r="B222" s="121"/>
      <c r="C222" s="71">
        <f>SUM(C3:C221)</f>
        <v>217429</v>
      </c>
      <c r="D222" s="71">
        <f t="shared" ref="D222:S222" si="40">SUM(D3:D221)</f>
        <v>152231</v>
      </c>
      <c r="E222" s="71">
        <f t="shared" si="40"/>
        <v>15357.11770261011</v>
      </c>
      <c r="F222" s="71">
        <f t="shared" si="40"/>
        <v>79156</v>
      </c>
      <c r="G222" s="71">
        <f t="shared" si="40"/>
        <v>11165.670699647901</v>
      </c>
      <c r="H222" s="71">
        <f t="shared" si="40"/>
        <v>66070</v>
      </c>
      <c r="I222" s="71">
        <f t="shared" si="40"/>
        <v>9714.8720110880258</v>
      </c>
      <c r="J222" s="71">
        <f t="shared" si="40"/>
        <v>244</v>
      </c>
      <c r="K222" s="71">
        <f t="shared" si="40"/>
        <v>34.408009928562144</v>
      </c>
      <c r="L222" s="71">
        <f t="shared" si="40"/>
        <v>1532</v>
      </c>
      <c r="M222" s="71">
        <f t="shared" si="40"/>
        <v>214.74646842358968</v>
      </c>
      <c r="N222" s="71">
        <f t="shared" si="40"/>
        <v>2111</v>
      </c>
      <c r="O222" s="71">
        <f t="shared" si="40"/>
        <v>313.63651120728161</v>
      </c>
      <c r="P222" s="71">
        <f t="shared" si="40"/>
        <v>845</v>
      </c>
      <c r="Q222" s="71">
        <f t="shared" si="40"/>
        <v>120.06344493615006</v>
      </c>
      <c r="R222" s="71">
        <f t="shared" si="40"/>
        <v>2273</v>
      </c>
      <c r="S222" s="71">
        <f t="shared" si="40"/>
        <v>336.60285476849128</v>
      </c>
    </row>
    <row r="223" spans="1:23">
      <c r="T223" s="122" t="s">
        <v>7</v>
      </c>
      <c r="U223" s="122">
        <f>COUNTIF(T3:T221, "BJP GAIN")</f>
        <v>146</v>
      </c>
      <c r="V223" s="123" t="s">
        <v>391</v>
      </c>
      <c r="W223" s="124">
        <f>COUNTIF(V3:V221,"NARROWMARGIN")</f>
        <v>43</v>
      </c>
    </row>
    <row r="224" spans="1:23">
      <c r="T224" s="25" t="s">
        <v>8</v>
      </c>
      <c r="U224" s="25">
        <f>COUNTIF(T3:T221,"CONGRESS GAIN")</f>
        <v>73</v>
      </c>
      <c r="V224" s="43" t="s">
        <v>88</v>
      </c>
      <c r="W224" s="44">
        <f>COUNTIF(V3:V221,"LOWMARGIN")</f>
        <v>85</v>
      </c>
    </row>
    <row r="225" spans="22:23">
      <c r="V225" s="45" t="s">
        <v>90</v>
      </c>
      <c r="W225" s="46">
        <f>COUNTIF(V3:V221,"MEDIUMMARGIN")</f>
        <v>30</v>
      </c>
    </row>
    <row r="226" spans="22:23">
      <c r="V226" s="47" t="s">
        <v>91</v>
      </c>
      <c r="W226" s="48">
        <f>COUNTIF(V3:V221,"HIGHMARGIN")</f>
        <v>15</v>
      </c>
    </row>
    <row r="227" spans="22:23">
      <c r="V227" s="49" t="s">
        <v>93</v>
      </c>
      <c r="W227" s="72">
        <f>COUNTIF(V3:V221,"VERYHIGHMARGIN")</f>
        <v>46</v>
      </c>
    </row>
  </sheetData>
  <sheetProtection password="CFF8" sheet="1" objects="1" scenarios="1"/>
  <mergeCells count="2">
    <mergeCell ref="A1:V1"/>
    <mergeCell ref="A222:B2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L229"/>
  <sheetViews>
    <sheetView workbookViewId="0">
      <selection activeCell="B8" sqref="B8"/>
    </sheetView>
  </sheetViews>
  <sheetFormatPr defaultRowHeight="15"/>
  <cols>
    <col min="1" max="1" width="10.5703125" style="1" bestFit="1" customWidth="1"/>
    <col min="2" max="2" width="61.85546875" style="1" customWidth="1"/>
    <col min="3" max="3" width="13.7109375" style="1" bestFit="1" customWidth="1"/>
    <col min="4" max="29" width="9.140625" style="1"/>
    <col min="30" max="32" width="10.42578125" style="1" bestFit="1" customWidth="1"/>
    <col min="33" max="33" width="12.7109375" style="1" bestFit="1" customWidth="1"/>
    <col min="34" max="34" width="9" style="1" bestFit="1" customWidth="1"/>
    <col min="35" max="35" width="17.28515625" style="1" bestFit="1" customWidth="1"/>
    <col min="36" max="36" width="15.140625" style="1" bestFit="1" customWidth="1"/>
    <col min="37" max="37" width="17.5703125" style="1" bestFit="1" customWidth="1"/>
    <col min="38" max="16384" width="9.140625" style="1"/>
  </cols>
  <sheetData>
    <row r="1" spans="1:37">
      <c r="A1" s="73" t="s">
        <v>388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</row>
    <row r="2" spans="1:37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</row>
    <row r="3" spans="1:37" ht="90">
      <c r="A3" s="2" t="s">
        <v>353</v>
      </c>
      <c r="B3" s="3" t="s">
        <v>354</v>
      </c>
      <c r="C3" s="2" t="s">
        <v>6</v>
      </c>
      <c r="D3" s="2" t="s">
        <v>7</v>
      </c>
      <c r="E3" s="2" t="s">
        <v>355</v>
      </c>
      <c r="F3" s="2" t="s">
        <v>129</v>
      </c>
      <c r="G3" s="2" t="s">
        <v>356</v>
      </c>
      <c r="H3" s="2" t="s">
        <v>357</v>
      </c>
      <c r="I3" s="2" t="s">
        <v>358</v>
      </c>
      <c r="J3" s="2" t="s">
        <v>359</v>
      </c>
      <c r="K3" s="2" t="s">
        <v>360</v>
      </c>
      <c r="L3" s="4" t="s">
        <v>361</v>
      </c>
      <c r="M3" s="4" t="s">
        <v>362</v>
      </c>
      <c r="N3" s="4" t="s">
        <v>122</v>
      </c>
      <c r="O3" s="5" t="s">
        <v>6</v>
      </c>
      <c r="P3" s="5" t="s">
        <v>363</v>
      </c>
      <c r="Q3" s="5" t="s">
        <v>364</v>
      </c>
      <c r="R3" s="5" t="s">
        <v>365</v>
      </c>
      <c r="S3" s="5" t="s">
        <v>366</v>
      </c>
      <c r="T3" s="5" t="s">
        <v>367</v>
      </c>
      <c r="U3" s="5" t="s">
        <v>368</v>
      </c>
      <c r="V3" s="5" t="s">
        <v>369</v>
      </c>
      <c r="W3" s="5" t="s">
        <v>370</v>
      </c>
      <c r="X3" s="5" t="s">
        <v>371</v>
      </c>
      <c r="Y3" s="5" t="s">
        <v>372</v>
      </c>
      <c r="Z3" s="5" t="s">
        <v>373</v>
      </c>
      <c r="AA3" s="5" t="s">
        <v>374</v>
      </c>
      <c r="AB3" s="5" t="s">
        <v>119</v>
      </c>
      <c r="AC3" s="5"/>
      <c r="AD3" s="5" t="s">
        <v>14</v>
      </c>
      <c r="AE3" s="5" t="s">
        <v>15</v>
      </c>
      <c r="AF3" s="5" t="s">
        <v>16</v>
      </c>
      <c r="AG3" s="5" t="s">
        <v>17</v>
      </c>
      <c r="AH3" s="5" t="s">
        <v>375</v>
      </c>
      <c r="AI3" s="2" t="s">
        <v>376</v>
      </c>
      <c r="AJ3" s="2" t="s">
        <v>377</v>
      </c>
      <c r="AK3" s="6" t="s">
        <v>10</v>
      </c>
    </row>
    <row r="4" spans="1:37">
      <c r="A4" s="7">
        <v>1</v>
      </c>
      <c r="B4" s="8" t="s">
        <v>135</v>
      </c>
      <c r="C4" s="7">
        <v>778</v>
      </c>
      <c r="D4" s="7">
        <v>459</v>
      </c>
      <c r="E4" s="7">
        <f t="shared" ref="E4:E67" si="0">(D4/C4)*100</f>
        <v>58.997429305912597</v>
      </c>
      <c r="F4" s="7">
        <v>306</v>
      </c>
      <c r="G4" s="7">
        <f t="shared" ref="G4:G67" si="1">(F4/C4)*100</f>
        <v>39.331619537275067</v>
      </c>
      <c r="H4" s="7">
        <v>0</v>
      </c>
      <c r="I4" s="7">
        <f t="shared" ref="I4:I67" si="2">(H4/C4)*100</f>
        <v>0</v>
      </c>
      <c r="J4" s="7">
        <v>5</v>
      </c>
      <c r="K4" s="7">
        <f t="shared" ref="K4:K67" si="3">(J4/C4)*100</f>
        <v>0.64267352185089976</v>
      </c>
      <c r="L4" s="9">
        <v>554</v>
      </c>
      <c r="M4" s="9">
        <v>592</v>
      </c>
      <c r="N4" s="9">
        <f t="shared" ref="N4:N67" si="4">L4+M4</f>
        <v>1146</v>
      </c>
      <c r="O4" s="7">
        <v>778</v>
      </c>
      <c r="P4" s="10">
        <f>O4/N4*100</f>
        <v>67.888307155322863</v>
      </c>
      <c r="Q4" s="7">
        <v>903</v>
      </c>
      <c r="R4" s="7">
        <f>(Q4/N4)*100</f>
        <v>78.795811518324612</v>
      </c>
      <c r="S4" s="7">
        <f t="shared" ref="S4:S67" si="5">Q4-U4</f>
        <v>294</v>
      </c>
      <c r="T4" s="7">
        <f>(S4/Q4)*100</f>
        <v>32.558139534883722</v>
      </c>
      <c r="U4" s="7">
        <v>609</v>
      </c>
      <c r="V4" s="11">
        <f>IFERROR(U4/Q4*100,0)</f>
        <v>67.441860465116278</v>
      </c>
      <c r="W4" s="7">
        <f>1146-903</f>
        <v>243</v>
      </c>
      <c r="X4" s="7">
        <f>100-R4</f>
        <v>21.204188481675388</v>
      </c>
      <c r="Y4" s="7">
        <f>W4-AA4</f>
        <v>74</v>
      </c>
      <c r="Z4" s="12">
        <f>(Y4/W4)*100</f>
        <v>30.452674897119341</v>
      </c>
      <c r="AA4" s="12">
        <f>778-609</f>
        <v>169</v>
      </c>
      <c r="AB4" s="13">
        <f>IFERROR(AA4/W4*100,0)</f>
        <v>69.547325102880663</v>
      </c>
      <c r="AC4" s="12">
        <f t="shared" ref="AC4:AC30" si="6">U4+AA4</f>
        <v>778</v>
      </c>
      <c r="AD4" s="12" t="str">
        <f>IF(P4&gt;80,"EXCELLENT",IF(P4&gt;70,"STRONG",IF(P4&gt;60,"AVG",IF(P4&gt;50,"WEAK",IF(P4&lt;50,"VLOW")))))</f>
        <v>AVG</v>
      </c>
      <c r="AE4" s="14" t="str">
        <f>IF(R4&gt;80,"EXCELLENT",IF(R4&gt;70,"STRONG",IF(R4&gt;60,"AVG",IF(R4&gt;50,"WEAK",IF(R4&lt;50,"VLOW")))))</f>
        <v>STRONG</v>
      </c>
      <c r="AF4" s="12" t="str">
        <f>IF(X4&gt;80,"EXCELLENT",IF(X4&gt;70,"STRONG",IF(X4&gt;60,"AVG",IF(X4&gt;50,"WEAK",IF(X4&lt;50,"VLOW")))))</f>
        <v>VLOW</v>
      </c>
      <c r="AG4" s="12" t="str">
        <f t="shared" ref="AG4:AG67" si="7">IF(M4&gt;L4,"FEMALE DOM","MEN")</f>
        <v>FEMALE DOM</v>
      </c>
      <c r="AH4" s="12" t="str">
        <f>IF(T4&gt;Z4,"H","O")</f>
        <v>H</v>
      </c>
      <c r="AI4" s="15">
        <f t="shared" ref="AI4:AI34" si="8">E4-G4</f>
        <v>19.66580976863753</v>
      </c>
      <c r="AJ4" s="16" t="str">
        <f t="shared" ref="AJ4:AJ67" si="9">IF(E4&gt;G4, "BJP GAIN","CONGRESSGAIN")</f>
        <v>BJP GAIN</v>
      </c>
      <c r="AK4" s="15" t="str">
        <f>IF(AI4&gt;=50,"VERYHIGHMARGIN",IF(AI4&gt;=40,"HIGHMARGIN",IF(AI4&gt;=30,"MEDIUMMARGIN",IF(AI4&gt;10,"LOWMARGIN",IF(AI4&gt;=1,"NARROWMARGIN")))))</f>
        <v>LOWMARGIN</v>
      </c>
    </row>
    <row r="5" spans="1:37">
      <c r="A5" s="7">
        <v>2</v>
      </c>
      <c r="B5" s="8" t="s">
        <v>136</v>
      </c>
      <c r="C5" s="7">
        <v>1075</v>
      </c>
      <c r="D5" s="7">
        <v>591</v>
      </c>
      <c r="E5" s="7">
        <f t="shared" si="0"/>
        <v>54.97674418604651</v>
      </c>
      <c r="F5" s="7">
        <v>455</v>
      </c>
      <c r="G5" s="7">
        <f t="shared" si="1"/>
        <v>42.325581395348841</v>
      </c>
      <c r="H5" s="7">
        <v>1</v>
      </c>
      <c r="I5" s="7">
        <f t="shared" si="2"/>
        <v>9.3023255813953487E-2</v>
      </c>
      <c r="J5" s="7">
        <v>8</v>
      </c>
      <c r="K5" s="7">
        <f t="shared" si="3"/>
        <v>0.7441860465116279</v>
      </c>
      <c r="L5" s="9">
        <v>761</v>
      </c>
      <c r="M5" s="9">
        <v>841</v>
      </c>
      <c r="N5" s="9">
        <f t="shared" si="4"/>
        <v>1602</v>
      </c>
      <c r="O5" s="7">
        <v>1075</v>
      </c>
      <c r="P5" s="10">
        <f t="shared" ref="P5:P68" si="10">O5/N5*100</f>
        <v>67.103620474406995</v>
      </c>
      <c r="Q5" s="7">
        <v>614</v>
      </c>
      <c r="R5" s="7">
        <f t="shared" ref="R5:R68" si="11">(Q5/N5)*100</f>
        <v>38.3270911360799</v>
      </c>
      <c r="S5" s="7">
        <f t="shared" si="5"/>
        <v>213</v>
      </c>
      <c r="T5" s="7">
        <f t="shared" ref="T5:T68" si="12">(S5/Q5)*100</f>
        <v>34.690553745928341</v>
      </c>
      <c r="U5" s="7">
        <v>401</v>
      </c>
      <c r="V5" s="11">
        <f t="shared" ref="V5:V68" si="13">IFERROR(U5/Q5*100,0)</f>
        <v>65.309446254071659</v>
      </c>
      <c r="W5" s="7">
        <v>206</v>
      </c>
      <c r="X5" s="7">
        <f t="shared" ref="X5:X68" si="14">100-R5</f>
        <v>61.6729088639201</v>
      </c>
      <c r="Y5" s="17">
        <f>W5-AA5</f>
        <v>92</v>
      </c>
      <c r="Z5" s="18">
        <f t="shared" ref="Z5:Z68" si="15">(Y5/W5)*100</f>
        <v>44.660194174757287</v>
      </c>
      <c r="AA5" s="18">
        <v>114</v>
      </c>
      <c r="AB5" s="13">
        <f t="shared" ref="AB5:AB68" si="16">IFERROR(AA5/W5*100,0)</f>
        <v>55.339805825242713</v>
      </c>
      <c r="AC5" s="18">
        <f t="shared" si="6"/>
        <v>515</v>
      </c>
      <c r="AD5" s="12" t="str">
        <f t="shared" ref="AD5:AD68" si="17">IF(P5&gt;80,"EXCELLENT",IF(P5&gt;70,"STRONG",IF(P5&gt;60,"AVG",IF(P5&gt;50,"WEAK",IF(P5&lt;50,"VLOW")))))</f>
        <v>AVG</v>
      </c>
      <c r="AE5" s="14" t="str">
        <f t="shared" ref="AE5:AE68" si="18">IF(R5&gt;80,"EXCELLENT",IF(R5&gt;70,"STRONG",IF(R5&gt;60,"AVG",IF(R5&gt;50,"WEAK",IF(R5&lt;50,"VLOW")))))</f>
        <v>VLOW</v>
      </c>
      <c r="AF5" s="12" t="str">
        <f t="shared" ref="AF5:AF68" si="19">IF(X5&gt;80,"EXCELLENT",IF(X5&gt;70,"STRONG",IF(X5&gt;60,"AVG",IF(X5&gt;50,"WEAK",IF(X5&lt;50,"VLOW")))))</f>
        <v>AVG</v>
      </c>
      <c r="AG5" s="12" t="str">
        <f t="shared" si="7"/>
        <v>FEMALE DOM</v>
      </c>
      <c r="AH5" s="12" t="str">
        <f t="shared" ref="AH5:AH68" si="20">IF(T5&gt;Z5,"H","O")</f>
        <v>O</v>
      </c>
      <c r="AI5" s="15">
        <f t="shared" si="8"/>
        <v>12.651162790697668</v>
      </c>
      <c r="AJ5" s="16" t="str">
        <f t="shared" si="9"/>
        <v>BJP GAIN</v>
      </c>
      <c r="AK5" s="15" t="str">
        <f t="shared" ref="AK5:AK68" si="21">IF(AI5&gt;=50,"VERYHIGHMARGIN",IF(AI5&gt;=40,"HIGHMARGIN",IF(AI5&gt;=30,"MEDIUMMARGIN",IF(AI5&gt;10,"LOWMARGIN",IF(AI5&gt;=1,"NARROWMARGIN")))))</f>
        <v>LOWMARGIN</v>
      </c>
    </row>
    <row r="6" spans="1:37">
      <c r="A6" s="7">
        <v>3</v>
      </c>
      <c r="B6" s="8" t="s">
        <v>137</v>
      </c>
      <c r="C6" s="7">
        <v>999</v>
      </c>
      <c r="D6" s="7">
        <v>684</v>
      </c>
      <c r="E6" s="7">
        <f t="shared" si="0"/>
        <v>68.468468468468473</v>
      </c>
      <c r="F6" s="7">
        <v>273</v>
      </c>
      <c r="G6" s="7">
        <f t="shared" si="1"/>
        <v>27.327327327327328</v>
      </c>
      <c r="H6" s="7">
        <v>3</v>
      </c>
      <c r="I6" s="7">
        <f t="shared" si="2"/>
        <v>0.3003003003003003</v>
      </c>
      <c r="J6" s="7">
        <v>14</v>
      </c>
      <c r="K6" s="7">
        <f t="shared" si="3"/>
        <v>1.4014014014014013</v>
      </c>
      <c r="L6" s="9">
        <v>637</v>
      </c>
      <c r="M6" s="9">
        <v>659</v>
      </c>
      <c r="N6" s="9">
        <f t="shared" si="4"/>
        <v>1296</v>
      </c>
      <c r="O6" s="7">
        <v>999</v>
      </c>
      <c r="P6" s="10">
        <f t="shared" si="10"/>
        <v>77.083333333333343</v>
      </c>
      <c r="Q6" s="7">
        <v>1205</v>
      </c>
      <c r="R6" s="7">
        <f t="shared" si="11"/>
        <v>92.978395061728392</v>
      </c>
      <c r="S6" s="7">
        <f t="shared" si="5"/>
        <v>263</v>
      </c>
      <c r="T6" s="7">
        <f t="shared" si="12"/>
        <v>21.825726141078839</v>
      </c>
      <c r="U6" s="7">
        <v>942</v>
      </c>
      <c r="V6" s="11">
        <f t="shared" si="13"/>
        <v>78.174273858921168</v>
      </c>
      <c r="W6" s="7">
        <v>82</v>
      </c>
      <c r="X6" s="7">
        <f t="shared" si="14"/>
        <v>7.0216049382716079</v>
      </c>
      <c r="Y6" s="7">
        <f t="shared" ref="Y6:Y69" si="22">W6-AA6</f>
        <v>25</v>
      </c>
      <c r="Z6" s="12">
        <f t="shared" si="15"/>
        <v>30.487804878048781</v>
      </c>
      <c r="AA6" s="12">
        <v>57</v>
      </c>
      <c r="AB6" s="13">
        <f t="shared" si="16"/>
        <v>69.512195121951208</v>
      </c>
      <c r="AC6" s="12">
        <f t="shared" si="6"/>
        <v>999</v>
      </c>
      <c r="AD6" s="12" t="str">
        <f t="shared" si="17"/>
        <v>STRONG</v>
      </c>
      <c r="AE6" s="14" t="str">
        <f t="shared" si="18"/>
        <v>EXCELLENT</v>
      </c>
      <c r="AF6" s="12" t="str">
        <f t="shared" si="19"/>
        <v>VLOW</v>
      </c>
      <c r="AG6" s="12" t="str">
        <f t="shared" si="7"/>
        <v>FEMALE DOM</v>
      </c>
      <c r="AH6" s="12" t="str">
        <f t="shared" si="20"/>
        <v>O</v>
      </c>
      <c r="AI6" s="15">
        <f t="shared" si="8"/>
        <v>41.141141141141148</v>
      </c>
      <c r="AJ6" s="16" t="str">
        <f t="shared" si="9"/>
        <v>BJP GAIN</v>
      </c>
      <c r="AK6" s="19" t="str">
        <f t="shared" si="21"/>
        <v>HIGHMARGIN</v>
      </c>
    </row>
    <row r="7" spans="1:37">
      <c r="A7" s="7">
        <v>4</v>
      </c>
      <c r="B7" s="8" t="s">
        <v>138</v>
      </c>
      <c r="C7" s="7">
        <v>806</v>
      </c>
      <c r="D7" s="7">
        <v>551</v>
      </c>
      <c r="E7" s="7">
        <f t="shared" si="0"/>
        <v>68.362282878411904</v>
      </c>
      <c r="F7" s="7">
        <v>217</v>
      </c>
      <c r="G7" s="7">
        <f t="shared" si="1"/>
        <v>26.923076923076923</v>
      </c>
      <c r="H7" s="7">
        <v>2</v>
      </c>
      <c r="I7" s="7">
        <f t="shared" si="2"/>
        <v>0.24813895781637718</v>
      </c>
      <c r="J7" s="7">
        <v>20</v>
      </c>
      <c r="K7" s="7">
        <f t="shared" si="3"/>
        <v>2.481389578163772</v>
      </c>
      <c r="L7" s="9">
        <v>527</v>
      </c>
      <c r="M7" s="9">
        <v>548</v>
      </c>
      <c r="N7" s="9">
        <f t="shared" si="4"/>
        <v>1075</v>
      </c>
      <c r="O7" s="7">
        <v>806</v>
      </c>
      <c r="P7" s="10">
        <f t="shared" si="10"/>
        <v>74.976744186046503</v>
      </c>
      <c r="Q7" s="7">
        <f>1075-235</f>
        <v>840</v>
      </c>
      <c r="R7" s="7">
        <f t="shared" si="11"/>
        <v>78.139534883720927</v>
      </c>
      <c r="S7" s="7">
        <f t="shared" si="5"/>
        <v>219</v>
      </c>
      <c r="T7" s="7">
        <f t="shared" si="12"/>
        <v>26.071428571428573</v>
      </c>
      <c r="U7" s="7">
        <v>621</v>
      </c>
      <c r="V7" s="11">
        <f t="shared" si="13"/>
        <v>73.928571428571431</v>
      </c>
      <c r="W7" s="7">
        <v>235</v>
      </c>
      <c r="X7" s="7">
        <f t="shared" si="14"/>
        <v>21.860465116279073</v>
      </c>
      <c r="Y7" s="17">
        <f t="shared" si="22"/>
        <v>50</v>
      </c>
      <c r="Z7" s="12">
        <f t="shared" si="15"/>
        <v>21.276595744680851</v>
      </c>
      <c r="AA7" s="12">
        <f>806-621</f>
        <v>185</v>
      </c>
      <c r="AB7" s="13">
        <f t="shared" si="16"/>
        <v>78.723404255319153</v>
      </c>
      <c r="AC7" s="12">
        <f t="shared" si="6"/>
        <v>806</v>
      </c>
      <c r="AD7" s="12" t="str">
        <f t="shared" si="17"/>
        <v>STRONG</v>
      </c>
      <c r="AE7" s="14" t="str">
        <f t="shared" si="18"/>
        <v>STRONG</v>
      </c>
      <c r="AF7" s="12" t="str">
        <f t="shared" si="19"/>
        <v>VLOW</v>
      </c>
      <c r="AG7" s="12" t="str">
        <f t="shared" si="7"/>
        <v>FEMALE DOM</v>
      </c>
      <c r="AH7" s="12" t="str">
        <f t="shared" si="20"/>
        <v>H</v>
      </c>
      <c r="AI7" s="15">
        <f t="shared" si="8"/>
        <v>41.439205955334984</v>
      </c>
      <c r="AJ7" s="16" t="str">
        <f t="shared" si="9"/>
        <v>BJP GAIN</v>
      </c>
      <c r="AK7" s="19" t="str">
        <f t="shared" si="21"/>
        <v>HIGHMARGIN</v>
      </c>
    </row>
    <row r="8" spans="1:37">
      <c r="A8" s="7">
        <v>5</v>
      </c>
      <c r="B8" s="8" t="s">
        <v>139</v>
      </c>
      <c r="C8" s="7">
        <v>920</v>
      </c>
      <c r="D8" s="7">
        <v>460</v>
      </c>
      <c r="E8" s="7">
        <f t="shared" si="0"/>
        <v>50</v>
      </c>
      <c r="F8" s="7">
        <v>308</v>
      </c>
      <c r="G8" s="7">
        <f t="shared" si="1"/>
        <v>33.478260869565219</v>
      </c>
      <c r="H8" s="7">
        <v>5</v>
      </c>
      <c r="I8" s="7">
        <f t="shared" si="2"/>
        <v>0.54347826086956519</v>
      </c>
      <c r="J8" s="7">
        <v>128</v>
      </c>
      <c r="K8" s="7">
        <f t="shared" si="3"/>
        <v>13.913043478260869</v>
      </c>
      <c r="L8" s="9">
        <v>542</v>
      </c>
      <c r="M8" s="9">
        <v>589</v>
      </c>
      <c r="N8" s="9">
        <f t="shared" si="4"/>
        <v>1131</v>
      </c>
      <c r="O8" s="7">
        <v>920</v>
      </c>
      <c r="P8" s="10">
        <f t="shared" si="10"/>
        <v>81.343943412908928</v>
      </c>
      <c r="Q8" s="7">
        <v>1027</v>
      </c>
      <c r="R8" s="7">
        <f t="shared" si="11"/>
        <v>90.804597701149419</v>
      </c>
      <c r="S8" s="7">
        <f t="shared" si="5"/>
        <v>201</v>
      </c>
      <c r="T8" s="7">
        <f t="shared" si="12"/>
        <v>19.571567672833496</v>
      </c>
      <c r="U8" s="7">
        <v>826</v>
      </c>
      <c r="V8" s="11">
        <f t="shared" si="13"/>
        <v>80.428432327166504</v>
      </c>
      <c r="W8" s="7">
        <f>37+67</f>
        <v>104</v>
      </c>
      <c r="X8" s="7">
        <f t="shared" si="14"/>
        <v>9.1954022988505812</v>
      </c>
      <c r="Y8" s="7">
        <f t="shared" si="22"/>
        <v>24</v>
      </c>
      <c r="Z8" s="12">
        <f t="shared" si="15"/>
        <v>23.076923076923077</v>
      </c>
      <c r="AA8" s="12">
        <v>80</v>
      </c>
      <c r="AB8" s="13">
        <f t="shared" si="16"/>
        <v>76.923076923076934</v>
      </c>
      <c r="AC8" s="12">
        <f t="shared" si="6"/>
        <v>906</v>
      </c>
      <c r="AD8" s="12" t="str">
        <f t="shared" si="17"/>
        <v>EXCELLENT</v>
      </c>
      <c r="AE8" s="14" t="str">
        <f t="shared" si="18"/>
        <v>EXCELLENT</v>
      </c>
      <c r="AF8" s="12" t="str">
        <f t="shared" si="19"/>
        <v>VLOW</v>
      </c>
      <c r="AG8" s="12" t="str">
        <f t="shared" si="7"/>
        <v>FEMALE DOM</v>
      </c>
      <c r="AH8" s="12" t="str">
        <f t="shared" si="20"/>
        <v>O</v>
      </c>
      <c r="AI8" s="15">
        <f t="shared" si="8"/>
        <v>16.521739130434781</v>
      </c>
      <c r="AJ8" s="16" t="str">
        <f t="shared" si="9"/>
        <v>BJP GAIN</v>
      </c>
      <c r="AK8" s="15" t="str">
        <f t="shared" si="21"/>
        <v>LOWMARGIN</v>
      </c>
    </row>
    <row r="9" spans="1:37">
      <c r="A9" s="7">
        <v>6</v>
      </c>
      <c r="B9" s="8" t="s">
        <v>140</v>
      </c>
      <c r="C9" s="7">
        <v>538</v>
      </c>
      <c r="D9" s="7">
        <v>385</v>
      </c>
      <c r="E9" s="7">
        <f t="shared" si="0"/>
        <v>71.561338289962833</v>
      </c>
      <c r="F9" s="7">
        <v>136</v>
      </c>
      <c r="G9" s="7">
        <f t="shared" si="1"/>
        <v>25.278810408921931</v>
      </c>
      <c r="H9" s="7">
        <v>2</v>
      </c>
      <c r="I9" s="7">
        <f t="shared" si="2"/>
        <v>0.37174721189591076</v>
      </c>
      <c r="J9" s="7">
        <v>10</v>
      </c>
      <c r="K9" s="7">
        <f t="shared" si="3"/>
        <v>1.8587360594795539</v>
      </c>
      <c r="L9" s="20">
        <v>363</v>
      </c>
      <c r="M9" s="20">
        <v>429</v>
      </c>
      <c r="N9" s="20">
        <f t="shared" si="4"/>
        <v>792</v>
      </c>
      <c r="O9" s="21">
        <v>538</v>
      </c>
      <c r="P9" s="22">
        <f t="shared" si="10"/>
        <v>67.929292929292927</v>
      </c>
      <c r="Q9" s="21">
        <v>661</v>
      </c>
      <c r="R9" s="21">
        <f t="shared" si="11"/>
        <v>83.459595959595958</v>
      </c>
      <c r="S9" s="21">
        <f t="shared" si="5"/>
        <v>198</v>
      </c>
      <c r="T9" s="21">
        <f t="shared" si="12"/>
        <v>29.954614220877456</v>
      </c>
      <c r="U9" s="21">
        <v>463</v>
      </c>
      <c r="V9" s="11">
        <f>IFERROR(U9/Q9*100,0)</f>
        <v>70.04538577912254</v>
      </c>
      <c r="W9" s="21">
        <v>131</v>
      </c>
      <c r="X9" s="21">
        <f t="shared" si="14"/>
        <v>16.540404040404042</v>
      </c>
      <c r="Y9" s="21">
        <f t="shared" si="22"/>
        <v>56</v>
      </c>
      <c r="Z9" s="23">
        <f t="shared" si="15"/>
        <v>42.748091603053432</v>
      </c>
      <c r="AA9" s="23">
        <v>75</v>
      </c>
      <c r="AB9" s="13">
        <f t="shared" si="16"/>
        <v>57.251908396946561</v>
      </c>
      <c r="AC9" s="23">
        <f t="shared" si="6"/>
        <v>538</v>
      </c>
      <c r="AD9" s="12" t="str">
        <f t="shared" si="17"/>
        <v>AVG</v>
      </c>
      <c r="AE9" s="14" t="str">
        <f t="shared" si="18"/>
        <v>EXCELLENT</v>
      </c>
      <c r="AF9" s="12" t="str">
        <f t="shared" si="19"/>
        <v>VLOW</v>
      </c>
      <c r="AG9" s="12" t="str">
        <f t="shared" si="7"/>
        <v>FEMALE DOM</v>
      </c>
      <c r="AH9" s="12" t="str">
        <f t="shared" si="20"/>
        <v>O</v>
      </c>
      <c r="AI9" s="15">
        <f t="shared" si="8"/>
        <v>46.282527881040906</v>
      </c>
      <c r="AJ9" s="16" t="str">
        <f t="shared" si="9"/>
        <v>BJP GAIN</v>
      </c>
      <c r="AK9" s="19" t="str">
        <f t="shared" si="21"/>
        <v>HIGHMARGIN</v>
      </c>
    </row>
    <row r="10" spans="1:37">
      <c r="A10" s="7">
        <v>7</v>
      </c>
      <c r="B10" s="8" t="s">
        <v>141</v>
      </c>
      <c r="C10" s="7">
        <v>515</v>
      </c>
      <c r="D10" s="7">
        <v>328</v>
      </c>
      <c r="E10" s="7">
        <f t="shared" si="0"/>
        <v>63.689320388349515</v>
      </c>
      <c r="F10" s="7">
        <v>166</v>
      </c>
      <c r="G10" s="7">
        <f t="shared" si="1"/>
        <v>32.233009708737868</v>
      </c>
      <c r="H10" s="7">
        <v>1</v>
      </c>
      <c r="I10" s="7">
        <f t="shared" si="2"/>
        <v>0.1941747572815534</v>
      </c>
      <c r="J10" s="7">
        <v>7</v>
      </c>
      <c r="K10" s="7">
        <f t="shared" si="3"/>
        <v>1.3592233009708738</v>
      </c>
      <c r="L10" s="9">
        <v>380</v>
      </c>
      <c r="M10" s="9">
        <v>418</v>
      </c>
      <c r="N10" s="9">
        <f t="shared" si="4"/>
        <v>798</v>
      </c>
      <c r="O10" s="7">
        <v>515</v>
      </c>
      <c r="P10" s="10">
        <f t="shared" si="10"/>
        <v>64.536340852130323</v>
      </c>
      <c r="Q10" s="7">
        <v>627</v>
      </c>
      <c r="R10" s="7">
        <f t="shared" si="11"/>
        <v>78.571428571428569</v>
      </c>
      <c r="S10" s="7">
        <f t="shared" si="5"/>
        <v>214</v>
      </c>
      <c r="T10" s="7">
        <f t="shared" si="12"/>
        <v>34.130781499202548</v>
      </c>
      <c r="U10" s="7">
        <v>413</v>
      </c>
      <c r="V10" s="11">
        <f t="shared" si="13"/>
        <v>65.869218500797444</v>
      </c>
      <c r="W10" s="7">
        <v>171</v>
      </c>
      <c r="X10" s="7">
        <f t="shared" si="14"/>
        <v>21.428571428571431</v>
      </c>
      <c r="Y10" s="17">
        <f t="shared" si="22"/>
        <v>79</v>
      </c>
      <c r="Z10" s="12">
        <f t="shared" si="15"/>
        <v>46.198830409356724</v>
      </c>
      <c r="AA10" s="12">
        <v>92</v>
      </c>
      <c r="AB10" s="13">
        <f t="shared" si="16"/>
        <v>53.801169590643269</v>
      </c>
      <c r="AC10" s="12">
        <f t="shared" si="6"/>
        <v>505</v>
      </c>
      <c r="AD10" s="12" t="str">
        <f t="shared" si="17"/>
        <v>AVG</v>
      </c>
      <c r="AE10" s="14" t="str">
        <f t="shared" si="18"/>
        <v>STRONG</v>
      </c>
      <c r="AF10" s="12" t="str">
        <f t="shared" si="19"/>
        <v>VLOW</v>
      </c>
      <c r="AG10" s="12" t="str">
        <f t="shared" si="7"/>
        <v>FEMALE DOM</v>
      </c>
      <c r="AH10" s="12" t="str">
        <f t="shared" si="20"/>
        <v>O</v>
      </c>
      <c r="AI10" s="15">
        <f t="shared" si="8"/>
        <v>31.456310679611647</v>
      </c>
      <c r="AJ10" s="16" t="str">
        <f t="shared" si="9"/>
        <v>BJP GAIN</v>
      </c>
      <c r="AK10" s="24" t="str">
        <f t="shared" si="21"/>
        <v>MEDIUMMARGIN</v>
      </c>
    </row>
    <row r="11" spans="1:37">
      <c r="A11" s="7">
        <v>8</v>
      </c>
      <c r="B11" s="8" t="s">
        <v>142</v>
      </c>
      <c r="C11" s="7">
        <v>651</v>
      </c>
      <c r="D11" s="7">
        <v>367</v>
      </c>
      <c r="E11" s="7">
        <f t="shared" si="0"/>
        <v>56.374807987711215</v>
      </c>
      <c r="F11" s="7">
        <v>250</v>
      </c>
      <c r="G11" s="7">
        <f t="shared" si="1"/>
        <v>38.402457757296467</v>
      </c>
      <c r="H11" s="7">
        <v>4</v>
      </c>
      <c r="I11" s="7">
        <f t="shared" si="2"/>
        <v>0.61443932411674351</v>
      </c>
      <c r="J11" s="7">
        <v>8</v>
      </c>
      <c r="K11" s="7">
        <f t="shared" si="3"/>
        <v>1.228878648233487</v>
      </c>
      <c r="L11" s="9">
        <v>468</v>
      </c>
      <c r="M11" s="9">
        <v>497</v>
      </c>
      <c r="N11" s="9">
        <f t="shared" si="4"/>
        <v>965</v>
      </c>
      <c r="O11" s="7">
        <v>651</v>
      </c>
      <c r="P11" s="10">
        <f t="shared" si="10"/>
        <v>67.461139896373055</v>
      </c>
      <c r="Q11" s="7"/>
      <c r="R11" s="7">
        <f t="shared" si="11"/>
        <v>0</v>
      </c>
      <c r="S11" s="7">
        <f t="shared" si="5"/>
        <v>0</v>
      </c>
      <c r="T11" s="7" t="e">
        <f t="shared" si="12"/>
        <v>#DIV/0!</v>
      </c>
      <c r="U11" s="7"/>
      <c r="V11" s="11">
        <f t="shared" si="13"/>
        <v>0</v>
      </c>
      <c r="W11" s="7"/>
      <c r="X11" s="7">
        <f t="shared" si="14"/>
        <v>100</v>
      </c>
      <c r="Y11" s="7">
        <f t="shared" si="22"/>
        <v>0</v>
      </c>
      <c r="Z11" s="12" t="e">
        <f t="shared" si="15"/>
        <v>#DIV/0!</v>
      </c>
      <c r="AA11" s="12"/>
      <c r="AB11" s="13">
        <f t="shared" si="16"/>
        <v>0</v>
      </c>
      <c r="AC11" s="12">
        <f t="shared" si="6"/>
        <v>0</v>
      </c>
      <c r="AD11" s="12" t="str">
        <f t="shared" si="17"/>
        <v>AVG</v>
      </c>
      <c r="AE11" s="14" t="str">
        <f t="shared" si="18"/>
        <v>VLOW</v>
      </c>
      <c r="AF11" s="12" t="str">
        <f t="shared" si="19"/>
        <v>EXCELLENT</v>
      </c>
      <c r="AG11" s="12" t="str">
        <f t="shared" si="7"/>
        <v>FEMALE DOM</v>
      </c>
      <c r="AH11" s="12" t="e">
        <f t="shared" si="20"/>
        <v>#DIV/0!</v>
      </c>
      <c r="AI11" s="15">
        <f t="shared" si="8"/>
        <v>17.972350230414747</v>
      </c>
      <c r="AJ11" s="16" t="str">
        <f t="shared" si="9"/>
        <v>BJP GAIN</v>
      </c>
      <c r="AK11" s="15" t="str">
        <f t="shared" si="21"/>
        <v>LOWMARGIN</v>
      </c>
    </row>
    <row r="12" spans="1:37">
      <c r="A12" s="7">
        <v>9</v>
      </c>
      <c r="B12" s="8" t="s">
        <v>143</v>
      </c>
      <c r="C12" s="7">
        <v>555</v>
      </c>
      <c r="D12" s="7">
        <v>359</v>
      </c>
      <c r="E12" s="7">
        <f t="shared" si="0"/>
        <v>64.684684684684697</v>
      </c>
      <c r="F12" s="7">
        <v>170</v>
      </c>
      <c r="G12" s="7">
        <f t="shared" si="1"/>
        <v>30.630630630630627</v>
      </c>
      <c r="H12" s="7">
        <v>2</v>
      </c>
      <c r="I12" s="7">
        <f t="shared" si="2"/>
        <v>0.36036036036036034</v>
      </c>
      <c r="J12" s="7">
        <v>12</v>
      </c>
      <c r="K12" s="7">
        <f t="shared" si="3"/>
        <v>2.1621621621621623</v>
      </c>
      <c r="L12" s="9">
        <v>433</v>
      </c>
      <c r="M12" s="9">
        <v>502</v>
      </c>
      <c r="N12" s="9">
        <f t="shared" si="4"/>
        <v>935</v>
      </c>
      <c r="O12" s="7">
        <v>555</v>
      </c>
      <c r="P12" s="10">
        <f t="shared" si="10"/>
        <v>59.358288770053477</v>
      </c>
      <c r="Q12" s="7">
        <v>825</v>
      </c>
      <c r="R12" s="7">
        <f t="shared" si="11"/>
        <v>88.235294117647058</v>
      </c>
      <c r="S12" s="7">
        <f t="shared" si="5"/>
        <v>335</v>
      </c>
      <c r="T12" s="7">
        <f t="shared" si="12"/>
        <v>40.606060606060609</v>
      </c>
      <c r="U12" s="7">
        <v>490</v>
      </c>
      <c r="V12" s="11">
        <f t="shared" si="13"/>
        <v>59.393939393939398</v>
      </c>
      <c r="W12" s="7">
        <v>110</v>
      </c>
      <c r="X12" s="7">
        <f t="shared" si="14"/>
        <v>11.764705882352942</v>
      </c>
      <c r="Y12" s="7">
        <f t="shared" si="22"/>
        <v>45</v>
      </c>
      <c r="Z12" s="12">
        <f t="shared" si="15"/>
        <v>40.909090909090914</v>
      </c>
      <c r="AA12" s="12">
        <v>65</v>
      </c>
      <c r="AB12" s="13">
        <f t="shared" si="16"/>
        <v>59.090909090909093</v>
      </c>
      <c r="AC12" s="12">
        <f t="shared" si="6"/>
        <v>555</v>
      </c>
      <c r="AD12" s="12" t="str">
        <f t="shared" si="17"/>
        <v>WEAK</v>
      </c>
      <c r="AE12" s="14" t="str">
        <f t="shared" si="18"/>
        <v>EXCELLENT</v>
      </c>
      <c r="AF12" s="12" t="str">
        <f t="shared" si="19"/>
        <v>VLOW</v>
      </c>
      <c r="AG12" s="12" t="str">
        <f t="shared" si="7"/>
        <v>FEMALE DOM</v>
      </c>
      <c r="AH12" s="12" t="str">
        <f t="shared" si="20"/>
        <v>O</v>
      </c>
      <c r="AI12" s="15">
        <f t="shared" si="8"/>
        <v>34.05405405405407</v>
      </c>
      <c r="AJ12" s="16" t="str">
        <f t="shared" si="9"/>
        <v>BJP GAIN</v>
      </c>
      <c r="AK12" s="24" t="str">
        <f t="shared" si="21"/>
        <v>MEDIUMMARGIN</v>
      </c>
    </row>
    <row r="13" spans="1:37">
      <c r="A13" s="7">
        <v>10</v>
      </c>
      <c r="B13" s="8" t="s">
        <v>144</v>
      </c>
      <c r="C13" s="7">
        <v>903</v>
      </c>
      <c r="D13" s="7">
        <v>537</v>
      </c>
      <c r="E13" s="7">
        <f t="shared" si="0"/>
        <v>59.46843853820598</v>
      </c>
      <c r="F13" s="7">
        <v>327</v>
      </c>
      <c r="G13" s="7">
        <f t="shared" si="1"/>
        <v>36.212624584717609</v>
      </c>
      <c r="H13" s="7">
        <v>8</v>
      </c>
      <c r="I13" s="7">
        <f t="shared" si="2"/>
        <v>0.88593576965669985</v>
      </c>
      <c r="J13" s="7">
        <v>11</v>
      </c>
      <c r="K13" s="7">
        <f t="shared" si="3"/>
        <v>1.2181616832779625</v>
      </c>
      <c r="L13" s="9">
        <v>614</v>
      </c>
      <c r="M13" s="9">
        <v>697</v>
      </c>
      <c r="N13" s="9">
        <f t="shared" si="4"/>
        <v>1311</v>
      </c>
      <c r="O13" s="7">
        <v>903</v>
      </c>
      <c r="P13" s="10">
        <f t="shared" si="10"/>
        <v>68.878718535469105</v>
      </c>
      <c r="Q13" s="7"/>
      <c r="R13" s="7">
        <f t="shared" si="11"/>
        <v>0</v>
      </c>
      <c r="S13" s="21">
        <f t="shared" si="5"/>
        <v>0</v>
      </c>
      <c r="T13" s="7" t="e">
        <f t="shared" si="12"/>
        <v>#DIV/0!</v>
      </c>
      <c r="U13" s="7"/>
      <c r="V13" s="11">
        <f t="shared" si="13"/>
        <v>0</v>
      </c>
      <c r="W13" s="7"/>
      <c r="X13" s="7">
        <f t="shared" si="14"/>
        <v>100</v>
      </c>
      <c r="Y13" s="17">
        <f t="shared" si="22"/>
        <v>0</v>
      </c>
      <c r="Z13" s="12" t="e">
        <f t="shared" si="15"/>
        <v>#DIV/0!</v>
      </c>
      <c r="AA13" s="12"/>
      <c r="AB13" s="13">
        <f t="shared" si="16"/>
        <v>0</v>
      </c>
      <c r="AC13" s="12">
        <f t="shared" si="6"/>
        <v>0</v>
      </c>
      <c r="AD13" s="12" t="str">
        <f t="shared" si="17"/>
        <v>AVG</v>
      </c>
      <c r="AE13" s="14" t="str">
        <f t="shared" si="18"/>
        <v>VLOW</v>
      </c>
      <c r="AF13" s="12" t="str">
        <f t="shared" si="19"/>
        <v>EXCELLENT</v>
      </c>
      <c r="AG13" s="12" t="str">
        <f t="shared" si="7"/>
        <v>FEMALE DOM</v>
      </c>
      <c r="AH13" s="12" t="e">
        <f t="shared" si="20"/>
        <v>#DIV/0!</v>
      </c>
      <c r="AI13" s="15">
        <f t="shared" si="8"/>
        <v>23.255813953488371</v>
      </c>
      <c r="AJ13" s="16" t="str">
        <f t="shared" si="9"/>
        <v>BJP GAIN</v>
      </c>
      <c r="AK13" s="15" t="str">
        <f t="shared" si="21"/>
        <v>LOWMARGIN</v>
      </c>
    </row>
    <row r="14" spans="1:37">
      <c r="A14" s="7">
        <v>11</v>
      </c>
      <c r="B14" s="8" t="s">
        <v>145</v>
      </c>
      <c r="C14" s="7">
        <v>517</v>
      </c>
      <c r="D14" s="7">
        <v>326</v>
      </c>
      <c r="E14" s="7">
        <f t="shared" si="0"/>
        <v>63.05609284332688</v>
      </c>
      <c r="F14" s="7">
        <v>179</v>
      </c>
      <c r="G14" s="7">
        <f t="shared" si="1"/>
        <v>34.622823984526114</v>
      </c>
      <c r="H14" s="7">
        <v>3</v>
      </c>
      <c r="I14" s="7">
        <f t="shared" si="2"/>
        <v>0.58027079303675055</v>
      </c>
      <c r="J14" s="7">
        <v>4</v>
      </c>
      <c r="K14" s="7">
        <f t="shared" si="3"/>
        <v>0.77369439071566737</v>
      </c>
      <c r="L14" s="9">
        <v>431</v>
      </c>
      <c r="M14" s="9">
        <v>509</v>
      </c>
      <c r="N14" s="9">
        <f t="shared" si="4"/>
        <v>940</v>
      </c>
      <c r="O14" s="7">
        <v>517</v>
      </c>
      <c r="P14" s="10">
        <f t="shared" si="10"/>
        <v>55.000000000000007</v>
      </c>
      <c r="Q14" s="7"/>
      <c r="R14" s="7">
        <f t="shared" si="11"/>
        <v>0</v>
      </c>
      <c r="S14" s="7">
        <f t="shared" si="5"/>
        <v>0</v>
      </c>
      <c r="T14" s="7" t="e">
        <f t="shared" si="12"/>
        <v>#DIV/0!</v>
      </c>
      <c r="U14" s="7"/>
      <c r="V14" s="11">
        <f t="shared" si="13"/>
        <v>0</v>
      </c>
      <c r="W14" s="7"/>
      <c r="X14" s="7">
        <f t="shared" si="14"/>
        <v>100</v>
      </c>
      <c r="Y14" s="7">
        <f t="shared" si="22"/>
        <v>0</v>
      </c>
      <c r="Z14" s="12" t="e">
        <f t="shared" si="15"/>
        <v>#DIV/0!</v>
      </c>
      <c r="AA14" s="12"/>
      <c r="AB14" s="13">
        <f t="shared" si="16"/>
        <v>0</v>
      </c>
      <c r="AC14" s="12">
        <f t="shared" si="6"/>
        <v>0</v>
      </c>
      <c r="AD14" s="12" t="str">
        <f t="shared" si="17"/>
        <v>WEAK</v>
      </c>
      <c r="AE14" s="14" t="str">
        <f t="shared" si="18"/>
        <v>VLOW</v>
      </c>
      <c r="AF14" s="12" t="str">
        <f t="shared" si="19"/>
        <v>EXCELLENT</v>
      </c>
      <c r="AG14" s="12" t="str">
        <f t="shared" si="7"/>
        <v>FEMALE DOM</v>
      </c>
      <c r="AH14" s="12" t="e">
        <f t="shared" si="20"/>
        <v>#DIV/0!</v>
      </c>
      <c r="AI14" s="15">
        <f t="shared" si="8"/>
        <v>28.433268858800766</v>
      </c>
      <c r="AJ14" s="16" t="str">
        <f t="shared" si="9"/>
        <v>BJP GAIN</v>
      </c>
      <c r="AK14" s="15" t="str">
        <f t="shared" si="21"/>
        <v>LOWMARGIN</v>
      </c>
    </row>
    <row r="15" spans="1:37">
      <c r="A15" s="7">
        <v>12</v>
      </c>
      <c r="B15" s="8" t="s">
        <v>146</v>
      </c>
      <c r="C15" s="7">
        <v>614</v>
      </c>
      <c r="D15" s="7">
        <v>364</v>
      </c>
      <c r="E15" s="7">
        <f t="shared" si="0"/>
        <v>59.283387622149839</v>
      </c>
      <c r="F15" s="7">
        <v>234</v>
      </c>
      <c r="G15" s="7">
        <f t="shared" si="1"/>
        <v>38.11074918566775</v>
      </c>
      <c r="H15" s="7">
        <v>2</v>
      </c>
      <c r="I15" s="7">
        <f t="shared" si="2"/>
        <v>0.32573289902280134</v>
      </c>
      <c r="J15" s="7">
        <v>7</v>
      </c>
      <c r="K15" s="7">
        <f t="shared" si="3"/>
        <v>1.1400651465798046</v>
      </c>
      <c r="L15" s="9">
        <v>449</v>
      </c>
      <c r="M15" s="9">
        <v>507</v>
      </c>
      <c r="N15" s="9">
        <f t="shared" si="4"/>
        <v>956</v>
      </c>
      <c r="O15" s="7">
        <v>614</v>
      </c>
      <c r="P15" s="10">
        <f t="shared" si="10"/>
        <v>64.225941422594147</v>
      </c>
      <c r="Q15" s="7"/>
      <c r="R15" s="7">
        <f t="shared" si="11"/>
        <v>0</v>
      </c>
      <c r="S15" s="7">
        <f t="shared" si="5"/>
        <v>0</v>
      </c>
      <c r="T15" s="7" t="e">
        <f t="shared" si="12"/>
        <v>#DIV/0!</v>
      </c>
      <c r="U15" s="7"/>
      <c r="V15" s="11">
        <f t="shared" si="13"/>
        <v>0</v>
      </c>
      <c r="W15" s="7"/>
      <c r="X15" s="7">
        <f t="shared" si="14"/>
        <v>100</v>
      </c>
      <c r="Y15" s="7">
        <f t="shared" si="22"/>
        <v>0</v>
      </c>
      <c r="Z15" s="12" t="e">
        <f t="shared" si="15"/>
        <v>#DIV/0!</v>
      </c>
      <c r="AA15" s="12"/>
      <c r="AB15" s="13">
        <f t="shared" si="16"/>
        <v>0</v>
      </c>
      <c r="AC15" s="12">
        <f t="shared" si="6"/>
        <v>0</v>
      </c>
      <c r="AD15" s="12" t="str">
        <f t="shared" si="17"/>
        <v>AVG</v>
      </c>
      <c r="AE15" s="14" t="str">
        <f t="shared" si="18"/>
        <v>VLOW</v>
      </c>
      <c r="AF15" s="12" t="str">
        <f t="shared" si="19"/>
        <v>EXCELLENT</v>
      </c>
      <c r="AG15" s="12" t="str">
        <f t="shared" si="7"/>
        <v>FEMALE DOM</v>
      </c>
      <c r="AH15" s="12" t="e">
        <f t="shared" si="20"/>
        <v>#DIV/0!</v>
      </c>
      <c r="AI15" s="15">
        <f t="shared" si="8"/>
        <v>21.172638436482089</v>
      </c>
      <c r="AJ15" s="16" t="str">
        <f t="shared" si="9"/>
        <v>BJP GAIN</v>
      </c>
      <c r="AK15" s="15" t="str">
        <f t="shared" si="21"/>
        <v>LOWMARGIN</v>
      </c>
    </row>
    <row r="16" spans="1:37">
      <c r="A16" s="7">
        <v>13</v>
      </c>
      <c r="B16" s="8" t="s">
        <v>147</v>
      </c>
      <c r="C16" s="7">
        <v>422</v>
      </c>
      <c r="D16" s="7">
        <v>279</v>
      </c>
      <c r="E16" s="7">
        <f t="shared" si="0"/>
        <v>66.113744075829388</v>
      </c>
      <c r="F16" s="7">
        <v>129</v>
      </c>
      <c r="G16" s="7">
        <f t="shared" si="1"/>
        <v>30.568720379146917</v>
      </c>
      <c r="H16" s="7">
        <v>2</v>
      </c>
      <c r="I16" s="7">
        <f t="shared" si="2"/>
        <v>0.47393364928909953</v>
      </c>
      <c r="J16" s="7">
        <v>3</v>
      </c>
      <c r="K16" s="7">
        <f t="shared" si="3"/>
        <v>0.7109004739336493</v>
      </c>
      <c r="L16" s="9">
        <v>423</v>
      </c>
      <c r="M16" s="9">
        <v>447</v>
      </c>
      <c r="N16" s="9">
        <f t="shared" si="4"/>
        <v>870</v>
      </c>
      <c r="O16" s="7">
        <v>422</v>
      </c>
      <c r="P16" s="10">
        <f t="shared" si="10"/>
        <v>48.505747126436781</v>
      </c>
      <c r="Q16" s="7"/>
      <c r="R16" s="7">
        <f t="shared" si="11"/>
        <v>0</v>
      </c>
      <c r="S16" s="7">
        <f t="shared" si="5"/>
        <v>0</v>
      </c>
      <c r="T16" s="7" t="e">
        <f t="shared" si="12"/>
        <v>#DIV/0!</v>
      </c>
      <c r="U16" s="7"/>
      <c r="V16" s="11">
        <f t="shared" si="13"/>
        <v>0</v>
      </c>
      <c r="W16" s="7"/>
      <c r="X16" s="7">
        <f t="shared" si="14"/>
        <v>100</v>
      </c>
      <c r="Y16" s="17">
        <f t="shared" si="22"/>
        <v>0</v>
      </c>
      <c r="Z16" s="12" t="e">
        <f t="shared" si="15"/>
        <v>#DIV/0!</v>
      </c>
      <c r="AA16" s="12"/>
      <c r="AB16" s="13">
        <f t="shared" si="16"/>
        <v>0</v>
      </c>
      <c r="AC16" s="12">
        <f t="shared" si="6"/>
        <v>0</v>
      </c>
      <c r="AD16" s="12" t="str">
        <f t="shared" si="17"/>
        <v>VLOW</v>
      </c>
      <c r="AE16" s="14" t="str">
        <f t="shared" si="18"/>
        <v>VLOW</v>
      </c>
      <c r="AF16" s="12" t="str">
        <f t="shared" si="19"/>
        <v>EXCELLENT</v>
      </c>
      <c r="AG16" s="12" t="str">
        <f t="shared" si="7"/>
        <v>FEMALE DOM</v>
      </c>
      <c r="AH16" s="12" t="e">
        <f t="shared" si="20"/>
        <v>#DIV/0!</v>
      </c>
      <c r="AI16" s="15">
        <f t="shared" si="8"/>
        <v>35.54502369668247</v>
      </c>
      <c r="AJ16" s="16" t="str">
        <f t="shared" si="9"/>
        <v>BJP GAIN</v>
      </c>
      <c r="AK16" s="24" t="str">
        <f t="shared" si="21"/>
        <v>MEDIUMMARGIN</v>
      </c>
    </row>
    <row r="17" spans="1:37">
      <c r="A17" s="7">
        <v>14</v>
      </c>
      <c r="B17" s="8" t="s">
        <v>148</v>
      </c>
      <c r="C17" s="7">
        <v>921</v>
      </c>
      <c r="D17" s="7">
        <v>517</v>
      </c>
      <c r="E17" s="7">
        <f t="shared" si="0"/>
        <v>56.134636264929426</v>
      </c>
      <c r="F17" s="7">
        <v>366</v>
      </c>
      <c r="G17" s="7">
        <f t="shared" si="1"/>
        <v>39.739413680781759</v>
      </c>
      <c r="H17" s="7">
        <v>2</v>
      </c>
      <c r="I17" s="7">
        <f t="shared" si="2"/>
        <v>0.21715526601520088</v>
      </c>
      <c r="J17" s="7">
        <v>5</v>
      </c>
      <c r="K17" s="7">
        <f t="shared" si="3"/>
        <v>0.54288816503800219</v>
      </c>
      <c r="L17" s="9">
        <v>662</v>
      </c>
      <c r="M17" s="9">
        <v>740</v>
      </c>
      <c r="N17" s="9">
        <f t="shared" si="4"/>
        <v>1402</v>
      </c>
      <c r="O17" s="7">
        <v>921</v>
      </c>
      <c r="P17" s="10">
        <f t="shared" si="10"/>
        <v>65.691868758915845</v>
      </c>
      <c r="Q17" s="7">
        <v>1004</v>
      </c>
      <c r="R17" s="7">
        <f t="shared" si="11"/>
        <v>71.611982881597712</v>
      </c>
      <c r="S17" s="21">
        <f t="shared" si="5"/>
        <v>856</v>
      </c>
      <c r="T17" s="7">
        <f t="shared" si="12"/>
        <v>85.258964143426297</v>
      </c>
      <c r="U17" s="7">
        <v>148</v>
      </c>
      <c r="V17" s="11">
        <f t="shared" si="13"/>
        <v>14.741035856573706</v>
      </c>
      <c r="W17" s="7">
        <v>398</v>
      </c>
      <c r="X17" s="7">
        <f t="shared" si="14"/>
        <v>28.388017118402288</v>
      </c>
      <c r="Y17" s="7">
        <f t="shared" si="22"/>
        <v>327</v>
      </c>
      <c r="Z17" s="12">
        <f t="shared" si="15"/>
        <v>82.1608040201005</v>
      </c>
      <c r="AA17" s="12">
        <v>71</v>
      </c>
      <c r="AB17" s="13">
        <f t="shared" si="16"/>
        <v>17.839195979899497</v>
      </c>
      <c r="AC17" s="12">
        <f t="shared" si="6"/>
        <v>219</v>
      </c>
      <c r="AD17" s="12" t="str">
        <f t="shared" si="17"/>
        <v>AVG</v>
      </c>
      <c r="AE17" s="14" t="str">
        <f t="shared" si="18"/>
        <v>STRONG</v>
      </c>
      <c r="AF17" s="12" t="str">
        <f t="shared" si="19"/>
        <v>VLOW</v>
      </c>
      <c r="AG17" s="12" t="str">
        <f t="shared" si="7"/>
        <v>FEMALE DOM</v>
      </c>
      <c r="AH17" s="12" t="str">
        <f t="shared" si="20"/>
        <v>H</v>
      </c>
      <c r="AI17" s="15">
        <f t="shared" si="8"/>
        <v>16.395222584147668</v>
      </c>
      <c r="AJ17" s="16" t="str">
        <f t="shared" si="9"/>
        <v>BJP GAIN</v>
      </c>
      <c r="AK17" s="15" t="str">
        <f t="shared" si="21"/>
        <v>LOWMARGIN</v>
      </c>
    </row>
    <row r="18" spans="1:37">
      <c r="A18" s="7">
        <v>15</v>
      </c>
      <c r="B18" s="8" t="s">
        <v>149</v>
      </c>
      <c r="C18" s="7">
        <v>928</v>
      </c>
      <c r="D18" s="7">
        <v>539</v>
      </c>
      <c r="E18" s="7">
        <f t="shared" si="0"/>
        <v>58.081896551724135</v>
      </c>
      <c r="F18" s="7">
        <v>363</v>
      </c>
      <c r="G18" s="7">
        <f t="shared" si="1"/>
        <v>39.116379310344826</v>
      </c>
      <c r="H18" s="7">
        <v>7</v>
      </c>
      <c r="I18" s="7">
        <f t="shared" si="2"/>
        <v>0.75431034482758619</v>
      </c>
      <c r="J18" s="7">
        <v>5</v>
      </c>
      <c r="K18" s="7">
        <f t="shared" si="3"/>
        <v>0.53879310344827591</v>
      </c>
      <c r="L18" s="9">
        <v>593</v>
      </c>
      <c r="M18" s="9">
        <v>666</v>
      </c>
      <c r="N18" s="9">
        <f t="shared" si="4"/>
        <v>1259</v>
      </c>
      <c r="O18" s="7">
        <v>928</v>
      </c>
      <c r="P18" s="10">
        <f t="shared" si="10"/>
        <v>73.709293089753771</v>
      </c>
      <c r="Q18" s="7"/>
      <c r="R18" s="7">
        <f t="shared" si="11"/>
        <v>0</v>
      </c>
      <c r="S18" s="7">
        <f t="shared" si="5"/>
        <v>0</v>
      </c>
      <c r="T18" s="7" t="e">
        <f t="shared" si="12"/>
        <v>#DIV/0!</v>
      </c>
      <c r="U18" s="7"/>
      <c r="V18" s="11">
        <f t="shared" si="13"/>
        <v>0</v>
      </c>
      <c r="W18" s="7"/>
      <c r="X18" s="7">
        <f t="shared" si="14"/>
        <v>100</v>
      </c>
      <c r="Y18" s="7">
        <f t="shared" si="22"/>
        <v>0</v>
      </c>
      <c r="Z18" s="12" t="e">
        <f t="shared" si="15"/>
        <v>#DIV/0!</v>
      </c>
      <c r="AA18" s="12"/>
      <c r="AB18" s="13">
        <f t="shared" si="16"/>
        <v>0</v>
      </c>
      <c r="AC18" s="12">
        <f t="shared" si="6"/>
        <v>0</v>
      </c>
      <c r="AD18" s="12" t="str">
        <f t="shared" si="17"/>
        <v>STRONG</v>
      </c>
      <c r="AE18" s="14" t="str">
        <f t="shared" si="18"/>
        <v>VLOW</v>
      </c>
      <c r="AF18" s="12" t="str">
        <f t="shared" si="19"/>
        <v>EXCELLENT</v>
      </c>
      <c r="AG18" s="12" t="str">
        <f t="shared" si="7"/>
        <v>FEMALE DOM</v>
      </c>
      <c r="AH18" s="12" t="e">
        <f t="shared" si="20"/>
        <v>#DIV/0!</v>
      </c>
      <c r="AI18" s="15">
        <f t="shared" si="8"/>
        <v>18.96551724137931</v>
      </c>
      <c r="AJ18" s="16" t="str">
        <f t="shared" si="9"/>
        <v>BJP GAIN</v>
      </c>
      <c r="AK18" s="15" t="str">
        <f t="shared" si="21"/>
        <v>LOWMARGIN</v>
      </c>
    </row>
    <row r="19" spans="1:37">
      <c r="A19" s="7">
        <v>16</v>
      </c>
      <c r="B19" s="8" t="s">
        <v>150</v>
      </c>
      <c r="C19" s="7">
        <v>676</v>
      </c>
      <c r="D19" s="7">
        <v>339</v>
      </c>
      <c r="E19" s="7">
        <f t="shared" si="0"/>
        <v>50.147928994082832</v>
      </c>
      <c r="F19" s="7">
        <v>307</v>
      </c>
      <c r="G19" s="7">
        <f t="shared" si="1"/>
        <v>45.414201183431949</v>
      </c>
      <c r="H19" s="7">
        <v>0</v>
      </c>
      <c r="I19" s="7">
        <f t="shared" si="2"/>
        <v>0</v>
      </c>
      <c r="J19" s="7">
        <v>5</v>
      </c>
      <c r="K19" s="7">
        <f t="shared" si="3"/>
        <v>0.73964497041420119</v>
      </c>
      <c r="L19" s="9">
        <v>480</v>
      </c>
      <c r="M19" s="9">
        <v>514</v>
      </c>
      <c r="N19" s="9">
        <f t="shared" si="4"/>
        <v>994</v>
      </c>
      <c r="O19" s="7">
        <v>676</v>
      </c>
      <c r="P19" s="10">
        <f t="shared" si="10"/>
        <v>68.008048289738426</v>
      </c>
      <c r="Q19" s="7">
        <v>621</v>
      </c>
      <c r="R19" s="7">
        <f t="shared" si="11"/>
        <v>62.474849094567411</v>
      </c>
      <c r="S19" s="7">
        <f t="shared" si="5"/>
        <v>170</v>
      </c>
      <c r="T19" s="7">
        <f t="shared" si="12"/>
        <v>27.375201288244767</v>
      </c>
      <c r="U19" s="7">
        <v>451</v>
      </c>
      <c r="V19" s="11">
        <f t="shared" si="13"/>
        <v>72.624798711755233</v>
      </c>
      <c r="W19" s="7">
        <v>373</v>
      </c>
      <c r="X19" s="7">
        <f t="shared" si="14"/>
        <v>37.525150905432589</v>
      </c>
      <c r="Y19" s="17">
        <f t="shared" si="22"/>
        <v>148</v>
      </c>
      <c r="Z19" s="12">
        <f t="shared" si="15"/>
        <v>39.678284182305632</v>
      </c>
      <c r="AA19" s="12">
        <v>225</v>
      </c>
      <c r="AB19" s="13">
        <f t="shared" si="16"/>
        <v>60.321715817694368</v>
      </c>
      <c r="AC19" s="12">
        <f t="shared" si="6"/>
        <v>676</v>
      </c>
      <c r="AD19" s="12" t="str">
        <f t="shared" si="17"/>
        <v>AVG</v>
      </c>
      <c r="AE19" s="14" t="str">
        <f t="shared" si="18"/>
        <v>AVG</v>
      </c>
      <c r="AF19" s="12" t="str">
        <f t="shared" si="19"/>
        <v>VLOW</v>
      </c>
      <c r="AG19" s="12" t="str">
        <f t="shared" si="7"/>
        <v>FEMALE DOM</v>
      </c>
      <c r="AH19" s="12" t="str">
        <f t="shared" si="20"/>
        <v>O</v>
      </c>
      <c r="AI19" s="15">
        <f t="shared" si="8"/>
        <v>4.7337278106508833</v>
      </c>
      <c r="AJ19" s="16" t="str">
        <f t="shared" si="9"/>
        <v>BJP GAIN</v>
      </c>
      <c r="AK19" s="15" t="str">
        <f t="shared" si="21"/>
        <v>NARROWMARGIN</v>
      </c>
    </row>
    <row r="20" spans="1:37">
      <c r="A20" s="7">
        <v>17</v>
      </c>
      <c r="B20" s="8" t="s">
        <v>151</v>
      </c>
      <c r="C20" s="7">
        <v>814</v>
      </c>
      <c r="D20" s="7">
        <v>484</v>
      </c>
      <c r="E20" s="7">
        <f t="shared" si="0"/>
        <v>59.45945945945946</v>
      </c>
      <c r="F20" s="7">
        <v>297</v>
      </c>
      <c r="G20" s="7">
        <f t="shared" si="1"/>
        <v>36.486486486486484</v>
      </c>
      <c r="H20" s="7">
        <v>5</v>
      </c>
      <c r="I20" s="7">
        <f t="shared" si="2"/>
        <v>0.61425061425061422</v>
      </c>
      <c r="J20" s="7">
        <v>2</v>
      </c>
      <c r="K20" s="7">
        <f t="shared" si="3"/>
        <v>0.24570024570024571</v>
      </c>
      <c r="L20" s="9">
        <v>545</v>
      </c>
      <c r="M20" s="9">
        <v>593</v>
      </c>
      <c r="N20" s="9">
        <f t="shared" si="4"/>
        <v>1138</v>
      </c>
      <c r="O20" s="7">
        <v>814</v>
      </c>
      <c r="P20" s="10">
        <f t="shared" si="10"/>
        <v>71.528998242530747</v>
      </c>
      <c r="Q20" s="7">
        <v>911</v>
      </c>
      <c r="R20" s="7">
        <f t="shared" si="11"/>
        <v>80.052724077328648</v>
      </c>
      <c r="S20" s="7">
        <f t="shared" si="5"/>
        <v>331</v>
      </c>
      <c r="T20" s="7">
        <f t="shared" si="12"/>
        <v>36.333699231613608</v>
      </c>
      <c r="U20" s="7">
        <v>580</v>
      </c>
      <c r="V20" s="11">
        <f t="shared" si="13"/>
        <v>63.666300768386385</v>
      </c>
      <c r="W20" s="7">
        <v>270</v>
      </c>
      <c r="X20" s="7">
        <f t="shared" si="14"/>
        <v>19.947275922671352</v>
      </c>
      <c r="Y20" s="7">
        <f t="shared" si="22"/>
        <v>40</v>
      </c>
      <c r="Z20" s="12">
        <f t="shared" si="15"/>
        <v>14.814814814814813</v>
      </c>
      <c r="AA20" s="12">
        <v>230</v>
      </c>
      <c r="AB20" s="13">
        <f t="shared" si="16"/>
        <v>85.18518518518519</v>
      </c>
      <c r="AC20" s="12">
        <f t="shared" si="6"/>
        <v>810</v>
      </c>
      <c r="AD20" s="12" t="str">
        <f t="shared" si="17"/>
        <v>STRONG</v>
      </c>
      <c r="AE20" s="14" t="str">
        <f t="shared" si="18"/>
        <v>EXCELLENT</v>
      </c>
      <c r="AF20" s="12" t="str">
        <f t="shared" si="19"/>
        <v>VLOW</v>
      </c>
      <c r="AG20" s="12" t="str">
        <f t="shared" si="7"/>
        <v>FEMALE DOM</v>
      </c>
      <c r="AH20" s="12" t="str">
        <f t="shared" si="20"/>
        <v>H</v>
      </c>
      <c r="AI20" s="15">
        <f t="shared" si="8"/>
        <v>22.972972972972975</v>
      </c>
      <c r="AJ20" s="16" t="str">
        <f t="shared" si="9"/>
        <v>BJP GAIN</v>
      </c>
      <c r="AK20" s="15" t="str">
        <f t="shared" si="21"/>
        <v>LOWMARGIN</v>
      </c>
    </row>
    <row r="21" spans="1:37">
      <c r="A21" s="7">
        <v>18</v>
      </c>
      <c r="B21" s="8" t="s">
        <v>152</v>
      </c>
      <c r="C21" s="7">
        <v>765</v>
      </c>
      <c r="D21" s="7">
        <v>406</v>
      </c>
      <c r="E21" s="7">
        <f t="shared" si="0"/>
        <v>53.071895424836605</v>
      </c>
      <c r="F21" s="7">
        <v>338</v>
      </c>
      <c r="G21" s="7">
        <f t="shared" si="1"/>
        <v>44.183006535947712</v>
      </c>
      <c r="H21" s="7">
        <v>2</v>
      </c>
      <c r="I21" s="7">
        <f t="shared" si="2"/>
        <v>0.26143790849673199</v>
      </c>
      <c r="J21" s="7">
        <v>1</v>
      </c>
      <c r="K21" s="7">
        <f t="shared" si="3"/>
        <v>0.13071895424836599</v>
      </c>
      <c r="L21" s="9">
        <v>668</v>
      </c>
      <c r="M21" s="9">
        <v>664</v>
      </c>
      <c r="N21" s="9">
        <f t="shared" si="4"/>
        <v>1332</v>
      </c>
      <c r="O21" s="7">
        <v>765</v>
      </c>
      <c r="P21" s="10">
        <f t="shared" si="10"/>
        <v>57.432432432432435</v>
      </c>
      <c r="Q21" s="7">
        <v>848</v>
      </c>
      <c r="R21" s="7">
        <f t="shared" si="11"/>
        <v>63.663663663663662</v>
      </c>
      <c r="S21" s="21">
        <f t="shared" si="5"/>
        <v>347</v>
      </c>
      <c r="T21" s="7">
        <f t="shared" si="12"/>
        <v>40.919811320754718</v>
      </c>
      <c r="U21" s="7">
        <v>501</v>
      </c>
      <c r="V21" s="11">
        <f t="shared" si="13"/>
        <v>59.080188679245282</v>
      </c>
      <c r="W21" s="7">
        <f>155+329</f>
        <v>484</v>
      </c>
      <c r="X21" s="7">
        <f t="shared" si="14"/>
        <v>36.336336336336338</v>
      </c>
      <c r="Y21" s="7">
        <f t="shared" si="22"/>
        <v>225</v>
      </c>
      <c r="Z21" s="12">
        <f t="shared" si="15"/>
        <v>46.487603305785122</v>
      </c>
      <c r="AA21" s="12">
        <f>79+180</f>
        <v>259</v>
      </c>
      <c r="AB21" s="13">
        <f t="shared" si="16"/>
        <v>53.512396694214878</v>
      </c>
      <c r="AC21" s="12">
        <f t="shared" si="6"/>
        <v>760</v>
      </c>
      <c r="AD21" s="12" t="str">
        <f t="shared" si="17"/>
        <v>WEAK</v>
      </c>
      <c r="AE21" s="14" t="str">
        <f t="shared" si="18"/>
        <v>AVG</v>
      </c>
      <c r="AF21" s="12" t="str">
        <f t="shared" si="19"/>
        <v>VLOW</v>
      </c>
      <c r="AG21" s="12" t="str">
        <f t="shared" si="7"/>
        <v>MEN</v>
      </c>
      <c r="AH21" s="12" t="str">
        <f t="shared" si="20"/>
        <v>O</v>
      </c>
      <c r="AI21" s="15">
        <f t="shared" si="8"/>
        <v>8.8888888888888928</v>
      </c>
      <c r="AJ21" s="16" t="str">
        <f t="shared" si="9"/>
        <v>BJP GAIN</v>
      </c>
      <c r="AK21" s="15" t="str">
        <f t="shared" si="21"/>
        <v>NARROWMARGIN</v>
      </c>
    </row>
    <row r="22" spans="1:37">
      <c r="A22" s="7">
        <v>19</v>
      </c>
      <c r="B22" s="8" t="s">
        <v>153</v>
      </c>
      <c r="C22" s="7">
        <v>517</v>
      </c>
      <c r="D22" s="7">
        <v>275</v>
      </c>
      <c r="E22" s="7">
        <f t="shared" si="0"/>
        <v>53.191489361702125</v>
      </c>
      <c r="F22" s="7">
        <v>232</v>
      </c>
      <c r="G22" s="7">
        <f t="shared" si="1"/>
        <v>44.874274661508707</v>
      </c>
      <c r="H22" s="7">
        <v>0</v>
      </c>
      <c r="I22" s="7">
        <f t="shared" si="2"/>
        <v>0</v>
      </c>
      <c r="J22" s="7">
        <v>1</v>
      </c>
      <c r="K22" s="7">
        <f t="shared" si="3"/>
        <v>0.19342359767891684</v>
      </c>
      <c r="L22" s="9">
        <v>384</v>
      </c>
      <c r="M22" s="9">
        <v>423</v>
      </c>
      <c r="N22" s="9">
        <f t="shared" si="4"/>
        <v>807</v>
      </c>
      <c r="O22" s="7">
        <v>517</v>
      </c>
      <c r="P22" s="22">
        <f t="shared" si="10"/>
        <v>64.064436183395287</v>
      </c>
      <c r="Q22" s="7">
        <v>530</v>
      </c>
      <c r="R22" s="7">
        <f t="shared" si="11"/>
        <v>65.675340768277565</v>
      </c>
      <c r="S22" s="7">
        <f t="shared" si="5"/>
        <v>187</v>
      </c>
      <c r="T22" s="7">
        <f t="shared" si="12"/>
        <v>35.283018867924525</v>
      </c>
      <c r="U22" s="7">
        <v>343</v>
      </c>
      <c r="V22" s="11">
        <f t="shared" si="13"/>
        <v>64.716981132075475</v>
      </c>
      <c r="W22" s="7">
        <f>5+282</f>
        <v>287</v>
      </c>
      <c r="X22" s="7">
        <f t="shared" si="14"/>
        <v>34.324659231722435</v>
      </c>
      <c r="Y22" s="17">
        <f t="shared" si="22"/>
        <v>113</v>
      </c>
      <c r="Z22" s="12">
        <f t="shared" si="15"/>
        <v>39.372822299651567</v>
      </c>
      <c r="AA22" s="12">
        <f>17+157</f>
        <v>174</v>
      </c>
      <c r="AB22" s="13">
        <f t="shared" si="16"/>
        <v>60.627177700348433</v>
      </c>
      <c r="AC22" s="12">
        <f t="shared" si="6"/>
        <v>517</v>
      </c>
      <c r="AD22" s="12" t="str">
        <f t="shared" si="17"/>
        <v>AVG</v>
      </c>
      <c r="AE22" s="14" t="str">
        <f t="shared" si="18"/>
        <v>AVG</v>
      </c>
      <c r="AF22" s="12" t="str">
        <f t="shared" si="19"/>
        <v>VLOW</v>
      </c>
      <c r="AG22" s="12" t="str">
        <f t="shared" si="7"/>
        <v>FEMALE DOM</v>
      </c>
      <c r="AH22" s="12" t="str">
        <f t="shared" si="20"/>
        <v>O</v>
      </c>
      <c r="AI22" s="15">
        <f t="shared" si="8"/>
        <v>8.3172147001934178</v>
      </c>
      <c r="AJ22" s="16" t="str">
        <f t="shared" si="9"/>
        <v>BJP GAIN</v>
      </c>
      <c r="AK22" s="15" t="str">
        <f t="shared" si="21"/>
        <v>NARROWMARGIN</v>
      </c>
    </row>
    <row r="23" spans="1:37">
      <c r="A23" s="7">
        <v>20</v>
      </c>
      <c r="B23" s="8" t="s">
        <v>154</v>
      </c>
      <c r="C23" s="7">
        <v>633</v>
      </c>
      <c r="D23" s="7">
        <v>361</v>
      </c>
      <c r="E23" s="7">
        <f t="shared" si="0"/>
        <v>57.030015797788316</v>
      </c>
      <c r="F23" s="7">
        <v>251</v>
      </c>
      <c r="G23" s="7">
        <f t="shared" si="1"/>
        <v>39.652448657187996</v>
      </c>
      <c r="H23" s="7">
        <v>1</v>
      </c>
      <c r="I23" s="7">
        <f t="shared" si="2"/>
        <v>0.15797788309636651</v>
      </c>
      <c r="J23" s="7">
        <v>5</v>
      </c>
      <c r="K23" s="7">
        <f t="shared" si="3"/>
        <v>0.78988941548183245</v>
      </c>
      <c r="L23" s="9">
        <v>437</v>
      </c>
      <c r="M23" s="9">
        <v>489</v>
      </c>
      <c r="N23" s="9">
        <f t="shared" si="4"/>
        <v>926</v>
      </c>
      <c r="O23" s="7">
        <v>633</v>
      </c>
      <c r="P23" s="10">
        <f t="shared" si="10"/>
        <v>68.358531317494595</v>
      </c>
      <c r="Q23" s="7"/>
      <c r="R23" s="7">
        <f t="shared" si="11"/>
        <v>0</v>
      </c>
      <c r="S23" s="7">
        <f t="shared" si="5"/>
        <v>0</v>
      </c>
      <c r="T23" s="7" t="e">
        <f t="shared" si="12"/>
        <v>#DIV/0!</v>
      </c>
      <c r="U23" s="7"/>
      <c r="V23" s="11">
        <f t="shared" si="13"/>
        <v>0</v>
      </c>
      <c r="W23" s="7"/>
      <c r="X23" s="7">
        <f t="shared" si="14"/>
        <v>100</v>
      </c>
      <c r="Y23" s="7">
        <f t="shared" si="22"/>
        <v>0</v>
      </c>
      <c r="Z23" s="12" t="e">
        <f t="shared" si="15"/>
        <v>#DIV/0!</v>
      </c>
      <c r="AA23" s="12"/>
      <c r="AB23" s="13">
        <f t="shared" si="16"/>
        <v>0</v>
      </c>
      <c r="AC23" s="12">
        <f t="shared" si="6"/>
        <v>0</v>
      </c>
      <c r="AD23" s="12" t="str">
        <f t="shared" si="17"/>
        <v>AVG</v>
      </c>
      <c r="AE23" s="14" t="str">
        <f t="shared" si="18"/>
        <v>VLOW</v>
      </c>
      <c r="AF23" s="12" t="str">
        <f t="shared" si="19"/>
        <v>EXCELLENT</v>
      </c>
      <c r="AG23" s="12" t="str">
        <f t="shared" si="7"/>
        <v>FEMALE DOM</v>
      </c>
      <c r="AH23" s="12" t="e">
        <f t="shared" si="20"/>
        <v>#DIV/0!</v>
      </c>
      <c r="AI23" s="15">
        <f t="shared" si="8"/>
        <v>17.37756714060032</v>
      </c>
      <c r="AJ23" s="16" t="str">
        <f t="shared" si="9"/>
        <v>BJP GAIN</v>
      </c>
      <c r="AK23" s="15" t="str">
        <f t="shared" si="21"/>
        <v>LOWMARGIN</v>
      </c>
    </row>
    <row r="24" spans="1:37">
      <c r="A24" s="7">
        <v>21</v>
      </c>
      <c r="B24" s="8" t="s">
        <v>155</v>
      </c>
      <c r="C24" s="7">
        <v>767</v>
      </c>
      <c r="D24" s="7">
        <v>401</v>
      </c>
      <c r="E24" s="7">
        <f t="shared" si="0"/>
        <v>52.281616688396348</v>
      </c>
      <c r="F24" s="7">
        <v>300</v>
      </c>
      <c r="G24" s="7">
        <f t="shared" si="1"/>
        <v>39.113428943937414</v>
      </c>
      <c r="H24" s="7">
        <v>2</v>
      </c>
      <c r="I24" s="7">
        <f t="shared" si="2"/>
        <v>0.2607561929595828</v>
      </c>
      <c r="J24" s="7">
        <v>0</v>
      </c>
      <c r="K24" s="7">
        <f t="shared" si="3"/>
        <v>0</v>
      </c>
      <c r="L24" s="9">
        <v>583</v>
      </c>
      <c r="M24" s="9">
        <v>598</v>
      </c>
      <c r="N24" s="9">
        <f t="shared" si="4"/>
        <v>1181</v>
      </c>
      <c r="O24" s="7">
        <v>767</v>
      </c>
      <c r="P24" s="10">
        <f t="shared" si="10"/>
        <v>64.94496189669772</v>
      </c>
      <c r="Q24" s="7">
        <v>911</v>
      </c>
      <c r="R24" s="7">
        <f t="shared" si="11"/>
        <v>77.138018628281117</v>
      </c>
      <c r="S24" s="7">
        <f t="shared" si="5"/>
        <v>446</v>
      </c>
      <c r="T24" s="7">
        <f t="shared" si="12"/>
        <v>48.957189901207464</v>
      </c>
      <c r="U24" s="7">
        <v>465</v>
      </c>
      <c r="V24" s="11">
        <f t="shared" si="13"/>
        <v>51.042810098792536</v>
      </c>
      <c r="W24" s="7">
        <f>24+246</f>
        <v>270</v>
      </c>
      <c r="X24" s="7">
        <f t="shared" si="14"/>
        <v>22.861981371718883</v>
      </c>
      <c r="Y24" s="7">
        <f t="shared" si="22"/>
        <v>110</v>
      </c>
      <c r="Z24" s="12">
        <f t="shared" si="15"/>
        <v>40.74074074074074</v>
      </c>
      <c r="AA24" s="12">
        <f>10+150</f>
        <v>160</v>
      </c>
      <c r="AB24" s="13">
        <f t="shared" si="16"/>
        <v>59.259259259259252</v>
      </c>
      <c r="AC24" s="12">
        <f t="shared" si="6"/>
        <v>625</v>
      </c>
      <c r="AD24" s="12" t="str">
        <f t="shared" si="17"/>
        <v>AVG</v>
      </c>
      <c r="AE24" s="14" t="str">
        <f t="shared" si="18"/>
        <v>STRONG</v>
      </c>
      <c r="AF24" s="12" t="str">
        <f t="shared" si="19"/>
        <v>VLOW</v>
      </c>
      <c r="AG24" s="12" t="str">
        <f t="shared" si="7"/>
        <v>FEMALE DOM</v>
      </c>
      <c r="AH24" s="12" t="str">
        <f t="shared" si="20"/>
        <v>H</v>
      </c>
      <c r="AI24" s="15">
        <f t="shared" si="8"/>
        <v>13.168187744458933</v>
      </c>
      <c r="AJ24" s="16" t="str">
        <f t="shared" si="9"/>
        <v>BJP GAIN</v>
      </c>
      <c r="AK24" s="15" t="str">
        <f t="shared" si="21"/>
        <v>LOWMARGIN</v>
      </c>
    </row>
    <row r="25" spans="1:37">
      <c r="A25" s="7">
        <v>22</v>
      </c>
      <c r="B25" s="8" t="s">
        <v>156</v>
      </c>
      <c r="C25" s="7">
        <v>572</v>
      </c>
      <c r="D25" s="7">
        <v>304</v>
      </c>
      <c r="E25" s="7">
        <f t="shared" si="0"/>
        <v>53.146853146853147</v>
      </c>
      <c r="F25" s="7">
        <v>247</v>
      </c>
      <c r="G25" s="7">
        <f t="shared" si="1"/>
        <v>43.18181818181818</v>
      </c>
      <c r="H25" s="7">
        <v>1</v>
      </c>
      <c r="I25" s="7">
        <f t="shared" si="2"/>
        <v>0.17482517482517482</v>
      </c>
      <c r="J25" s="7">
        <v>4</v>
      </c>
      <c r="K25" s="7">
        <f t="shared" si="3"/>
        <v>0.69930069930069927</v>
      </c>
      <c r="L25" s="9">
        <v>405</v>
      </c>
      <c r="M25" s="9">
        <v>447</v>
      </c>
      <c r="N25" s="9">
        <f t="shared" si="4"/>
        <v>852</v>
      </c>
      <c r="O25" s="7">
        <v>572</v>
      </c>
      <c r="P25" s="10">
        <f t="shared" si="10"/>
        <v>67.136150234741791</v>
      </c>
      <c r="Q25" s="7"/>
      <c r="R25" s="7">
        <f t="shared" si="11"/>
        <v>0</v>
      </c>
      <c r="S25" s="21">
        <f t="shared" si="5"/>
        <v>0</v>
      </c>
      <c r="T25" s="7" t="e">
        <f t="shared" si="12"/>
        <v>#DIV/0!</v>
      </c>
      <c r="U25" s="7"/>
      <c r="V25" s="11">
        <f t="shared" si="13"/>
        <v>0</v>
      </c>
      <c r="W25" s="7"/>
      <c r="X25" s="7">
        <f t="shared" si="14"/>
        <v>100</v>
      </c>
      <c r="Y25" s="17">
        <f t="shared" si="22"/>
        <v>0</v>
      </c>
      <c r="Z25" s="12" t="e">
        <f t="shared" si="15"/>
        <v>#DIV/0!</v>
      </c>
      <c r="AA25" s="12"/>
      <c r="AB25" s="13">
        <f t="shared" si="16"/>
        <v>0</v>
      </c>
      <c r="AC25" s="12">
        <f t="shared" si="6"/>
        <v>0</v>
      </c>
      <c r="AD25" s="12" t="str">
        <f t="shared" si="17"/>
        <v>AVG</v>
      </c>
      <c r="AE25" s="14" t="str">
        <f t="shared" si="18"/>
        <v>VLOW</v>
      </c>
      <c r="AF25" s="12" t="str">
        <f t="shared" si="19"/>
        <v>EXCELLENT</v>
      </c>
      <c r="AG25" s="12" t="str">
        <f t="shared" si="7"/>
        <v>FEMALE DOM</v>
      </c>
      <c r="AH25" s="12" t="e">
        <f t="shared" si="20"/>
        <v>#DIV/0!</v>
      </c>
      <c r="AI25" s="15">
        <f t="shared" si="8"/>
        <v>9.9650349650349668</v>
      </c>
      <c r="AJ25" s="16" t="str">
        <f t="shared" si="9"/>
        <v>BJP GAIN</v>
      </c>
      <c r="AK25" s="15" t="str">
        <f t="shared" si="21"/>
        <v>NARROWMARGIN</v>
      </c>
    </row>
    <row r="26" spans="1:37">
      <c r="A26" s="7">
        <v>23</v>
      </c>
      <c r="B26" s="8" t="s">
        <v>157</v>
      </c>
      <c r="C26" s="7">
        <v>933</v>
      </c>
      <c r="D26" s="7">
        <v>642</v>
      </c>
      <c r="E26" s="7">
        <f t="shared" si="0"/>
        <v>68.81028938906752</v>
      </c>
      <c r="F26" s="7">
        <v>270</v>
      </c>
      <c r="G26" s="7">
        <f t="shared" si="1"/>
        <v>28.938906752411576</v>
      </c>
      <c r="H26" s="7">
        <v>3</v>
      </c>
      <c r="I26" s="7">
        <f t="shared" si="2"/>
        <v>0.32154340836012862</v>
      </c>
      <c r="J26" s="7">
        <v>1</v>
      </c>
      <c r="K26" s="7">
        <f t="shared" si="3"/>
        <v>0.10718113612004287</v>
      </c>
      <c r="L26" s="9">
        <v>716</v>
      </c>
      <c r="M26" s="9">
        <v>774</v>
      </c>
      <c r="N26" s="9">
        <f t="shared" si="4"/>
        <v>1490</v>
      </c>
      <c r="O26" s="7">
        <v>933</v>
      </c>
      <c r="P26" s="10">
        <f t="shared" si="10"/>
        <v>62.617449664429529</v>
      </c>
      <c r="Q26" s="7"/>
      <c r="R26" s="7">
        <f t="shared" si="11"/>
        <v>0</v>
      </c>
      <c r="S26" s="7">
        <f t="shared" si="5"/>
        <v>0</v>
      </c>
      <c r="T26" s="7" t="e">
        <f t="shared" si="12"/>
        <v>#DIV/0!</v>
      </c>
      <c r="U26" s="7"/>
      <c r="V26" s="11">
        <f t="shared" si="13"/>
        <v>0</v>
      </c>
      <c r="W26" s="7"/>
      <c r="X26" s="7">
        <f t="shared" si="14"/>
        <v>100</v>
      </c>
      <c r="Y26" s="7">
        <f t="shared" si="22"/>
        <v>0</v>
      </c>
      <c r="Z26" s="12" t="e">
        <f t="shared" si="15"/>
        <v>#DIV/0!</v>
      </c>
      <c r="AA26" s="12"/>
      <c r="AB26" s="13">
        <f t="shared" si="16"/>
        <v>0</v>
      </c>
      <c r="AC26" s="12">
        <f t="shared" si="6"/>
        <v>0</v>
      </c>
      <c r="AD26" s="12" t="str">
        <f t="shared" si="17"/>
        <v>AVG</v>
      </c>
      <c r="AE26" s="14" t="str">
        <f t="shared" si="18"/>
        <v>VLOW</v>
      </c>
      <c r="AF26" s="12" t="str">
        <f t="shared" si="19"/>
        <v>EXCELLENT</v>
      </c>
      <c r="AG26" s="12" t="str">
        <f t="shared" si="7"/>
        <v>FEMALE DOM</v>
      </c>
      <c r="AH26" s="12" t="e">
        <f t="shared" si="20"/>
        <v>#DIV/0!</v>
      </c>
      <c r="AI26" s="15">
        <f t="shared" si="8"/>
        <v>39.871382636655945</v>
      </c>
      <c r="AJ26" s="16" t="str">
        <f t="shared" si="9"/>
        <v>BJP GAIN</v>
      </c>
      <c r="AK26" s="24" t="str">
        <f t="shared" si="21"/>
        <v>MEDIUMMARGIN</v>
      </c>
    </row>
    <row r="27" spans="1:37">
      <c r="A27" s="7">
        <v>24</v>
      </c>
      <c r="B27" s="8" t="s">
        <v>158</v>
      </c>
      <c r="C27" s="7">
        <v>620</v>
      </c>
      <c r="D27" s="7">
        <v>397</v>
      </c>
      <c r="E27" s="7">
        <f t="shared" si="0"/>
        <v>64.032258064516128</v>
      </c>
      <c r="F27" s="7">
        <v>196</v>
      </c>
      <c r="G27" s="7">
        <f t="shared" si="1"/>
        <v>31.612903225806448</v>
      </c>
      <c r="H27" s="7">
        <v>4</v>
      </c>
      <c r="I27" s="7">
        <f t="shared" si="2"/>
        <v>0.64516129032258063</v>
      </c>
      <c r="J27" s="7">
        <v>4</v>
      </c>
      <c r="K27" s="7">
        <f t="shared" si="3"/>
        <v>0.64516129032258063</v>
      </c>
      <c r="L27" s="9">
        <v>453</v>
      </c>
      <c r="M27" s="9">
        <v>495</v>
      </c>
      <c r="N27" s="9">
        <f t="shared" si="4"/>
        <v>948</v>
      </c>
      <c r="O27" s="7">
        <v>620</v>
      </c>
      <c r="P27" s="10">
        <f t="shared" si="10"/>
        <v>65.400843881856545</v>
      </c>
      <c r="Q27" s="7">
        <v>753</v>
      </c>
      <c r="R27" s="7">
        <f t="shared" si="11"/>
        <v>79.430379746835442</v>
      </c>
      <c r="S27" s="7">
        <f t="shared" si="5"/>
        <v>286</v>
      </c>
      <c r="T27" s="7">
        <f t="shared" si="12"/>
        <v>37.981407702523242</v>
      </c>
      <c r="U27" s="7">
        <v>467</v>
      </c>
      <c r="V27" s="11">
        <f t="shared" si="13"/>
        <v>62.018592297476758</v>
      </c>
      <c r="W27" s="7">
        <v>195</v>
      </c>
      <c r="X27" s="7">
        <f t="shared" si="14"/>
        <v>20.569620253164558</v>
      </c>
      <c r="Y27" s="7">
        <f t="shared" si="22"/>
        <v>42</v>
      </c>
      <c r="Z27" s="12">
        <f t="shared" si="15"/>
        <v>21.53846153846154</v>
      </c>
      <c r="AA27" s="12">
        <f>620-467</f>
        <v>153</v>
      </c>
      <c r="AB27" s="13">
        <f t="shared" si="16"/>
        <v>78.461538461538467</v>
      </c>
      <c r="AC27" s="12">
        <f t="shared" si="6"/>
        <v>620</v>
      </c>
      <c r="AD27" s="12" t="str">
        <f t="shared" si="17"/>
        <v>AVG</v>
      </c>
      <c r="AE27" s="14" t="str">
        <f t="shared" si="18"/>
        <v>STRONG</v>
      </c>
      <c r="AF27" s="12" t="str">
        <f t="shared" si="19"/>
        <v>VLOW</v>
      </c>
      <c r="AG27" s="12" t="str">
        <f t="shared" si="7"/>
        <v>FEMALE DOM</v>
      </c>
      <c r="AH27" s="12" t="str">
        <f t="shared" si="20"/>
        <v>H</v>
      </c>
      <c r="AI27" s="15">
        <f t="shared" si="8"/>
        <v>32.41935483870968</v>
      </c>
      <c r="AJ27" s="16" t="str">
        <f t="shared" si="9"/>
        <v>BJP GAIN</v>
      </c>
      <c r="AK27" s="24" t="str">
        <f t="shared" si="21"/>
        <v>MEDIUMMARGIN</v>
      </c>
    </row>
    <row r="28" spans="1:37">
      <c r="A28" s="7">
        <v>25</v>
      </c>
      <c r="B28" s="8" t="s">
        <v>159</v>
      </c>
      <c r="C28" s="7">
        <v>571</v>
      </c>
      <c r="D28" s="7">
        <v>336</v>
      </c>
      <c r="E28" s="7">
        <f t="shared" si="0"/>
        <v>58.844133099824866</v>
      </c>
      <c r="F28" s="7">
        <v>216</v>
      </c>
      <c r="G28" s="7">
        <f t="shared" si="1"/>
        <v>37.828371278458846</v>
      </c>
      <c r="H28" s="7">
        <v>0</v>
      </c>
      <c r="I28" s="7">
        <f t="shared" si="2"/>
        <v>0</v>
      </c>
      <c r="J28" s="7">
        <v>6</v>
      </c>
      <c r="K28" s="7">
        <f t="shared" si="3"/>
        <v>1.0507880910683012</v>
      </c>
      <c r="L28" s="9">
        <v>408</v>
      </c>
      <c r="M28" s="9">
        <v>450</v>
      </c>
      <c r="N28" s="9">
        <f t="shared" si="4"/>
        <v>858</v>
      </c>
      <c r="O28" s="7">
        <v>571</v>
      </c>
      <c r="P28" s="10">
        <f t="shared" si="10"/>
        <v>66.550116550116542</v>
      </c>
      <c r="Q28" s="7"/>
      <c r="R28" s="7">
        <f t="shared" si="11"/>
        <v>0</v>
      </c>
      <c r="S28" s="7">
        <f t="shared" si="5"/>
        <v>0</v>
      </c>
      <c r="T28" s="7" t="e">
        <f t="shared" si="12"/>
        <v>#DIV/0!</v>
      </c>
      <c r="U28" s="7"/>
      <c r="V28" s="11">
        <f t="shared" si="13"/>
        <v>0</v>
      </c>
      <c r="W28" s="7"/>
      <c r="X28" s="7">
        <f t="shared" si="14"/>
        <v>100</v>
      </c>
      <c r="Y28" s="17">
        <f t="shared" si="22"/>
        <v>0</v>
      </c>
      <c r="Z28" s="12" t="e">
        <f t="shared" si="15"/>
        <v>#DIV/0!</v>
      </c>
      <c r="AA28" s="12"/>
      <c r="AB28" s="13">
        <f t="shared" si="16"/>
        <v>0</v>
      </c>
      <c r="AC28" s="12">
        <f t="shared" si="6"/>
        <v>0</v>
      </c>
      <c r="AD28" s="12" t="str">
        <f t="shared" si="17"/>
        <v>AVG</v>
      </c>
      <c r="AE28" s="14" t="str">
        <f t="shared" si="18"/>
        <v>VLOW</v>
      </c>
      <c r="AF28" s="12" t="str">
        <f t="shared" si="19"/>
        <v>EXCELLENT</v>
      </c>
      <c r="AG28" s="12" t="str">
        <f t="shared" si="7"/>
        <v>FEMALE DOM</v>
      </c>
      <c r="AH28" s="12" t="e">
        <f t="shared" si="20"/>
        <v>#DIV/0!</v>
      </c>
      <c r="AI28" s="15">
        <f t="shared" si="8"/>
        <v>21.01576182136602</v>
      </c>
      <c r="AJ28" s="16" t="str">
        <f t="shared" si="9"/>
        <v>BJP GAIN</v>
      </c>
      <c r="AK28" s="15" t="str">
        <f t="shared" si="21"/>
        <v>LOWMARGIN</v>
      </c>
    </row>
    <row r="29" spans="1:37">
      <c r="A29" s="7">
        <v>26</v>
      </c>
      <c r="B29" s="8" t="s">
        <v>160</v>
      </c>
      <c r="C29" s="7">
        <v>977</v>
      </c>
      <c r="D29" s="7">
        <v>668</v>
      </c>
      <c r="E29" s="7">
        <f t="shared" si="0"/>
        <v>68.372569089048113</v>
      </c>
      <c r="F29" s="7">
        <v>254</v>
      </c>
      <c r="G29" s="7">
        <f t="shared" si="1"/>
        <v>25.997952917093141</v>
      </c>
      <c r="H29" s="7">
        <v>7</v>
      </c>
      <c r="I29" s="7">
        <f t="shared" si="2"/>
        <v>0.7164790174002047</v>
      </c>
      <c r="J29" s="7">
        <v>20</v>
      </c>
      <c r="K29" s="7">
        <f t="shared" si="3"/>
        <v>2.0470829068577281</v>
      </c>
      <c r="L29" s="9">
        <v>627</v>
      </c>
      <c r="M29" s="9">
        <v>759</v>
      </c>
      <c r="N29" s="9">
        <f t="shared" si="4"/>
        <v>1386</v>
      </c>
      <c r="O29" s="7">
        <v>977</v>
      </c>
      <c r="P29" s="10">
        <f t="shared" si="10"/>
        <v>70.490620490620486</v>
      </c>
      <c r="Q29" s="7">
        <v>1166</v>
      </c>
      <c r="R29" s="7">
        <f t="shared" si="11"/>
        <v>84.126984126984127</v>
      </c>
      <c r="S29" s="21">
        <f t="shared" si="5"/>
        <v>320</v>
      </c>
      <c r="T29" s="7">
        <f t="shared" si="12"/>
        <v>27.444253859348201</v>
      </c>
      <c r="U29" s="7">
        <v>846</v>
      </c>
      <c r="V29" s="11">
        <f t="shared" si="13"/>
        <v>72.555746140651806</v>
      </c>
      <c r="W29" s="7">
        <v>221</v>
      </c>
      <c r="X29" s="7">
        <f t="shared" si="14"/>
        <v>15.873015873015873</v>
      </c>
      <c r="Y29" s="7">
        <f t="shared" si="22"/>
        <v>90</v>
      </c>
      <c r="Z29" s="12">
        <f t="shared" si="15"/>
        <v>40.723981900452486</v>
      </c>
      <c r="AA29" s="12">
        <v>131</v>
      </c>
      <c r="AB29" s="13">
        <f t="shared" si="16"/>
        <v>59.276018099547514</v>
      </c>
      <c r="AC29" s="12">
        <f t="shared" si="6"/>
        <v>977</v>
      </c>
      <c r="AD29" s="12" t="str">
        <f t="shared" si="17"/>
        <v>STRONG</v>
      </c>
      <c r="AE29" s="14" t="str">
        <f t="shared" si="18"/>
        <v>EXCELLENT</v>
      </c>
      <c r="AF29" s="12" t="str">
        <f t="shared" si="19"/>
        <v>VLOW</v>
      </c>
      <c r="AG29" s="12" t="str">
        <f t="shared" si="7"/>
        <v>FEMALE DOM</v>
      </c>
      <c r="AH29" s="12" t="str">
        <f t="shared" si="20"/>
        <v>O</v>
      </c>
      <c r="AI29" s="15">
        <f t="shared" si="8"/>
        <v>42.374616171954969</v>
      </c>
      <c r="AJ29" s="16" t="str">
        <f t="shared" si="9"/>
        <v>BJP GAIN</v>
      </c>
      <c r="AK29" s="19" t="str">
        <f t="shared" si="21"/>
        <v>HIGHMARGIN</v>
      </c>
    </row>
    <row r="30" spans="1:37">
      <c r="A30" s="7">
        <v>27</v>
      </c>
      <c r="B30" s="8" t="s">
        <v>161</v>
      </c>
      <c r="C30" s="7">
        <v>989</v>
      </c>
      <c r="D30" s="7">
        <v>652</v>
      </c>
      <c r="E30" s="7">
        <f t="shared" si="0"/>
        <v>65.925176946410517</v>
      </c>
      <c r="F30" s="7">
        <v>284</v>
      </c>
      <c r="G30" s="7">
        <f t="shared" si="1"/>
        <v>28.715874620829119</v>
      </c>
      <c r="H30" s="7">
        <v>3</v>
      </c>
      <c r="I30" s="7">
        <f t="shared" si="2"/>
        <v>0.30333670374115268</v>
      </c>
      <c r="J30" s="7">
        <v>31</v>
      </c>
      <c r="K30" s="7">
        <f t="shared" si="3"/>
        <v>3.1344792719919106</v>
      </c>
      <c r="L30" s="9">
        <v>642</v>
      </c>
      <c r="M30" s="9">
        <v>721</v>
      </c>
      <c r="N30" s="9">
        <f t="shared" si="4"/>
        <v>1363</v>
      </c>
      <c r="O30" s="7">
        <v>989</v>
      </c>
      <c r="P30" s="10">
        <f t="shared" si="10"/>
        <v>72.560528246515048</v>
      </c>
      <c r="Q30" s="7">
        <v>1290</v>
      </c>
      <c r="R30" s="7">
        <f t="shared" si="11"/>
        <v>94.644167278063094</v>
      </c>
      <c r="S30" s="7">
        <f t="shared" si="5"/>
        <v>384</v>
      </c>
      <c r="T30" s="7">
        <f t="shared" si="12"/>
        <v>29.767441860465116</v>
      </c>
      <c r="U30" s="7">
        <v>906</v>
      </c>
      <c r="V30" s="11">
        <f t="shared" si="13"/>
        <v>70.232558139534888</v>
      </c>
      <c r="W30" s="7">
        <v>100</v>
      </c>
      <c r="X30" s="7">
        <f t="shared" si="14"/>
        <v>5.3558327219369062</v>
      </c>
      <c r="Y30" s="17">
        <f t="shared" si="22"/>
        <v>55</v>
      </c>
      <c r="Z30" s="12">
        <f t="shared" si="15"/>
        <v>55.000000000000007</v>
      </c>
      <c r="AA30" s="12">
        <v>45</v>
      </c>
      <c r="AB30" s="13">
        <f t="shared" si="16"/>
        <v>45</v>
      </c>
      <c r="AC30" s="12">
        <f t="shared" si="6"/>
        <v>951</v>
      </c>
      <c r="AD30" s="12" t="str">
        <f t="shared" si="17"/>
        <v>STRONG</v>
      </c>
      <c r="AE30" s="14" t="str">
        <f t="shared" si="18"/>
        <v>EXCELLENT</v>
      </c>
      <c r="AF30" s="12" t="str">
        <f t="shared" si="19"/>
        <v>VLOW</v>
      </c>
      <c r="AG30" s="12" t="str">
        <f t="shared" si="7"/>
        <v>FEMALE DOM</v>
      </c>
      <c r="AH30" s="12" t="str">
        <f t="shared" si="20"/>
        <v>O</v>
      </c>
      <c r="AI30" s="15">
        <f t="shared" si="8"/>
        <v>37.209302325581397</v>
      </c>
      <c r="AJ30" s="16" t="str">
        <f t="shared" si="9"/>
        <v>BJP GAIN</v>
      </c>
      <c r="AK30" s="24" t="str">
        <f t="shared" si="21"/>
        <v>MEDIUMMARGIN</v>
      </c>
    </row>
    <row r="31" spans="1:37">
      <c r="A31" s="7">
        <v>28</v>
      </c>
      <c r="B31" s="8" t="s">
        <v>162</v>
      </c>
      <c r="C31" s="7">
        <v>1092</v>
      </c>
      <c r="D31" s="7">
        <v>757</v>
      </c>
      <c r="E31" s="7">
        <f t="shared" si="0"/>
        <v>69.322344322344321</v>
      </c>
      <c r="F31" s="7">
        <v>274</v>
      </c>
      <c r="G31" s="7">
        <f t="shared" si="1"/>
        <v>25.091575091575091</v>
      </c>
      <c r="H31" s="7">
        <v>9</v>
      </c>
      <c r="I31" s="7">
        <f t="shared" si="2"/>
        <v>0.82417582417582425</v>
      </c>
      <c r="J31" s="7">
        <v>10</v>
      </c>
      <c r="K31" s="7">
        <f t="shared" si="3"/>
        <v>0.91575091575091583</v>
      </c>
      <c r="L31" s="9">
        <v>665</v>
      </c>
      <c r="M31" s="9">
        <v>728</v>
      </c>
      <c r="N31" s="9">
        <f t="shared" si="4"/>
        <v>1393</v>
      </c>
      <c r="O31" s="7">
        <v>1092</v>
      </c>
      <c r="P31" s="10">
        <f t="shared" si="10"/>
        <v>78.391959798994975</v>
      </c>
      <c r="Q31" s="7">
        <v>1257</v>
      </c>
      <c r="R31" s="7">
        <f t="shared" si="11"/>
        <v>90.236898779612346</v>
      </c>
      <c r="S31" s="7">
        <f t="shared" si="5"/>
        <v>268</v>
      </c>
      <c r="T31" s="7">
        <f t="shared" si="12"/>
        <v>21.3206046141607</v>
      </c>
      <c r="U31" s="7">
        <v>989</v>
      </c>
      <c r="V31" s="11">
        <f t="shared" si="13"/>
        <v>78.6793953858393</v>
      </c>
      <c r="W31" s="7">
        <v>136</v>
      </c>
      <c r="X31" s="7">
        <f t="shared" si="14"/>
        <v>9.7631012203876537</v>
      </c>
      <c r="Y31" s="17">
        <f t="shared" si="22"/>
        <v>40</v>
      </c>
      <c r="Z31" s="12">
        <f t="shared" si="15"/>
        <v>29.411764705882355</v>
      </c>
      <c r="AA31" s="12">
        <v>96</v>
      </c>
      <c r="AB31" s="13">
        <f t="shared" si="16"/>
        <v>70.588235294117652</v>
      </c>
      <c r="AC31" s="12">
        <v>852</v>
      </c>
      <c r="AD31" s="12" t="str">
        <f t="shared" si="17"/>
        <v>STRONG</v>
      </c>
      <c r="AE31" s="14" t="str">
        <f t="shared" si="18"/>
        <v>EXCELLENT</v>
      </c>
      <c r="AF31" s="12" t="str">
        <f t="shared" si="19"/>
        <v>VLOW</v>
      </c>
      <c r="AG31" s="12" t="str">
        <f t="shared" si="7"/>
        <v>FEMALE DOM</v>
      </c>
      <c r="AH31" s="12" t="str">
        <f t="shared" si="20"/>
        <v>O</v>
      </c>
      <c r="AI31" s="15">
        <f t="shared" si="8"/>
        <v>44.230769230769226</v>
      </c>
      <c r="AJ31" s="16" t="str">
        <f t="shared" si="9"/>
        <v>BJP GAIN</v>
      </c>
      <c r="AK31" s="19" t="str">
        <f t="shared" si="21"/>
        <v>HIGHMARGIN</v>
      </c>
    </row>
    <row r="32" spans="1:37">
      <c r="A32" s="7">
        <v>29</v>
      </c>
      <c r="B32" s="8" t="s">
        <v>163</v>
      </c>
      <c r="C32" s="7">
        <v>1120</v>
      </c>
      <c r="D32" s="7">
        <v>786</v>
      </c>
      <c r="E32" s="7">
        <f t="shared" si="0"/>
        <v>70.178571428571416</v>
      </c>
      <c r="F32" s="7">
        <v>279</v>
      </c>
      <c r="G32" s="7">
        <f t="shared" si="1"/>
        <v>24.910714285714285</v>
      </c>
      <c r="H32" s="7">
        <v>3</v>
      </c>
      <c r="I32" s="7">
        <f t="shared" si="2"/>
        <v>0.26785714285714285</v>
      </c>
      <c r="J32" s="7">
        <v>25</v>
      </c>
      <c r="K32" s="7">
        <f t="shared" si="3"/>
        <v>2.2321428571428572</v>
      </c>
      <c r="L32" s="9">
        <v>689</v>
      </c>
      <c r="M32" s="9">
        <v>778</v>
      </c>
      <c r="N32" s="9">
        <f t="shared" si="4"/>
        <v>1467</v>
      </c>
      <c r="O32" s="7">
        <v>1120</v>
      </c>
      <c r="P32" s="10">
        <f t="shared" si="10"/>
        <v>76.346284935241997</v>
      </c>
      <c r="Q32" s="7">
        <v>1275</v>
      </c>
      <c r="R32" s="7">
        <f t="shared" si="11"/>
        <v>86.912065439672801</v>
      </c>
      <c r="S32" s="7">
        <f t="shared" si="5"/>
        <v>520</v>
      </c>
      <c r="T32" s="7">
        <f t="shared" si="12"/>
        <v>40.784313725490193</v>
      </c>
      <c r="U32" s="7">
        <v>755</v>
      </c>
      <c r="V32" s="11">
        <f t="shared" si="13"/>
        <v>59.215686274509807</v>
      </c>
      <c r="W32" s="7">
        <v>169</v>
      </c>
      <c r="X32" s="7">
        <f t="shared" si="14"/>
        <v>13.087934560327199</v>
      </c>
      <c r="Y32" s="7">
        <f t="shared" si="22"/>
        <v>72</v>
      </c>
      <c r="Z32" s="12">
        <f t="shared" si="15"/>
        <v>42.603550295857993</v>
      </c>
      <c r="AA32" s="12">
        <v>97</v>
      </c>
      <c r="AB32" s="13">
        <f t="shared" si="16"/>
        <v>57.396449704142015</v>
      </c>
      <c r="AC32" s="12">
        <f t="shared" ref="AC32:AC95" si="23">U32+AA32</f>
        <v>852</v>
      </c>
      <c r="AD32" s="12" t="str">
        <f t="shared" si="17"/>
        <v>STRONG</v>
      </c>
      <c r="AE32" s="14" t="str">
        <f t="shared" si="18"/>
        <v>EXCELLENT</v>
      </c>
      <c r="AF32" s="12" t="str">
        <f t="shared" si="19"/>
        <v>VLOW</v>
      </c>
      <c r="AG32" s="12" t="str">
        <f t="shared" si="7"/>
        <v>FEMALE DOM</v>
      </c>
      <c r="AH32" s="12" t="str">
        <f t="shared" si="20"/>
        <v>O</v>
      </c>
      <c r="AI32" s="15">
        <f t="shared" si="8"/>
        <v>45.267857142857132</v>
      </c>
      <c r="AJ32" s="16" t="str">
        <f t="shared" si="9"/>
        <v>BJP GAIN</v>
      </c>
      <c r="AK32" s="19" t="str">
        <f t="shared" si="21"/>
        <v>HIGHMARGIN</v>
      </c>
    </row>
    <row r="33" spans="1:37">
      <c r="A33" s="7">
        <v>30</v>
      </c>
      <c r="B33" s="8" t="s">
        <v>164</v>
      </c>
      <c r="C33" s="7">
        <v>920</v>
      </c>
      <c r="D33" s="7">
        <v>552</v>
      </c>
      <c r="E33" s="7">
        <f t="shared" si="0"/>
        <v>60</v>
      </c>
      <c r="F33" s="7">
        <v>310</v>
      </c>
      <c r="G33" s="7">
        <f t="shared" si="1"/>
        <v>33.695652173913047</v>
      </c>
      <c r="H33" s="7">
        <v>5</v>
      </c>
      <c r="I33" s="7">
        <f t="shared" si="2"/>
        <v>0.54347826086956519</v>
      </c>
      <c r="J33" s="7">
        <v>22</v>
      </c>
      <c r="K33" s="7">
        <f t="shared" si="3"/>
        <v>2.3913043478260869</v>
      </c>
      <c r="L33" s="9">
        <v>621</v>
      </c>
      <c r="M33" s="9">
        <v>665</v>
      </c>
      <c r="N33" s="9">
        <f t="shared" si="4"/>
        <v>1286</v>
      </c>
      <c r="O33" s="7">
        <v>920</v>
      </c>
      <c r="P33" s="10">
        <f t="shared" si="10"/>
        <v>71.539657853810269</v>
      </c>
      <c r="Q33" s="7"/>
      <c r="R33" s="7">
        <f t="shared" si="11"/>
        <v>0</v>
      </c>
      <c r="S33" s="21">
        <f t="shared" si="5"/>
        <v>0</v>
      </c>
      <c r="T33" s="7" t="e">
        <f t="shared" si="12"/>
        <v>#DIV/0!</v>
      </c>
      <c r="U33" s="7"/>
      <c r="V33" s="11">
        <f t="shared" si="13"/>
        <v>0</v>
      </c>
      <c r="W33" s="7"/>
      <c r="X33" s="7">
        <f t="shared" si="14"/>
        <v>100</v>
      </c>
      <c r="Y33" s="7">
        <f t="shared" si="22"/>
        <v>0</v>
      </c>
      <c r="Z33" s="12" t="e">
        <f t="shared" si="15"/>
        <v>#DIV/0!</v>
      </c>
      <c r="AA33" s="12"/>
      <c r="AB33" s="13">
        <f t="shared" si="16"/>
        <v>0</v>
      </c>
      <c r="AC33" s="12">
        <f t="shared" si="23"/>
        <v>0</v>
      </c>
      <c r="AD33" s="12" t="str">
        <f t="shared" si="17"/>
        <v>STRONG</v>
      </c>
      <c r="AE33" s="14" t="str">
        <f t="shared" si="18"/>
        <v>VLOW</v>
      </c>
      <c r="AF33" s="12" t="str">
        <f t="shared" si="19"/>
        <v>EXCELLENT</v>
      </c>
      <c r="AG33" s="12" t="str">
        <f t="shared" si="7"/>
        <v>FEMALE DOM</v>
      </c>
      <c r="AH33" s="12" t="e">
        <f t="shared" si="20"/>
        <v>#DIV/0!</v>
      </c>
      <c r="AI33" s="15">
        <f t="shared" si="8"/>
        <v>26.304347826086953</v>
      </c>
      <c r="AJ33" s="16" t="str">
        <f t="shared" si="9"/>
        <v>BJP GAIN</v>
      </c>
      <c r="AK33" s="15" t="str">
        <f t="shared" si="21"/>
        <v>LOWMARGIN</v>
      </c>
    </row>
    <row r="34" spans="1:37">
      <c r="A34" s="7">
        <v>31</v>
      </c>
      <c r="B34" s="8" t="s">
        <v>165</v>
      </c>
      <c r="C34" s="7">
        <v>923</v>
      </c>
      <c r="D34" s="7">
        <v>644</v>
      </c>
      <c r="E34" s="7">
        <f t="shared" si="0"/>
        <v>69.772481040086674</v>
      </c>
      <c r="F34" s="7">
        <v>242</v>
      </c>
      <c r="G34" s="7">
        <f t="shared" si="1"/>
        <v>26.218851570964247</v>
      </c>
      <c r="H34" s="7">
        <v>1</v>
      </c>
      <c r="I34" s="7">
        <f t="shared" si="2"/>
        <v>0.10834236186348861</v>
      </c>
      <c r="J34" s="7">
        <v>12</v>
      </c>
      <c r="K34" s="7">
        <f t="shared" si="3"/>
        <v>1.3001083423618636</v>
      </c>
      <c r="L34" s="9">
        <v>607</v>
      </c>
      <c r="M34" s="9">
        <v>655</v>
      </c>
      <c r="N34" s="9">
        <f t="shared" si="4"/>
        <v>1262</v>
      </c>
      <c r="O34" s="7">
        <v>923</v>
      </c>
      <c r="P34" s="10">
        <f t="shared" si="10"/>
        <v>73.137876386687793</v>
      </c>
      <c r="Q34" s="7">
        <v>1085</v>
      </c>
      <c r="R34" s="7">
        <f t="shared" si="11"/>
        <v>85.974643423137877</v>
      </c>
      <c r="S34" s="7">
        <f t="shared" si="5"/>
        <v>270</v>
      </c>
      <c r="T34" s="7">
        <f t="shared" si="12"/>
        <v>24.88479262672811</v>
      </c>
      <c r="U34" s="7">
        <v>815</v>
      </c>
      <c r="V34" s="11">
        <f t="shared" si="13"/>
        <v>75.115207373271886</v>
      </c>
      <c r="W34" s="7">
        <v>177</v>
      </c>
      <c r="X34" s="7">
        <f t="shared" si="14"/>
        <v>14.025356576862123</v>
      </c>
      <c r="Y34" s="17">
        <f t="shared" si="22"/>
        <v>69</v>
      </c>
      <c r="Z34" s="12">
        <f t="shared" si="15"/>
        <v>38.983050847457626</v>
      </c>
      <c r="AA34" s="12">
        <v>108</v>
      </c>
      <c r="AB34" s="13">
        <f t="shared" si="16"/>
        <v>61.016949152542374</v>
      </c>
      <c r="AC34" s="12">
        <f t="shared" si="23"/>
        <v>923</v>
      </c>
      <c r="AD34" s="12" t="str">
        <f t="shared" si="17"/>
        <v>STRONG</v>
      </c>
      <c r="AE34" s="14" t="str">
        <f t="shared" si="18"/>
        <v>EXCELLENT</v>
      </c>
      <c r="AF34" s="12" t="str">
        <f t="shared" si="19"/>
        <v>VLOW</v>
      </c>
      <c r="AG34" s="12" t="str">
        <f t="shared" si="7"/>
        <v>FEMALE DOM</v>
      </c>
      <c r="AH34" s="12" t="str">
        <f t="shared" si="20"/>
        <v>O</v>
      </c>
      <c r="AI34" s="15">
        <f t="shared" si="8"/>
        <v>43.553629469122427</v>
      </c>
      <c r="AJ34" s="16" t="str">
        <f t="shared" si="9"/>
        <v>BJP GAIN</v>
      </c>
      <c r="AK34" s="19" t="str">
        <f t="shared" si="21"/>
        <v>HIGHMARGIN</v>
      </c>
    </row>
    <row r="35" spans="1:37">
      <c r="A35" s="7">
        <v>32</v>
      </c>
      <c r="B35" s="8" t="s">
        <v>166</v>
      </c>
      <c r="C35" s="7">
        <v>1041</v>
      </c>
      <c r="D35" s="7">
        <v>439</v>
      </c>
      <c r="E35" s="7">
        <f t="shared" si="0"/>
        <v>42.170989433237274</v>
      </c>
      <c r="F35" s="7">
        <v>566</v>
      </c>
      <c r="G35" s="7">
        <f t="shared" si="1"/>
        <v>54.370797310278576</v>
      </c>
      <c r="H35" s="7">
        <v>2</v>
      </c>
      <c r="I35" s="7">
        <f t="shared" si="2"/>
        <v>0.19212295869356388</v>
      </c>
      <c r="J35" s="7">
        <v>13</v>
      </c>
      <c r="K35" s="7">
        <f t="shared" si="3"/>
        <v>1.2487992315081651</v>
      </c>
      <c r="L35" s="9">
        <v>648</v>
      </c>
      <c r="M35" s="9">
        <v>744</v>
      </c>
      <c r="N35" s="9">
        <f t="shared" si="4"/>
        <v>1392</v>
      </c>
      <c r="O35" s="7">
        <v>1041</v>
      </c>
      <c r="P35" s="10">
        <f t="shared" si="10"/>
        <v>74.784482758620683</v>
      </c>
      <c r="Q35" s="7">
        <v>798</v>
      </c>
      <c r="R35" s="7">
        <f t="shared" si="11"/>
        <v>57.327586206896555</v>
      </c>
      <c r="S35" s="7">
        <f t="shared" si="5"/>
        <v>196</v>
      </c>
      <c r="T35" s="7">
        <f t="shared" si="12"/>
        <v>24.561403508771928</v>
      </c>
      <c r="U35" s="7">
        <v>602</v>
      </c>
      <c r="V35" s="11">
        <f t="shared" si="13"/>
        <v>75.438596491228068</v>
      </c>
      <c r="W35" s="7">
        <v>592</v>
      </c>
      <c r="X35" s="7">
        <f t="shared" si="14"/>
        <v>42.672413793103445</v>
      </c>
      <c r="Y35" s="7">
        <f t="shared" si="22"/>
        <v>162</v>
      </c>
      <c r="Z35" s="12">
        <f t="shared" si="15"/>
        <v>27.364864864864863</v>
      </c>
      <c r="AA35" s="12">
        <v>430</v>
      </c>
      <c r="AB35" s="13">
        <f t="shared" si="16"/>
        <v>72.63513513513513</v>
      </c>
      <c r="AC35" s="12">
        <f t="shared" si="23"/>
        <v>1032</v>
      </c>
      <c r="AD35" s="12" t="str">
        <f t="shared" si="17"/>
        <v>STRONG</v>
      </c>
      <c r="AE35" s="14" t="str">
        <f t="shared" si="18"/>
        <v>WEAK</v>
      </c>
      <c r="AF35" s="12" t="str">
        <f t="shared" si="19"/>
        <v>VLOW</v>
      </c>
      <c r="AG35" s="12" t="str">
        <f t="shared" si="7"/>
        <v>FEMALE DOM</v>
      </c>
      <c r="AH35" s="12" t="str">
        <f t="shared" si="20"/>
        <v>O</v>
      </c>
      <c r="AI35" s="15">
        <f>G35-E35</f>
        <v>12.199807877041302</v>
      </c>
      <c r="AJ35" s="25" t="str">
        <f t="shared" si="9"/>
        <v>CONGRESSGAIN</v>
      </c>
      <c r="AK35" s="15" t="str">
        <f t="shared" si="21"/>
        <v>LOWMARGIN</v>
      </c>
    </row>
    <row r="36" spans="1:37">
      <c r="A36" s="7">
        <v>33</v>
      </c>
      <c r="B36" s="8" t="s">
        <v>167</v>
      </c>
      <c r="C36" s="7">
        <v>753</v>
      </c>
      <c r="D36" s="7">
        <v>463</v>
      </c>
      <c r="E36" s="7">
        <f t="shared" si="0"/>
        <v>61.487383798140769</v>
      </c>
      <c r="F36" s="7">
        <v>255</v>
      </c>
      <c r="G36" s="7">
        <f t="shared" si="1"/>
        <v>33.864541832669318</v>
      </c>
      <c r="H36" s="7">
        <v>5</v>
      </c>
      <c r="I36" s="7">
        <f t="shared" si="2"/>
        <v>0.66401062416998669</v>
      </c>
      <c r="J36" s="7">
        <v>9</v>
      </c>
      <c r="K36" s="7">
        <f t="shared" si="3"/>
        <v>1.1952191235059761</v>
      </c>
      <c r="L36" s="9">
        <v>474</v>
      </c>
      <c r="M36" s="9">
        <v>560</v>
      </c>
      <c r="N36" s="9">
        <f t="shared" si="4"/>
        <v>1034</v>
      </c>
      <c r="O36" s="7">
        <v>753</v>
      </c>
      <c r="P36" s="10">
        <f t="shared" si="10"/>
        <v>72.823984526112184</v>
      </c>
      <c r="Q36" s="7"/>
      <c r="R36" s="7">
        <f t="shared" si="11"/>
        <v>0</v>
      </c>
      <c r="S36" s="7">
        <f t="shared" si="5"/>
        <v>0</v>
      </c>
      <c r="T36" s="7" t="e">
        <f t="shared" si="12"/>
        <v>#DIV/0!</v>
      </c>
      <c r="U36" s="7"/>
      <c r="V36" s="11">
        <f t="shared" si="13"/>
        <v>0</v>
      </c>
      <c r="W36" s="7"/>
      <c r="X36" s="7">
        <f t="shared" si="14"/>
        <v>100</v>
      </c>
      <c r="Y36" s="7">
        <f t="shared" si="22"/>
        <v>0</v>
      </c>
      <c r="Z36" s="12" t="e">
        <f t="shared" si="15"/>
        <v>#DIV/0!</v>
      </c>
      <c r="AA36" s="12"/>
      <c r="AB36" s="13">
        <f t="shared" si="16"/>
        <v>0</v>
      </c>
      <c r="AC36" s="12">
        <f t="shared" si="23"/>
        <v>0</v>
      </c>
      <c r="AD36" s="12" t="str">
        <f t="shared" si="17"/>
        <v>STRONG</v>
      </c>
      <c r="AE36" s="14" t="str">
        <f t="shared" si="18"/>
        <v>VLOW</v>
      </c>
      <c r="AF36" s="12" t="str">
        <f t="shared" si="19"/>
        <v>EXCELLENT</v>
      </c>
      <c r="AG36" s="12" t="str">
        <f t="shared" si="7"/>
        <v>FEMALE DOM</v>
      </c>
      <c r="AH36" s="12" t="e">
        <f t="shared" si="20"/>
        <v>#DIV/0!</v>
      </c>
      <c r="AI36" s="15">
        <f>E36-G36</f>
        <v>27.622841965471451</v>
      </c>
      <c r="AJ36" s="16" t="str">
        <f t="shared" si="9"/>
        <v>BJP GAIN</v>
      </c>
      <c r="AK36" s="15" t="str">
        <f t="shared" si="21"/>
        <v>LOWMARGIN</v>
      </c>
    </row>
    <row r="37" spans="1:37">
      <c r="A37" s="7">
        <v>34</v>
      </c>
      <c r="B37" s="8" t="s">
        <v>168</v>
      </c>
      <c r="C37" s="7">
        <v>1044</v>
      </c>
      <c r="D37" s="7">
        <v>609</v>
      </c>
      <c r="E37" s="7">
        <f t="shared" si="0"/>
        <v>58.333333333333336</v>
      </c>
      <c r="F37" s="7">
        <v>405</v>
      </c>
      <c r="G37" s="7">
        <f t="shared" si="1"/>
        <v>38.793103448275865</v>
      </c>
      <c r="H37" s="7">
        <v>3</v>
      </c>
      <c r="I37" s="7">
        <f t="shared" si="2"/>
        <v>0.28735632183908044</v>
      </c>
      <c r="J37" s="7">
        <v>5</v>
      </c>
      <c r="K37" s="7">
        <f t="shared" si="3"/>
        <v>0.47892720306513409</v>
      </c>
      <c r="L37" s="9">
        <v>628</v>
      </c>
      <c r="M37" s="9">
        <v>753</v>
      </c>
      <c r="N37" s="9">
        <f t="shared" si="4"/>
        <v>1381</v>
      </c>
      <c r="O37" s="7">
        <v>1044</v>
      </c>
      <c r="P37" s="10">
        <f t="shared" si="10"/>
        <v>75.597393193338164</v>
      </c>
      <c r="Q37" s="7">
        <v>1098</v>
      </c>
      <c r="R37" s="7">
        <f t="shared" si="11"/>
        <v>79.507603186097029</v>
      </c>
      <c r="S37" s="21">
        <f t="shared" si="5"/>
        <v>284</v>
      </c>
      <c r="T37" s="7">
        <f t="shared" si="12"/>
        <v>25.865209471766846</v>
      </c>
      <c r="U37" s="7">
        <v>814</v>
      </c>
      <c r="V37" s="11">
        <f t="shared" si="13"/>
        <v>74.134790528233154</v>
      </c>
      <c r="W37" s="7">
        <v>283</v>
      </c>
      <c r="X37" s="7">
        <f t="shared" si="14"/>
        <v>20.492396813902971</v>
      </c>
      <c r="Y37" s="17">
        <f t="shared" si="22"/>
        <v>53</v>
      </c>
      <c r="Z37" s="12">
        <f t="shared" si="15"/>
        <v>18.727915194346288</v>
      </c>
      <c r="AA37" s="12">
        <v>230</v>
      </c>
      <c r="AB37" s="13">
        <f t="shared" si="16"/>
        <v>81.272084805653705</v>
      </c>
      <c r="AC37" s="12">
        <f t="shared" si="23"/>
        <v>1044</v>
      </c>
      <c r="AD37" s="12" t="str">
        <f t="shared" si="17"/>
        <v>STRONG</v>
      </c>
      <c r="AE37" s="14" t="str">
        <f t="shared" si="18"/>
        <v>STRONG</v>
      </c>
      <c r="AF37" s="12" t="str">
        <f t="shared" si="19"/>
        <v>VLOW</v>
      </c>
      <c r="AG37" s="12" t="str">
        <f t="shared" si="7"/>
        <v>FEMALE DOM</v>
      </c>
      <c r="AH37" s="12" t="str">
        <f t="shared" si="20"/>
        <v>H</v>
      </c>
      <c r="AI37" s="15">
        <f>E37-G37</f>
        <v>19.540229885057471</v>
      </c>
      <c r="AJ37" s="16" t="str">
        <f t="shared" si="9"/>
        <v>BJP GAIN</v>
      </c>
      <c r="AK37" s="15" t="str">
        <f t="shared" si="21"/>
        <v>LOWMARGIN</v>
      </c>
    </row>
    <row r="38" spans="1:37">
      <c r="A38" s="7">
        <v>35</v>
      </c>
      <c r="B38" s="8" t="s">
        <v>169</v>
      </c>
      <c r="C38" s="7">
        <v>859</v>
      </c>
      <c r="D38" s="7">
        <v>444</v>
      </c>
      <c r="E38" s="7">
        <f t="shared" si="0"/>
        <v>51.688009313154822</v>
      </c>
      <c r="F38" s="7">
        <v>394</v>
      </c>
      <c r="G38" s="7">
        <f t="shared" si="1"/>
        <v>45.867287543655408</v>
      </c>
      <c r="H38" s="7">
        <v>1</v>
      </c>
      <c r="I38" s="7">
        <f t="shared" si="2"/>
        <v>0.11641443538998836</v>
      </c>
      <c r="J38" s="7">
        <v>12</v>
      </c>
      <c r="K38" s="7">
        <f t="shared" si="3"/>
        <v>1.3969732246798603</v>
      </c>
      <c r="L38" s="9">
        <v>606</v>
      </c>
      <c r="M38" s="9">
        <v>674</v>
      </c>
      <c r="N38" s="9">
        <f t="shared" si="4"/>
        <v>1280</v>
      </c>
      <c r="O38" s="7">
        <v>859</v>
      </c>
      <c r="P38" s="10">
        <f t="shared" si="10"/>
        <v>67.109375</v>
      </c>
      <c r="Q38" s="7"/>
      <c r="R38" s="7">
        <f t="shared" si="11"/>
        <v>0</v>
      </c>
      <c r="S38" s="7">
        <f t="shared" si="5"/>
        <v>0</v>
      </c>
      <c r="T38" s="7" t="e">
        <f t="shared" si="12"/>
        <v>#DIV/0!</v>
      </c>
      <c r="U38" s="7"/>
      <c r="V38" s="11">
        <f t="shared" si="13"/>
        <v>0</v>
      </c>
      <c r="W38" s="7"/>
      <c r="X38" s="7">
        <f t="shared" si="14"/>
        <v>100</v>
      </c>
      <c r="Y38" s="7">
        <f t="shared" si="22"/>
        <v>0</v>
      </c>
      <c r="Z38" s="12" t="e">
        <f t="shared" si="15"/>
        <v>#DIV/0!</v>
      </c>
      <c r="AA38" s="12"/>
      <c r="AB38" s="13">
        <f t="shared" si="16"/>
        <v>0</v>
      </c>
      <c r="AC38" s="12">
        <f t="shared" si="23"/>
        <v>0</v>
      </c>
      <c r="AD38" s="12" t="str">
        <f t="shared" si="17"/>
        <v>AVG</v>
      </c>
      <c r="AE38" s="14" t="str">
        <f t="shared" si="18"/>
        <v>VLOW</v>
      </c>
      <c r="AF38" s="12" t="str">
        <f t="shared" si="19"/>
        <v>EXCELLENT</v>
      </c>
      <c r="AG38" s="12" t="str">
        <f t="shared" si="7"/>
        <v>FEMALE DOM</v>
      </c>
      <c r="AH38" s="12" t="e">
        <f t="shared" si="20"/>
        <v>#DIV/0!</v>
      </c>
      <c r="AI38" s="15">
        <f>E38-G38</f>
        <v>5.8207217694994142</v>
      </c>
      <c r="AJ38" s="16" t="str">
        <f t="shared" si="9"/>
        <v>BJP GAIN</v>
      </c>
      <c r="AK38" s="15" t="str">
        <f t="shared" si="21"/>
        <v>NARROWMARGIN</v>
      </c>
    </row>
    <row r="39" spans="1:37">
      <c r="A39" s="7">
        <v>36</v>
      </c>
      <c r="B39" s="8" t="s">
        <v>170</v>
      </c>
      <c r="C39" s="7">
        <v>886</v>
      </c>
      <c r="D39" s="7">
        <v>396</v>
      </c>
      <c r="E39" s="7">
        <f t="shared" si="0"/>
        <v>44.695259593679459</v>
      </c>
      <c r="F39" s="7">
        <v>470</v>
      </c>
      <c r="G39" s="7">
        <f t="shared" si="1"/>
        <v>53.04740406320542</v>
      </c>
      <c r="H39" s="7">
        <v>6</v>
      </c>
      <c r="I39" s="7">
        <f t="shared" si="2"/>
        <v>0.67720090293453727</v>
      </c>
      <c r="J39" s="7">
        <v>2</v>
      </c>
      <c r="K39" s="7">
        <f t="shared" si="3"/>
        <v>0.22573363431151239</v>
      </c>
      <c r="L39" s="9">
        <v>677</v>
      </c>
      <c r="M39" s="9">
        <v>720</v>
      </c>
      <c r="N39" s="9">
        <f t="shared" si="4"/>
        <v>1397</v>
      </c>
      <c r="O39" s="7">
        <v>886</v>
      </c>
      <c r="P39" s="10">
        <f t="shared" si="10"/>
        <v>63.421617752326412</v>
      </c>
      <c r="Q39" s="7"/>
      <c r="R39" s="7">
        <f t="shared" si="11"/>
        <v>0</v>
      </c>
      <c r="S39" s="7">
        <f t="shared" si="5"/>
        <v>0</v>
      </c>
      <c r="T39" s="7" t="e">
        <f t="shared" si="12"/>
        <v>#DIV/0!</v>
      </c>
      <c r="U39" s="7"/>
      <c r="V39" s="11">
        <f t="shared" si="13"/>
        <v>0</v>
      </c>
      <c r="W39" s="7"/>
      <c r="X39" s="7">
        <f t="shared" si="14"/>
        <v>100</v>
      </c>
      <c r="Y39" s="7">
        <f t="shared" si="22"/>
        <v>0</v>
      </c>
      <c r="Z39" s="12" t="e">
        <f t="shared" si="15"/>
        <v>#DIV/0!</v>
      </c>
      <c r="AA39" s="12"/>
      <c r="AB39" s="13">
        <f t="shared" si="16"/>
        <v>0</v>
      </c>
      <c r="AC39" s="12">
        <f t="shared" si="23"/>
        <v>0</v>
      </c>
      <c r="AD39" s="12" t="str">
        <f t="shared" si="17"/>
        <v>AVG</v>
      </c>
      <c r="AE39" s="14" t="str">
        <f t="shared" si="18"/>
        <v>VLOW</v>
      </c>
      <c r="AF39" s="12" t="str">
        <f t="shared" si="19"/>
        <v>EXCELLENT</v>
      </c>
      <c r="AG39" s="12" t="str">
        <f t="shared" si="7"/>
        <v>FEMALE DOM</v>
      </c>
      <c r="AH39" s="12" t="e">
        <f t="shared" si="20"/>
        <v>#DIV/0!</v>
      </c>
      <c r="AI39" s="15">
        <f>G39-E39</f>
        <v>8.3521444695259603</v>
      </c>
      <c r="AJ39" s="25" t="str">
        <f t="shared" si="9"/>
        <v>CONGRESSGAIN</v>
      </c>
      <c r="AK39" s="15" t="str">
        <f t="shared" si="21"/>
        <v>NARROWMARGIN</v>
      </c>
    </row>
    <row r="40" spans="1:37">
      <c r="A40" s="7">
        <v>37</v>
      </c>
      <c r="B40" s="8" t="s">
        <v>171</v>
      </c>
      <c r="C40" s="7">
        <v>904</v>
      </c>
      <c r="D40" s="7">
        <v>299</v>
      </c>
      <c r="E40" s="7">
        <f t="shared" si="0"/>
        <v>33.075221238938049</v>
      </c>
      <c r="F40" s="7">
        <v>590</v>
      </c>
      <c r="G40" s="7">
        <f t="shared" si="1"/>
        <v>65.265486725663706</v>
      </c>
      <c r="H40" s="7">
        <v>4</v>
      </c>
      <c r="I40" s="7">
        <f t="shared" si="2"/>
        <v>0.44247787610619471</v>
      </c>
      <c r="J40" s="7">
        <v>3</v>
      </c>
      <c r="K40" s="7">
        <f t="shared" si="3"/>
        <v>0.33185840707964603</v>
      </c>
      <c r="L40" s="9">
        <v>632</v>
      </c>
      <c r="M40" s="9">
        <v>696</v>
      </c>
      <c r="N40" s="9">
        <f t="shared" si="4"/>
        <v>1328</v>
      </c>
      <c r="O40" s="7">
        <v>904</v>
      </c>
      <c r="P40" s="10">
        <f t="shared" si="10"/>
        <v>68.07228915662651</v>
      </c>
      <c r="Q40" s="7">
        <v>535</v>
      </c>
      <c r="R40" s="7">
        <f t="shared" si="11"/>
        <v>40.286144578313255</v>
      </c>
      <c r="S40" s="7">
        <f t="shared" si="5"/>
        <v>189</v>
      </c>
      <c r="T40" s="7">
        <f t="shared" si="12"/>
        <v>35.32710280373832</v>
      </c>
      <c r="U40" s="7">
        <v>346</v>
      </c>
      <c r="V40" s="11">
        <f t="shared" si="13"/>
        <v>64.672897196261687</v>
      </c>
      <c r="W40" s="7">
        <v>793</v>
      </c>
      <c r="X40" s="7">
        <f t="shared" si="14"/>
        <v>59.713855421686745</v>
      </c>
      <c r="Y40" s="17">
        <f t="shared" si="22"/>
        <v>243</v>
      </c>
      <c r="Z40" s="12">
        <f t="shared" si="15"/>
        <v>30.64312736443884</v>
      </c>
      <c r="AA40" s="12">
        <v>550</v>
      </c>
      <c r="AB40" s="13">
        <f t="shared" si="16"/>
        <v>69.35687263556116</v>
      </c>
      <c r="AC40" s="12">
        <f t="shared" si="23"/>
        <v>896</v>
      </c>
      <c r="AD40" s="12" t="str">
        <f t="shared" si="17"/>
        <v>AVG</v>
      </c>
      <c r="AE40" s="14" t="str">
        <f t="shared" si="18"/>
        <v>VLOW</v>
      </c>
      <c r="AF40" s="12" t="str">
        <f t="shared" si="19"/>
        <v>WEAK</v>
      </c>
      <c r="AG40" s="12" t="str">
        <f t="shared" si="7"/>
        <v>FEMALE DOM</v>
      </c>
      <c r="AH40" s="12" t="str">
        <f t="shared" si="20"/>
        <v>H</v>
      </c>
      <c r="AI40" s="15">
        <f t="shared" ref="AI40:AI41" si="24">G40-E40</f>
        <v>32.190265486725657</v>
      </c>
      <c r="AJ40" s="25" t="str">
        <f t="shared" si="9"/>
        <v>CONGRESSGAIN</v>
      </c>
      <c r="AK40" s="24" t="str">
        <f t="shared" si="21"/>
        <v>MEDIUMMARGIN</v>
      </c>
    </row>
    <row r="41" spans="1:37">
      <c r="A41" s="7">
        <v>38</v>
      </c>
      <c r="B41" s="8" t="s">
        <v>172</v>
      </c>
      <c r="C41" s="7">
        <v>729</v>
      </c>
      <c r="D41" s="7">
        <v>323</v>
      </c>
      <c r="E41" s="7">
        <f t="shared" si="0"/>
        <v>44.307270233196164</v>
      </c>
      <c r="F41" s="7">
        <v>386</v>
      </c>
      <c r="G41" s="7">
        <f t="shared" si="1"/>
        <v>52.949245541838131</v>
      </c>
      <c r="H41" s="7">
        <v>8</v>
      </c>
      <c r="I41" s="7">
        <f t="shared" si="2"/>
        <v>1.0973936899862824</v>
      </c>
      <c r="J41" s="7">
        <v>3</v>
      </c>
      <c r="K41" s="7">
        <f t="shared" si="3"/>
        <v>0.41152263374485598</v>
      </c>
      <c r="L41" s="9">
        <v>522</v>
      </c>
      <c r="M41" s="9">
        <v>637</v>
      </c>
      <c r="N41" s="9">
        <f t="shared" si="4"/>
        <v>1159</v>
      </c>
      <c r="O41" s="7">
        <v>729</v>
      </c>
      <c r="P41" s="10">
        <f t="shared" si="10"/>
        <v>62.899050905953416</v>
      </c>
      <c r="Q41" s="7">
        <v>586</v>
      </c>
      <c r="R41" s="7">
        <f t="shared" si="11"/>
        <v>50.560828300258841</v>
      </c>
      <c r="S41" s="21">
        <f t="shared" si="5"/>
        <v>193</v>
      </c>
      <c r="T41" s="7">
        <f t="shared" si="12"/>
        <v>32.935153583617748</v>
      </c>
      <c r="U41" s="7">
        <v>393</v>
      </c>
      <c r="V41" s="11">
        <f t="shared" si="13"/>
        <v>67.064846416382252</v>
      </c>
      <c r="W41" s="7">
        <v>567</v>
      </c>
      <c r="X41" s="7">
        <f t="shared" si="14"/>
        <v>49.439171699741159</v>
      </c>
      <c r="Y41" s="7">
        <f t="shared" si="22"/>
        <v>232</v>
      </c>
      <c r="Z41" s="12">
        <f t="shared" si="15"/>
        <v>40.917107583774246</v>
      </c>
      <c r="AA41" s="12">
        <v>335</v>
      </c>
      <c r="AB41" s="13">
        <f t="shared" si="16"/>
        <v>59.082892416225754</v>
      </c>
      <c r="AC41" s="12">
        <f t="shared" si="23"/>
        <v>728</v>
      </c>
      <c r="AD41" s="12" t="str">
        <f t="shared" si="17"/>
        <v>AVG</v>
      </c>
      <c r="AE41" s="14" t="str">
        <f t="shared" si="18"/>
        <v>WEAK</v>
      </c>
      <c r="AF41" s="12" t="str">
        <f t="shared" si="19"/>
        <v>VLOW</v>
      </c>
      <c r="AG41" s="12" t="str">
        <f t="shared" si="7"/>
        <v>FEMALE DOM</v>
      </c>
      <c r="AH41" s="12" t="str">
        <f t="shared" si="20"/>
        <v>O</v>
      </c>
      <c r="AI41" s="15">
        <f t="shared" si="24"/>
        <v>8.6419753086419675</v>
      </c>
      <c r="AJ41" s="25" t="str">
        <f t="shared" si="9"/>
        <v>CONGRESSGAIN</v>
      </c>
      <c r="AK41" s="15" t="str">
        <f t="shared" si="21"/>
        <v>NARROWMARGIN</v>
      </c>
    </row>
    <row r="42" spans="1:37">
      <c r="A42" s="7">
        <v>39</v>
      </c>
      <c r="B42" s="8" t="s">
        <v>173</v>
      </c>
      <c r="C42" s="7">
        <v>699</v>
      </c>
      <c r="D42" s="7">
        <v>455</v>
      </c>
      <c r="E42" s="7">
        <f t="shared" si="0"/>
        <v>65.092989985693848</v>
      </c>
      <c r="F42" s="7">
        <v>223</v>
      </c>
      <c r="G42" s="7">
        <f t="shared" si="1"/>
        <v>31.902718168812587</v>
      </c>
      <c r="H42" s="7">
        <v>3</v>
      </c>
      <c r="I42" s="7">
        <f t="shared" si="2"/>
        <v>0.42918454935622319</v>
      </c>
      <c r="J42" s="7">
        <v>8</v>
      </c>
      <c r="K42" s="7">
        <f t="shared" si="3"/>
        <v>1.144492131616595</v>
      </c>
      <c r="L42" s="9">
        <v>512</v>
      </c>
      <c r="M42" s="9">
        <v>541</v>
      </c>
      <c r="N42" s="9">
        <f t="shared" si="4"/>
        <v>1053</v>
      </c>
      <c r="O42" s="7">
        <v>699</v>
      </c>
      <c r="P42" s="10">
        <f t="shared" si="10"/>
        <v>66.381766381766383</v>
      </c>
      <c r="Q42" s="7"/>
      <c r="R42" s="7">
        <f t="shared" si="11"/>
        <v>0</v>
      </c>
      <c r="S42" s="7">
        <f t="shared" si="5"/>
        <v>0</v>
      </c>
      <c r="T42" s="7" t="e">
        <f t="shared" si="12"/>
        <v>#DIV/0!</v>
      </c>
      <c r="U42" s="7"/>
      <c r="V42" s="11">
        <f t="shared" si="13"/>
        <v>0</v>
      </c>
      <c r="W42" s="7"/>
      <c r="X42" s="7">
        <f t="shared" si="14"/>
        <v>100</v>
      </c>
      <c r="Y42" s="7">
        <f t="shared" si="22"/>
        <v>0</v>
      </c>
      <c r="Z42" s="12" t="e">
        <f t="shared" si="15"/>
        <v>#DIV/0!</v>
      </c>
      <c r="AA42" s="12"/>
      <c r="AB42" s="13">
        <f t="shared" si="16"/>
        <v>0</v>
      </c>
      <c r="AC42" s="12">
        <f t="shared" si="23"/>
        <v>0</v>
      </c>
      <c r="AD42" s="12" t="str">
        <f t="shared" si="17"/>
        <v>AVG</v>
      </c>
      <c r="AE42" s="14" t="str">
        <f t="shared" si="18"/>
        <v>VLOW</v>
      </c>
      <c r="AF42" s="12" t="str">
        <f t="shared" si="19"/>
        <v>EXCELLENT</v>
      </c>
      <c r="AG42" s="12" t="str">
        <f t="shared" si="7"/>
        <v>FEMALE DOM</v>
      </c>
      <c r="AH42" s="12" t="e">
        <f t="shared" si="20"/>
        <v>#DIV/0!</v>
      </c>
      <c r="AI42" s="15">
        <f>E42-G42</f>
        <v>33.190271816881264</v>
      </c>
      <c r="AJ42" s="16" t="str">
        <f t="shared" si="9"/>
        <v>BJP GAIN</v>
      </c>
      <c r="AK42" s="24" t="str">
        <f t="shared" si="21"/>
        <v>MEDIUMMARGIN</v>
      </c>
    </row>
    <row r="43" spans="1:37">
      <c r="A43" s="7">
        <v>40</v>
      </c>
      <c r="B43" s="8" t="s">
        <v>174</v>
      </c>
      <c r="C43" s="7">
        <v>793</v>
      </c>
      <c r="D43" s="7">
        <v>598</v>
      </c>
      <c r="E43" s="7">
        <f t="shared" si="0"/>
        <v>75.409836065573771</v>
      </c>
      <c r="F43" s="7">
        <v>154</v>
      </c>
      <c r="G43" s="7">
        <f t="shared" si="1"/>
        <v>19.419924337957127</v>
      </c>
      <c r="H43" s="7">
        <v>6</v>
      </c>
      <c r="I43" s="7">
        <f t="shared" si="2"/>
        <v>0.75662042875157631</v>
      </c>
      <c r="J43" s="7">
        <v>13</v>
      </c>
      <c r="K43" s="7">
        <f t="shared" si="3"/>
        <v>1.639344262295082</v>
      </c>
      <c r="L43" s="9">
        <v>512</v>
      </c>
      <c r="M43" s="9">
        <v>600</v>
      </c>
      <c r="N43" s="9">
        <f t="shared" si="4"/>
        <v>1112</v>
      </c>
      <c r="O43" s="7">
        <v>793</v>
      </c>
      <c r="P43" s="10">
        <f t="shared" si="10"/>
        <v>71.312949640287769</v>
      </c>
      <c r="Q43" s="7">
        <v>1030</v>
      </c>
      <c r="R43" s="7">
        <f t="shared" si="11"/>
        <v>92.625899280575538</v>
      </c>
      <c r="S43" s="7">
        <f t="shared" si="5"/>
        <v>313</v>
      </c>
      <c r="T43" s="7">
        <f t="shared" si="12"/>
        <v>30.388349514563107</v>
      </c>
      <c r="U43" s="7">
        <v>717</v>
      </c>
      <c r="V43" s="11">
        <f t="shared" si="13"/>
        <v>69.611650485436897</v>
      </c>
      <c r="W43" s="7">
        <v>82</v>
      </c>
      <c r="X43" s="7">
        <f t="shared" si="14"/>
        <v>7.3741007194244617</v>
      </c>
      <c r="Y43" s="17">
        <f t="shared" si="22"/>
        <v>11</v>
      </c>
      <c r="Z43" s="12">
        <f t="shared" si="15"/>
        <v>13.414634146341465</v>
      </c>
      <c r="AA43" s="12">
        <v>71</v>
      </c>
      <c r="AB43" s="13">
        <f t="shared" si="16"/>
        <v>86.58536585365853</v>
      </c>
      <c r="AC43" s="12">
        <f t="shared" si="23"/>
        <v>788</v>
      </c>
      <c r="AD43" s="12" t="str">
        <f t="shared" si="17"/>
        <v>STRONG</v>
      </c>
      <c r="AE43" s="14" t="str">
        <f t="shared" si="18"/>
        <v>EXCELLENT</v>
      </c>
      <c r="AF43" s="12" t="str">
        <f t="shared" si="19"/>
        <v>VLOW</v>
      </c>
      <c r="AG43" s="12" t="str">
        <f t="shared" si="7"/>
        <v>FEMALE DOM</v>
      </c>
      <c r="AH43" s="12" t="str">
        <f t="shared" si="20"/>
        <v>H</v>
      </c>
      <c r="AI43" s="15">
        <f>E43-G43</f>
        <v>55.989911727616644</v>
      </c>
      <c r="AJ43" s="16" t="str">
        <f t="shared" si="9"/>
        <v>BJP GAIN</v>
      </c>
      <c r="AK43" s="14" t="str">
        <f t="shared" si="21"/>
        <v>VERYHIGHMARGIN</v>
      </c>
    </row>
    <row r="44" spans="1:37">
      <c r="A44" s="7">
        <v>41</v>
      </c>
      <c r="B44" s="8" t="s">
        <v>175</v>
      </c>
      <c r="C44" s="7">
        <v>573</v>
      </c>
      <c r="D44" s="7">
        <v>361</v>
      </c>
      <c r="E44" s="7">
        <f t="shared" si="0"/>
        <v>63.001745200698082</v>
      </c>
      <c r="F44" s="7">
        <v>190</v>
      </c>
      <c r="G44" s="7">
        <f t="shared" si="1"/>
        <v>33.158813263525303</v>
      </c>
      <c r="H44" s="7">
        <v>3</v>
      </c>
      <c r="I44" s="7">
        <f t="shared" si="2"/>
        <v>0.52356020942408377</v>
      </c>
      <c r="J44" s="7">
        <v>7</v>
      </c>
      <c r="K44" s="7">
        <f t="shared" si="3"/>
        <v>1.2216404886561953</v>
      </c>
      <c r="L44" s="9">
        <v>355</v>
      </c>
      <c r="M44" s="9">
        <v>382</v>
      </c>
      <c r="N44" s="9">
        <f t="shared" si="4"/>
        <v>737</v>
      </c>
      <c r="O44" s="7">
        <v>573</v>
      </c>
      <c r="P44" s="10">
        <f t="shared" si="10"/>
        <v>77.747625508819539</v>
      </c>
      <c r="Q44" s="7">
        <v>612</v>
      </c>
      <c r="R44" s="7">
        <f t="shared" si="11"/>
        <v>83.039348710990495</v>
      </c>
      <c r="S44" s="7">
        <f t="shared" si="5"/>
        <v>143</v>
      </c>
      <c r="T44" s="7">
        <f t="shared" si="12"/>
        <v>23.366013071895424</v>
      </c>
      <c r="U44" s="7">
        <v>469</v>
      </c>
      <c r="V44" s="11">
        <f t="shared" si="13"/>
        <v>76.633986928104576</v>
      </c>
      <c r="W44" s="7">
        <v>125</v>
      </c>
      <c r="X44" s="7">
        <f t="shared" si="14"/>
        <v>16.960651289009505</v>
      </c>
      <c r="Y44" s="7">
        <f t="shared" si="22"/>
        <v>39</v>
      </c>
      <c r="Z44" s="12">
        <f t="shared" si="15"/>
        <v>31.2</v>
      </c>
      <c r="AA44" s="12">
        <v>86</v>
      </c>
      <c r="AB44" s="13">
        <f t="shared" si="16"/>
        <v>68.8</v>
      </c>
      <c r="AC44" s="12">
        <f t="shared" si="23"/>
        <v>555</v>
      </c>
      <c r="AD44" s="12" t="str">
        <f t="shared" si="17"/>
        <v>STRONG</v>
      </c>
      <c r="AE44" s="14" t="str">
        <f t="shared" si="18"/>
        <v>EXCELLENT</v>
      </c>
      <c r="AF44" s="12" t="str">
        <f t="shared" si="19"/>
        <v>VLOW</v>
      </c>
      <c r="AG44" s="12" t="str">
        <f t="shared" si="7"/>
        <v>FEMALE DOM</v>
      </c>
      <c r="AH44" s="12" t="str">
        <f t="shared" si="20"/>
        <v>O</v>
      </c>
      <c r="AI44" s="15">
        <f>E44-G44</f>
        <v>29.842931937172779</v>
      </c>
      <c r="AJ44" s="16" t="str">
        <f t="shared" si="9"/>
        <v>BJP GAIN</v>
      </c>
      <c r="AK44" s="15" t="str">
        <f t="shared" si="21"/>
        <v>LOWMARGIN</v>
      </c>
    </row>
    <row r="45" spans="1:37">
      <c r="A45" s="7">
        <v>42</v>
      </c>
      <c r="B45" s="8" t="s">
        <v>176</v>
      </c>
      <c r="C45" s="7">
        <v>629</v>
      </c>
      <c r="D45" s="7">
        <v>326</v>
      </c>
      <c r="E45" s="7">
        <f t="shared" si="0"/>
        <v>51.828298887122415</v>
      </c>
      <c r="F45" s="7">
        <v>283</v>
      </c>
      <c r="G45" s="7">
        <f t="shared" si="1"/>
        <v>44.992050874403816</v>
      </c>
      <c r="H45" s="7">
        <v>3</v>
      </c>
      <c r="I45" s="7">
        <f t="shared" si="2"/>
        <v>0.47694753577106513</v>
      </c>
      <c r="J45" s="7">
        <v>6</v>
      </c>
      <c r="K45" s="7">
        <f t="shared" si="3"/>
        <v>0.95389507154213027</v>
      </c>
      <c r="L45" s="9">
        <v>455</v>
      </c>
      <c r="M45" s="9">
        <v>459</v>
      </c>
      <c r="N45" s="9">
        <f t="shared" si="4"/>
        <v>914</v>
      </c>
      <c r="O45" s="7">
        <v>629</v>
      </c>
      <c r="P45" s="10">
        <f t="shared" si="10"/>
        <v>68.818380743982502</v>
      </c>
      <c r="Q45" s="7">
        <v>507</v>
      </c>
      <c r="R45" s="7">
        <f t="shared" si="11"/>
        <v>55.470459518599554</v>
      </c>
      <c r="S45" s="21">
        <f t="shared" si="5"/>
        <v>181</v>
      </c>
      <c r="T45" s="7">
        <f t="shared" si="12"/>
        <v>35.700197238658774</v>
      </c>
      <c r="U45" s="7">
        <v>326</v>
      </c>
      <c r="V45" s="11">
        <f t="shared" si="13"/>
        <v>64.299802761341212</v>
      </c>
      <c r="W45" s="7">
        <v>407</v>
      </c>
      <c r="X45" s="7">
        <f t="shared" si="14"/>
        <v>44.529540481400446</v>
      </c>
      <c r="Y45" s="7">
        <f t="shared" si="22"/>
        <v>124</v>
      </c>
      <c r="Z45" s="12">
        <f t="shared" si="15"/>
        <v>30.466830466830469</v>
      </c>
      <c r="AA45" s="12">
        <v>283</v>
      </c>
      <c r="AB45" s="13">
        <f t="shared" si="16"/>
        <v>69.533169533169541</v>
      </c>
      <c r="AC45" s="12">
        <f t="shared" si="23"/>
        <v>609</v>
      </c>
      <c r="AD45" s="12" t="str">
        <f t="shared" si="17"/>
        <v>AVG</v>
      </c>
      <c r="AE45" s="14" t="str">
        <f t="shared" si="18"/>
        <v>WEAK</v>
      </c>
      <c r="AF45" s="12" t="str">
        <f t="shared" si="19"/>
        <v>VLOW</v>
      </c>
      <c r="AG45" s="12" t="str">
        <f t="shared" si="7"/>
        <v>FEMALE DOM</v>
      </c>
      <c r="AH45" s="12" t="str">
        <f t="shared" si="20"/>
        <v>H</v>
      </c>
      <c r="AI45" s="15">
        <f>E45-G45</f>
        <v>6.8362480127185989</v>
      </c>
      <c r="AJ45" s="16" t="str">
        <f t="shared" si="9"/>
        <v>BJP GAIN</v>
      </c>
      <c r="AK45" s="15" t="str">
        <f t="shared" si="21"/>
        <v>NARROWMARGIN</v>
      </c>
    </row>
    <row r="46" spans="1:37">
      <c r="A46" s="7">
        <v>43</v>
      </c>
      <c r="B46" s="8" t="s">
        <v>177</v>
      </c>
      <c r="C46" s="7">
        <v>459</v>
      </c>
      <c r="D46" s="7">
        <v>137</v>
      </c>
      <c r="E46" s="7">
        <f t="shared" si="0"/>
        <v>29.847494553376908</v>
      </c>
      <c r="F46" s="7">
        <v>309</v>
      </c>
      <c r="G46" s="7">
        <f t="shared" si="1"/>
        <v>67.320261437908499</v>
      </c>
      <c r="H46" s="7">
        <v>3</v>
      </c>
      <c r="I46" s="7">
        <f t="shared" si="2"/>
        <v>0.65359477124183007</v>
      </c>
      <c r="J46" s="7">
        <v>4</v>
      </c>
      <c r="K46" s="7">
        <f t="shared" si="3"/>
        <v>0.8714596949891068</v>
      </c>
      <c r="L46" s="9">
        <v>373</v>
      </c>
      <c r="M46" s="9">
        <v>408</v>
      </c>
      <c r="N46" s="9">
        <f t="shared" si="4"/>
        <v>781</v>
      </c>
      <c r="O46" s="7">
        <v>459</v>
      </c>
      <c r="P46" s="10">
        <f t="shared" si="10"/>
        <v>58.770806658130603</v>
      </c>
      <c r="Q46" s="7">
        <v>277</v>
      </c>
      <c r="R46" s="7">
        <f t="shared" si="11"/>
        <v>35.467349551856593</v>
      </c>
      <c r="S46" s="7">
        <f t="shared" si="5"/>
        <v>111</v>
      </c>
      <c r="T46" s="7">
        <f t="shared" si="12"/>
        <v>40.072202166064983</v>
      </c>
      <c r="U46" s="7">
        <v>166</v>
      </c>
      <c r="V46" s="11">
        <f t="shared" si="13"/>
        <v>59.927797833935017</v>
      </c>
      <c r="W46" s="7">
        <v>503</v>
      </c>
      <c r="X46" s="7">
        <f t="shared" si="14"/>
        <v>64.532650448143414</v>
      </c>
      <c r="Y46" s="17">
        <f t="shared" si="22"/>
        <v>219</v>
      </c>
      <c r="Z46" s="12">
        <f t="shared" si="15"/>
        <v>43.538767395626245</v>
      </c>
      <c r="AA46" s="12">
        <v>284</v>
      </c>
      <c r="AB46" s="13">
        <f t="shared" si="16"/>
        <v>56.461232604373755</v>
      </c>
      <c r="AC46" s="12">
        <f t="shared" si="23"/>
        <v>450</v>
      </c>
      <c r="AD46" s="12" t="str">
        <f t="shared" si="17"/>
        <v>WEAK</v>
      </c>
      <c r="AE46" s="14" t="str">
        <f t="shared" si="18"/>
        <v>VLOW</v>
      </c>
      <c r="AF46" s="12" t="str">
        <f t="shared" si="19"/>
        <v>AVG</v>
      </c>
      <c r="AG46" s="12" t="str">
        <f t="shared" si="7"/>
        <v>FEMALE DOM</v>
      </c>
      <c r="AH46" s="12" t="str">
        <f t="shared" si="20"/>
        <v>O</v>
      </c>
      <c r="AI46" s="15">
        <f>G46-E46</f>
        <v>37.472766884531595</v>
      </c>
      <c r="AJ46" s="25" t="str">
        <f t="shared" si="9"/>
        <v>CONGRESSGAIN</v>
      </c>
      <c r="AK46" s="24" t="str">
        <f t="shared" si="21"/>
        <v>MEDIUMMARGIN</v>
      </c>
    </row>
    <row r="47" spans="1:37">
      <c r="A47" s="7">
        <v>44</v>
      </c>
      <c r="B47" s="8" t="s">
        <v>178</v>
      </c>
      <c r="C47" s="7">
        <v>903</v>
      </c>
      <c r="D47" s="7">
        <v>526</v>
      </c>
      <c r="E47" s="7">
        <f t="shared" si="0"/>
        <v>58.250276854928018</v>
      </c>
      <c r="F47" s="7">
        <v>341</v>
      </c>
      <c r="G47" s="7">
        <f t="shared" si="1"/>
        <v>37.763012181616837</v>
      </c>
      <c r="H47" s="7">
        <v>6</v>
      </c>
      <c r="I47" s="7">
        <f t="shared" si="2"/>
        <v>0.66445182724252494</v>
      </c>
      <c r="J47" s="7">
        <v>8</v>
      </c>
      <c r="K47" s="7">
        <f t="shared" si="3"/>
        <v>0.88593576965669985</v>
      </c>
      <c r="L47" s="9">
        <v>554</v>
      </c>
      <c r="M47" s="9">
        <v>667</v>
      </c>
      <c r="N47" s="9">
        <f t="shared" si="4"/>
        <v>1221</v>
      </c>
      <c r="O47" s="7">
        <v>903</v>
      </c>
      <c r="P47" s="10">
        <f t="shared" si="10"/>
        <v>73.95577395577395</v>
      </c>
      <c r="Q47" s="7">
        <v>924</v>
      </c>
      <c r="R47" s="7">
        <f t="shared" si="11"/>
        <v>75.675675675675677</v>
      </c>
      <c r="S47" s="7">
        <f t="shared" si="5"/>
        <v>291</v>
      </c>
      <c r="T47" s="7">
        <f t="shared" si="12"/>
        <v>31.493506493506494</v>
      </c>
      <c r="U47" s="7">
        <v>633</v>
      </c>
      <c r="V47" s="11">
        <f t="shared" si="13"/>
        <v>68.506493506493499</v>
      </c>
      <c r="W47" s="7">
        <v>296</v>
      </c>
      <c r="X47" s="7">
        <f t="shared" si="14"/>
        <v>24.324324324324323</v>
      </c>
      <c r="Y47" s="7">
        <f t="shared" si="22"/>
        <v>26</v>
      </c>
      <c r="Z47" s="12">
        <f t="shared" si="15"/>
        <v>8.7837837837837842</v>
      </c>
      <c r="AA47" s="12">
        <v>270</v>
      </c>
      <c r="AB47" s="13">
        <f t="shared" si="16"/>
        <v>91.21621621621621</v>
      </c>
      <c r="AC47" s="12">
        <f t="shared" si="23"/>
        <v>903</v>
      </c>
      <c r="AD47" s="12" t="str">
        <f t="shared" si="17"/>
        <v>STRONG</v>
      </c>
      <c r="AE47" s="14" t="str">
        <f t="shared" si="18"/>
        <v>STRONG</v>
      </c>
      <c r="AF47" s="12" t="str">
        <f t="shared" si="19"/>
        <v>VLOW</v>
      </c>
      <c r="AG47" s="12" t="str">
        <f t="shared" si="7"/>
        <v>FEMALE DOM</v>
      </c>
      <c r="AH47" s="12" t="str">
        <f t="shared" si="20"/>
        <v>H</v>
      </c>
      <c r="AI47" s="15">
        <f t="shared" ref="AI47:AI54" si="25">E47-G47</f>
        <v>20.487264673311181</v>
      </c>
      <c r="AJ47" s="16" t="str">
        <f t="shared" si="9"/>
        <v>BJP GAIN</v>
      </c>
      <c r="AK47" s="15" t="str">
        <f t="shared" si="21"/>
        <v>LOWMARGIN</v>
      </c>
    </row>
    <row r="48" spans="1:37">
      <c r="A48" s="7">
        <v>45</v>
      </c>
      <c r="B48" s="8" t="s">
        <v>179</v>
      </c>
      <c r="C48" s="7">
        <v>896</v>
      </c>
      <c r="D48" s="7">
        <v>541</v>
      </c>
      <c r="E48" s="7">
        <f t="shared" si="0"/>
        <v>60.379464285714292</v>
      </c>
      <c r="F48" s="7">
        <v>336</v>
      </c>
      <c r="G48" s="7">
        <f t="shared" si="1"/>
        <v>37.5</v>
      </c>
      <c r="H48" s="7">
        <v>3</v>
      </c>
      <c r="I48" s="7">
        <f t="shared" si="2"/>
        <v>0.33482142857142855</v>
      </c>
      <c r="J48" s="7">
        <v>4</v>
      </c>
      <c r="K48" s="7">
        <f t="shared" si="3"/>
        <v>0.4464285714285714</v>
      </c>
      <c r="L48" s="9">
        <v>566</v>
      </c>
      <c r="M48" s="9">
        <v>612</v>
      </c>
      <c r="N48" s="9">
        <f t="shared" si="4"/>
        <v>1178</v>
      </c>
      <c r="O48" s="7">
        <v>896</v>
      </c>
      <c r="P48" s="10">
        <f t="shared" si="10"/>
        <v>76.061120543293711</v>
      </c>
      <c r="Q48" s="7">
        <v>891</v>
      </c>
      <c r="R48" s="7">
        <f t="shared" si="11"/>
        <v>75.636672325976235</v>
      </c>
      <c r="S48" s="7">
        <f t="shared" si="5"/>
        <v>187</v>
      </c>
      <c r="T48" s="7">
        <f t="shared" si="12"/>
        <v>20.987654320987652</v>
      </c>
      <c r="U48" s="7">
        <v>704</v>
      </c>
      <c r="V48" s="11">
        <f t="shared" si="13"/>
        <v>79.012345679012341</v>
      </c>
      <c r="W48" s="7">
        <f>2+285</f>
        <v>287</v>
      </c>
      <c r="X48" s="7">
        <f t="shared" si="14"/>
        <v>24.363327674023765</v>
      </c>
      <c r="Y48" s="7">
        <f t="shared" si="22"/>
        <v>95</v>
      </c>
      <c r="Z48" s="12">
        <f t="shared" si="15"/>
        <v>33.10104529616725</v>
      </c>
      <c r="AA48" s="12">
        <f>2+190</f>
        <v>192</v>
      </c>
      <c r="AB48" s="13">
        <f t="shared" si="16"/>
        <v>66.898954703832757</v>
      </c>
      <c r="AC48" s="12">
        <f t="shared" si="23"/>
        <v>896</v>
      </c>
      <c r="AD48" s="12" t="str">
        <f t="shared" si="17"/>
        <v>STRONG</v>
      </c>
      <c r="AE48" s="14" t="str">
        <f t="shared" si="18"/>
        <v>STRONG</v>
      </c>
      <c r="AF48" s="12" t="str">
        <f t="shared" si="19"/>
        <v>VLOW</v>
      </c>
      <c r="AG48" s="12" t="str">
        <f t="shared" si="7"/>
        <v>FEMALE DOM</v>
      </c>
      <c r="AH48" s="12" t="str">
        <f t="shared" si="20"/>
        <v>O</v>
      </c>
      <c r="AI48" s="15">
        <f t="shared" si="25"/>
        <v>22.879464285714292</v>
      </c>
      <c r="AJ48" s="16" t="str">
        <f t="shared" si="9"/>
        <v>BJP GAIN</v>
      </c>
      <c r="AK48" s="15" t="str">
        <f t="shared" si="21"/>
        <v>LOWMARGIN</v>
      </c>
    </row>
    <row r="49" spans="1:37">
      <c r="A49" s="7">
        <v>46</v>
      </c>
      <c r="B49" s="8" t="s">
        <v>180</v>
      </c>
      <c r="C49" s="7">
        <v>837</v>
      </c>
      <c r="D49" s="7">
        <v>454</v>
      </c>
      <c r="E49" s="7">
        <f t="shared" si="0"/>
        <v>54.241338112305861</v>
      </c>
      <c r="F49" s="7">
        <v>351</v>
      </c>
      <c r="G49" s="7">
        <f t="shared" si="1"/>
        <v>41.935483870967744</v>
      </c>
      <c r="H49" s="7">
        <v>1</v>
      </c>
      <c r="I49" s="7">
        <f t="shared" si="2"/>
        <v>0.11947431302270012</v>
      </c>
      <c r="J49" s="7">
        <v>16</v>
      </c>
      <c r="K49" s="7">
        <f t="shared" si="3"/>
        <v>1.9115890083632019</v>
      </c>
      <c r="L49" s="9">
        <v>454</v>
      </c>
      <c r="M49" s="9">
        <v>648</v>
      </c>
      <c r="N49" s="9">
        <f t="shared" si="4"/>
        <v>1102</v>
      </c>
      <c r="O49" s="7">
        <v>837</v>
      </c>
      <c r="P49" s="10">
        <f t="shared" si="10"/>
        <v>75.952813067150643</v>
      </c>
      <c r="Q49" s="7">
        <v>694</v>
      </c>
      <c r="R49" s="7">
        <f t="shared" si="11"/>
        <v>62.976406533575314</v>
      </c>
      <c r="S49" s="21">
        <f t="shared" si="5"/>
        <v>207</v>
      </c>
      <c r="T49" s="7">
        <f t="shared" si="12"/>
        <v>29.827089337175792</v>
      </c>
      <c r="U49" s="7">
        <v>487</v>
      </c>
      <c r="V49" s="11">
        <f t="shared" si="13"/>
        <v>70.172910662824208</v>
      </c>
      <c r="W49" s="7">
        <v>408</v>
      </c>
      <c r="X49" s="7">
        <f t="shared" si="14"/>
        <v>37.023593466424686</v>
      </c>
      <c r="Y49" s="17">
        <f t="shared" si="22"/>
        <v>58</v>
      </c>
      <c r="Z49" s="12">
        <f t="shared" si="15"/>
        <v>14.215686274509803</v>
      </c>
      <c r="AA49" s="12">
        <v>350</v>
      </c>
      <c r="AB49" s="13">
        <f t="shared" si="16"/>
        <v>85.784313725490193</v>
      </c>
      <c r="AC49" s="12">
        <f t="shared" si="23"/>
        <v>837</v>
      </c>
      <c r="AD49" s="12" t="str">
        <f t="shared" si="17"/>
        <v>STRONG</v>
      </c>
      <c r="AE49" s="14" t="str">
        <f t="shared" si="18"/>
        <v>AVG</v>
      </c>
      <c r="AF49" s="12" t="str">
        <f t="shared" si="19"/>
        <v>VLOW</v>
      </c>
      <c r="AG49" s="12" t="str">
        <f t="shared" si="7"/>
        <v>FEMALE DOM</v>
      </c>
      <c r="AH49" s="12" t="str">
        <f t="shared" si="20"/>
        <v>H</v>
      </c>
      <c r="AI49" s="15">
        <f t="shared" si="25"/>
        <v>12.305854241338118</v>
      </c>
      <c r="AJ49" s="16" t="str">
        <f t="shared" si="9"/>
        <v>BJP GAIN</v>
      </c>
      <c r="AK49" s="15" t="str">
        <f t="shared" si="21"/>
        <v>LOWMARGIN</v>
      </c>
    </row>
    <row r="50" spans="1:37">
      <c r="A50" s="7">
        <v>47</v>
      </c>
      <c r="B50" s="8" t="s">
        <v>181</v>
      </c>
      <c r="C50" s="7">
        <v>891</v>
      </c>
      <c r="D50" s="7">
        <v>597</v>
      </c>
      <c r="E50" s="7">
        <f t="shared" si="0"/>
        <v>67.003367003367003</v>
      </c>
      <c r="F50" s="7">
        <v>268</v>
      </c>
      <c r="G50" s="7">
        <f t="shared" si="1"/>
        <v>30.078563411896749</v>
      </c>
      <c r="H50" s="7">
        <v>5</v>
      </c>
      <c r="I50" s="7">
        <f t="shared" si="2"/>
        <v>0.5611672278338945</v>
      </c>
      <c r="J50" s="7">
        <v>3</v>
      </c>
      <c r="K50" s="7">
        <f t="shared" si="3"/>
        <v>0.33670033670033667</v>
      </c>
      <c r="L50" s="9">
        <v>675</v>
      </c>
      <c r="M50" s="9">
        <v>729</v>
      </c>
      <c r="N50" s="9">
        <f t="shared" si="4"/>
        <v>1404</v>
      </c>
      <c r="O50" s="7">
        <v>891</v>
      </c>
      <c r="P50" s="10">
        <f t="shared" si="10"/>
        <v>63.46153846153846</v>
      </c>
      <c r="Q50" s="7">
        <v>1148</v>
      </c>
      <c r="R50" s="7">
        <f t="shared" si="11"/>
        <v>81.76638176638177</v>
      </c>
      <c r="S50" s="7">
        <f t="shared" si="5"/>
        <v>409</v>
      </c>
      <c r="T50" s="7">
        <f t="shared" si="12"/>
        <v>35.627177700348433</v>
      </c>
      <c r="U50" s="7">
        <v>739</v>
      </c>
      <c r="V50" s="11">
        <f t="shared" si="13"/>
        <v>64.37282229965156</v>
      </c>
      <c r="W50" s="7">
        <f>8+248</f>
        <v>256</v>
      </c>
      <c r="X50" s="7">
        <f t="shared" si="14"/>
        <v>18.23361823361823</v>
      </c>
      <c r="Y50" s="7">
        <f t="shared" si="22"/>
        <v>104</v>
      </c>
      <c r="Z50" s="12">
        <f t="shared" si="15"/>
        <v>40.625</v>
      </c>
      <c r="AA50" s="12">
        <f>4+148</f>
        <v>152</v>
      </c>
      <c r="AB50" s="13">
        <f t="shared" si="16"/>
        <v>59.375</v>
      </c>
      <c r="AC50" s="12">
        <f t="shared" si="23"/>
        <v>891</v>
      </c>
      <c r="AD50" s="12" t="str">
        <f t="shared" si="17"/>
        <v>AVG</v>
      </c>
      <c r="AE50" s="14" t="str">
        <f t="shared" si="18"/>
        <v>EXCELLENT</v>
      </c>
      <c r="AF50" s="12" t="str">
        <f t="shared" si="19"/>
        <v>VLOW</v>
      </c>
      <c r="AG50" s="12" t="str">
        <f t="shared" si="7"/>
        <v>FEMALE DOM</v>
      </c>
      <c r="AH50" s="12" t="str">
        <f t="shared" si="20"/>
        <v>O</v>
      </c>
      <c r="AI50" s="15">
        <f t="shared" si="25"/>
        <v>36.924803591470251</v>
      </c>
      <c r="AJ50" s="16" t="str">
        <f t="shared" si="9"/>
        <v>BJP GAIN</v>
      </c>
      <c r="AK50" s="24" t="str">
        <f t="shared" si="21"/>
        <v>MEDIUMMARGIN</v>
      </c>
    </row>
    <row r="51" spans="1:37">
      <c r="A51" s="7">
        <v>48</v>
      </c>
      <c r="B51" s="8" t="s">
        <v>182</v>
      </c>
      <c r="C51" s="7">
        <v>855</v>
      </c>
      <c r="D51" s="7">
        <v>512</v>
      </c>
      <c r="E51" s="7">
        <f t="shared" si="0"/>
        <v>59.883040935672518</v>
      </c>
      <c r="F51" s="7">
        <v>295</v>
      </c>
      <c r="G51" s="7">
        <f t="shared" si="1"/>
        <v>34.502923976608187</v>
      </c>
      <c r="H51" s="7">
        <v>1</v>
      </c>
      <c r="I51" s="7">
        <f t="shared" si="2"/>
        <v>0.11695906432748539</v>
      </c>
      <c r="J51" s="7">
        <v>19</v>
      </c>
      <c r="K51" s="7">
        <f t="shared" si="3"/>
        <v>2.2222222222222223</v>
      </c>
      <c r="L51" s="9">
        <v>563</v>
      </c>
      <c r="M51" s="9">
        <v>669</v>
      </c>
      <c r="N51" s="9">
        <f t="shared" si="4"/>
        <v>1232</v>
      </c>
      <c r="O51" s="7">
        <v>855</v>
      </c>
      <c r="P51" s="10">
        <f t="shared" si="10"/>
        <v>69.399350649350637</v>
      </c>
      <c r="Q51" s="7">
        <v>961</v>
      </c>
      <c r="R51" s="7">
        <f t="shared" si="11"/>
        <v>78.003246753246756</v>
      </c>
      <c r="S51" s="7">
        <f t="shared" si="5"/>
        <v>276</v>
      </c>
      <c r="T51" s="7">
        <f t="shared" si="12"/>
        <v>28.720083246618106</v>
      </c>
      <c r="U51" s="7">
        <v>685</v>
      </c>
      <c r="V51" s="11">
        <f t="shared" si="13"/>
        <v>71.279916753381883</v>
      </c>
      <c r="W51" s="7">
        <v>271</v>
      </c>
      <c r="X51" s="7">
        <f t="shared" si="14"/>
        <v>21.996753246753244</v>
      </c>
      <c r="Y51" s="7">
        <f t="shared" si="22"/>
        <v>93</v>
      </c>
      <c r="Z51" s="12">
        <f t="shared" si="15"/>
        <v>34.317343173431738</v>
      </c>
      <c r="AA51" s="12">
        <v>178</v>
      </c>
      <c r="AB51" s="13">
        <f t="shared" si="16"/>
        <v>65.682656826568262</v>
      </c>
      <c r="AC51" s="12">
        <f t="shared" si="23"/>
        <v>863</v>
      </c>
      <c r="AD51" s="12" t="str">
        <f t="shared" si="17"/>
        <v>AVG</v>
      </c>
      <c r="AE51" s="14" t="str">
        <f t="shared" si="18"/>
        <v>STRONG</v>
      </c>
      <c r="AF51" s="12" t="str">
        <f t="shared" si="19"/>
        <v>VLOW</v>
      </c>
      <c r="AG51" s="12" t="str">
        <f t="shared" si="7"/>
        <v>FEMALE DOM</v>
      </c>
      <c r="AH51" s="12" t="str">
        <f t="shared" si="20"/>
        <v>O</v>
      </c>
      <c r="AI51" s="15">
        <f t="shared" si="25"/>
        <v>25.380116959064331</v>
      </c>
      <c r="AJ51" s="16" t="str">
        <f t="shared" si="9"/>
        <v>BJP GAIN</v>
      </c>
      <c r="AK51" s="15" t="str">
        <f t="shared" si="21"/>
        <v>LOWMARGIN</v>
      </c>
    </row>
    <row r="52" spans="1:37">
      <c r="A52" s="7">
        <v>49</v>
      </c>
      <c r="B52" s="8" t="s">
        <v>183</v>
      </c>
      <c r="C52" s="7">
        <v>911</v>
      </c>
      <c r="D52" s="7">
        <v>575</v>
      </c>
      <c r="E52" s="7">
        <f t="shared" si="0"/>
        <v>63.117453347969267</v>
      </c>
      <c r="F52" s="7">
        <v>295</v>
      </c>
      <c r="G52" s="7">
        <f t="shared" si="1"/>
        <v>32.381997804610322</v>
      </c>
      <c r="H52" s="7">
        <v>4</v>
      </c>
      <c r="I52" s="7">
        <f t="shared" si="2"/>
        <v>0.43907793633369924</v>
      </c>
      <c r="J52" s="7">
        <v>23</v>
      </c>
      <c r="K52" s="7">
        <f t="shared" si="3"/>
        <v>2.5246981339187706</v>
      </c>
      <c r="L52" s="9">
        <v>538</v>
      </c>
      <c r="M52" s="9">
        <v>655</v>
      </c>
      <c r="N52" s="9">
        <f t="shared" si="4"/>
        <v>1193</v>
      </c>
      <c r="O52" s="7">
        <v>911</v>
      </c>
      <c r="P52" s="10">
        <f t="shared" si="10"/>
        <v>76.362112321877618</v>
      </c>
      <c r="Q52" s="7">
        <v>962</v>
      </c>
      <c r="R52" s="7">
        <f t="shared" si="11"/>
        <v>80.637049455155079</v>
      </c>
      <c r="S52" s="7">
        <f t="shared" si="5"/>
        <v>222</v>
      </c>
      <c r="T52" s="7">
        <f t="shared" si="12"/>
        <v>23.076923076923077</v>
      </c>
      <c r="U52" s="7">
        <v>740</v>
      </c>
      <c r="V52" s="11">
        <f t="shared" si="13"/>
        <v>76.923076923076934</v>
      </c>
      <c r="W52" s="7">
        <v>229</v>
      </c>
      <c r="X52" s="7">
        <f t="shared" si="14"/>
        <v>19.362950544844921</v>
      </c>
      <c r="Y52" s="17">
        <f t="shared" si="22"/>
        <v>67</v>
      </c>
      <c r="Z52" s="12">
        <f t="shared" si="15"/>
        <v>29.257641921397383</v>
      </c>
      <c r="AA52" s="12">
        <v>162</v>
      </c>
      <c r="AB52" s="13">
        <f t="shared" si="16"/>
        <v>70.742358078602621</v>
      </c>
      <c r="AC52" s="12">
        <f t="shared" si="23"/>
        <v>902</v>
      </c>
      <c r="AD52" s="12" t="str">
        <f t="shared" si="17"/>
        <v>STRONG</v>
      </c>
      <c r="AE52" s="14" t="str">
        <f t="shared" si="18"/>
        <v>EXCELLENT</v>
      </c>
      <c r="AF52" s="12" t="str">
        <f t="shared" si="19"/>
        <v>VLOW</v>
      </c>
      <c r="AG52" s="12" t="str">
        <f t="shared" si="7"/>
        <v>FEMALE DOM</v>
      </c>
      <c r="AH52" s="12" t="str">
        <f t="shared" si="20"/>
        <v>O</v>
      </c>
      <c r="AI52" s="15">
        <f t="shared" si="25"/>
        <v>30.735455543358945</v>
      </c>
      <c r="AJ52" s="16" t="str">
        <f t="shared" si="9"/>
        <v>BJP GAIN</v>
      </c>
      <c r="AK52" s="24" t="str">
        <f t="shared" si="21"/>
        <v>MEDIUMMARGIN</v>
      </c>
    </row>
    <row r="53" spans="1:37">
      <c r="A53" s="7">
        <v>50</v>
      </c>
      <c r="B53" s="8" t="s">
        <v>184</v>
      </c>
      <c r="C53" s="7">
        <v>620</v>
      </c>
      <c r="D53" s="7">
        <v>427</v>
      </c>
      <c r="E53" s="7">
        <f t="shared" si="0"/>
        <v>68.870967741935488</v>
      </c>
      <c r="F53" s="7">
        <v>177</v>
      </c>
      <c r="G53" s="7">
        <f t="shared" si="1"/>
        <v>28.548387096774192</v>
      </c>
      <c r="H53" s="7">
        <v>1</v>
      </c>
      <c r="I53" s="7">
        <f t="shared" si="2"/>
        <v>0.16129032258064516</v>
      </c>
      <c r="J53" s="7">
        <v>4</v>
      </c>
      <c r="K53" s="7">
        <f t="shared" si="3"/>
        <v>0.64516129032258063</v>
      </c>
      <c r="L53" s="9">
        <v>475</v>
      </c>
      <c r="M53" s="9">
        <v>468</v>
      </c>
      <c r="N53" s="9">
        <f t="shared" si="4"/>
        <v>943</v>
      </c>
      <c r="O53" s="7">
        <v>620</v>
      </c>
      <c r="P53" s="10">
        <f t="shared" si="10"/>
        <v>65.7476139978791</v>
      </c>
      <c r="Q53" s="7">
        <v>769</v>
      </c>
      <c r="R53" s="7">
        <f t="shared" si="11"/>
        <v>81.548250265111349</v>
      </c>
      <c r="S53" s="21">
        <f t="shared" si="5"/>
        <v>249</v>
      </c>
      <c r="T53" s="7">
        <f t="shared" si="12"/>
        <v>32.379713914174253</v>
      </c>
      <c r="U53" s="7">
        <v>520</v>
      </c>
      <c r="V53" s="11">
        <f t="shared" si="13"/>
        <v>67.62028608582574</v>
      </c>
      <c r="W53" s="7">
        <v>174</v>
      </c>
      <c r="X53" s="7">
        <f t="shared" si="14"/>
        <v>18.451749734888651</v>
      </c>
      <c r="Y53" s="7">
        <f t="shared" si="22"/>
        <v>74</v>
      </c>
      <c r="Z53" s="12">
        <f t="shared" si="15"/>
        <v>42.528735632183903</v>
      </c>
      <c r="AA53" s="12">
        <v>100</v>
      </c>
      <c r="AB53" s="13">
        <f t="shared" si="16"/>
        <v>57.47126436781609</v>
      </c>
      <c r="AC53" s="12">
        <f t="shared" si="23"/>
        <v>620</v>
      </c>
      <c r="AD53" s="12" t="str">
        <f t="shared" si="17"/>
        <v>AVG</v>
      </c>
      <c r="AE53" s="14" t="str">
        <f t="shared" si="18"/>
        <v>EXCELLENT</v>
      </c>
      <c r="AF53" s="12" t="str">
        <f t="shared" si="19"/>
        <v>VLOW</v>
      </c>
      <c r="AG53" s="12" t="str">
        <f t="shared" si="7"/>
        <v>MEN</v>
      </c>
      <c r="AH53" s="12" t="str">
        <f t="shared" si="20"/>
        <v>O</v>
      </c>
      <c r="AI53" s="15">
        <f t="shared" si="25"/>
        <v>40.322580645161295</v>
      </c>
      <c r="AJ53" s="16" t="str">
        <f t="shared" si="9"/>
        <v>BJP GAIN</v>
      </c>
      <c r="AK53" s="19" t="str">
        <f t="shared" si="21"/>
        <v>HIGHMARGIN</v>
      </c>
    </row>
    <row r="54" spans="1:37">
      <c r="A54" s="7">
        <v>51</v>
      </c>
      <c r="B54" s="8" t="s">
        <v>185</v>
      </c>
      <c r="C54" s="7">
        <v>736</v>
      </c>
      <c r="D54" s="7">
        <v>447</v>
      </c>
      <c r="E54" s="7">
        <f t="shared" si="0"/>
        <v>60.733695652173914</v>
      </c>
      <c r="F54" s="7">
        <v>259</v>
      </c>
      <c r="G54" s="7">
        <f t="shared" si="1"/>
        <v>35.190217391304344</v>
      </c>
      <c r="H54" s="7">
        <v>3</v>
      </c>
      <c r="I54" s="7">
        <f t="shared" si="2"/>
        <v>0.40760869565217389</v>
      </c>
      <c r="J54" s="7">
        <v>15</v>
      </c>
      <c r="K54" s="7">
        <f t="shared" si="3"/>
        <v>2.0380434782608696</v>
      </c>
      <c r="L54" s="9">
        <v>472</v>
      </c>
      <c r="M54" s="9">
        <v>524</v>
      </c>
      <c r="N54" s="9">
        <f t="shared" si="4"/>
        <v>996</v>
      </c>
      <c r="O54" s="7">
        <v>736</v>
      </c>
      <c r="P54" s="10">
        <f t="shared" si="10"/>
        <v>73.895582329317264</v>
      </c>
      <c r="Q54" s="7">
        <v>824</v>
      </c>
      <c r="R54" s="7">
        <f t="shared" si="11"/>
        <v>82.730923694779108</v>
      </c>
      <c r="S54" s="7">
        <f t="shared" si="5"/>
        <v>228</v>
      </c>
      <c r="T54" s="7">
        <f t="shared" si="12"/>
        <v>27.669902912621357</v>
      </c>
      <c r="U54" s="7">
        <v>596</v>
      </c>
      <c r="V54" s="11">
        <f t="shared" si="13"/>
        <v>72.330097087378647</v>
      </c>
      <c r="W54" s="7">
        <f>167+5</f>
        <v>172</v>
      </c>
      <c r="X54" s="7">
        <f t="shared" si="14"/>
        <v>17.269076305220892</v>
      </c>
      <c r="Y54" s="7">
        <f t="shared" si="22"/>
        <v>33</v>
      </c>
      <c r="Z54" s="12">
        <f t="shared" si="15"/>
        <v>19.186046511627907</v>
      </c>
      <c r="AA54" s="12">
        <v>139</v>
      </c>
      <c r="AB54" s="13">
        <f t="shared" si="16"/>
        <v>80.813953488372093</v>
      </c>
      <c r="AC54" s="12">
        <f t="shared" si="23"/>
        <v>735</v>
      </c>
      <c r="AD54" s="12" t="str">
        <f t="shared" si="17"/>
        <v>STRONG</v>
      </c>
      <c r="AE54" s="14" t="str">
        <f t="shared" si="18"/>
        <v>EXCELLENT</v>
      </c>
      <c r="AF54" s="12" t="str">
        <f t="shared" si="19"/>
        <v>VLOW</v>
      </c>
      <c r="AG54" s="12" t="str">
        <f t="shared" si="7"/>
        <v>FEMALE DOM</v>
      </c>
      <c r="AH54" s="12" t="str">
        <f t="shared" si="20"/>
        <v>H</v>
      </c>
      <c r="AI54" s="15">
        <f t="shared" si="25"/>
        <v>25.54347826086957</v>
      </c>
      <c r="AJ54" s="16" t="str">
        <f t="shared" si="9"/>
        <v>BJP GAIN</v>
      </c>
      <c r="AK54" s="15" t="str">
        <f t="shared" si="21"/>
        <v>LOWMARGIN</v>
      </c>
    </row>
    <row r="55" spans="1:37">
      <c r="A55" s="7">
        <v>52</v>
      </c>
      <c r="B55" s="8" t="s">
        <v>186</v>
      </c>
      <c r="C55" s="7">
        <v>817</v>
      </c>
      <c r="D55" s="7">
        <v>278</v>
      </c>
      <c r="E55" s="7">
        <f t="shared" si="0"/>
        <v>34.026927784577722</v>
      </c>
      <c r="F55" s="7">
        <v>501</v>
      </c>
      <c r="G55" s="7">
        <f t="shared" si="1"/>
        <v>61.321909424724609</v>
      </c>
      <c r="H55" s="7">
        <v>4</v>
      </c>
      <c r="I55" s="7">
        <f t="shared" si="2"/>
        <v>0.48959608323133408</v>
      </c>
      <c r="J55" s="7">
        <v>19</v>
      </c>
      <c r="K55" s="7">
        <f t="shared" si="3"/>
        <v>2.3255813953488373</v>
      </c>
      <c r="L55" s="9">
        <v>647</v>
      </c>
      <c r="M55" s="9">
        <v>734</v>
      </c>
      <c r="N55" s="9">
        <f t="shared" si="4"/>
        <v>1381</v>
      </c>
      <c r="O55" s="7">
        <v>817</v>
      </c>
      <c r="P55" s="10">
        <f t="shared" si="10"/>
        <v>59.16002896451846</v>
      </c>
      <c r="Q55" s="7">
        <v>622</v>
      </c>
      <c r="R55" s="7">
        <f t="shared" si="11"/>
        <v>45.03982621288921</v>
      </c>
      <c r="S55" s="7">
        <f t="shared" si="5"/>
        <v>622</v>
      </c>
      <c r="T55" s="7">
        <f t="shared" si="12"/>
        <v>100</v>
      </c>
      <c r="U55" s="7"/>
      <c r="V55" s="11">
        <f t="shared" si="13"/>
        <v>0</v>
      </c>
      <c r="W55" s="7">
        <v>759</v>
      </c>
      <c r="X55" s="7">
        <f t="shared" si="14"/>
        <v>54.96017378711079</v>
      </c>
      <c r="Y55" s="17">
        <f t="shared" si="22"/>
        <v>759</v>
      </c>
      <c r="Z55" s="12">
        <f t="shared" si="15"/>
        <v>100</v>
      </c>
      <c r="AA55" s="12"/>
      <c r="AB55" s="13">
        <f t="shared" si="16"/>
        <v>0</v>
      </c>
      <c r="AC55" s="12">
        <f t="shared" si="23"/>
        <v>0</v>
      </c>
      <c r="AD55" s="12" t="str">
        <f t="shared" si="17"/>
        <v>WEAK</v>
      </c>
      <c r="AE55" s="14" t="str">
        <f t="shared" si="18"/>
        <v>VLOW</v>
      </c>
      <c r="AF55" s="12" t="str">
        <f t="shared" si="19"/>
        <v>WEAK</v>
      </c>
      <c r="AG55" s="12" t="str">
        <f t="shared" si="7"/>
        <v>FEMALE DOM</v>
      </c>
      <c r="AH55" s="12" t="str">
        <f t="shared" si="20"/>
        <v>O</v>
      </c>
      <c r="AI55" s="15">
        <f>G55-E55</f>
        <v>27.294981640146887</v>
      </c>
      <c r="AJ55" s="25" t="str">
        <f t="shared" si="9"/>
        <v>CONGRESSGAIN</v>
      </c>
      <c r="AK55" s="15" t="str">
        <f t="shared" si="21"/>
        <v>LOWMARGIN</v>
      </c>
    </row>
    <row r="56" spans="1:37">
      <c r="A56" s="7">
        <v>53</v>
      </c>
      <c r="B56" s="8" t="s">
        <v>187</v>
      </c>
      <c r="C56" s="7">
        <v>660</v>
      </c>
      <c r="D56" s="7">
        <v>412</v>
      </c>
      <c r="E56" s="7">
        <f t="shared" si="0"/>
        <v>62.424242424242429</v>
      </c>
      <c r="F56" s="7">
        <v>226</v>
      </c>
      <c r="G56" s="7">
        <f t="shared" si="1"/>
        <v>34.242424242424242</v>
      </c>
      <c r="H56" s="7">
        <v>3</v>
      </c>
      <c r="I56" s="7">
        <f t="shared" si="2"/>
        <v>0.45454545454545453</v>
      </c>
      <c r="J56" s="7">
        <v>10</v>
      </c>
      <c r="K56" s="7">
        <f t="shared" si="3"/>
        <v>1.5151515151515151</v>
      </c>
      <c r="L56" s="9">
        <v>472</v>
      </c>
      <c r="M56" s="9">
        <v>493</v>
      </c>
      <c r="N56" s="9">
        <f t="shared" si="4"/>
        <v>965</v>
      </c>
      <c r="O56" s="7">
        <v>660</v>
      </c>
      <c r="P56" s="10">
        <f t="shared" si="10"/>
        <v>68.393782383419691</v>
      </c>
      <c r="Q56" s="7">
        <v>620</v>
      </c>
      <c r="R56" s="7">
        <f t="shared" si="11"/>
        <v>64.248704663212436</v>
      </c>
      <c r="S56" s="7">
        <f t="shared" si="5"/>
        <v>229</v>
      </c>
      <c r="T56" s="7">
        <f t="shared" si="12"/>
        <v>36.935483870967744</v>
      </c>
      <c r="U56" s="7">
        <v>391</v>
      </c>
      <c r="V56" s="11">
        <f t="shared" si="13"/>
        <v>63.064516129032256</v>
      </c>
      <c r="W56" s="7">
        <f>965-620</f>
        <v>345</v>
      </c>
      <c r="X56" s="7">
        <f t="shared" si="14"/>
        <v>35.751295336787564</v>
      </c>
      <c r="Y56" s="7">
        <f t="shared" si="22"/>
        <v>76</v>
      </c>
      <c r="Z56" s="12">
        <f t="shared" si="15"/>
        <v>22.028985507246375</v>
      </c>
      <c r="AA56" s="18">
        <f>660-391</f>
        <v>269</v>
      </c>
      <c r="AB56" s="13">
        <f t="shared" si="16"/>
        <v>77.971014492753625</v>
      </c>
      <c r="AC56" s="18">
        <f t="shared" si="23"/>
        <v>660</v>
      </c>
      <c r="AD56" s="12" t="str">
        <f t="shared" si="17"/>
        <v>AVG</v>
      </c>
      <c r="AE56" s="14" t="str">
        <f t="shared" si="18"/>
        <v>AVG</v>
      </c>
      <c r="AF56" s="12" t="str">
        <f t="shared" si="19"/>
        <v>VLOW</v>
      </c>
      <c r="AG56" s="12" t="str">
        <f t="shared" si="7"/>
        <v>FEMALE DOM</v>
      </c>
      <c r="AH56" s="12" t="str">
        <f t="shared" si="20"/>
        <v>H</v>
      </c>
      <c r="AI56" s="15">
        <f>E56-G56</f>
        <v>28.181818181818187</v>
      </c>
      <c r="AJ56" s="16" t="str">
        <f t="shared" si="9"/>
        <v>BJP GAIN</v>
      </c>
      <c r="AK56" s="15" t="str">
        <f t="shared" si="21"/>
        <v>LOWMARGIN</v>
      </c>
    </row>
    <row r="57" spans="1:37">
      <c r="A57" s="7">
        <v>54</v>
      </c>
      <c r="B57" s="8" t="s">
        <v>188</v>
      </c>
      <c r="C57" s="7">
        <v>718</v>
      </c>
      <c r="D57" s="7">
        <v>509</v>
      </c>
      <c r="E57" s="7">
        <f t="shared" si="0"/>
        <v>70.891364902506965</v>
      </c>
      <c r="F57" s="7">
        <v>180</v>
      </c>
      <c r="G57" s="7">
        <f t="shared" si="1"/>
        <v>25.069637883008355</v>
      </c>
      <c r="H57" s="7">
        <v>6</v>
      </c>
      <c r="I57" s="7">
        <f t="shared" si="2"/>
        <v>0.83565459610027859</v>
      </c>
      <c r="J57" s="7">
        <v>3</v>
      </c>
      <c r="K57" s="7">
        <f t="shared" si="3"/>
        <v>0.4178272980501393</v>
      </c>
      <c r="L57" s="9">
        <v>480</v>
      </c>
      <c r="M57" s="9">
        <v>525</v>
      </c>
      <c r="N57" s="9">
        <f t="shared" si="4"/>
        <v>1005</v>
      </c>
      <c r="O57" s="7">
        <v>718</v>
      </c>
      <c r="P57" s="10">
        <f t="shared" si="10"/>
        <v>71.442786069651746</v>
      </c>
      <c r="Q57" s="7">
        <v>857</v>
      </c>
      <c r="R57" s="7">
        <f t="shared" si="11"/>
        <v>85.273631840796014</v>
      </c>
      <c r="S57" s="21">
        <f t="shared" si="5"/>
        <v>264</v>
      </c>
      <c r="T57" s="7">
        <f t="shared" si="12"/>
        <v>30.805134189031509</v>
      </c>
      <c r="U57" s="7">
        <v>593</v>
      </c>
      <c r="V57" s="11">
        <f t="shared" si="13"/>
        <v>69.194865810968494</v>
      </c>
      <c r="W57" s="7">
        <f>1005-857</f>
        <v>148</v>
      </c>
      <c r="X57" s="7">
        <f t="shared" si="14"/>
        <v>14.726368159203986</v>
      </c>
      <c r="Y57" s="7">
        <f t="shared" si="22"/>
        <v>23</v>
      </c>
      <c r="Z57" s="12">
        <f t="shared" si="15"/>
        <v>15.54054054054054</v>
      </c>
      <c r="AA57" s="12">
        <f>718-593</f>
        <v>125</v>
      </c>
      <c r="AB57" s="13">
        <f t="shared" si="16"/>
        <v>84.459459459459467</v>
      </c>
      <c r="AC57" s="12">
        <f t="shared" si="23"/>
        <v>718</v>
      </c>
      <c r="AD57" s="12" t="str">
        <f t="shared" si="17"/>
        <v>STRONG</v>
      </c>
      <c r="AE57" s="14" t="str">
        <f t="shared" si="18"/>
        <v>EXCELLENT</v>
      </c>
      <c r="AF57" s="12" t="str">
        <f t="shared" si="19"/>
        <v>VLOW</v>
      </c>
      <c r="AG57" s="12" t="str">
        <f t="shared" si="7"/>
        <v>FEMALE DOM</v>
      </c>
      <c r="AH57" s="12" t="str">
        <f t="shared" si="20"/>
        <v>H</v>
      </c>
      <c r="AI57" s="15">
        <f>E57-G57</f>
        <v>45.82172701949861</v>
      </c>
      <c r="AJ57" s="16" t="str">
        <f t="shared" si="9"/>
        <v>BJP GAIN</v>
      </c>
      <c r="AK57" s="19" t="str">
        <f t="shared" si="21"/>
        <v>HIGHMARGIN</v>
      </c>
    </row>
    <row r="58" spans="1:37">
      <c r="A58" s="7">
        <v>55</v>
      </c>
      <c r="B58" s="8" t="s">
        <v>189</v>
      </c>
      <c r="C58" s="7">
        <v>873</v>
      </c>
      <c r="D58" s="7">
        <v>589</v>
      </c>
      <c r="E58" s="7">
        <f t="shared" si="0"/>
        <v>67.468499427262316</v>
      </c>
      <c r="F58" s="7">
        <v>263</v>
      </c>
      <c r="G58" s="7">
        <f t="shared" si="1"/>
        <v>30.126002290950744</v>
      </c>
      <c r="H58" s="7">
        <v>3</v>
      </c>
      <c r="I58" s="7">
        <f t="shared" si="2"/>
        <v>0.3436426116838488</v>
      </c>
      <c r="J58" s="7">
        <v>4</v>
      </c>
      <c r="K58" s="7">
        <f t="shared" si="3"/>
        <v>0.45819014891179843</v>
      </c>
      <c r="L58" s="9">
        <v>602</v>
      </c>
      <c r="M58" s="9">
        <v>708</v>
      </c>
      <c r="N58" s="9">
        <f t="shared" si="4"/>
        <v>1310</v>
      </c>
      <c r="O58" s="7">
        <v>873</v>
      </c>
      <c r="P58" s="10">
        <f t="shared" si="10"/>
        <v>66.641221374045799</v>
      </c>
      <c r="Q58" s="7">
        <v>1047</v>
      </c>
      <c r="R58" s="7">
        <f t="shared" si="11"/>
        <v>79.92366412213741</v>
      </c>
      <c r="S58" s="7">
        <f t="shared" si="5"/>
        <v>379</v>
      </c>
      <c r="T58" s="7">
        <f t="shared" si="12"/>
        <v>36.198662846227315</v>
      </c>
      <c r="U58" s="7">
        <v>668</v>
      </c>
      <c r="V58" s="11">
        <f t="shared" si="13"/>
        <v>63.801337153772685</v>
      </c>
      <c r="W58" s="7">
        <v>258</v>
      </c>
      <c r="X58" s="7">
        <f t="shared" si="14"/>
        <v>20.07633587786259</v>
      </c>
      <c r="Y58" s="17">
        <f t="shared" si="22"/>
        <v>62</v>
      </c>
      <c r="Z58" s="12">
        <f t="shared" si="15"/>
        <v>24.031007751937985</v>
      </c>
      <c r="AA58" s="12">
        <v>196</v>
      </c>
      <c r="AB58" s="13">
        <f t="shared" si="16"/>
        <v>75.968992248062023</v>
      </c>
      <c r="AC58" s="12">
        <f t="shared" si="23"/>
        <v>864</v>
      </c>
      <c r="AD58" s="12" t="str">
        <f t="shared" si="17"/>
        <v>AVG</v>
      </c>
      <c r="AE58" s="14" t="str">
        <f t="shared" si="18"/>
        <v>STRONG</v>
      </c>
      <c r="AF58" s="12" t="str">
        <f t="shared" si="19"/>
        <v>VLOW</v>
      </c>
      <c r="AG58" s="12" t="str">
        <f t="shared" si="7"/>
        <v>FEMALE DOM</v>
      </c>
      <c r="AH58" s="12" t="str">
        <f t="shared" si="20"/>
        <v>H</v>
      </c>
      <c r="AI58" s="15">
        <f>E58-G58</f>
        <v>37.342497136311572</v>
      </c>
      <c r="AJ58" s="16" t="str">
        <f t="shared" si="9"/>
        <v>BJP GAIN</v>
      </c>
      <c r="AK58" s="24" t="str">
        <f t="shared" si="21"/>
        <v>MEDIUMMARGIN</v>
      </c>
    </row>
    <row r="59" spans="1:37">
      <c r="A59" s="7">
        <v>56</v>
      </c>
      <c r="B59" s="8" t="s">
        <v>190</v>
      </c>
      <c r="C59" s="7">
        <v>878</v>
      </c>
      <c r="D59" s="7">
        <v>393</v>
      </c>
      <c r="E59" s="7">
        <f t="shared" si="0"/>
        <v>44.760820045558084</v>
      </c>
      <c r="F59" s="7">
        <v>466</v>
      </c>
      <c r="G59" s="7">
        <f t="shared" si="1"/>
        <v>53.075170842824605</v>
      </c>
      <c r="H59" s="7">
        <v>1</v>
      </c>
      <c r="I59" s="7">
        <f t="shared" si="2"/>
        <v>0.11389521640091116</v>
      </c>
      <c r="J59" s="7">
        <v>4</v>
      </c>
      <c r="K59" s="7">
        <f t="shared" si="3"/>
        <v>0.45558086560364464</v>
      </c>
      <c r="L59" s="9">
        <v>637</v>
      </c>
      <c r="M59" s="9">
        <v>755</v>
      </c>
      <c r="N59" s="9">
        <f t="shared" si="4"/>
        <v>1392</v>
      </c>
      <c r="O59" s="7">
        <v>878</v>
      </c>
      <c r="P59" s="10">
        <f t="shared" si="10"/>
        <v>63.074712643678168</v>
      </c>
      <c r="Q59" s="7">
        <v>651</v>
      </c>
      <c r="R59" s="7">
        <f t="shared" si="11"/>
        <v>46.767241379310342</v>
      </c>
      <c r="S59" s="7">
        <f t="shared" si="5"/>
        <v>138</v>
      </c>
      <c r="T59" s="7">
        <f t="shared" si="12"/>
        <v>21.198156682027651</v>
      </c>
      <c r="U59" s="7">
        <v>513</v>
      </c>
      <c r="V59" s="11">
        <f t="shared" si="13"/>
        <v>78.801843317972356</v>
      </c>
      <c r="W59" s="7">
        <f>1392-651</f>
        <v>741</v>
      </c>
      <c r="X59" s="7">
        <f t="shared" si="14"/>
        <v>53.232758620689658</v>
      </c>
      <c r="Y59" s="7">
        <f t="shared" si="22"/>
        <v>376</v>
      </c>
      <c r="Z59" s="12">
        <f t="shared" si="15"/>
        <v>50.742240215924426</v>
      </c>
      <c r="AA59" s="12">
        <f>878-513</f>
        <v>365</v>
      </c>
      <c r="AB59" s="13">
        <f t="shared" si="16"/>
        <v>49.257759784075574</v>
      </c>
      <c r="AC59" s="12">
        <f t="shared" si="23"/>
        <v>878</v>
      </c>
      <c r="AD59" s="12" t="str">
        <f t="shared" si="17"/>
        <v>AVG</v>
      </c>
      <c r="AE59" s="14" t="str">
        <f t="shared" si="18"/>
        <v>VLOW</v>
      </c>
      <c r="AF59" s="12" t="str">
        <f t="shared" si="19"/>
        <v>WEAK</v>
      </c>
      <c r="AG59" s="12" t="str">
        <f t="shared" si="7"/>
        <v>FEMALE DOM</v>
      </c>
      <c r="AH59" s="12" t="str">
        <f t="shared" si="20"/>
        <v>O</v>
      </c>
      <c r="AI59" s="15">
        <f>G59-E59</f>
        <v>8.3143507972665205</v>
      </c>
      <c r="AJ59" s="25" t="str">
        <f t="shared" si="9"/>
        <v>CONGRESSGAIN</v>
      </c>
      <c r="AK59" s="15" t="str">
        <f t="shared" si="21"/>
        <v>NARROWMARGIN</v>
      </c>
    </row>
    <row r="60" spans="1:37">
      <c r="A60" s="7">
        <v>57</v>
      </c>
      <c r="B60" s="8" t="s">
        <v>191</v>
      </c>
      <c r="C60" s="7">
        <v>499</v>
      </c>
      <c r="D60" s="7">
        <v>400</v>
      </c>
      <c r="E60" s="7">
        <f t="shared" si="0"/>
        <v>80.160320641282567</v>
      </c>
      <c r="F60" s="7">
        <v>86</v>
      </c>
      <c r="G60" s="7">
        <f t="shared" si="1"/>
        <v>17.234468937875754</v>
      </c>
      <c r="H60" s="7">
        <v>1</v>
      </c>
      <c r="I60" s="7">
        <f t="shared" si="2"/>
        <v>0.20040080160320639</v>
      </c>
      <c r="J60" s="7">
        <v>1</v>
      </c>
      <c r="K60" s="7">
        <f t="shared" si="3"/>
        <v>0.20040080160320639</v>
      </c>
      <c r="L60" s="9">
        <v>319</v>
      </c>
      <c r="M60" s="9">
        <v>347</v>
      </c>
      <c r="N60" s="9">
        <f t="shared" si="4"/>
        <v>666</v>
      </c>
      <c r="O60" s="7">
        <v>799</v>
      </c>
      <c r="P60" s="10">
        <f t="shared" si="10"/>
        <v>119.96996996996998</v>
      </c>
      <c r="Q60" s="7">
        <v>910</v>
      </c>
      <c r="R60" s="7">
        <f t="shared" si="11"/>
        <v>136.63663663663664</v>
      </c>
      <c r="S60" s="7">
        <f t="shared" si="5"/>
        <v>149</v>
      </c>
      <c r="T60" s="7">
        <f t="shared" si="12"/>
        <v>16.373626373626372</v>
      </c>
      <c r="U60" s="7">
        <f>683+78</f>
        <v>761</v>
      </c>
      <c r="V60" s="11">
        <f t="shared" si="13"/>
        <v>83.626373626373635</v>
      </c>
      <c r="W60" s="7">
        <v>51</v>
      </c>
      <c r="X60" s="7">
        <f t="shared" si="14"/>
        <v>-36.636636636636638</v>
      </c>
      <c r="Y60" s="7">
        <f t="shared" si="22"/>
        <v>13</v>
      </c>
      <c r="Z60" s="12">
        <f t="shared" si="15"/>
        <v>25.490196078431371</v>
      </c>
      <c r="AA60" s="12">
        <v>38</v>
      </c>
      <c r="AB60" s="13">
        <f t="shared" si="16"/>
        <v>74.509803921568633</v>
      </c>
      <c r="AC60" s="12">
        <f t="shared" si="23"/>
        <v>799</v>
      </c>
      <c r="AD60" s="12" t="str">
        <f t="shared" si="17"/>
        <v>EXCELLENT</v>
      </c>
      <c r="AE60" s="14" t="str">
        <f t="shared" si="18"/>
        <v>EXCELLENT</v>
      </c>
      <c r="AF60" s="12" t="str">
        <f t="shared" si="19"/>
        <v>VLOW</v>
      </c>
      <c r="AG60" s="12" t="str">
        <f t="shared" si="7"/>
        <v>FEMALE DOM</v>
      </c>
      <c r="AH60" s="12" t="str">
        <f t="shared" si="20"/>
        <v>O</v>
      </c>
      <c r="AI60" s="15">
        <f t="shared" ref="AI60:AI87" si="26">E60-G60</f>
        <v>62.925851703406813</v>
      </c>
      <c r="AJ60" s="16" t="str">
        <f t="shared" si="9"/>
        <v>BJP GAIN</v>
      </c>
      <c r="AK60" s="14" t="str">
        <f t="shared" si="21"/>
        <v>VERYHIGHMARGIN</v>
      </c>
    </row>
    <row r="61" spans="1:37">
      <c r="A61" s="7">
        <v>58</v>
      </c>
      <c r="B61" s="8" t="s">
        <v>192</v>
      </c>
      <c r="C61" s="7">
        <v>724</v>
      </c>
      <c r="D61" s="7">
        <v>487</v>
      </c>
      <c r="E61" s="7">
        <f t="shared" si="0"/>
        <v>67.265193370165747</v>
      </c>
      <c r="F61" s="7">
        <v>209</v>
      </c>
      <c r="G61" s="7">
        <f t="shared" si="1"/>
        <v>28.867403314917127</v>
      </c>
      <c r="H61" s="7">
        <v>1</v>
      </c>
      <c r="I61" s="7">
        <f t="shared" si="2"/>
        <v>0.13812154696132595</v>
      </c>
      <c r="J61" s="7">
        <v>5</v>
      </c>
      <c r="K61" s="7">
        <f t="shared" si="3"/>
        <v>0.69060773480662985</v>
      </c>
      <c r="L61" s="9">
        <v>513</v>
      </c>
      <c r="M61" s="9">
        <v>530</v>
      </c>
      <c r="N61" s="9">
        <f t="shared" si="4"/>
        <v>1043</v>
      </c>
      <c r="O61" s="7">
        <v>724</v>
      </c>
      <c r="P61" s="10">
        <f t="shared" si="10"/>
        <v>69.415148609779493</v>
      </c>
      <c r="Q61" s="7">
        <f>1043-153</f>
        <v>890</v>
      </c>
      <c r="R61" s="7">
        <f t="shared" si="11"/>
        <v>85.330776605944394</v>
      </c>
      <c r="S61" s="21">
        <f t="shared" si="5"/>
        <v>298</v>
      </c>
      <c r="T61" s="7">
        <f t="shared" si="12"/>
        <v>33.483146067415731</v>
      </c>
      <c r="U61" s="7">
        <v>592</v>
      </c>
      <c r="V61" s="11">
        <f t="shared" si="13"/>
        <v>66.516853932584269</v>
      </c>
      <c r="W61" s="7">
        <v>153</v>
      </c>
      <c r="X61" s="7">
        <f t="shared" si="14"/>
        <v>14.669223394055606</v>
      </c>
      <c r="Y61" s="17">
        <f t="shared" si="22"/>
        <v>72</v>
      </c>
      <c r="Z61" s="12">
        <f t="shared" si="15"/>
        <v>47.058823529411761</v>
      </c>
      <c r="AA61" s="12">
        <v>81</v>
      </c>
      <c r="AB61" s="13">
        <f t="shared" si="16"/>
        <v>52.941176470588239</v>
      </c>
      <c r="AC61" s="12">
        <f t="shared" si="23"/>
        <v>673</v>
      </c>
      <c r="AD61" s="12" t="str">
        <f t="shared" si="17"/>
        <v>AVG</v>
      </c>
      <c r="AE61" s="14" t="str">
        <f t="shared" si="18"/>
        <v>EXCELLENT</v>
      </c>
      <c r="AF61" s="12" t="str">
        <f t="shared" si="19"/>
        <v>VLOW</v>
      </c>
      <c r="AG61" s="12" t="str">
        <f t="shared" si="7"/>
        <v>FEMALE DOM</v>
      </c>
      <c r="AH61" s="12" t="str">
        <f t="shared" si="20"/>
        <v>O</v>
      </c>
      <c r="AI61" s="15">
        <f t="shared" si="26"/>
        <v>38.39779005524862</v>
      </c>
      <c r="AJ61" s="16" t="str">
        <f t="shared" si="9"/>
        <v>BJP GAIN</v>
      </c>
      <c r="AK61" s="24" t="str">
        <f t="shared" si="21"/>
        <v>MEDIUMMARGIN</v>
      </c>
    </row>
    <row r="62" spans="1:37">
      <c r="A62" s="7">
        <v>59</v>
      </c>
      <c r="B62" s="8" t="s">
        <v>193</v>
      </c>
      <c r="C62" s="7">
        <v>763</v>
      </c>
      <c r="D62" s="7">
        <v>476</v>
      </c>
      <c r="E62" s="7">
        <f t="shared" si="0"/>
        <v>62.385321100917437</v>
      </c>
      <c r="F62" s="7">
        <v>259</v>
      </c>
      <c r="G62" s="7">
        <f t="shared" si="1"/>
        <v>33.944954128440372</v>
      </c>
      <c r="H62" s="7">
        <v>4</v>
      </c>
      <c r="I62" s="7">
        <f t="shared" si="2"/>
        <v>0.52424639580602883</v>
      </c>
      <c r="J62" s="7">
        <v>7</v>
      </c>
      <c r="K62" s="7">
        <f t="shared" si="3"/>
        <v>0.91743119266055051</v>
      </c>
      <c r="L62" s="9">
        <v>521</v>
      </c>
      <c r="M62" s="9">
        <v>595</v>
      </c>
      <c r="N62" s="9">
        <f t="shared" si="4"/>
        <v>1116</v>
      </c>
      <c r="O62" s="7">
        <v>763</v>
      </c>
      <c r="P62" s="10">
        <f t="shared" si="10"/>
        <v>68.369175627240139</v>
      </c>
      <c r="Q62" s="7"/>
      <c r="R62" s="7">
        <f t="shared" si="11"/>
        <v>0</v>
      </c>
      <c r="S62" s="7">
        <f t="shared" si="5"/>
        <v>0</v>
      </c>
      <c r="T62" s="7" t="e">
        <f t="shared" si="12"/>
        <v>#DIV/0!</v>
      </c>
      <c r="U62" s="7"/>
      <c r="V62" s="11">
        <f t="shared" si="13"/>
        <v>0</v>
      </c>
      <c r="W62" s="7"/>
      <c r="X62" s="7">
        <f t="shared" si="14"/>
        <v>100</v>
      </c>
      <c r="Y62" s="7">
        <f t="shared" si="22"/>
        <v>0</v>
      </c>
      <c r="Z62" s="12" t="e">
        <f t="shared" si="15"/>
        <v>#DIV/0!</v>
      </c>
      <c r="AA62" s="12"/>
      <c r="AB62" s="13">
        <f t="shared" si="16"/>
        <v>0</v>
      </c>
      <c r="AC62" s="12">
        <f t="shared" si="23"/>
        <v>0</v>
      </c>
      <c r="AD62" s="12" t="str">
        <f t="shared" si="17"/>
        <v>AVG</v>
      </c>
      <c r="AE62" s="14" t="str">
        <f t="shared" si="18"/>
        <v>VLOW</v>
      </c>
      <c r="AF62" s="12" t="str">
        <f t="shared" si="19"/>
        <v>EXCELLENT</v>
      </c>
      <c r="AG62" s="12" t="str">
        <f t="shared" si="7"/>
        <v>FEMALE DOM</v>
      </c>
      <c r="AH62" s="12" t="e">
        <f t="shared" si="20"/>
        <v>#DIV/0!</v>
      </c>
      <c r="AI62" s="15">
        <f t="shared" si="26"/>
        <v>28.440366972477065</v>
      </c>
      <c r="AJ62" s="16" t="str">
        <f t="shared" si="9"/>
        <v>BJP GAIN</v>
      </c>
      <c r="AK62" s="15" t="str">
        <f t="shared" si="21"/>
        <v>LOWMARGIN</v>
      </c>
    </row>
    <row r="63" spans="1:37">
      <c r="A63" s="7">
        <v>60</v>
      </c>
      <c r="B63" s="8" t="s">
        <v>194</v>
      </c>
      <c r="C63" s="7">
        <v>727</v>
      </c>
      <c r="D63" s="7">
        <v>486</v>
      </c>
      <c r="E63" s="7">
        <f t="shared" si="0"/>
        <v>66.850068775790916</v>
      </c>
      <c r="F63" s="7">
        <v>203</v>
      </c>
      <c r="G63" s="7">
        <f t="shared" si="1"/>
        <v>27.922971114167812</v>
      </c>
      <c r="H63" s="7">
        <v>0</v>
      </c>
      <c r="I63" s="7">
        <f t="shared" si="2"/>
        <v>0</v>
      </c>
      <c r="J63" s="7">
        <v>5</v>
      </c>
      <c r="K63" s="7">
        <f t="shared" si="3"/>
        <v>0.68775790921595592</v>
      </c>
      <c r="L63" s="9">
        <v>595</v>
      </c>
      <c r="M63" s="9">
        <v>618</v>
      </c>
      <c r="N63" s="9">
        <f t="shared" si="4"/>
        <v>1213</v>
      </c>
      <c r="O63" s="7">
        <v>727</v>
      </c>
      <c r="P63" s="10">
        <f t="shared" si="10"/>
        <v>59.934047815333876</v>
      </c>
      <c r="Q63" s="7">
        <f>1244-167</f>
        <v>1077</v>
      </c>
      <c r="R63" s="7">
        <f t="shared" si="11"/>
        <v>88.788128606760097</v>
      </c>
      <c r="S63" s="7">
        <f t="shared" si="5"/>
        <v>454</v>
      </c>
      <c r="T63" s="7">
        <f t="shared" si="12"/>
        <v>42.154131847725161</v>
      </c>
      <c r="U63" s="7">
        <v>623</v>
      </c>
      <c r="V63" s="11">
        <f t="shared" si="13"/>
        <v>57.845868152274839</v>
      </c>
      <c r="W63" s="7">
        <f>1213-1077</f>
        <v>136</v>
      </c>
      <c r="X63" s="7">
        <f t="shared" si="14"/>
        <v>11.211871393239903</v>
      </c>
      <c r="Y63" s="7">
        <f t="shared" si="22"/>
        <v>32</v>
      </c>
      <c r="Z63" s="12">
        <f t="shared" si="15"/>
        <v>23.52941176470588</v>
      </c>
      <c r="AA63" s="12">
        <f>727-623</f>
        <v>104</v>
      </c>
      <c r="AB63" s="13">
        <f t="shared" si="16"/>
        <v>76.470588235294116</v>
      </c>
      <c r="AC63" s="12">
        <f t="shared" si="23"/>
        <v>727</v>
      </c>
      <c r="AD63" s="12" t="str">
        <f t="shared" si="17"/>
        <v>WEAK</v>
      </c>
      <c r="AE63" s="14" t="str">
        <f t="shared" si="18"/>
        <v>EXCELLENT</v>
      </c>
      <c r="AF63" s="12" t="str">
        <f t="shared" si="19"/>
        <v>VLOW</v>
      </c>
      <c r="AG63" s="12" t="str">
        <f t="shared" si="7"/>
        <v>FEMALE DOM</v>
      </c>
      <c r="AH63" s="12" t="str">
        <f t="shared" si="20"/>
        <v>H</v>
      </c>
      <c r="AI63" s="15">
        <f t="shared" si="26"/>
        <v>38.927097661623108</v>
      </c>
      <c r="AJ63" s="16" t="str">
        <f t="shared" si="9"/>
        <v>BJP GAIN</v>
      </c>
      <c r="AK63" s="24" t="str">
        <f t="shared" si="21"/>
        <v>MEDIUMMARGIN</v>
      </c>
    </row>
    <row r="64" spans="1:37">
      <c r="A64" s="7">
        <v>61</v>
      </c>
      <c r="B64" s="8" t="s">
        <v>195</v>
      </c>
      <c r="C64" s="7">
        <v>858</v>
      </c>
      <c r="D64" s="7">
        <v>703</v>
      </c>
      <c r="E64" s="7">
        <f t="shared" si="0"/>
        <v>81.934731934731929</v>
      </c>
      <c r="F64" s="7">
        <v>121</v>
      </c>
      <c r="G64" s="7">
        <f t="shared" si="1"/>
        <v>14.102564102564102</v>
      </c>
      <c r="H64" s="7">
        <v>0</v>
      </c>
      <c r="I64" s="7">
        <f t="shared" si="2"/>
        <v>0</v>
      </c>
      <c r="J64" s="7">
        <v>2</v>
      </c>
      <c r="K64" s="7">
        <f t="shared" si="3"/>
        <v>0.23310023310023309</v>
      </c>
      <c r="L64" s="9">
        <v>686</v>
      </c>
      <c r="M64" s="9">
        <v>702</v>
      </c>
      <c r="N64" s="9">
        <f t="shared" si="4"/>
        <v>1388</v>
      </c>
      <c r="O64" s="7">
        <v>858</v>
      </c>
      <c r="P64" s="10">
        <f t="shared" si="10"/>
        <v>61.815561959654175</v>
      </c>
      <c r="Q64" s="7">
        <v>1285</v>
      </c>
      <c r="R64" s="7">
        <f t="shared" si="11"/>
        <v>92.57925072046109</v>
      </c>
      <c r="S64" s="7">
        <f t="shared" si="5"/>
        <v>515</v>
      </c>
      <c r="T64" s="7">
        <f t="shared" si="12"/>
        <v>40.077821011673151</v>
      </c>
      <c r="U64" s="7">
        <v>770</v>
      </c>
      <c r="V64" s="11">
        <f t="shared" si="13"/>
        <v>59.922178988326849</v>
      </c>
      <c r="W64" s="7">
        <f>37+66</f>
        <v>103</v>
      </c>
      <c r="X64" s="7">
        <f t="shared" si="14"/>
        <v>7.4207492795389101</v>
      </c>
      <c r="Y64" s="17">
        <f t="shared" si="22"/>
        <v>31</v>
      </c>
      <c r="Z64" s="12">
        <f t="shared" si="15"/>
        <v>30.097087378640776</v>
      </c>
      <c r="AA64" s="12">
        <v>72</v>
      </c>
      <c r="AB64" s="13">
        <f t="shared" si="16"/>
        <v>69.902912621359221</v>
      </c>
      <c r="AC64" s="12">
        <f t="shared" si="23"/>
        <v>842</v>
      </c>
      <c r="AD64" s="12" t="str">
        <f t="shared" si="17"/>
        <v>AVG</v>
      </c>
      <c r="AE64" s="14" t="str">
        <f t="shared" si="18"/>
        <v>EXCELLENT</v>
      </c>
      <c r="AF64" s="12" t="str">
        <f t="shared" si="19"/>
        <v>VLOW</v>
      </c>
      <c r="AG64" s="12" t="str">
        <f t="shared" si="7"/>
        <v>FEMALE DOM</v>
      </c>
      <c r="AH64" s="12" t="str">
        <f t="shared" si="20"/>
        <v>H</v>
      </c>
      <c r="AI64" s="15">
        <f t="shared" si="26"/>
        <v>67.832167832167826</v>
      </c>
      <c r="AJ64" s="16" t="str">
        <f t="shared" si="9"/>
        <v>BJP GAIN</v>
      </c>
      <c r="AK64" s="14" t="str">
        <f t="shared" si="21"/>
        <v>VERYHIGHMARGIN</v>
      </c>
    </row>
    <row r="65" spans="1:37">
      <c r="A65" s="7">
        <v>62</v>
      </c>
      <c r="B65" s="8" t="s">
        <v>196</v>
      </c>
      <c r="C65" s="7">
        <v>583</v>
      </c>
      <c r="D65" s="7">
        <v>386</v>
      </c>
      <c r="E65" s="7">
        <f t="shared" si="0"/>
        <v>66.20926243567753</v>
      </c>
      <c r="F65" s="7">
        <v>185</v>
      </c>
      <c r="G65" s="7">
        <f t="shared" si="1"/>
        <v>31.732418524871353</v>
      </c>
      <c r="H65" s="7">
        <v>2</v>
      </c>
      <c r="I65" s="7">
        <f t="shared" si="2"/>
        <v>0.34305317324185247</v>
      </c>
      <c r="J65" s="7">
        <v>2</v>
      </c>
      <c r="K65" s="7">
        <f t="shared" si="3"/>
        <v>0.34305317324185247</v>
      </c>
      <c r="L65" s="9">
        <v>436</v>
      </c>
      <c r="M65" s="9">
        <v>441</v>
      </c>
      <c r="N65" s="9">
        <f t="shared" si="4"/>
        <v>877</v>
      </c>
      <c r="O65" s="7">
        <v>583</v>
      </c>
      <c r="P65" s="10">
        <f t="shared" si="10"/>
        <v>66.47662485746865</v>
      </c>
      <c r="Q65" s="7">
        <v>761</v>
      </c>
      <c r="R65" s="7">
        <f t="shared" si="11"/>
        <v>86.773090079817564</v>
      </c>
      <c r="S65" s="21">
        <f t="shared" si="5"/>
        <v>273</v>
      </c>
      <c r="T65" s="7">
        <f t="shared" si="12"/>
        <v>35.873850197109071</v>
      </c>
      <c r="U65" s="7">
        <v>488</v>
      </c>
      <c r="V65" s="11">
        <f t="shared" si="13"/>
        <v>64.126149802890936</v>
      </c>
      <c r="W65" s="7">
        <f>877-761</f>
        <v>116</v>
      </c>
      <c r="X65" s="7">
        <f t="shared" si="14"/>
        <v>13.226909920182436</v>
      </c>
      <c r="Y65" s="7">
        <f t="shared" si="22"/>
        <v>21</v>
      </c>
      <c r="Z65" s="12">
        <f t="shared" si="15"/>
        <v>18.103448275862068</v>
      </c>
      <c r="AA65" s="12">
        <f>583-488</f>
        <v>95</v>
      </c>
      <c r="AB65" s="13">
        <f t="shared" si="16"/>
        <v>81.896551724137936</v>
      </c>
      <c r="AC65" s="12">
        <f t="shared" si="23"/>
        <v>583</v>
      </c>
      <c r="AD65" s="12" t="str">
        <f t="shared" si="17"/>
        <v>AVG</v>
      </c>
      <c r="AE65" s="14" t="str">
        <f t="shared" si="18"/>
        <v>EXCELLENT</v>
      </c>
      <c r="AF65" s="12" t="str">
        <f t="shared" si="19"/>
        <v>VLOW</v>
      </c>
      <c r="AG65" s="12" t="str">
        <f t="shared" si="7"/>
        <v>FEMALE DOM</v>
      </c>
      <c r="AH65" s="12" t="str">
        <f t="shared" si="20"/>
        <v>H</v>
      </c>
      <c r="AI65" s="15">
        <f t="shared" si="26"/>
        <v>34.476843910806181</v>
      </c>
      <c r="AJ65" s="16" t="str">
        <f t="shared" si="9"/>
        <v>BJP GAIN</v>
      </c>
      <c r="AK65" s="24" t="str">
        <f t="shared" si="21"/>
        <v>MEDIUMMARGIN</v>
      </c>
    </row>
    <row r="66" spans="1:37">
      <c r="A66" s="7">
        <v>63</v>
      </c>
      <c r="B66" s="8" t="s">
        <v>197</v>
      </c>
      <c r="C66" s="7">
        <v>962</v>
      </c>
      <c r="D66" s="7">
        <v>703</v>
      </c>
      <c r="E66" s="7">
        <f t="shared" si="0"/>
        <v>73.076923076923066</v>
      </c>
      <c r="F66" s="7">
        <v>212</v>
      </c>
      <c r="G66" s="7">
        <f t="shared" si="1"/>
        <v>22.03742203742204</v>
      </c>
      <c r="H66" s="7">
        <v>2</v>
      </c>
      <c r="I66" s="7">
        <f t="shared" si="2"/>
        <v>0.20790020790020791</v>
      </c>
      <c r="J66" s="7">
        <v>6</v>
      </c>
      <c r="K66" s="7">
        <f t="shared" si="3"/>
        <v>0.62370062370062374</v>
      </c>
      <c r="L66" s="9">
        <v>752</v>
      </c>
      <c r="M66" s="9">
        <v>829</v>
      </c>
      <c r="N66" s="9">
        <f t="shared" si="4"/>
        <v>1581</v>
      </c>
      <c r="O66" s="7">
        <v>962</v>
      </c>
      <c r="P66" s="10">
        <f t="shared" si="10"/>
        <v>60.84756483238457</v>
      </c>
      <c r="Q66" s="7">
        <v>661</v>
      </c>
      <c r="R66" s="7">
        <f t="shared" si="11"/>
        <v>41.808981657179004</v>
      </c>
      <c r="S66" s="7">
        <f t="shared" si="5"/>
        <v>295</v>
      </c>
      <c r="T66" s="7">
        <f t="shared" si="12"/>
        <v>44.629349470499243</v>
      </c>
      <c r="U66" s="7">
        <v>366</v>
      </c>
      <c r="V66" s="11">
        <f t="shared" si="13"/>
        <v>55.37065052950075</v>
      </c>
      <c r="W66" s="7">
        <v>31</v>
      </c>
      <c r="X66" s="7">
        <f t="shared" si="14"/>
        <v>58.191018342820996</v>
      </c>
      <c r="Y66" s="7">
        <f t="shared" si="22"/>
        <v>10</v>
      </c>
      <c r="Z66" s="12">
        <f t="shared" si="15"/>
        <v>32.258064516129032</v>
      </c>
      <c r="AA66" s="25">
        <v>21</v>
      </c>
      <c r="AB66" s="26">
        <f t="shared" si="16"/>
        <v>67.741935483870961</v>
      </c>
      <c r="AC66" s="25">
        <f t="shared" si="23"/>
        <v>387</v>
      </c>
      <c r="AD66" s="12" t="str">
        <f t="shared" si="17"/>
        <v>AVG</v>
      </c>
      <c r="AE66" s="14" t="str">
        <f t="shared" si="18"/>
        <v>VLOW</v>
      </c>
      <c r="AF66" s="12" t="str">
        <f t="shared" si="19"/>
        <v>WEAK</v>
      </c>
      <c r="AG66" s="12" t="str">
        <f t="shared" si="7"/>
        <v>FEMALE DOM</v>
      </c>
      <c r="AH66" s="12" t="str">
        <f t="shared" si="20"/>
        <v>H</v>
      </c>
      <c r="AI66" s="15">
        <f t="shared" si="26"/>
        <v>51.039501039501026</v>
      </c>
      <c r="AJ66" s="16" t="str">
        <f t="shared" si="9"/>
        <v>BJP GAIN</v>
      </c>
      <c r="AK66" s="14" t="str">
        <f t="shared" si="21"/>
        <v>VERYHIGHMARGIN</v>
      </c>
    </row>
    <row r="67" spans="1:37">
      <c r="A67" s="7">
        <v>64</v>
      </c>
      <c r="B67" s="8" t="s">
        <v>198</v>
      </c>
      <c r="C67" s="7">
        <v>933</v>
      </c>
      <c r="D67" s="7">
        <v>776</v>
      </c>
      <c r="E67" s="7">
        <f t="shared" si="0"/>
        <v>83.172561629153279</v>
      </c>
      <c r="F67" s="7">
        <v>123</v>
      </c>
      <c r="G67" s="7">
        <f t="shared" si="1"/>
        <v>13.183279742765272</v>
      </c>
      <c r="H67" s="7">
        <v>2</v>
      </c>
      <c r="I67" s="7">
        <f t="shared" si="2"/>
        <v>0.21436227224008575</v>
      </c>
      <c r="J67" s="7">
        <v>5</v>
      </c>
      <c r="K67" s="7">
        <f t="shared" si="3"/>
        <v>0.53590568060021437</v>
      </c>
      <c r="L67" s="9">
        <v>611</v>
      </c>
      <c r="M67" s="9">
        <v>664</v>
      </c>
      <c r="N67" s="9">
        <f t="shared" si="4"/>
        <v>1275</v>
      </c>
      <c r="O67" s="7">
        <v>933</v>
      </c>
      <c r="P67" s="10">
        <f t="shared" si="10"/>
        <v>73.176470588235304</v>
      </c>
      <c r="Q67" s="7">
        <v>1221</v>
      </c>
      <c r="R67" s="7">
        <f t="shared" si="11"/>
        <v>95.764705882352942</v>
      </c>
      <c r="S67" s="7">
        <f t="shared" si="5"/>
        <v>329</v>
      </c>
      <c r="T67" s="7">
        <f t="shared" si="12"/>
        <v>26.945126945126948</v>
      </c>
      <c r="U67" s="7">
        <v>892</v>
      </c>
      <c r="V67" s="11">
        <f t="shared" si="13"/>
        <v>73.054873054873056</v>
      </c>
      <c r="W67" s="7">
        <v>54</v>
      </c>
      <c r="X67" s="7">
        <f t="shared" si="14"/>
        <v>4.235294117647058</v>
      </c>
      <c r="Y67" s="17">
        <f t="shared" si="22"/>
        <v>13</v>
      </c>
      <c r="Z67" s="12">
        <f t="shared" si="15"/>
        <v>24.074074074074073</v>
      </c>
      <c r="AA67" s="12">
        <v>41</v>
      </c>
      <c r="AB67" s="13">
        <f t="shared" si="16"/>
        <v>75.925925925925924</v>
      </c>
      <c r="AC67" s="12">
        <f t="shared" si="23"/>
        <v>933</v>
      </c>
      <c r="AD67" s="12" t="str">
        <f t="shared" si="17"/>
        <v>STRONG</v>
      </c>
      <c r="AE67" s="14" t="str">
        <f t="shared" si="18"/>
        <v>EXCELLENT</v>
      </c>
      <c r="AF67" s="12" t="str">
        <f t="shared" si="19"/>
        <v>VLOW</v>
      </c>
      <c r="AG67" s="12" t="str">
        <f t="shared" si="7"/>
        <v>FEMALE DOM</v>
      </c>
      <c r="AH67" s="12" t="str">
        <f t="shared" si="20"/>
        <v>H</v>
      </c>
      <c r="AI67" s="15">
        <f t="shared" si="26"/>
        <v>69.989281886388</v>
      </c>
      <c r="AJ67" s="16" t="str">
        <f t="shared" si="9"/>
        <v>BJP GAIN</v>
      </c>
      <c r="AK67" s="14" t="str">
        <f t="shared" si="21"/>
        <v>VERYHIGHMARGIN</v>
      </c>
    </row>
    <row r="68" spans="1:37">
      <c r="A68" s="7">
        <v>65</v>
      </c>
      <c r="B68" s="8" t="s">
        <v>199</v>
      </c>
      <c r="C68" s="7">
        <v>796</v>
      </c>
      <c r="D68" s="7">
        <v>672</v>
      </c>
      <c r="E68" s="7">
        <f t="shared" ref="E68:E131" si="27">(D68/C68)*100</f>
        <v>84.422110552763812</v>
      </c>
      <c r="F68" s="7">
        <v>86</v>
      </c>
      <c r="G68" s="7">
        <f t="shared" ref="G68:G131" si="28">(F68/C68)*100</f>
        <v>10.804020100502512</v>
      </c>
      <c r="H68" s="7">
        <v>4</v>
      </c>
      <c r="I68" s="7">
        <f t="shared" ref="I68:I131" si="29">(H68/C68)*100</f>
        <v>0.50251256281407031</v>
      </c>
      <c r="J68" s="7">
        <v>1</v>
      </c>
      <c r="K68" s="7">
        <f t="shared" ref="K68:K131" si="30">(J68/C68)*100</f>
        <v>0.12562814070351758</v>
      </c>
      <c r="L68" s="9">
        <v>676</v>
      </c>
      <c r="M68" s="9">
        <v>698</v>
      </c>
      <c r="N68" s="9">
        <f t="shared" ref="N68:N131" si="31">L68+M68</f>
        <v>1374</v>
      </c>
      <c r="O68" s="7">
        <v>796</v>
      </c>
      <c r="P68" s="10">
        <f t="shared" si="10"/>
        <v>57.933042212518195</v>
      </c>
      <c r="Q68" s="7">
        <v>1353</v>
      </c>
      <c r="R68" s="7">
        <f t="shared" si="11"/>
        <v>98.471615720524014</v>
      </c>
      <c r="S68" s="7">
        <f t="shared" ref="S68:S131" si="32">Q68-U68</f>
        <v>630</v>
      </c>
      <c r="T68" s="7">
        <f t="shared" si="12"/>
        <v>46.563192904656319</v>
      </c>
      <c r="U68" s="7">
        <v>723</v>
      </c>
      <c r="V68" s="11">
        <f t="shared" si="13"/>
        <v>53.436807095343688</v>
      </c>
      <c r="W68" s="7">
        <v>21</v>
      </c>
      <c r="X68" s="7">
        <f t="shared" si="14"/>
        <v>1.5283842794759863</v>
      </c>
      <c r="Y68" s="7">
        <f t="shared" si="22"/>
        <v>4</v>
      </c>
      <c r="Z68" s="12">
        <f t="shared" si="15"/>
        <v>19.047619047619047</v>
      </c>
      <c r="AA68" s="12">
        <v>17</v>
      </c>
      <c r="AB68" s="13">
        <f t="shared" si="16"/>
        <v>80.952380952380949</v>
      </c>
      <c r="AC68" s="12">
        <f t="shared" si="23"/>
        <v>740</v>
      </c>
      <c r="AD68" s="12" t="str">
        <f t="shared" si="17"/>
        <v>WEAK</v>
      </c>
      <c r="AE68" s="14" t="str">
        <f t="shared" si="18"/>
        <v>EXCELLENT</v>
      </c>
      <c r="AF68" s="12" t="str">
        <f t="shared" si="19"/>
        <v>VLOW</v>
      </c>
      <c r="AG68" s="12" t="str">
        <f t="shared" ref="AG68:AG131" si="33">IF(M68&gt;L68,"FEMALE DOM","MEN")</f>
        <v>FEMALE DOM</v>
      </c>
      <c r="AH68" s="12" t="str">
        <f t="shared" si="20"/>
        <v>H</v>
      </c>
      <c r="AI68" s="15">
        <f t="shared" si="26"/>
        <v>73.618090452261299</v>
      </c>
      <c r="AJ68" s="16" t="str">
        <f t="shared" ref="AJ68:AJ131" si="34">IF(E68&gt;G68, "BJP GAIN","CONGRESSGAIN")</f>
        <v>BJP GAIN</v>
      </c>
      <c r="AK68" s="14" t="str">
        <f t="shared" si="21"/>
        <v>VERYHIGHMARGIN</v>
      </c>
    </row>
    <row r="69" spans="1:37">
      <c r="A69" s="7">
        <v>66</v>
      </c>
      <c r="B69" s="8" t="s">
        <v>200</v>
      </c>
      <c r="C69" s="7">
        <v>981</v>
      </c>
      <c r="D69" s="7">
        <v>723</v>
      </c>
      <c r="E69" s="7">
        <f t="shared" si="27"/>
        <v>73.700305810397552</v>
      </c>
      <c r="F69" s="7">
        <v>230</v>
      </c>
      <c r="G69" s="7">
        <f t="shared" si="28"/>
        <v>23.445463812436291</v>
      </c>
      <c r="H69" s="7">
        <v>0</v>
      </c>
      <c r="I69" s="7">
        <f t="shared" si="29"/>
        <v>0</v>
      </c>
      <c r="J69" s="7">
        <v>4</v>
      </c>
      <c r="K69" s="7">
        <f t="shared" si="30"/>
        <v>0.40774719673802245</v>
      </c>
      <c r="L69" s="9">
        <v>705</v>
      </c>
      <c r="M69" s="9">
        <v>769</v>
      </c>
      <c r="N69" s="9">
        <f t="shared" si="31"/>
        <v>1474</v>
      </c>
      <c r="O69" s="7">
        <v>981</v>
      </c>
      <c r="P69" s="10">
        <f t="shared" ref="P69:P132" si="35">O69/N69*100</f>
        <v>66.553595658073277</v>
      </c>
      <c r="Q69" s="7">
        <v>1270</v>
      </c>
      <c r="R69" s="7">
        <f t="shared" ref="R69:R132" si="36">(Q69/N69)*100</f>
        <v>86.160108548168239</v>
      </c>
      <c r="S69" s="21">
        <f t="shared" si="32"/>
        <v>431</v>
      </c>
      <c r="T69" s="7">
        <f t="shared" ref="T69:T132" si="37">(S69/Q69)*100</f>
        <v>33.937007874015748</v>
      </c>
      <c r="U69" s="7">
        <v>839</v>
      </c>
      <c r="V69" s="11">
        <f t="shared" ref="V69:V132" si="38">IFERROR(U69/Q69*100,0)</f>
        <v>66.062992125984252</v>
      </c>
      <c r="W69" s="7">
        <v>204</v>
      </c>
      <c r="X69" s="7">
        <f t="shared" ref="X69:X132" si="39">100-R69</f>
        <v>13.839891451831761</v>
      </c>
      <c r="Y69" s="7">
        <f t="shared" si="22"/>
        <v>74</v>
      </c>
      <c r="Z69" s="12">
        <f t="shared" ref="Z69:Z132" si="40">(Y69/W69)*100</f>
        <v>36.274509803921568</v>
      </c>
      <c r="AA69" s="12">
        <v>130</v>
      </c>
      <c r="AB69" s="13">
        <f t="shared" ref="AB69:AB132" si="41">IFERROR(AA69/W69*100,0)</f>
        <v>63.725490196078425</v>
      </c>
      <c r="AC69" s="12">
        <f t="shared" si="23"/>
        <v>969</v>
      </c>
      <c r="AD69" s="12" t="str">
        <f t="shared" ref="AD69:AD132" si="42">IF(P69&gt;80,"EXCELLENT",IF(P69&gt;70,"STRONG",IF(P69&gt;60,"AVG",IF(P69&gt;50,"WEAK",IF(P69&lt;50,"VLOW")))))</f>
        <v>AVG</v>
      </c>
      <c r="AE69" s="14" t="str">
        <f t="shared" ref="AE69:AE132" si="43">IF(R69&gt;80,"EXCELLENT",IF(R69&gt;70,"STRONG",IF(R69&gt;60,"AVG",IF(R69&gt;50,"WEAK",IF(R69&lt;50,"VLOW")))))</f>
        <v>EXCELLENT</v>
      </c>
      <c r="AF69" s="12" t="str">
        <f t="shared" ref="AF69:AF132" si="44">IF(X69&gt;80,"EXCELLENT",IF(X69&gt;70,"STRONG",IF(X69&gt;60,"AVG",IF(X69&gt;50,"WEAK",IF(X69&lt;50,"VLOW")))))</f>
        <v>VLOW</v>
      </c>
      <c r="AG69" s="12" t="str">
        <f t="shared" si="33"/>
        <v>FEMALE DOM</v>
      </c>
      <c r="AH69" s="12" t="str">
        <f t="shared" ref="AH69:AH132" si="45">IF(T69&gt;Z69,"H","O")</f>
        <v>O</v>
      </c>
      <c r="AI69" s="15">
        <f t="shared" si="26"/>
        <v>50.254841997961265</v>
      </c>
      <c r="AJ69" s="16" t="str">
        <f t="shared" si="34"/>
        <v>BJP GAIN</v>
      </c>
      <c r="AK69" s="14" t="str">
        <f t="shared" ref="AK69:AK132" si="46">IF(AI69&gt;=50,"VERYHIGHMARGIN",IF(AI69&gt;=40,"HIGHMARGIN",IF(AI69&gt;=30,"MEDIUMMARGIN",IF(AI69&gt;10,"LOWMARGIN",IF(AI69&gt;=1,"NARROWMARGIN")))))</f>
        <v>VERYHIGHMARGIN</v>
      </c>
    </row>
    <row r="70" spans="1:37">
      <c r="A70" s="7">
        <v>67</v>
      </c>
      <c r="B70" s="8" t="s">
        <v>201</v>
      </c>
      <c r="C70" s="7">
        <v>812</v>
      </c>
      <c r="D70" s="7">
        <v>682</v>
      </c>
      <c r="E70" s="7">
        <f t="shared" si="27"/>
        <v>83.990147783251231</v>
      </c>
      <c r="F70" s="7">
        <v>98</v>
      </c>
      <c r="G70" s="7">
        <f t="shared" si="28"/>
        <v>12.068965517241379</v>
      </c>
      <c r="H70" s="7">
        <v>1</v>
      </c>
      <c r="I70" s="7">
        <f t="shared" si="29"/>
        <v>0.12315270935960591</v>
      </c>
      <c r="J70" s="7">
        <v>3</v>
      </c>
      <c r="K70" s="7">
        <f t="shared" si="30"/>
        <v>0.36945812807881773</v>
      </c>
      <c r="L70" s="9">
        <v>632</v>
      </c>
      <c r="M70" s="9">
        <v>597</v>
      </c>
      <c r="N70" s="9">
        <f t="shared" si="31"/>
        <v>1229</v>
      </c>
      <c r="O70" s="7">
        <v>812</v>
      </c>
      <c r="P70" s="10">
        <f t="shared" si="35"/>
        <v>66.069975589910499</v>
      </c>
      <c r="Q70" s="7">
        <v>1218</v>
      </c>
      <c r="R70" s="7">
        <f t="shared" si="36"/>
        <v>99.104963384865741</v>
      </c>
      <c r="S70" s="21">
        <f t="shared" si="32"/>
        <v>424</v>
      </c>
      <c r="T70" s="7">
        <f t="shared" si="37"/>
        <v>34.811165845648603</v>
      </c>
      <c r="U70" s="7">
        <v>794</v>
      </c>
      <c r="V70" s="11">
        <f t="shared" si="38"/>
        <v>65.188834154351397</v>
      </c>
      <c r="W70" s="7">
        <v>11</v>
      </c>
      <c r="X70" s="7">
        <f t="shared" si="39"/>
        <v>0.89503661513425925</v>
      </c>
      <c r="Y70" s="17">
        <f t="shared" ref="Y70:Y133" si="47">W70-AA70</f>
        <v>1</v>
      </c>
      <c r="Z70" s="12">
        <f t="shared" si="40"/>
        <v>9.0909090909090917</v>
      </c>
      <c r="AA70" s="12">
        <v>10</v>
      </c>
      <c r="AB70" s="13">
        <f t="shared" si="41"/>
        <v>90.909090909090907</v>
      </c>
      <c r="AC70" s="12">
        <f t="shared" si="23"/>
        <v>804</v>
      </c>
      <c r="AD70" s="12" t="str">
        <f t="shared" si="42"/>
        <v>AVG</v>
      </c>
      <c r="AE70" s="14" t="str">
        <f t="shared" si="43"/>
        <v>EXCELLENT</v>
      </c>
      <c r="AF70" s="12" t="str">
        <f t="shared" si="44"/>
        <v>VLOW</v>
      </c>
      <c r="AG70" s="12" t="str">
        <f t="shared" si="33"/>
        <v>MEN</v>
      </c>
      <c r="AH70" s="12" t="str">
        <f t="shared" si="45"/>
        <v>H</v>
      </c>
      <c r="AI70" s="15">
        <f t="shared" si="26"/>
        <v>71.921182266009851</v>
      </c>
      <c r="AJ70" s="16" t="str">
        <f t="shared" si="34"/>
        <v>BJP GAIN</v>
      </c>
      <c r="AK70" s="14" t="str">
        <f t="shared" si="46"/>
        <v>VERYHIGHMARGIN</v>
      </c>
    </row>
    <row r="71" spans="1:37">
      <c r="A71" s="7">
        <v>68</v>
      </c>
      <c r="B71" s="8" t="s">
        <v>202</v>
      </c>
      <c r="C71" s="7">
        <v>875</v>
      </c>
      <c r="D71" s="7">
        <v>707</v>
      </c>
      <c r="E71" s="7">
        <f t="shared" si="27"/>
        <v>80.800000000000011</v>
      </c>
      <c r="F71" s="7">
        <v>134</v>
      </c>
      <c r="G71" s="7">
        <f t="shared" si="28"/>
        <v>15.314285714285713</v>
      </c>
      <c r="H71" s="7">
        <v>3</v>
      </c>
      <c r="I71" s="7">
        <f t="shared" si="29"/>
        <v>0.34285714285714286</v>
      </c>
      <c r="J71" s="7">
        <v>4</v>
      </c>
      <c r="K71" s="7">
        <f t="shared" si="30"/>
        <v>0.45714285714285718</v>
      </c>
      <c r="L71" s="9">
        <v>686</v>
      </c>
      <c r="M71" s="9">
        <v>685</v>
      </c>
      <c r="N71" s="9">
        <f t="shared" si="31"/>
        <v>1371</v>
      </c>
      <c r="O71" s="7">
        <v>875</v>
      </c>
      <c r="P71" s="10">
        <f t="shared" si="35"/>
        <v>63.822027716994889</v>
      </c>
      <c r="Q71" s="7">
        <v>1353</v>
      </c>
      <c r="R71" s="7">
        <f t="shared" si="36"/>
        <v>98.687089715536104</v>
      </c>
      <c r="S71" s="7">
        <f t="shared" si="32"/>
        <v>489</v>
      </c>
      <c r="T71" s="7">
        <f t="shared" si="37"/>
        <v>36.14190687361419</v>
      </c>
      <c r="U71" s="7">
        <v>864</v>
      </c>
      <c r="V71" s="11">
        <f t="shared" si="38"/>
        <v>63.858093126385803</v>
      </c>
      <c r="W71" s="7">
        <v>18</v>
      </c>
      <c r="X71" s="7">
        <f t="shared" si="39"/>
        <v>1.3129102844638965</v>
      </c>
      <c r="Y71" s="7">
        <f t="shared" si="47"/>
        <v>7</v>
      </c>
      <c r="Z71" s="12">
        <f t="shared" si="40"/>
        <v>38.888888888888893</v>
      </c>
      <c r="AA71" s="12">
        <v>11</v>
      </c>
      <c r="AB71" s="13">
        <f t="shared" si="41"/>
        <v>61.111111111111114</v>
      </c>
      <c r="AC71" s="12">
        <f t="shared" si="23"/>
        <v>875</v>
      </c>
      <c r="AD71" s="12" t="str">
        <f t="shared" si="42"/>
        <v>AVG</v>
      </c>
      <c r="AE71" s="14" t="str">
        <f t="shared" si="43"/>
        <v>EXCELLENT</v>
      </c>
      <c r="AF71" s="12" t="str">
        <f t="shared" si="44"/>
        <v>VLOW</v>
      </c>
      <c r="AG71" s="12" t="str">
        <f t="shared" si="33"/>
        <v>MEN</v>
      </c>
      <c r="AH71" s="12" t="str">
        <f t="shared" si="45"/>
        <v>O</v>
      </c>
      <c r="AI71" s="15">
        <f t="shared" si="26"/>
        <v>65.485714285714295</v>
      </c>
      <c r="AJ71" s="16" t="str">
        <f t="shared" si="34"/>
        <v>BJP GAIN</v>
      </c>
      <c r="AK71" s="14" t="str">
        <f t="shared" si="46"/>
        <v>VERYHIGHMARGIN</v>
      </c>
    </row>
    <row r="72" spans="1:37">
      <c r="A72" s="7">
        <v>69</v>
      </c>
      <c r="B72" s="8" t="s">
        <v>203</v>
      </c>
      <c r="C72" s="7">
        <v>667</v>
      </c>
      <c r="D72" s="7">
        <v>492</v>
      </c>
      <c r="E72" s="7">
        <f t="shared" si="27"/>
        <v>73.763118440779607</v>
      </c>
      <c r="F72" s="7">
        <v>144</v>
      </c>
      <c r="G72" s="7">
        <f t="shared" si="28"/>
        <v>21.589205397301349</v>
      </c>
      <c r="H72" s="7">
        <v>2</v>
      </c>
      <c r="I72" s="7">
        <f t="shared" si="29"/>
        <v>0.29985007496251875</v>
      </c>
      <c r="J72" s="7">
        <v>12</v>
      </c>
      <c r="K72" s="7">
        <f t="shared" si="30"/>
        <v>1.7991004497751124</v>
      </c>
      <c r="L72" s="9">
        <v>472</v>
      </c>
      <c r="M72" s="9">
        <v>466</v>
      </c>
      <c r="N72" s="9">
        <f t="shared" si="31"/>
        <v>938</v>
      </c>
      <c r="O72" s="7">
        <v>667</v>
      </c>
      <c r="P72" s="10">
        <f t="shared" si="35"/>
        <v>71.108742004264386</v>
      </c>
      <c r="Q72" s="7">
        <v>837</v>
      </c>
      <c r="R72" s="7">
        <f t="shared" si="36"/>
        <v>89.232409381663118</v>
      </c>
      <c r="S72" s="7">
        <f t="shared" si="32"/>
        <v>251</v>
      </c>
      <c r="T72" s="7">
        <f t="shared" si="37"/>
        <v>29.988052568697732</v>
      </c>
      <c r="U72" s="7">
        <v>586</v>
      </c>
      <c r="V72" s="11">
        <f t="shared" si="38"/>
        <v>70.011947431302275</v>
      </c>
      <c r="W72" s="7">
        <f>25+76</f>
        <v>101</v>
      </c>
      <c r="X72" s="7">
        <f t="shared" si="39"/>
        <v>10.767590618336882</v>
      </c>
      <c r="Y72" s="7">
        <f t="shared" si="47"/>
        <v>28</v>
      </c>
      <c r="Z72" s="12">
        <f t="shared" si="40"/>
        <v>27.722772277227726</v>
      </c>
      <c r="AA72" s="12">
        <v>73</v>
      </c>
      <c r="AB72" s="13">
        <f t="shared" si="41"/>
        <v>72.277227722772281</v>
      </c>
      <c r="AC72" s="12">
        <f t="shared" si="23"/>
        <v>659</v>
      </c>
      <c r="AD72" s="12" t="str">
        <f t="shared" si="42"/>
        <v>STRONG</v>
      </c>
      <c r="AE72" s="14" t="str">
        <f t="shared" si="43"/>
        <v>EXCELLENT</v>
      </c>
      <c r="AF72" s="12" t="str">
        <f t="shared" si="44"/>
        <v>VLOW</v>
      </c>
      <c r="AG72" s="12" t="str">
        <f t="shared" si="33"/>
        <v>MEN</v>
      </c>
      <c r="AH72" s="12" t="str">
        <f t="shared" si="45"/>
        <v>H</v>
      </c>
      <c r="AI72" s="15">
        <f t="shared" si="26"/>
        <v>52.173913043478258</v>
      </c>
      <c r="AJ72" s="16" t="str">
        <f t="shared" si="34"/>
        <v>BJP GAIN</v>
      </c>
      <c r="AK72" s="14" t="str">
        <f t="shared" si="46"/>
        <v>VERYHIGHMARGIN</v>
      </c>
    </row>
    <row r="73" spans="1:37">
      <c r="A73" s="7">
        <v>70</v>
      </c>
      <c r="B73" s="8" t="s">
        <v>204</v>
      </c>
      <c r="C73" s="7">
        <v>848</v>
      </c>
      <c r="D73" s="7">
        <v>676</v>
      </c>
      <c r="E73" s="7">
        <f t="shared" si="27"/>
        <v>79.716981132075475</v>
      </c>
      <c r="F73" s="7">
        <v>137</v>
      </c>
      <c r="G73" s="7">
        <f t="shared" si="28"/>
        <v>16.15566037735849</v>
      </c>
      <c r="H73" s="7">
        <v>2</v>
      </c>
      <c r="I73" s="7">
        <f t="shared" si="29"/>
        <v>0.23584905660377359</v>
      </c>
      <c r="J73" s="7">
        <v>6</v>
      </c>
      <c r="K73" s="7">
        <f t="shared" si="30"/>
        <v>0.70754716981132082</v>
      </c>
      <c r="L73" s="9">
        <v>626</v>
      </c>
      <c r="M73" s="9">
        <v>629</v>
      </c>
      <c r="N73" s="9">
        <f t="shared" si="31"/>
        <v>1255</v>
      </c>
      <c r="O73" s="7">
        <v>848</v>
      </c>
      <c r="P73" s="10">
        <f t="shared" si="35"/>
        <v>67.569721115537845</v>
      </c>
      <c r="Q73" s="7">
        <v>1234</v>
      </c>
      <c r="R73" s="7">
        <f t="shared" si="36"/>
        <v>98.326693227091639</v>
      </c>
      <c r="S73" s="7">
        <f t="shared" si="32"/>
        <v>401</v>
      </c>
      <c r="T73" s="7">
        <f t="shared" si="37"/>
        <v>32.49594813614263</v>
      </c>
      <c r="U73" s="7">
        <f>849-16</f>
        <v>833</v>
      </c>
      <c r="V73" s="11">
        <f t="shared" si="38"/>
        <v>67.50405186385737</v>
      </c>
      <c r="W73" s="7">
        <v>21</v>
      </c>
      <c r="X73" s="7">
        <f t="shared" si="39"/>
        <v>1.6733067729083615</v>
      </c>
      <c r="Y73" s="17">
        <f t="shared" si="47"/>
        <v>6</v>
      </c>
      <c r="Z73" s="12">
        <f t="shared" si="40"/>
        <v>28.571428571428569</v>
      </c>
      <c r="AA73" s="12">
        <v>15</v>
      </c>
      <c r="AB73" s="13">
        <f t="shared" si="41"/>
        <v>71.428571428571431</v>
      </c>
      <c r="AC73" s="12">
        <f t="shared" si="23"/>
        <v>848</v>
      </c>
      <c r="AD73" s="12" t="str">
        <f t="shared" si="42"/>
        <v>AVG</v>
      </c>
      <c r="AE73" s="14" t="str">
        <f t="shared" si="43"/>
        <v>EXCELLENT</v>
      </c>
      <c r="AF73" s="12" t="str">
        <f t="shared" si="44"/>
        <v>VLOW</v>
      </c>
      <c r="AG73" s="12" t="str">
        <f t="shared" si="33"/>
        <v>FEMALE DOM</v>
      </c>
      <c r="AH73" s="12" t="str">
        <f t="shared" si="45"/>
        <v>H</v>
      </c>
      <c r="AI73" s="15">
        <f t="shared" si="26"/>
        <v>63.561320754716988</v>
      </c>
      <c r="AJ73" s="16" t="str">
        <f t="shared" si="34"/>
        <v>BJP GAIN</v>
      </c>
      <c r="AK73" s="14" t="str">
        <f t="shared" si="46"/>
        <v>VERYHIGHMARGIN</v>
      </c>
    </row>
    <row r="74" spans="1:37">
      <c r="A74" s="7">
        <v>71</v>
      </c>
      <c r="B74" s="8" t="s">
        <v>205</v>
      </c>
      <c r="C74" s="7">
        <v>1036</v>
      </c>
      <c r="D74" s="7">
        <v>674</v>
      </c>
      <c r="E74" s="7">
        <f t="shared" si="27"/>
        <v>65.057915057915068</v>
      </c>
      <c r="F74" s="7">
        <v>330</v>
      </c>
      <c r="G74" s="7">
        <f t="shared" si="28"/>
        <v>31.85328185328185</v>
      </c>
      <c r="H74" s="7">
        <v>3</v>
      </c>
      <c r="I74" s="7">
        <f t="shared" si="29"/>
        <v>0.28957528957528955</v>
      </c>
      <c r="J74" s="7">
        <v>6</v>
      </c>
      <c r="K74" s="7">
        <f t="shared" si="30"/>
        <v>0.5791505791505791</v>
      </c>
      <c r="L74" s="9">
        <v>697</v>
      </c>
      <c r="M74" s="9">
        <v>750</v>
      </c>
      <c r="N74" s="9">
        <f t="shared" si="31"/>
        <v>1447</v>
      </c>
      <c r="O74" s="7">
        <v>1036</v>
      </c>
      <c r="P74" s="10">
        <f t="shared" si="35"/>
        <v>71.596406357982033</v>
      </c>
      <c r="Q74" s="7">
        <v>1214</v>
      </c>
      <c r="R74" s="7">
        <f t="shared" si="36"/>
        <v>83.897719419488595</v>
      </c>
      <c r="S74" s="21">
        <f t="shared" si="32"/>
        <v>326</v>
      </c>
      <c r="T74" s="7">
        <f t="shared" si="37"/>
        <v>26.85337726523888</v>
      </c>
      <c r="U74" s="7">
        <v>888</v>
      </c>
      <c r="V74" s="11">
        <f t="shared" si="38"/>
        <v>73.146622734761124</v>
      </c>
      <c r="W74" s="7">
        <v>223</v>
      </c>
      <c r="X74" s="7">
        <f t="shared" si="39"/>
        <v>16.102280580511405</v>
      </c>
      <c r="Y74" s="7">
        <f t="shared" si="47"/>
        <v>75</v>
      </c>
      <c r="Z74" s="12">
        <f t="shared" si="40"/>
        <v>33.632286995515699</v>
      </c>
      <c r="AA74" s="12">
        <v>148</v>
      </c>
      <c r="AB74" s="13">
        <f t="shared" si="41"/>
        <v>66.367713004484301</v>
      </c>
      <c r="AC74" s="12">
        <f t="shared" si="23"/>
        <v>1036</v>
      </c>
      <c r="AD74" s="12" t="str">
        <f t="shared" si="42"/>
        <v>STRONG</v>
      </c>
      <c r="AE74" s="14" t="str">
        <f t="shared" si="43"/>
        <v>EXCELLENT</v>
      </c>
      <c r="AF74" s="12" t="str">
        <f t="shared" si="44"/>
        <v>VLOW</v>
      </c>
      <c r="AG74" s="12" t="str">
        <f t="shared" si="33"/>
        <v>FEMALE DOM</v>
      </c>
      <c r="AH74" s="12" t="str">
        <f t="shared" si="45"/>
        <v>O</v>
      </c>
      <c r="AI74" s="15">
        <f t="shared" si="26"/>
        <v>33.204633204633218</v>
      </c>
      <c r="AJ74" s="16" t="str">
        <f t="shared" si="34"/>
        <v>BJP GAIN</v>
      </c>
      <c r="AK74" s="24" t="str">
        <f t="shared" si="46"/>
        <v>MEDIUMMARGIN</v>
      </c>
    </row>
    <row r="75" spans="1:37">
      <c r="A75" s="7">
        <v>72</v>
      </c>
      <c r="B75" s="8" t="s">
        <v>206</v>
      </c>
      <c r="C75" s="7">
        <v>1143</v>
      </c>
      <c r="D75" s="7">
        <v>837</v>
      </c>
      <c r="E75" s="7">
        <f t="shared" si="27"/>
        <v>73.228346456692918</v>
      </c>
      <c r="F75" s="7">
        <v>270</v>
      </c>
      <c r="G75" s="7">
        <f t="shared" si="28"/>
        <v>23.622047244094489</v>
      </c>
      <c r="H75" s="7">
        <v>4</v>
      </c>
      <c r="I75" s="7">
        <f t="shared" si="29"/>
        <v>0.34995625546806652</v>
      </c>
      <c r="J75" s="7">
        <v>1</v>
      </c>
      <c r="K75" s="7">
        <f t="shared" si="30"/>
        <v>8.7489063867016631E-2</v>
      </c>
      <c r="L75" s="9">
        <v>799</v>
      </c>
      <c r="M75" s="9">
        <v>789</v>
      </c>
      <c r="N75" s="9">
        <f t="shared" si="31"/>
        <v>1588</v>
      </c>
      <c r="O75" s="7">
        <v>1434</v>
      </c>
      <c r="P75" s="10">
        <f t="shared" si="35"/>
        <v>90.302267002518889</v>
      </c>
      <c r="Q75" s="7">
        <v>1439</v>
      </c>
      <c r="R75" s="7">
        <f t="shared" si="36"/>
        <v>90.617128463476064</v>
      </c>
      <c r="S75" s="7">
        <f t="shared" si="32"/>
        <v>589</v>
      </c>
      <c r="T75" s="7">
        <f t="shared" si="37"/>
        <v>40.931202223766505</v>
      </c>
      <c r="U75" s="7">
        <v>850</v>
      </c>
      <c r="V75" s="11">
        <f t="shared" si="38"/>
        <v>59.068797776233495</v>
      </c>
      <c r="W75" s="7">
        <v>115</v>
      </c>
      <c r="X75" s="7">
        <f t="shared" si="39"/>
        <v>9.3828715365239361</v>
      </c>
      <c r="Y75" s="7">
        <f t="shared" si="47"/>
        <v>79</v>
      </c>
      <c r="Z75" s="12">
        <f t="shared" si="40"/>
        <v>68.695652173913047</v>
      </c>
      <c r="AA75" s="12">
        <v>36</v>
      </c>
      <c r="AB75" s="13">
        <f t="shared" si="41"/>
        <v>31.304347826086961</v>
      </c>
      <c r="AC75" s="12">
        <f t="shared" si="23"/>
        <v>886</v>
      </c>
      <c r="AD75" s="12" t="str">
        <f t="shared" si="42"/>
        <v>EXCELLENT</v>
      </c>
      <c r="AE75" s="14" t="str">
        <f t="shared" si="43"/>
        <v>EXCELLENT</v>
      </c>
      <c r="AF75" s="12" t="str">
        <f t="shared" si="44"/>
        <v>VLOW</v>
      </c>
      <c r="AG75" s="12" t="str">
        <f t="shared" si="33"/>
        <v>MEN</v>
      </c>
      <c r="AH75" s="12" t="str">
        <f t="shared" si="45"/>
        <v>O</v>
      </c>
      <c r="AI75" s="15">
        <f t="shared" si="26"/>
        <v>49.606299212598429</v>
      </c>
      <c r="AJ75" s="16" t="str">
        <f t="shared" si="34"/>
        <v>BJP GAIN</v>
      </c>
      <c r="AK75" s="19" t="str">
        <f t="shared" si="46"/>
        <v>HIGHMARGIN</v>
      </c>
    </row>
    <row r="76" spans="1:37">
      <c r="A76" s="7">
        <v>73</v>
      </c>
      <c r="B76" s="8" t="s">
        <v>207</v>
      </c>
      <c r="C76" s="7">
        <v>710</v>
      </c>
      <c r="D76" s="7">
        <v>535</v>
      </c>
      <c r="E76" s="7">
        <f t="shared" si="27"/>
        <v>75.352112676056336</v>
      </c>
      <c r="F76" s="7">
        <v>137</v>
      </c>
      <c r="G76" s="7">
        <f t="shared" si="28"/>
        <v>19.295774647887324</v>
      </c>
      <c r="H76" s="7">
        <v>0</v>
      </c>
      <c r="I76" s="7">
        <f t="shared" si="29"/>
        <v>0</v>
      </c>
      <c r="J76" s="7">
        <v>1</v>
      </c>
      <c r="K76" s="7">
        <f t="shared" si="30"/>
        <v>0.14084507042253522</v>
      </c>
      <c r="L76" s="9">
        <v>532</v>
      </c>
      <c r="M76" s="9">
        <v>580</v>
      </c>
      <c r="N76" s="9">
        <f t="shared" si="31"/>
        <v>1112</v>
      </c>
      <c r="O76" s="7">
        <v>710</v>
      </c>
      <c r="P76" s="10">
        <f t="shared" si="35"/>
        <v>63.848920863309353</v>
      </c>
      <c r="Q76" s="7">
        <v>983</v>
      </c>
      <c r="R76" s="7">
        <f t="shared" si="36"/>
        <v>88.399280575539578</v>
      </c>
      <c r="S76" s="7">
        <f t="shared" si="32"/>
        <v>351</v>
      </c>
      <c r="T76" s="7">
        <f t="shared" si="37"/>
        <v>35.707019328585957</v>
      </c>
      <c r="U76" s="7">
        <v>632</v>
      </c>
      <c r="V76" s="11">
        <f t="shared" si="38"/>
        <v>64.292980671414028</v>
      </c>
      <c r="W76" s="7">
        <v>114</v>
      </c>
      <c r="X76" s="7">
        <f t="shared" si="39"/>
        <v>11.600719424460422</v>
      </c>
      <c r="Y76" s="17">
        <f t="shared" si="47"/>
        <v>36</v>
      </c>
      <c r="Z76" s="12">
        <f t="shared" si="40"/>
        <v>31.578947368421051</v>
      </c>
      <c r="AA76" s="12">
        <v>78</v>
      </c>
      <c r="AB76" s="13">
        <f t="shared" si="41"/>
        <v>68.421052631578945</v>
      </c>
      <c r="AC76" s="12">
        <f t="shared" si="23"/>
        <v>710</v>
      </c>
      <c r="AD76" s="12" t="str">
        <f t="shared" si="42"/>
        <v>AVG</v>
      </c>
      <c r="AE76" s="14" t="str">
        <f t="shared" si="43"/>
        <v>EXCELLENT</v>
      </c>
      <c r="AF76" s="12" t="str">
        <f t="shared" si="44"/>
        <v>VLOW</v>
      </c>
      <c r="AG76" s="12" t="str">
        <f t="shared" si="33"/>
        <v>FEMALE DOM</v>
      </c>
      <c r="AH76" s="12" t="str">
        <f t="shared" si="45"/>
        <v>H</v>
      </c>
      <c r="AI76" s="15">
        <f t="shared" si="26"/>
        <v>56.056338028169009</v>
      </c>
      <c r="AJ76" s="16" t="str">
        <f t="shared" si="34"/>
        <v>BJP GAIN</v>
      </c>
      <c r="AK76" s="14" t="str">
        <f t="shared" si="46"/>
        <v>VERYHIGHMARGIN</v>
      </c>
    </row>
    <row r="77" spans="1:37">
      <c r="A77" s="7">
        <v>74</v>
      </c>
      <c r="B77" s="8" t="s">
        <v>208</v>
      </c>
      <c r="C77" s="7">
        <v>947</v>
      </c>
      <c r="D77" s="7">
        <v>692</v>
      </c>
      <c r="E77" s="7">
        <f t="shared" si="27"/>
        <v>73.072861668426611</v>
      </c>
      <c r="F77" s="7">
        <v>215</v>
      </c>
      <c r="G77" s="7">
        <f t="shared" si="28"/>
        <v>22.703273495248151</v>
      </c>
      <c r="H77" s="7">
        <v>2</v>
      </c>
      <c r="I77" s="7">
        <f t="shared" si="29"/>
        <v>0.21119324181626187</v>
      </c>
      <c r="J77" s="7">
        <v>7</v>
      </c>
      <c r="K77" s="7">
        <f t="shared" si="30"/>
        <v>0.73917634635691654</v>
      </c>
      <c r="L77" s="9">
        <v>679</v>
      </c>
      <c r="M77" s="9">
        <v>729</v>
      </c>
      <c r="N77" s="9">
        <f t="shared" si="31"/>
        <v>1408</v>
      </c>
      <c r="O77" s="7">
        <v>947</v>
      </c>
      <c r="P77" s="10">
        <f t="shared" si="35"/>
        <v>67.258522727272734</v>
      </c>
      <c r="Q77" s="7">
        <v>1324</v>
      </c>
      <c r="R77" s="7">
        <f t="shared" si="36"/>
        <v>94.034090909090907</v>
      </c>
      <c r="S77" s="7">
        <f t="shared" si="32"/>
        <v>412</v>
      </c>
      <c r="T77" s="7">
        <f t="shared" si="37"/>
        <v>31.117824773413901</v>
      </c>
      <c r="U77" s="7">
        <v>912</v>
      </c>
      <c r="V77" s="11">
        <f t="shared" si="38"/>
        <v>68.882175226586099</v>
      </c>
      <c r="W77" s="7">
        <v>84</v>
      </c>
      <c r="X77" s="7">
        <f t="shared" si="39"/>
        <v>5.9659090909090935</v>
      </c>
      <c r="Y77" s="7">
        <f t="shared" si="47"/>
        <v>49</v>
      </c>
      <c r="Z77" s="12">
        <f t="shared" si="40"/>
        <v>58.333333333333336</v>
      </c>
      <c r="AA77" s="12">
        <v>35</v>
      </c>
      <c r="AB77" s="13">
        <f t="shared" si="41"/>
        <v>41.666666666666671</v>
      </c>
      <c r="AC77" s="12">
        <f t="shared" si="23"/>
        <v>947</v>
      </c>
      <c r="AD77" s="12" t="str">
        <f t="shared" si="42"/>
        <v>AVG</v>
      </c>
      <c r="AE77" s="14" t="str">
        <f t="shared" si="43"/>
        <v>EXCELLENT</v>
      </c>
      <c r="AF77" s="12" t="str">
        <f t="shared" si="44"/>
        <v>VLOW</v>
      </c>
      <c r="AG77" s="12" t="str">
        <f t="shared" si="33"/>
        <v>FEMALE DOM</v>
      </c>
      <c r="AH77" s="12" t="str">
        <f t="shared" si="45"/>
        <v>O</v>
      </c>
      <c r="AI77" s="15">
        <f t="shared" si="26"/>
        <v>50.369588173178457</v>
      </c>
      <c r="AJ77" s="16" t="str">
        <f t="shared" si="34"/>
        <v>BJP GAIN</v>
      </c>
      <c r="AK77" s="14" t="str">
        <f t="shared" si="46"/>
        <v>VERYHIGHMARGIN</v>
      </c>
    </row>
    <row r="78" spans="1:37">
      <c r="A78" s="7">
        <v>75</v>
      </c>
      <c r="B78" s="8" t="s">
        <v>209</v>
      </c>
      <c r="C78" s="7">
        <v>846</v>
      </c>
      <c r="D78" s="7">
        <v>563</v>
      </c>
      <c r="E78" s="7">
        <f t="shared" si="27"/>
        <v>66.548463356973997</v>
      </c>
      <c r="F78" s="7">
        <v>250</v>
      </c>
      <c r="G78" s="7">
        <f t="shared" si="28"/>
        <v>29.550827423167846</v>
      </c>
      <c r="H78" s="7">
        <v>1</v>
      </c>
      <c r="I78" s="7">
        <f t="shared" si="29"/>
        <v>0.1182033096926714</v>
      </c>
      <c r="J78" s="7">
        <v>4</v>
      </c>
      <c r="K78" s="7">
        <f t="shared" si="30"/>
        <v>0.4728132387706856</v>
      </c>
      <c r="L78" s="9">
        <v>634</v>
      </c>
      <c r="M78" s="9">
        <v>666</v>
      </c>
      <c r="N78" s="9">
        <f t="shared" si="31"/>
        <v>1300</v>
      </c>
      <c r="O78" s="7">
        <v>846</v>
      </c>
      <c r="P78" s="10">
        <f t="shared" si="35"/>
        <v>65.07692307692308</v>
      </c>
      <c r="Q78" s="7">
        <v>1092</v>
      </c>
      <c r="R78" s="7">
        <f t="shared" si="36"/>
        <v>84</v>
      </c>
      <c r="S78" s="21">
        <f t="shared" si="32"/>
        <v>360</v>
      </c>
      <c r="T78" s="7">
        <f t="shared" si="37"/>
        <v>32.967032967032964</v>
      </c>
      <c r="U78" s="7">
        <v>732</v>
      </c>
      <c r="V78" s="11">
        <f t="shared" si="38"/>
        <v>67.032967032967022</v>
      </c>
      <c r="W78" s="7">
        <v>208</v>
      </c>
      <c r="X78" s="7">
        <f t="shared" si="39"/>
        <v>16</v>
      </c>
      <c r="Y78" s="7">
        <f t="shared" si="47"/>
        <v>94</v>
      </c>
      <c r="Z78" s="12">
        <f t="shared" si="40"/>
        <v>45.192307692307693</v>
      </c>
      <c r="AA78" s="12">
        <v>114</v>
      </c>
      <c r="AB78" s="13">
        <f t="shared" si="41"/>
        <v>54.807692307692314</v>
      </c>
      <c r="AC78" s="12">
        <f t="shared" si="23"/>
        <v>846</v>
      </c>
      <c r="AD78" s="12" t="str">
        <f t="shared" si="42"/>
        <v>AVG</v>
      </c>
      <c r="AE78" s="14" t="str">
        <f t="shared" si="43"/>
        <v>EXCELLENT</v>
      </c>
      <c r="AF78" s="12" t="str">
        <f t="shared" si="44"/>
        <v>VLOW</v>
      </c>
      <c r="AG78" s="12" t="str">
        <f t="shared" si="33"/>
        <v>FEMALE DOM</v>
      </c>
      <c r="AH78" s="12" t="str">
        <f t="shared" si="45"/>
        <v>O</v>
      </c>
      <c r="AI78" s="15">
        <f t="shared" si="26"/>
        <v>36.997635933806151</v>
      </c>
      <c r="AJ78" s="16" t="str">
        <f t="shared" si="34"/>
        <v>BJP GAIN</v>
      </c>
      <c r="AK78" s="24" t="str">
        <f t="shared" si="46"/>
        <v>MEDIUMMARGIN</v>
      </c>
    </row>
    <row r="79" spans="1:37">
      <c r="A79" s="7">
        <v>76</v>
      </c>
      <c r="B79" s="8" t="s">
        <v>210</v>
      </c>
      <c r="C79" s="7">
        <v>337</v>
      </c>
      <c r="D79" s="7">
        <v>205</v>
      </c>
      <c r="E79" s="7">
        <f t="shared" si="27"/>
        <v>60.830860534124632</v>
      </c>
      <c r="F79" s="7">
        <v>119</v>
      </c>
      <c r="G79" s="7">
        <f t="shared" si="28"/>
        <v>35.311572700296736</v>
      </c>
      <c r="H79" s="7">
        <v>4</v>
      </c>
      <c r="I79" s="7">
        <f t="shared" si="29"/>
        <v>1.1869436201780417</v>
      </c>
      <c r="J79" s="7">
        <v>3</v>
      </c>
      <c r="K79" s="7">
        <f t="shared" si="30"/>
        <v>0.89020771513353114</v>
      </c>
      <c r="L79" s="9">
        <v>236</v>
      </c>
      <c r="M79" s="9">
        <v>280</v>
      </c>
      <c r="N79" s="9">
        <f t="shared" si="31"/>
        <v>516</v>
      </c>
      <c r="O79" s="7">
        <v>337</v>
      </c>
      <c r="P79" s="10">
        <f t="shared" si="35"/>
        <v>65.310077519379846</v>
      </c>
      <c r="Q79" s="7">
        <v>463</v>
      </c>
      <c r="R79" s="7">
        <f t="shared" si="36"/>
        <v>89.728682170542641</v>
      </c>
      <c r="S79" s="7">
        <f t="shared" si="32"/>
        <v>137</v>
      </c>
      <c r="T79" s="7">
        <f t="shared" si="37"/>
        <v>29.589632829373652</v>
      </c>
      <c r="U79" s="7">
        <v>326</v>
      </c>
      <c r="V79" s="11">
        <f t="shared" si="38"/>
        <v>70.410367170626358</v>
      </c>
      <c r="W79" s="7">
        <v>20</v>
      </c>
      <c r="X79" s="7">
        <f t="shared" si="39"/>
        <v>10.271317829457359</v>
      </c>
      <c r="Y79" s="17">
        <f t="shared" si="47"/>
        <v>9</v>
      </c>
      <c r="Z79" s="12">
        <f t="shared" si="40"/>
        <v>45</v>
      </c>
      <c r="AA79" s="12">
        <v>11</v>
      </c>
      <c r="AB79" s="13">
        <f t="shared" si="41"/>
        <v>55.000000000000007</v>
      </c>
      <c r="AC79" s="12">
        <f t="shared" si="23"/>
        <v>337</v>
      </c>
      <c r="AD79" s="12" t="str">
        <f t="shared" si="42"/>
        <v>AVG</v>
      </c>
      <c r="AE79" s="14" t="str">
        <f t="shared" si="43"/>
        <v>EXCELLENT</v>
      </c>
      <c r="AF79" s="12" t="str">
        <f t="shared" si="44"/>
        <v>VLOW</v>
      </c>
      <c r="AG79" s="12" t="str">
        <f t="shared" si="33"/>
        <v>FEMALE DOM</v>
      </c>
      <c r="AH79" s="12" t="str">
        <f t="shared" si="45"/>
        <v>O</v>
      </c>
      <c r="AI79" s="15">
        <f t="shared" si="26"/>
        <v>25.519287833827896</v>
      </c>
      <c r="AJ79" s="16" t="str">
        <f t="shared" si="34"/>
        <v>BJP GAIN</v>
      </c>
      <c r="AK79" s="15" t="str">
        <f t="shared" si="46"/>
        <v>LOWMARGIN</v>
      </c>
    </row>
    <row r="80" spans="1:37">
      <c r="A80" s="7">
        <v>77</v>
      </c>
      <c r="B80" s="8" t="s">
        <v>211</v>
      </c>
      <c r="C80" s="7">
        <v>662</v>
      </c>
      <c r="D80" s="7">
        <v>402</v>
      </c>
      <c r="E80" s="7">
        <f t="shared" si="27"/>
        <v>60.725075528700913</v>
      </c>
      <c r="F80" s="7">
        <v>243</v>
      </c>
      <c r="G80" s="7">
        <f t="shared" si="28"/>
        <v>36.706948640483382</v>
      </c>
      <c r="H80" s="7">
        <v>0</v>
      </c>
      <c r="I80" s="7">
        <f t="shared" si="29"/>
        <v>0</v>
      </c>
      <c r="J80" s="7">
        <v>5</v>
      </c>
      <c r="K80" s="7">
        <f t="shared" si="30"/>
        <v>0.75528700906344415</v>
      </c>
      <c r="L80" s="9">
        <v>436</v>
      </c>
      <c r="M80" s="9">
        <v>454</v>
      </c>
      <c r="N80" s="9">
        <f t="shared" si="31"/>
        <v>890</v>
      </c>
      <c r="O80" s="7">
        <v>662</v>
      </c>
      <c r="P80" s="10">
        <f t="shared" si="35"/>
        <v>74.382022471910119</v>
      </c>
      <c r="Q80" s="7">
        <v>693</v>
      </c>
      <c r="R80" s="7">
        <f t="shared" si="36"/>
        <v>77.86516853932585</v>
      </c>
      <c r="S80" s="7">
        <f t="shared" si="32"/>
        <v>164</v>
      </c>
      <c r="T80" s="7">
        <f t="shared" si="37"/>
        <v>23.665223665223664</v>
      </c>
      <c r="U80" s="7">
        <v>529</v>
      </c>
      <c r="V80" s="11">
        <f t="shared" si="38"/>
        <v>76.334776334776336</v>
      </c>
      <c r="W80" s="7">
        <v>199</v>
      </c>
      <c r="X80" s="7">
        <f t="shared" si="39"/>
        <v>22.13483146067415</v>
      </c>
      <c r="Y80" s="7">
        <f t="shared" si="47"/>
        <v>66</v>
      </c>
      <c r="Z80" s="12">
        <f t="shared" si="40"/>
        <v>33.165829145728644</v>
      </c>
      <c r="AA80" s="12">
        <v>133</v>
      </c>
      <c r="AB80" s="13">
        <f t="shared" si="41"/>
        <v>66.834170854271363</v>
      </c>
      <c r="AC80" s="12">
        <f t="shared" si="23"/>
        <v>662</v>
      </c>
      <c r="AD80" s="12" t="str">
        <f t="shared" si="42"/>
        <v>STRONG</v>
      </c>
      <c r="AE80" s="14" t="str">
        <f t="shared" si="43"/>
        <v>STRONG</v>
      </c>
      <c r="AF80" s="12" t="str">
        <f t="shared" si="44"/>
        <v>VLOW</v>
      </c>
      <c r="AG80" s="12" t="str">
        <f t="shared" si="33"/>
        <v>FEMALE DOM</v>
      </c>
      <c r="AH80" s="12" t="str">
        <f t="shared" si="45"/>
        <v>O</v>
      </c>
      <c r="AI80" s="15">
        <f t="shared" si="26"/>
        <v>24.01812688821753</v>
      </c>
      <c r="AJ80" s="16" t="str">
        <f t="shared" si="34"/>
        <v>BJP GAIN</v>
      </c>
      <c r="AK80" s="15" t="str">
        <f t="shared" si="46"/>
        <v>LOWMARGIN</v>
      </c>
    </row>
    <row r="81" spans="1:37">
      <c r="A81" s="7">
        <v>78</v>
      </c>
      <c r="B81" s="8" t="s">
        <v>212</v>
      </c>
      <c r="C81" s="7">
        <v>936</v>
      </c>
      <c r="D81" s="7">
        <v>664</v>
      </c>
      <c r="E81" s="7">
        <f t="shared" si="27"/>
        <v>70.940170940170944</v>
      </c>
      <c r="F81" s="7">
        <v>240</v>
      </c>
      <c r="G81" s="7">
        <f t="shared" si="28"/>
        <v>25.641025641025639</v>
      </c>
      <c r="H81" s="7">
        <v>2</v>
      </c>
      <c r="I81" s="7">
        <f t="shared" si="29"/>
        <v>0.21367521367521369</v>
      </c>
      <c r="J81" s="7">
        <v>2</v>
      </c>
      <c r="K81" s="7">
        <f t="shared" si="30"/>
        <v>0.21367521367521369</v>
      </c>
      <c r="L81" s="9">
        <v>631</v>
      </c>
      <c r="M81" s="9">
        <v>674</v>
      </c>
      <c r="N81" s="9">
        <f t="shared" si="31"/>
        <v>1305</v>
      </c>
      <c r="O81" s="7">
        <v>936</v>
      </c>
      <c r="P81" s="10">
        <f t="shared" si="35"/>
        <v>71.724137931034477</v>
      </c>
      <c r="Q81" s="7">
        <v>1148</v>
      </c>
      <c r="R81" s="7">
        <f t="shared" si="36"/>
        <v>87.969348659003828</v>
      </c>
      <c r="S81" s="7">
        <f t="shared" si="32"/>
        <v>298</v>
      </c>
      <c r="T81" s="7">
        <f t="shared" si="37"/>
        <v>25.958188153310104</v>
      </c>
      <c r="U81" s="7">
        <v>850</v>
      </c>
      <c r="V81" s="11">
        <f t="shared" si="38"/>
        <v>74.041811846689896</v>
      </c>
      <c r="W81" s="7">
        <v>157</v>
      </c>
      <c r="X81" s="7">
        <f t="shared" si="39"/>
        <v>12.030651340996172</v>
      </c>
      <c r="Y81" s="7">
        <f t="shared" si="47"/>
        <v>71</v>
      </c>
      <c r="Z81" s="12">
        <f t="shared" si="40"/>
        <v>45.222929936305732</v>
      </c>
      <c r="AA81" s="12">
        <v>86</v>
      </c>
      <c r="AB81" s="13">
        <f t="shared" si="41"/>
        <v>54.777070063694268</v>
      </c>
      <c r="AC81" s="12">
        <f t="shared" si="23"/>
        <v>936</v>
      </c>
      <c r="AD81" s="12" t="str">
        <f t="shared" si="42"/>
        <v>STRONG</v>
      </c>
      <c r="AE81" s="14" t="str">
        <f t="shared" si="43"/>
        <v>EXCELLENT</v>
      </c>
      <c r="AF81" s="12" t="str">
        <f t="shared" si="44"/>
        <v>VLOW</v>
      </c>
      <c r="AG81" s="12" t="str">
        <f t="shared" si="33"/>
        <v>FEMALE DOM</v>
      </c>
      <c r="AH81" s="12" t="str">
        <f t="shared" si="45"/>
        <v>O</v>
      </c>
      <c r="AI81" s="15">
        <f t="shared" si="26"/>
        <v>45.299145299145309</v>
      </c>
      <c r="AJ81" s="16" t="str">
        <f t="shared" si="34"/>
        <v>BJP GAIN</v>
      </c>
      <c r="AK81" s="19" t="str">
        <f t="shared" si="46"/>
        <v>HIGHMARGIN</v>
      </c>
    </row>
    <row r="82" spans="1:37">
      <c r="A82" s="7">
        <v>79</v>
      </c>
      <c r="B82" s="8" t="s">
        <v>213</v>
      </c>
      <c r="C82" s="7">
        <v>541</v>
      </c>
      <c r="D82" s="7">
        <v>395</v>
      </c>
      <c r="E82" s="7">
        <f t="shared" si="27"/>
        <v>73.012939001848437</v>
      </c>
      <c r="F82" s="7">
        <v>121</v>
      </c>
      <c r="G82" s="7">
        <f t="shared" si="28"/>
        <v>22.365988909426989</v>
      </c>
      <c r="H82" s="7">
        <v>5</v>
      </c>
      <c r="I82" s="7">
        <f t="shared" si="29"/>
        <v>0.92421441774491686</v>
      </c>
      <c r="J82" s="7">
        <v>3</v>
      </c>
      <c r="K82" s="7">
        <f t="shared" si="30"/>
        <v>0.55452865064695012</v>
      </c>
      <c r="L82" s="9">
        <v>383</v>
      </c>
      <c r="M82" s="9">
        <v>434</v>
      </c>
      <c r="N82" s="9">
        <f t="shared" si="31"/>
        <v>817</v>
      </c>
      <c r="O82" s="7">
        <v>541</v>
      </c>
      <c r="P82" s="10">
        <f t="shared" si="35"/>
        <v>66.217870257037944</v>
      </c>
      <c r="Q82" s="7">
        <v>769</v>
      </c>
      <c r="R82" s="7">
        <f t="shared" si="36"/>
        <v>94.124847001223984</v>
      </c>
      <c r="S82" s="21">
        <f t="shared" si="32"/>
        <v>254</v>
      </c>
      <c r="T82" s="7">
        <f t="shared" si="37"/>
        <v>33.029908972691807</v>
      </c>
      <c r="U82" s="7">
        <v>515</v>
      </c>
      <c r="V82" s="11">
        <f t="shared" si="38"/>
        <v>66.970091027308186</v>
      </c>
      <c r="W82" s="7">
        <v>46</v>
      </c>
      <c r="X82" s="7">
        <f t="shared" si="39"/>
        <v>5.8751529987760165</v>
      </c>
      <c r="Y82" s="17">
        <f t="shared" si="47"/>
        <v>19</v>
      </c>
      <c r="Z82" s="12">
        <f t="shared" si="40"/>
        <v>41.304347826086953</v>
      </c>
      <c r="AA82" s="12">
        <v>27</v>
      </c>
      <c r="AB82" s="13">
        <f t="shared" si="41"/>
        <v>58.695652173913047</v>
      </c>
      <c r="AC82" s="12">
        <f t="shared" si="23"/>
        <v>542</v>
      </c>
      <c r="AD82" s="12" t="str">
        <f t="shared" si="42"/>
        <v>AVG</v>
      </c>
      <c r="AE82" s="14" t="str">
        <f t="shared" si="43"/>
        <v>EXCELLENT</v>
      </c>
      <c r="AF82" s="12" t="str">
        <f t="shared" si="44"/>
        <v>VLOW</v>
      </c>
      <c r="AG82" s="12" t="str">
        <f t="shared" si="33"/>
        <v>FEMALE DOM</v>
      </c>
      <c r="AH82" s="12" t="str">
        <f t="shared" si="45"/>
        <v>O</v>
      </c>
      <c r="AI82" s="15">
        <f t="shared" si="26"/>
        <v>50.646950092421449</v>
      </c>
      <c r="AJ82" s="16" t="str">
        <f t="shared" si="34"/>
        <v>BJP GAIN</v>
      </c>
      <c r="AK82" s="14" t="str">
        <f t="shared" si="46"/>
        <v>VERYHIGHMARGIN</v>
      </c>
    </row>
    <row r="83" spans="1:37">
      <c r="A83" s="7">
        <v>80</v>
      </c>
      <c r="B83" s="8" t="s">
        <v>214</v>
      </c>
      <c r="C83" s="7">
        <v>870</v>
      </c>
      <c r="D83" s="7">
        <v>551</v>
      </c>
      <c r="E83" s="7">
        <f t="shared" si="27"/>
        <v>63.333333333333329</v>
      </c>
      <c r="F83" s="7">
        <v>296</v>
      </c>
      <c r="G83" s="7">
        <f t="shared" si="28"/>
        <v>34.022988505747129</v>
      </c>
      <c r="H83" s="7">
        <v>1</v>
      </c>
      <c r="I83" s="7">
        <f t="shared" si="29"/>
        <v>0.11494252873563218</v>
      </c>
      <c r="J83" s="7">
        <v>7</v>
      </c>
      <c r="K83" s="7">
        <f t="shared" si="30"/>
        <v>0.8045977011494253</v>
      </c>
      <c r="L83" s="9">
        <v>620</v>
      </c>
      <c r="M83" s="9">
        <v>702</v>
      </c>
      <c r="N83" s="9">
        <f t="shared" si="31"/>
        <v>1322</v>
      </c>
      <c r="O83" s="7">
        <v>870</v>
      </c>
      <c r="P83" s="10">
        <f t="shared" si="35"/>
        <v>65.809379727685325</v>
      </c>
      <c r="Q83" s="7">
        <v>1132</v>
      </c>
      <c r="R83" s="7">
        <f t="shared" si="36"/>
        <v>85.627836611195164</v>
      </c>
      <c r="S83" s="7">
        <f t="shared" si="32"/>
        <v>404</v>
      </c>
      <c r="T83" s="7">
        <f t="shared" si="37"/>
        <v>35.689045936395758</v>
      </c>
      <c r="U83" s="7">
        <v>728</v>
      </c>
      <c r="V83" s="11">
        <f t="shared" si="38"/>
        <v>64.310954063604242</v>
      </c>
      <c r="W83" s="7">
        <v>186</v>
      </c>
      <c r="X83" s="7">
        <f t="shared" si="39"/>
        <v>14.372163388804836</v>
      </c>
      <c r="Y83" s="7">
        <f t="shared" si="47"/>
        <v>44</v>
      </c>
      <c r="Z83" s="12">
        <f t="shared" si="40"/>
        <v>23.655913978494624</v>
      </c>
      <c r="AA83" s="12">
        <v>142</v>
      </c>
      <c r="AB83" s="13">
        <f t="shared" si="41"/>
        <v>76.344086021505376</v>
      </c>
      <c r="AC83" s="12">
        <f t="shared" si="23"/>
        <v>870</v>
      </c>
      <c r="AD83" s="12" t="str">
        <f t="shared" si="42"/>
        <v>AVG</v>
      </c>
      <c r="AE83" s="14" t="str">
        <f t="shared" si="43"/>
        <v>EXCELLENT</v>
      </c>
      <c r="AF83" s="12" t="str">
        <f t="shared" si="44"/>
        <v>VLOW</v>
      </c>
      <c r="AG83" s="12" t="str">
        <f t="shared" si="33"/>
        <v>FEMALE DOM</v>
      </c>
      <c r="AH83" s="12" t="str">
        <f t="shared" si="45"/>
        <v>H</v>
      </c>
      <c r="AI83" s="15">
        <f t="shared" si="26"/>
        <v>29.310344827586199</v>
      </c>
      <c r="AJ83" s="16" t="str">
        <f t="shared" si="34"/>
        <v>BJP GAIN</v>
      </c>
      <c r="AK83" s="15" t="str">
        <f t="shared" si="46"/>
        <v>LOWMARGIN</v>
      </c>
    </row>
    <row r="84" spans="1:37">
      <c r="A84" s="7">
        <v>81</v>
      </c>
      <c r="B84" s="8" t="s">
        <v>215</v>
      </c>
      <c r="C84" s="7">
        <v>758</v>
      </c>
      <c r="D84" s="7">
        <v>550</v>
      </c>
      <c r="E84" s="7">
        <f t="shared" si="27"/>
        <v>72.559366754617415</v>
      </c>
      <c r="F84" s="7">
        <v>175</v>
      </c>
      <c r="G84" s="7">
        <f t="shared" si="28"/>
        <v>23.087071240105541</v>
      </c>
      <c r="H84" s="7">
        <v>1</v>
      </c>
      <c r="I84" s="7">
        <f t="shared" si="29"/>
        <v>0.13192612137203166</v>
      </c>
      <c r="J84" s="7">
        <v>10</v>
      </c>
      <c r="K84" s="7">
        <f t="shared" si="30"/>
        <v>1.3192612137203166</v>
      </c>
      <c r="L84" s="9">
        <v>513</v>
      </c>
      <c r="M84" s="9">
        <v>527</v>
      </c>
      <c r="N84" s="9">
        <f t="shared" si="31"/>
        <v>1040</v>
      </c>
      <c r="O84" s="7">
        <v>758</v>
      </c>
      <c r="P84" s="10">
        <f t="shared" si="35"/>
        <v>72.884615384615387</v>
      </c>
      <c r="Q84" s="7">
        <v>935</v>
      </c>
      <c r="R84" s="7">
        <f t="shared" si="36"/>
        <v>89.90384615384616</v>
      </c>
      <c r="S84" s="7">
        <f t="shared" si="32"/>
        <v>249</v>
      </c>
      <c r="T84" s="7">
        <f t="shared" si="37"/>
        <v>26.631016042780747</v>
      </c>
      <c r="U84" s="7">
        <v>686</v>
      </c>
      <c r="V84" s="11">
        <f t="shared" si="38"/>
        <v>73.368983957219243</v>
      </c>
      <c r="W84" s="7">
        <v>96</v>
      </c>
      <c r="X84" s="7">
        <f t="shared" si="39"/>
        <v>10.09615384615384</v>
      </c>
      <c r="Y84" s="7">
        <f t="shared" si="47"/>
        <v>24</v>
      </c>
      <c r="Z84" s="12">
        <f t="shared" si="40"/>
        <v>25</v>
      </c>
      <c r="AA84" s="12">
        <v>72</v>
      </c>
      <c r="AB84" s="13">
        <f t="shared" si="41"/>
        <v>75</v>
      </c>
      <c r="AC84" s="12">
        <f t="shared" si="23"/>
        <v>758</v>
      </c>
      <c r="AD84" s="12" t="str">
        <f t="shared" si="42"/>
        <v>STRONG</v>
      </c>
      <c r="AE84" s="14" t="str">
        <f t="shared" si="43"/>
        <v>EXCELLENT</v>
      </c>
      <c r="AF84" s="12" t="str">
        <f t="shared" si="44"/>
        <v>VLOW</v>
      </c>
      <c r="AG84" s="12" t="str">
        <f t="shared" si="33"/>
        <v>FEMALE DOM</v>
      </c>
      <c r="AH84" s="12" t="str">
        <f t="shared" si="45"/>
        <v>H</v>
      </c>
      <c r="AI84" s="15">
        <f t="shared" si="26"/>
        <v>49.47229551451187</v>
      </c>
      <c r="AJ84" s="16" t="str">
        <f t="shared" si="34"/>
        <v>BJP GAIN</v>
      </c>
      <c r="AK84" s="19" t="str">
        <f t="shared" si="46"/>
        <v>HIGHMARGIN</v>
      </c>
    </row>
    <row r="85" spans="1:37">
      <c r="A85" s="7">
        <v>82</v>
      </c>
      <c r="B85" s="8" t="s">
        <v>216</v>
      </c>
      <c r="C85" s="7">
        <v>466</v>
      </c>
      <c r="D85" s="7">
        <v>346</v>
      </c>
      <c r="E85" s="7">
        <f t="shared" si="27"/>
        <v>74.248927038626604</v>
      </c>
      <c r="F85" s="7">
        <v>94</v>
      </c>
      <c r="G85" s="7">
        <f t="shared" si="28"/>
        <v>20.171673819742487</v>
      </c>
      <c r="H85" s="7">
        <v>1</v>
      </c>
      <c r="I85" s="7">
        <f t="shared" si="29"/>
        <v>0.21459227467811159</v>
      </c>
      <c r="J85" s="7">
        <v>5</v>
      </c>
      <c r="K85" s="7">
        <f t="shared" si="30"/>
        <v>1.0729613733905579</v>
      </c>
      <c r="L85" s="9">
        <v>257</v>
      </c>
      <c r="M85" s="9">
        <v>294</v>
      </c>
      <c r="N85" s="9">
        <f t="shared" si="31"/>
        <v>551</v>
      </c>
      <c r="O85" s="7">
        <v>466</v>
      </c>
      <c r="P85" s="10">
        <f t="shared" si="35"/>
        <v>84.573502722323042</v>
      </c>
      <c r="Q85" s="7">
        <v>538</v>
      </c>
      <c r="R85" s="7">
        <f t="shared" si="36"/>
        <v>97.640653357531761</v>
      </c>
      <c r="S85" s="7">
        <f t="shared" si="32"/>
        <v>81</v>
      </c>
      <c r="T85" s="7">
        <f t="shared" si="37"/>
        <v>15.055762081784389</v>
      </c>
      <c r="U85" s="7">
        <v>457</v>
      </c>
      <c r="V85" s="11">
        <f t="shared" si="38"/>
        <v>84.94423791821562</v>
      </c>
      <c r="W85" s="7">
        <v>10</v>
      </c>
      <c r="X85" s="7">
        <f t="shared" si="39"/>
        <v>2.359346642468239</v>
      </c>
      <c r="Y85" s="17">
        <f t="shared" si="47"/>
        <v>1</v>
      </c>
      <c r="Z85" s="12">
        <f t="shared" si="40"/>
        <v>10</v>
      </c>
      <c r="AA85" s="12">
        <v>9</v>
      </c>
      <c r="AB85" s="13">
        <f t="shared" si="41"/>
        <v>90</v>
      </c>
      <c r="AC85" s="12">
        <f t="shared" si="23"/>
        <v>466</v>
      </c>
      <c r="AD85" s="12" t="str">
        <f t="shared" si="42"/>
        <v>EXCELLENT</v>
      </c>
      <c r="AE85" s="14" t="str">
        <f t="shared" si="43"/>
        <v>EXCELLENT</v>
      </c>
      <c r="AF85" s="12" t="str">
        <f t="shared" si="44"/>
        <v>VLOW</v>
      </c>
      <c r="AG85" s="12" t="str">
        <f t="shared" si="33"/>
        <v>FEMALE DOM</v>
      </c>
      <c r="AH85" s="12" t="str">
        <f t="shared" si="45"/>
        <v>H</v>
      </c>
      <c r="AI85" s="15">
        <f t="shared" si="26"/>
        <v>54.077253218884117</v>
      </c>
      <c r="AJ85" s="16" t="str">
        <f t="shared" si="34"/>
        <v>BJP GAIN</v>
      </c>
      <c r="AK85" s="14" t="str">
        <f t="shared" si="46"/>
        <v>VERYHIGHMARGIN</v>
      </c>
    </row>
    <row r="86" spans="1:37">
      <c r="A86" s="7">
        <v>83</v>
      </c>
      <c r="B86" s="8" t="s">
        <v>217</v>
      </c>
      <c r="C86" s="7">
        <v>716</v>
      </c>
      <c r="D86" s="7">
        <v>407</v>
      </c>
      <c r="E86" s="7">
        <f t="shared" si="27"/>
        <v>56.843575418994419</v>
      </c>
      <c r="F86" s="7">
        <v>286</v>
      </c>
      <c r="G86" s="7">
        <f t="shared" si="28"/>
        <v>39.944134078212286</v>
      </c>
      <c r="H86" s="7">
        <v>4</v>
      </c>
      <c r="I86" s="7">
        <f t="shared" si="29"/>
        <v>0.55865921787709494</v>
      </c>
      <c r="J86" s="7">
        <v>5</v>
      </c>
      <c r="K86" s="7">
        <f t="shared" si="30"/>
        <v>0.6983240223463687</v>
      </c>
      <c r="L86" s="9">
        <v>428</v>
      </c>
      <c r="M86" s="9">
        <v>449</v>
      </c>
      <c r="N86" s="9">
        <f t="shared" si="31"/>
        <v>877</v>
      </c>
      <c r="O86" s="7">
        <v>716</v>
      </c>
      <c r="P86" s="10">
        <f t="shared" si="35"/>
        <v>81.64196123147093</v>
      </c>
      <c r="Q86" s="7">
        <v>695</v>
      </c>
      <c r="R86" s="7">
        <f t="shared" si="36"/>
        <v>79.247434435575826</v>
      </c>
      <c r="S86" s="21">
        <f t="shared" si="32"/>
        <v>103</v>
      </c>
      <c r="T86" s="7">
        <f t="shared" si="37"/>
        <v>14.820143884892087</v>
      </c>
      <c r="U86" s="7">
        <v>592</v>
      </c>
      <c r="V86" s="11">
        <f t="shared" si="38"/>
        <v>85.17985611510791</v>
      </c>
      <c r="W86" s="7">
        <v>177</v>
      </c>
      <c r="X86" s="7">
        <f t="shared" si="39"/>
        <v>20.752565564424174</v>
      </c>
      <c r="Y86" s="7">
        <f t="shared" si="47"/>
        <v>57</v>
      </c>
      <c r="Z86" s="12">
        <f t="shared" si="40"/>
        <v>32.20338983050847</v>
      </c>
      <c r="AA86" s="12">
        <v>120</v>
      </c>
      <c r="AB86" s="13">
        <f t="shared" si="41"/>
        <v>67.796610169491515</v>
      </c>
      <c r="AC86" s="12">
        <f t="shared" si="23"/>
        <v>712</v>
      </c>
      <c r="AD86" s="12" t="str">
        <f t="shared" si="42"/>
        <v>EXCELLENT</v>
      </c>
      <c r="AE86" s="14" t="str">
        <f t="shared" si="43"/>
        <v>STRONG</v>
      </c>
      <c r="AF86" s="12" t="str">
        <f t="shared" si="44"/>
        <v>VLOW</v>
      </c>
      <c r="AG86" s="12" t="str">
        <f t="shared" si="33"/>
        <v>FEMALE DOM</v>
      </c>
      <c r="AH86" s="12" t="str">
        <f t="shared" si="45"/>
        <v>O</v>
      </c>
      <c r="AI86" s="15">
        <f t="shared" si="26"/>
        <v>16.899441340782133</v>
      </c>
      <c r="AJ86" s="16" t="str">
        <f t="shared" si="34"/>
        <v>BJP GAIN</v>
      </c>
      <c r="AK86" s="15" t="str">
        <f t="shared" si="46"/>
        <v>LOWMARGIN</v>
      </c>
    </row>
    <row r="87" spans="1:37">
      <c r="A87" s="7">
        <v>84</v>
      </c>
      <c r="B87" s="8" t="s">
        <v>218</v>
      </c>
      <c r="C87" s="7">
        <v>587</v>
      </c>
      <c r="D87" s="7">
        <v>440</v>
      </c>
      <c r="E87" s="7">
        <f t="shared" si="27"/>
        <v>74.957410562180584</v>
      </c>
      <c r="F87" s="7">
        <v>124</v>
      </c>
      <c r="G87" s="7">
        <f t="shared" si="28"/>
        <v>21.124361158432709</v>
      </c>
      <c r="H87" s="7">
        <v>3</v>
      </c>
      <c r="I87" s="7">
        <f t="shared" si="29"/>
        <v>0.51107325383304936</v>
      </c>
      <c r="J87" s="7">
        <v>9</v>
      </c>
      <c r="K87" s="7">
        <f t="shared" si="30"/>
        <v>1.5332197614991483</v>
      </c>
      <c r="L87" s="9">
        <v>330</v>
      </c>
      <c r="M87" s="9">
        <v>368</v>
      </c>
      <c r="N87" s="9">
        <f t="shared" si="31"/>
        <v>698</v>
      </c>
      <c r="O87" s="7">
        <v>587</v>
      </c>
      <c r="P87" s="10">
        <f t="shared" si="35"/>
        <v>84.097421203438387</v>
      </c>
      <c r="Q87" s="7"/>
      <c r="R87" s="7">
        <f t="shared" si="36"/>
        <v>0</v>
      </c>
      <c r="S87" s="7">
        <f t="shared" si="32"/>
        <v>0</v>
      </c>
      <c r="T87" s="7" t="e">
        <f t="shared" si="37"/>
        <v>#DIV/0!</v>
      </c>
      <c r="U87" s="7"/>
      <c r="V87" s="11">
        <f t="shared" si="38"/>
        <v>0</v>
      </c>
      <c r="W87" s="7"/>
      <c r="X87" s="7">
        <f t="shared" si="39"/>
        <v>100</v>
      </c>
      <c r="Y87" s="7">
        <f t="shared" si="47"/>
        <v>0</v>
      </c>
      <c r="Z87" s="12" t="e">
        <f t="shared" si="40"/>
        <v>#DIV/0!</v>
      </c>
      <c r="AA87" s="12"/>
      <c r="AB87" s="13">
        <f t="shared" si="41"/>
        <v>0</v>
      </c>
      <c r="AC87" s="12">
        <f t="shared" si="23"/>
        <v>0</v>
      </c>
      <c r="AD87" s="12" t="str">
        <f t="shared" si="42"/>
        <v>EXCELLENT</v>
      </c>
      <c r="AE87" s="14" t="str">
        <f t="shared" si="43"/>
        <v>VLOW</v>
      </c>
      <c r="AF87" s="12" t="str">
        <f t="shared" si="44"/>
        <v>EXCELLENT</v>
      </c>
      <c r="AG87" s="12" t="str">
        <f t="shared" si="33"/>
        <v>FEMALE DOM</v>
      </c>
      <c r="AH87" s="12" t="e">
        <f t="shared" si="45"/>
        <v>#DIV/0!</v>
      </c>
      <c r="AI87" s="15">
        <f t="shared" si="26"/>
        <v>53.833049403747879</v>
      </c>
      <c r="AJ87" s="16" t="str">
        <f t="shared" si="34"/>
        <v>BJP GAIN</v>
      </c>
      <c r="AK87" s="14" t="str">
        <f t="shared" si="46"/>
        <v>VERYHIGHMARGIN</v>
      </c>
    </row>
    <row r="88" spans="1:37">
      <c r="A88" s="7">
        <v>85</v>
      </c>
      <c r="B88" s="8" t="s">
        <v>219</v>
      </c>
      <c r="C88" s="7">
        <v>819</v>
      </c>
      <c r="D88" s="7">
        <v>64</v>
      </c>
      <c r="E88" s="7">
        <f t="shared" si="27"/>
        <v>7.8144078144078142</v>
      </c>
      <c r="F88" s="7">
        <v>691</v>
      </c>
      <c r="G88" s="7">
        <f t="shared" si="28"/>
        <v>84.37118437118437</v>
      </c>
      <c r="H88" s="7">
        <v>12</v>
      </c>
      <c r="I88" s="7">
        <f t="shared" si="29"/>
        <v>1.4652014652014651</v>
      </c>
      <c r="J88" s="7">
        <v>40</v>
      </c>
      <c r="K88" s="7">
        <f t="shared" si="30"/>
        <v>4.8840048840048844</v>
      </c>
      <c r="L88" s="9">
        <v>599</v>
      </c>
      <c r="M88" s="9">
        <v>621</v>
      </c>
      <c r="N88" s="9">
        <f t="shared" si="31"/>
        <v>1220</v>
      </c>
      <c r="O88" s="7">
        <v>819</v>
      </c>
      <c r="P88" s="10">
        <f t="shared" si="35"/>
        <v>67.131147540983605</v>
      </c>
      <c r="Q88" s="7">
        <v>4</v>
      </c>
      <c r="R88" s="7">
        <f t="shared" si="36"/>
        <v>0.32786885245901637</v>
      </c>
      <c r="S88" s="7">
        <f t="shared" si="32"/>
        <v>4</v>
      </c>
      <c r="T88" s="7">
        <f t="shared" si="37"/>
        <v>100</v>
      </c>
      <c r="U88" s="7">
        <v>0</v>
      </c>
      <c r="V88" s="11">
        <f t="shared" si="38"/>
        <v>0</v>
      </c>
      <c r="W88" s="7">
        <v>1216</v>
      </c>
      <c r="X88" s="7">
        <f t="shared" si="39"/>
        <v>99.672131147540981</v>
      </c>
      <c r="Y88" s="17">
        <f t="shared" si="47"/>
        <v>1175</v>
      </c>
      <c r="Z88" s="12">
        <f t="shared" si="40"/>
        <v>96.62828947368422</v>
      </c>
      <c r="AA88" s="12">
        <v>41</v>
      </c>
      <c r="AB88" s="13">
        <f t="shared" si="41"/>
        <v>3.3717105263157894</v>
      </c>
      <c r="AC88" s="12">
        <f t="shared" si="23"/>
        <v>41</v>
      </c>
      <c r="AD88" s="12" t="str">
        <f t="shared" si="42"/>
        <v>AVG</v>
      </c>
      <c r="AE88" s="14" t="str">
        <f t="shared" si="43"/>
        <v>VLOW</v>
      </c>
      <c r="AF88" s="12" t="str">
        <f t="shared" si="44"/>
        <v>EXCELLENT</v>
      </c>
      <c r="AG88" s="12" t="str">
        <f t="shared" si="33"/>
        <v>FEMALE DOM</v>
      </c>
      <c r="AH88" s="12" t="str">
        <f t="shared" si="45"/>
        <v>H</v>
      </c>
      <c r="AI88" s="15">
        <f>G88-E88</f>
        <v>76.556776556776555</v>
      </c>
      <c r="AJ88" s="25" t="str">
        <f t="shared" si="34"/>
        <v>CONGRESSGAIN</v>
      </c>
      <c r="AK88" s="14" t="str">
        <f t="shared" si="46"/>
        <v>VERYHIGHMARGIN</v>
      </c>
    </row>
    <row r="89" spans="1:37">
      <c r="A89" s="7">
        <v>86</v>
      </c>
      <c r="B89" s="8" t="s">
        <v>220</v>
      </c>
      <c r="C89" s="7">
        <v>766</v>
      </c>
      <c r="D89" s="7">
        <v>15</v>
      </c>
      <c r="E89" s="7">
        <f t="shared" si="27"/>
        <v>1.95822454308094</v>
      </c>
      <c r="F89" s="7">
        <v>702</v>
      </c>
      <c r="G89" s="7">
        <f t="shared" si="28"/>
        <v>91.64490861618799</v>
      </c>
      <c r="H89" s="7">
        <v>9</v>
      </c>
      <c r="I89" s="7">
        <f t="shared" si="29"/>
        <v>1.1749347258485638</v>
      </c>
      <c r="J89" s="7">
        <v>25</v>
      </c>
      <c r="K89" s="7">
        <f t="shared" si="30"/>
        <v>3.2637075718015671</v>
      </c>
      <c r="L89" s="9">
        <v>530</v>
      </c>
      <c r="M89" s="9">
        <v>526</v>
      </c>
      <c r="N89" s="9">
        <f t="shared" si="31"/>
        <v>1056</v>
      </c>
      <c r="O89" s="7">
        <v>766</v>
      </c>
      <c r="P89" s="10">
        <f t="shared" si="35"/>
        <v>72.537878787878782</v>
      </c>
      <c r="Q89" s="7">
        <v>0</v>
      </c>
      <c r="R89" s="7">
        <f t="shared" si="36"/>
        <v>0</v>
      </c>
      <c r="S89" s="7">
        <f t="shared" si="32"/>
        <v>0</v>
      </c>
      <c r="T89" s="7" t="e">
        <f t="shared" si="37"/>
        <v>#DIV/0!</v>
      </c>
      <c r="U89" s="7">
        <v>0</v>
      </c>
      <c r="V89" s="11">
        <f t="shared" si="38"/>
        <v>0</v>
      </c>
      <c r="W89" s="7">
        <v>1056</v>
      </c>
      <c r="X89" s="7">
        <f t="shared" si="39"/>
        <v>100</v>
      </c>
      <c r="Y89" s="7">
        <f t="shared" si="47"/>
        <v>290</v>
      </c>
      <c r="Z89" s="12">
        <f t="shared" si="40"/>
        <v>27.462121212121211</v>
      </c>
      <c r="AA89" s="12">
        <v>766</v>
      </c>
      <c r="AB89" s="13">
        <f t="shared" si="41"/>
        <v>72.537878787878782</v>
      </c>
      <c r="AC89" s="12">
        <f t="shared" si="23"/>
        <v>766</v>
      </c>
      <c r="AD89" s="12" t="str">
        <f t="shared" si="42"/>
        <v>STRONG</v>
      </c>
      <c r="AE89" s="14" t="str">
        <f t="shared" si="43"/>
        <v>VLOW</v>
      </c>
      <c r="AF89" s="12" t="str">
        <f t="shared" si="44"/>
        <v>EXCELLENT</v>
      </c>
      <c r="AG89" s="12" t="str">
        <f t="shared" si="33"/>
        <v>MEN</v>
      </c>
      <c r="AH89" s="12" t="e">
        <f t="shared" si="45"/>
        <v>#DIV/0!</v>
      </c>
      <c r="AI89" s="15">
        <f t="shared" ref="AI89:AI93" si="48">G89-E89</f>
        <v>89.686684073107045</v>
      </c>
      <c r="AJ89" s="25" t="str">
        <f t="shared" si="34"/>
        <v>CONGRESSGAIN</v>
      </c>
      <c r="AK89" s="14" t="str">
        <f t="shared" si="46"/>
        <v>VERYHIGHMARGIN</v>
      </c>
    </row>
    <row r="90" spans="1:37">
      <c r="A90" s="7">
        <v>87</v>
      </c>
      <c r="B90" s="8" t="s">
        <v>221</v>
      </c>
      <c r="C90" s="7">
        <v>552</v>
      </c>
      <c r="D90" s="7">
        <v>11</v>
      </c>
      <c r="E90" s="7">
        <f t="shared" si="27"/>
        <v>1.9927536231884055</v>
      </c>
      <c r="F90" s="7">
        <v>524</v>
      </c>
      <c r="G90" s="7">
        <f t="shared" si="28"/>
        <v>94.927536231884062</v>
      </c>
      <c r="H90" s="7">
        <v>5</v>
      </c>
      <c r="I90" s="7">
        <f t="shared" si="29"/>
        <v>0.90579710144927539</v>
      </c>
      <c r="J90" s="7">
        <v>7</v>
      </c>
      <c r="K90" s="7">
        <f t="shared" si="30"/>
        <v>1.2681159420289856</v>
      </c>
      <c r="L90" s="9">
        <v>359</v>
      </c>
      <c r="M90" s="9">
        <v>353</v>
      </c>
      <c r="N90" s="9">
        <f t="shared" si="31"/>
        <v>712</v>
      </c>
      <c r="O90" s="7">
        <v>552</v>
      </c>
      <c r="P90" s="10">
        <f t="shared" si="35"/>
        <v>77.528089887640448</v>
      </c>
      <c r="Q90" s="7">
        <v>0</v>
      </c>
      <c r="R90" s="7">
        <f t="shared" si="36"/>
        <v>0</v>
      </c>
      <c r="S90" s="21">
        <f t="shared" si="32"/>
        <v>0</v>
      </c>
      <c r="T90" s="7" t="e">
        <f t="shared" si="37"/>
        <v>#DIV/0!</v>
      </c>
      <c r="U90" s="7">
        <v>0</v>
      </c>
      <c r="V90" s="11">
        <f t="shared" si="38"/>
        <v>0</v>
      </c>
      <c r="W90" s="7">
        <v>691</v>
      </c>
      <c r="X90" s="7">
        <f t="shared" si="39"/>
        <v>100</v>
      </c>
      <c r="Y90" s="7">
        <f t="shared" si="47"/>
        <v>139</v>
      </c>
      <c r="Z90" s="12">
        <f t="shared" si="40"/>
        <v>20.115774240231548</v>
      </c>
      <c r="AA90" s="12">
        <v>552</v>
      </c>
      <c r="AB90" s="13">
        <f t="shared" si="41"/>
        <v>79.884225759768455</v>
      </c>
      <c r="AC90" s="12">
        <f t="shared" si="23"/>
        <v>552</v>
      </c>
      <c r="AD90" s="12" t="str">
        <f t="shared" si="42"/>
        <v>STRONG</v>
      </c>
      <c r="AE90" s="14" t="str">
        <f t="shared" si="43"/>
        <v>VLOW</v>
      </c>
      <c r="AF90" s="12" t="str">
        <f t="shared" si="44"/>
        <v>EXCELLENT</v>
      </c>
      <c r="AG90" s="12" t="str">
        <f t="shared" si="33"/>
        <v>MEN</v>
      </c>
      <c r="AH90" s="12" t="e">
        <f t="shared" si="45"/>
        <v>#DIV/0!</v>
      </c>
      <c r="AI90" s="15">
        <f t="shared" si="48"/>
        <v>92.934782608695656</v>
      </c>
      <c r="AJ90" s="25" t="str">
        <f t="shared" si="34"/>
        <v>CONGRESSGAIN</v>
      </c>
      <c r="AK90" s="14" t="str">
        <f t="shared" si="46"/>
        <v>VERYHIGHMARGIN</v>
      </c>
    </row>
    <row r="91" spans="1:37">
      <c r="A91" s="7">
        <v>88</v>
      </c>
      <c r="B91" s="8" t="s">
        <v>222</v>
      </c>
      <c r="C91" s="7">
        <v>710</v>
      </c>
      <c r="D91" s="7">
        <v>45</v>
      </c>
      <c r="E91" s="7">
        <f t="shared" si="27"/>
        <v>6.3380281690140841</v>
      </c>
      <c r="F91" s="7">
        <v>599</v>
      </c>
      <c r="G91" s="7">
        <f t="shared" si="28"/>
        <v>84.366197183098592</v>
      </c>
      <c r="H91" s="7">
        <v>9</v>
      </c>
      <c r="I91" s="7">
        <f t="shared" si="29"/>
        <v>1.267605633802817</v>
      </c>
      <c r="J91" s="7">
        <v>47</v>
      </c>
      <c r="K91" s="7">
        <f t="shared" si="30"/>
        <v>6.6197183098591541</v>
      </c>
      <c r="L91" s="27">
        <v>544</v>
      </c>
      <c r="M91" s="27">
        <v>547</v>
      </c>
      <c r="N91" s="27">
        <f t="shared" si="31"/>
        <v>1091</v>
      </c>
      <c r="O91" s="28">
        <v>710</v>
      </c>
      <c r="P91" s="29">
        <f t="shared" si="35"/>
        <v>65.077910174152152</v>
      </c>
      <c r="Q91" s="28">
        <v>0</v>
      </c>
      <c r="R91" s="7">
        <f t="shared" si="36"/>
        <v>0</v>
      </c>
      <c r="S91" s="28">
        <f>Q91-U91</f>
        <v>0</v>
      </c>
      <c r="T91" s="7" t="e">
        <f t="shared" si="37"/>
        <v>#DIV/0!</v>
      </c>
      <c r="U91" s="28">
        <v>0</v>
      </c>
      <c r="V91" s="30">
        <f t="shared" si="38"/>
        <v>0</v>
      </c>
      <c r="W91" s="28">
        <v>1091</v>
      </c>
      <c r="X91" s="7">
        <f t="shared" si="39"/>
        <v>100</v>
      </c>
      <c r="Y91" s="31">
        <f t="shared" si="47"/>
        <v>389</v>
      </c>
      <c r="Z91" s="12">
        <f t="shared" si="40"/>
        <v>35.655362053162236</v>
      </c>
      <c r="AA91" s="32">
        <v>702</v>
      </c>
      <c r="AB91" s="33">
        <f t="shared" si="41"/>
        <v>64.344637946837764</v>
      </c>
      <c r="AC91" s="32">
        <f t="shared" si="23"/>
        <v>702</v>
      </c>
      <c r="AD91" s="12" t="str">
        <f t="shared" si="42"/>
        <v>AVG</v>
      </c>
      <c r="AE91" s="14" t="str">
        <f t="shared" si="43"/>
        <v>VLOW</v>
      </c>
      <c r="AF91" s="12" t="str">
        <f t="shared" si="44"/>
        <v>EXCELLENT</v>
      </c>
      <c r="AG91" s="12" t="str">
        <f t="shared" si="33"/>
        <v>FEMALE DOM</v>
      </c>
      <c r="AH91" s="12" t="e">
        <f t="shared" si="45"/>
        <v>#DIV/0!</v>
      </c>
      <c r="AI91" s="15">
        <f t="shared" si="48"/>
        <v>78.028169014084511</v>
      </c>
      <c r="AJ91" s="25" t="str">
        <f t="shared" si="34"/>
        <v>CONGRESSGAIN</v>
      </c>
      <c r="AK91" s="14" t="str">
        <f t="shared" si="46"/>
        <v>VERYHIGHMARGIN</v>
      </c>
    </row>
    <row r="92" spans="1:37">
      <c r="A92" s="7">
        <v>89</v>
      </c>
      <c r="B92" s="8" t="s">
        <v>223</v>
      </c>
      <c r="C92" s="7">
        <v>894</v>
      </c>
      <c r="D92" s="7">
        <v>13</v>
      </c>
      <c r="E92" s="7">
        <f t="shared" si="27"/>
        <v>1.4541387024608501</v>
      </c>
      <c r="F92" s="7">
        <v>830</v>
      </c>
      <c r="G92" s="7">
        <f t="shared" si="28"/>
        <v>92.841163310961974</v>
      </c>
      <c r="H92" s="7">
        <v>6</v>
      </c>
      <c r="I92" s="7">
        <f t="shared" si="29"/>
        <v>0.67114093959731547</v>
      </c>
      <c r="J92" s="7">
        <v>23</v>
      </c>
      <c r="K92" s="7">
        <f t="shared" si="30"/>
        <v>2.5727069351230423</v>
      </c>
      <c r="L92" s="9">
        <v>589</v>
      </c>
      <c r="M92" s="9">
        <v>641</v>
      </c>
      <c r="N92" s="9">
        <f t="shared" si="31"/>
        <v>1230</v>
      </c>
      <c r="O92" s="7">
        <v>894</v>
      </c>
      <c r="P92" s="10">
        <f t="shared" si="35"/>
        <v>72.682926829268297</v>
      </c>
      <c r="Q92" s="7">
        <v>0</v>
      </c>
      <c r="R92" s="7">
        <f t="shared" si="36"/>
        <v>0</v>
      </c>
      <c r="S92" s="7">
        <f t="shared" si="32"/>
        <v>0</v>
      </c>
      <c r="T92" s="7" t="e">
        <f t="shared" si="37"/>
        <v>#DIV/0!</v>
      </c>
      <c r="U92" s="7">
        <v>0</v>
      </c>
      <c r="V92" s="11">
        <f t="shared" si="38"/>
        <v>0</v>
      </c>
      <c r="W92" s="7">
        <v>1230</v>
      </c>
      <c r="X92" s="7">
        <f t="shared" si="39"/>
        <v>100</v>
      </c>
      <c r="Y92" s="7">
        <f t="shared" si="47"/>
        <v>336</v>
      </c>
      <c r="Z92" s="12">
        <f t="shared" si="40"/>
        <v>27.31707317073171</v>
      </c>
      <c r="AA92" s="12">
        <v>894</v>
      </c>
      <c r="AB92" s="13">
        <f t="shared" si="41"/>
        <v>72.682926829268297</v>
      </c>
      <c r="AC92" s="12">
        <f t="shared" si="23"/>
        <v>894</v>
      </c>
      <c r="AD92" s="12" t="str">
        <f t="shared" si="42"/>
        <v>STRONG</v>
      </c>
      <c r="AE92" s="14" t="str">
        <f t="shared" si="43"/>
        <v>VLOW</v>
      </c>
      <c r="AF92" s="12" t="str">
        <f t="shared" si="44"/>
        <v>EXCELLENT</v>
      </c>
      <c r="AG92" s="12" t="str">
        <f t="shared" si="33"/>
        <v>FEMALE DOM</v>
      </c>
      <c r="AH92" s="12" t="e">
        <f t="shared" si="45"/>
        <v>#DIV/0!</v>
      </c>
      <c r="AI92" s="15">
        <f t="shared" si="48"/>
        <v>91.387024608501122</v>
      </c>
      <c r="AJ92" s="25" t="str">
        <f t="shared" si="34"/>
        <v>CONGRESSGAIN</v>
      </c>
      <c r="AK92" s="14" t="str">
        <f t="shared" si="46"/>
        <v>VERYHIGHMARGIN</v>
      </c>
    </row>
    <row r="93" spans="1:37">
      <c r="A93" s="7">
        <v>90</v>
      </c>
      <c r="B93" s="8" t="s">
        <v>224</v>
      </c>
      <c r="C93" s="7">
        <v>804</v>
      </c>
      <c r="D93" s="7">
        <v>28</v>
      </c>
      <c r="E93" s="7">
        <f t="shared" si="27"/>
        <v>3.4825870646766171</v>
      </c>
      <c r="F93" s="7">
        <v>720</v>
      </c>
      <c r="G93" s="7">
        <f t="shared" si="28"/>
        <v>89.552238805970148</v>
      </c>
      <c r="H93" s="7">
        <v>14</v>
      </c>
      <c r="I93" s="7">
        <f t="shared" si="29"/>
        <v>1.7412935323383085</v>
      </c>
      <c r="J93" s="7">
        <v>28</v>
      </c>
      <c r="K93" s="7">
        <f t="shared" si="30"/>
        <v>3.4825870646766171</v>
      </c>
      <c r="L93" s="9">
        <v>614</v>
      </c>
      <c r="M93" s="9">
        <v>586</v>
      </c>
      <c r="N93" s="9">
        <f t="shared" si="31"/>
        <v>1200</v>
      </c>
      <c r="O93" s="21">
        <v>804</v>
      </c>
      <c r="P93" s="10">
        <f t="shared" si="35"/>
        <v>67</v>
      </c>
      <c r="Q93" s="7"/>
      <c r="R93" s="7">
        <f t="shared" si="36"/>
        <v>0</v>
      </c>
      <c r="S93" s="7">
        <f t="shared" si="32"/>
        <v>0</v>
      </c>
      <c r="T93" s="7" t="e">
        <f t="shared" si="37"/>
        <v>#DIV/0!</v>
      </c>
      <c r="U93" s="7"/>
      <c r="V93" s="11">
        <f t="shared" si="38"/>
        <v>0</v>
      </c>
      <c r="W93" s="7"/>
      <c r="X93" s="7">
        <f t="shared" si="39"/>
        <v>100</v>
      </c>
      <c r="Y93" s="7">
        <f t="shared" si="47"/>
        <v>0</v>
      </c>
      <c r="Z93" s="12" t="e">
        <f t="shared" si="40"/>
        <v>#DIV/0!</v>
      </c>
      <c r="AA93" s="12"/>
      <c r="AB93" s="13">
        <f t="shared" si="41"/>
        <v>0</v>
      </c>
      <c r="AC93" s="12">
        <f t="shared" si="23"/>
        <v>0</v>
      </c>
      <c r="AD93" s="12" t="str">
        <f t="shared" si="42"/>
        <v>AVG</v>
      </c>
      <c r="AE93" s="14" t="str">
        <f t="shared" si="43"/>
        <v>VLOW</v>
      </c>
      <c r="AF93" s="12" t="str">
        <f t="shared" si="44"/>
        <v>EXCELLENT</v>
      </c>
      <c r="AG93" s="12" t="str">
        <f t="shared" si="33"/>
        <v>MEN</v>
      </c>
      <c r="AH93" s="12" t="e">
        <f t="shared" si="45"/>
        <v>#DIV/0!</v>
      </c>
      <c r="AI93" s="15">
        <f t="shared" si="48"/>
        <v>86.069651741293526</v>
      </c>
      <c r="AJ93" s="25" t="str">
        <f t="shared" si="34"/>
        <v>CONGRESSGAIN</v>
      </c>
      <c r="AK93" s="14" t="str">
        <f t="shared" si="46"/>
        <v>VERYHIGHMARGIN</v>
      </c>
    </row>
    <row r="94" spans="1:37">
      <c r="A94" s="7">
        <v>91</v>
      </c>
      <c r="B94" s="8" t="s">
        <v>225</v>
      </c>
      <c r="C94" s="7">
        <v>821</v>
      </c>
      <c r="D94" s="7">
        <v>714</v>
      </c>
      <c r="E94" s="7">
        <f t="shared" si="27"/>
        <v>86.967113276492086</v>
      </c>
      <c r="F94" s="7">
        <v>78</v>
      </c>
      <c r="G94" s="7">
        <f t="shared" si="28"/>
        <v>9.5006090133982948</v>
      </c>
      <c r="H94" s="7">
        <v>3</v>
      </c>
      <c r="I94" s="7">
        <f t="shared" si="29"/>
        <v>0.36540803897685747</v>
      </c>
      <c r="J94" s="7">
        <v>5</v>
      </c>
      <c r="K94" s="7">
        <f t="shared" si="30"/>
        <v>0.60901339829476242</v>
      </c>
      <c r="L94" s="9">
        <v>529</v>
      </c>
      <c r="M94" s="9">
        <v>540</v>
      </c>
      <c r="N94" s="9">
        <f t="shared" si="31"/>
        <v>1069</v>
      </c>
      <c r="O94" s="7">
        <v>821</v>
      </c>
      <c r="P94" s="10">
        <f t="shared" si="35"/>
        <v>76.800748362956028</v>
      </c>
      <c r="Q94" s="7">
        <v>1047</v>
      </c>
      <c r="R94" s="7">
        <f t="shared" si="36"/>
        <v>97.94200187090739</v>
      </c>
      <c r="S94" s="21">
        <f t="shared" si="32"/>
        <v>243</v>
      </c>
      <c r="T94" s="7">
        <f t="shared" si="37"/>
        <v>23.209169054441261</v>
      </c>
      <c r="U94" s="7">
        <v>804</v>
      </c>
      <c r="V94" s="11">
        <f t="shared" si="38"/>
        <v>76.790830945558739</v>
      </c>
      <c r="W94" s="7">
        <v>22</v>
      </c>
      <c r="X94" s="7">
        <f t="shared" si="39"/>
        <v>2.0579981290926099</v>
      </c>
      <c r="Y94" s="17">
        <f t="shared" si="47"/>
        <v>5</v>
      </c>
      <c r="Z94" s="12">
        <f t="shared" si="40"/>
        <v>22.727272727272727</v>
      </c>
      <c r="AA94" s="12">
        <v>17</v>
      </c>
      <c r="AB94" s="13">
        <f t="shared" si="41"/>
        <v>77.272727272727266</v>
      </c>
      <c r="AC94" s="12">
        <f t="shared" si="23"/>
        <v>821</v>
      </c>
      <c r="AD94" s="12" t="str">
        <f t="shared" si="42"/>
        <v>STRONG</v>
      </c>
      <c r="AE94" s="14" t="str">
        <f t="shared" si="43"/>
        <v>EXCELLENT</v>
      </c>
      <c r="AF94" s="12" t="str">
        <f t="shared" si="44"/>
        <v>VLOW</v>
      </c>
      <c r="AG94" s="12" t="str">
        <f t="shared" si="33"/>
        <v>FEMALE DOM</v>
      </c>
      <c r="AH94" s="12" t="str">
        <f t="shared" si="45"/>
        <v>H</v>
      </c>
      <c r="AI94" s="15">
        <f>E94-G94</f>
        <v>77.466504263093796</v>
      </c>
      <c r="AJ94" s="16" t="str">
        <f t="shared" si="34"/>
        <v>BJP GAIN</v>
      </c>
      <c r="AK94" s="14" t="str">
        <f t="shared" si="46"/>
        <v>VERYHIGHMARGIN</v>
      </c>
    </row>
    <row r="95" spans="1:37">
      <c r="A95" s="7">
        <v>92</v>
      </c>
      <c r="B95" s="8" t="s">
        <v>226</v>
      </c>
      <c r="C95" s="7">
        <v>414</v>
      </c>
      <c r="D95" s="7">
        <v>236</v>
      </c>
      <c r="E95" s="7">
        <f t="shared" si="27"/>
        <v>57.004830917874393</v>
      </c>
      <c r="F95" s="7">
        <v>164</v>
      </c>
      <c r="G95" s="7">
        <f t="shared" si="28"/>
        <v>39.613526570048307</v>
      </c>
      <c r="H95" s="7">
        <v>2</v>
      </c>
      <c r="I95" s="7">
        <f t="shared" si="29"/>
        <v>0.48309178743961351</v>
      </c>
      <c r="J95" s="7">
        <v>1</v>
      </c>
      <c r="K95" s="7">
        <f t="shared" si="30"/>
        <v>0.24154589371980675</v>
      </c>
      <c r="L95" s="9">
        <v>256</v>
      </c>
      <c r="M95" s="9">
        <v>279</v>
      </c>
      <c r="N95" s="9">
        <f t="shared" si="31"/>
        <v>535</v>
      </c>
      <c r="O95" s="7">
        <v>414</v>
      </c>
      <c r="P95" s="10">
        <f t="shared" si="35"/>
        <v>77.383177570093451</v>
      </c>
      <c r="Q95" s="7">
        <v>336</v>
      </c>
      <c r="R95" s="7">
        <f t="shared" si="36"/>
        <v>62.803738317757009</v>
      </c>
      <c r="S95" s="7">
        <f t="shared" si="32"/>
        <v>72</v>
      </c>
      <c r="T95" s="7">
        <f t="shared" si="37"/>
        <v>21.428571428571427</v>
      </c>
      <c r="U95" s="7">
        <v>264</v>
      </c>
      <c r="V95" s="11">
        <f t="shared" si="38"/>
        <v>78.571428571428569</v>
      </c>
      <c r="W95" s="7">
        <v>199</v>
      </c>
      <c r="X95" s="7">
        <f t="shared" si="39"/>
        <v>37.196261682242991</v>
      </c>
      <c r="Y95" s="7">
        <f t="shared" si="47"/>
        <v>56</v>
      </c>
      <c r="Z95" s="12">
        <f t="shared" si="40"/>
        <v>28.140703517587941</v>
      </c>
      <c r="AA95" s="12">
        <v>143</v>
      </c>
      <c r="AB95" s="13">
        <f t="shared" si="41"/>
        <v>71.859296482412063</v>
      </c>
      <c r="AC95" s="12">
        <f t="shared" si="23"/>
        <v>407</v>
      </c>
      <c r="AD95" s="12" t="str">
        <f t="shared" si="42"/>
        <v>STRONG</v>
      </c>
      <c r="AE95" s="14" t="str">
        <f t="shared" si="43"/>
        <v>AVG</v>
      </c>
      <c r="AF95" s="12" t="str">
        <f t="shared" si="44"/>
        <v>VLOW</v>
      </c>
      <c r="AG95" s="12" t="str">
        <f t="shared" si="33"/>
        <v>FEMALE DOM</v>
      </c>
      <c r="AH95" s="12" t="str">
        <f t="shared" si="45"/>
        <v>O</v>
      </c>
      <c r="AI95" s="15">
        <f>E95-G95</f>
        <v>17.391304347826086</v>
      </c>
      <c r="AJ95" s="16" t="str">
        <f t="shared" si="34"/>
        <v>BJP GAIN</v>
      </c>
      <c r="AK95" s="15" t="str">
        <f t="shared" si="46"/>
        <v>LOWMARGIN</v>
      </c>
    </row>
    <row r="96" spans="1:37">
      <c r="A96" s="7">
        <v>93</v>
      </c>
      <c r="B96" s="8" t="s">
        <v>227</v>
      </c>
      <c r="C96" s="7">
        <v>1008</v>
      </c>
      <c r="D96" s="7">
        <v>898</v>
      </c>
      <c r="E96" s="7">
        <f t="shared" si="27"/>
        <v>89.087301587301596</v>
      </c>
      <c r="F96" s="7">
        <v>86</v>
      </c>
      <c r="G96" s="7">
        <f t="shared" si="28"/>
        <v>8.5317460317460316</v>
      </c>
      <c r="H96" s="7">
        <v>6</v>
      </c>
      <c r="I96" s="7">
        <f t="shared" si="29"/>
        <v>0.59523809523809523</v>
      </c>
      <c r="J96" s="7">
        <v>6</v>
      </c>
      <c r="K96" s="7">
        <f t="shared" si="30"/>
        <v>0.59523809523809523</v>
      </c>
      <c r="L96" s="9">
        <v>589</v>
      </c>
      <c r="M96" s="9">
        <v>604</v>
      </c>
      <c r="N96" s="9">
        <f t="shared" si="31"/>
        <v>1193</v>
      </c>
      <c r="O96" s="7">
        <v>1008</v>
      </c>
      <c r="P96" s="10">
        <f t="shared" si="35"/>
        <v>84.49287510477788</v>
      </c>
      <c r="Q96" s="7">
        <v>1162</v>
      </c>
      <c r="R96" s="7">
        <f t="shared" si="36"/>
        <v>97.401508801341151</v>
      </c>
      <c r="S96" s="7">
        <f t="shared" si="32"/>
        <v>171</v>
      </c>
      <c r="T96" s="7">
        <f t="shared" si="37"/>
        <v>14.716006884681585</v>
      </c>
      <c r="U96" s="7">
        <v>991</v>
      </c>
      <c r="V96" s="11">
        <f t="shared" si="38"/>
        <v>85.28399311531841</v>
      </c>
      <c r="W96" s="7">
        <v>31</v>
      </c>
      <c r="X96" s="7">
        <f t="shared" si="39"/>
        <v>2.5984911986588486</v>
      </c>
      <c r="Y96" s="7">
        <f t="shared" si="47"/>
        <v>14</v>
      </c>
      <c r="Z96" s="12">
        <f t="shared" si="40"/>
        <v>45.161290322580641</v>
      </c>
      <c r="AA96" s="12">
        <v>17</v>
      </c>
      <c r="AB96" s="13">
        <f t="shared" si="41"/>
        <v>54.838709677419352</v>
      </c>
      <c r="AC96" s="12">
        <f t="shared" ref="AC96:AC159" si="49">U96+AA96</f>
        <v>1008</v>
      </c>
      <c r="AD96" s="12" t="str">
        <f t="shared" si="42"/>
        <v>EXCELLENT</v>
      </c>
      <c r="AE96" s="14" t="str">
        <f t="shared" si="43"/>
        <v>EXCELLENT</v>
      </c>
      <c r="AF96" s="12" t="str">
        <f t="shared" si="44"/>
        <v>VLOW</v>
      </c>
      <c r="AG96" s="12" t="str">
        <f t="shared" si="33"/>
        <v>FEMALE DOM</v>
      </c>
      <c r="AH96" s="12" t="str">
        <f t="shared" si="45"/>
        <v>O</v>
      </c>
      <c r="AI96" s="15">
        <f>E96-G96</f>
        <v>80.555555555555571</v>
      </c>
      <c r="AJ96" s="16" t="str">
        <f t="shared" si="34"/>
        <v>BJP GAIN</v>
      </c>
      <c r="AK96" s="14" t="str">
        <f t="shared" si="46"/>
        <v>VERYHIGHMARGIN</v>
      </c>
    </row>
    <row r="97" spans="1:37">
      <c r="A97" s="7">
        <v>94</v>
      </c>
      <c r="B97" s="8" t="s">
        <v>228</v>
      </c>
      <c r="C97" s="7">
        <v>672</v>
      </c>
      <c r="D97" s="7">
        <v>296</v>
      </c>
      <c r="E97" s="7">
        <f t="shared" si="27"/>
        <v>44.047619047619044</v>
      </c>
      <c r="F97" s="7">
        <v>361</v>
      </c>
      <c r="G97" s="7">
        <f t="shared" si="28"/>
        <v>53.720238095238095</v>
      </c>
      <c r="H97" s="7">
        <v>1</v>
      </c>
      <c r="I97" s="7">
        <f t="shared" si="29"/>
        <v>0.14880952380952381</v>
      </c>
      <c r="J97" s="7">
        <v>2</v>
      </c>
      <c r="K97" s="7">
        <f t="shared" si="30"/>
        <v>0.29761904761904762</v>
      </c>
      <c r="L97" s="9">
        <v>461</v>
      </c>
      <c r="M97" s="9">
        <v>513</v>
      </c>
      <c r="N97" s="9">
        <f t="shared" si="31"/>
        <v>974</v>
      </c>
      <c r="O97" s="7">
        <v>672</v>
      </c>
      <c r="P97" s="10">
        <f t="shared" si="35"/>
        <v>68.993839835728949</v>
      </c>
      <c r="Q97" s="7">
        <v>510</v>
      </c>
      <c r="R97" s="7">
        <f t="shared" si="36"/>
        <v>52.361396303901444</v>
      </c>
      <c r="S97" s="7">
        <f t="shared" si="32"/>
        <v>229</v>
      </c>
      <c r="T97" s="7">
        <f t="shared" si="37"/>
        <v>44.901960784313729</v>
      </c>
      <c r="U97" s="7">
        <v>281</v>
      </c>
      <c r="V97" s="11">
        <f t="shared" si="38"/>
        <v>55.098039215686278</v>
      </c>
      <c r="W97" s="7">
        <f>348+132-16</f>
        <v>464</v>
      </c>
      <c r="X97" s="7">
        <f t="shared" si="39"/>
        <v>47.638603696098556</v>
      </c>
      <c r="Y97" s="17">
        <f t="shared" si="47"/>
        <v>73</v>
      </c>
      <c r="Z97" s="12">
        <f t="shared" si="40"/>
        <v>15.732758620689655</v>
      </c>
      <c r="AA97" s="12">
        <f>672-281</f>
        <v>391</v>
      </c>
      <c r="AB97" s="13">
        <f t="shared" si="41"/>
        <v>84.267241379310349</v>
      </c>
      <c r="AC97" s="12">
        <f t="shared" si="49"/>
        <v>672</v>
      </c>
      <c r="AD97" s="12" t="str">
        <f t="shared" si="42"/>
        <v>AVG</v>
      </c>
      <c r="AE97" s="14" t="str">
        <f t="shared" si="43"/>
        <v>WEAK</v>
      </c>
      <c r="AF97" s="12" t="str">
        <f t="shared" si="44"/>
        <v>VLOW</v>
      </c>
      <c r="AG97" s="12" t="str">
        <f t="shared" si="33"/>
        <v>FEMALE DOM</v>
      </c>
      <c r="AH97" s="12" t="str">
        <f t="shared" si="45"/>
        <v>H</v>
      </c>
      <c r="AI97" s="15">
        <f>G97-E97</f>
        <v>9.672619047619051</v>
      </c>
      <c r="AJ97" s="25" t="str">
        <f t="shared" si="34"/>
        <v>CONGRESSGAIN</v>
      </c>
      <c r="AK97" s="15" t="str">
        <f t="shared" si="46"/>
        <v>NARROWMARGIN</v>
      </c>
    </row>
    <row r="98" spans="1:37">
      <c r="A98" s="7">
        <v>95</v>
      </c>
      <c r="B98" s="8" t="s">
        <v>229</v>
      </c>
      <c r="C98" s="7">
        <v>777</v>
      </c>
      <c r="D98" s="7">
        <v>145</v>
      </c>
      <c r="E98" s="7">
        <f t="shared" si="27"/>
        <v>18.661518661518663</v>
      </c>
      <c r="F98" s="7">
        <v>610</v>
      </c>
      <c r="G98" s="7">
        <f t="shared" si="28"/>
        <v>78.507078507078504</v>
      </c>
      <c r="H98" s="7">
        <v>8</v>
      </c>
      <c r="I98" s="7">
        <f t="shared" si="29"/>
        <v>1.0296010296010296</v>
      </c>
      <c r="J98" s="7">
        <v>2</v>
      </c>
      <c r="K98" s="7">
        <f t="shared" si="30"/>
        <v>0.2574002574002574</v>
      </c>
      <c r="L98" s="9">
        <v>549</v>
      </c>
      <c r="M98" s="9">
        <v>539</v>
      </c>
      <c r="N98" s="9">
        <f t="shared" si="31"/>
        <v>1088</v>
      </c>
      <c r="O98" s="7">
        <v>778</v>
      </c>
      <c r="P98" s="10">
        <f t="shared" si="35"/>
        <v>71.507352941176478</v>
      </c>
      <c r="Q98" s="7">
        <v>196</v>
      </c>
      <c r="R98" s="7">
        <f t="shared" si="36"/>
        <v>18.014705882352942</v>
      </c>
      <c r="S98" s="21">
        <f t="shared" si="32"/>
        <v>23</v>
      </c>
      <c r="T98" s="7">
        <f t="shared" si="37"/>
        <v>11.73469387755102</v>
      </c>
      <c r="U98" s="7">
        <v>173</v>
      </c>
      <c r="V98" s="11">
        <f t="shared" si="38"/>
        <v>88.265306122448976</v>
      </c>
      <c r="W98" s="7">
        <v>840</v>
      </c>
      <c r="X98" s="7">
        <f t="shared" si="39"/>
        <v>81.985294117647058</v>
      </c>
      <c r="Y98" s="7">
        <f t="shared" si="47"/>
        <v>302</v>
      </c>
      <c r="Z98" s="12">
        <f t="shared" si="40"/>
        <v>35.952380952380949</v>
      </c>
      <c r="AA98" s="12">
        <v>538</v>
      </c>
      <c r="AB98" s="13">
        <f t="shared" si="41"/>
        <v>64.047619047619037</v>
      </c>
      <c r="AC98" s="12">
        <f t="shared" si="49"/>
        <v>711</v>
      </c>
      <c r="AD98" s="12" t="str">
        <f t="shared" si="42"/>
        <v>STRONG</v>
      </c>
      <c r="AE98" s="14" t="str">
        <f t="shared" si="43"/>
        <v>VLOW</v>
      </c>
      <c r="AF98" s="12" t="str">
        <f t="shared" si="44"/>
        <v>EXCELLENT</v>
      </c>
      <c r="AG98" s="12" t="str">
        <f t="shared" si="33"/>
        <v>MEN</v>
      </c>
      <c r="AH98" s="12" t="str">
        <f t="shared" si="45"/>
        <v>O</v>
      </c>
      <c r="AI98" s="15">
        <f t="shared" ref="AI98:AI100" si="50">G98-E98</f>
        <v>59.845559845559841</v>
      </c>
      <c r="AJ98" s="25" t="str">
        <f t="shared" si="34"/>
        <v>CONGRESSGAIN</v>
      </c>
      <c r="AK98" s="14" t="str">
        <f t="shared" si="46"/>
        <v>VERYHIGHMARGIN</v>
      </c>
    </row>
    <row r="99" spans="1:37">
      <c r="A99" s="7">
        <v>96</v>
      </c>
      <c r="B99" s="8" t="s">
        <v>230</v>
      </c>
      <c r="C99" s="7">
        <v>607</v>
      </c>
      <c r="D99" s="7">
        <v>89</v>
      </c>
      <c r="E99" s="7">
        <f t="shared" si="27"/>
        <v>14.662273476112025</v>
      </c>
      <c r="F99" s="7">
        <v>505</v>
      </c>
      <c r="G99" s="7">
        <f t="shared" si="28"/>
        <v>83.196046128500825</v>
      </c>
      <c r="H99" s="7">
        <v>6</v>
      </c>
      <c r="I99" s="7">
        <f t="shared" si="29"/>
        <v>0.98846787479406917</v>
      </c>
      <c r="J99" s="7">
        <v>4</v>
      </c>
      <c r="K99" s="7">
        <f t="shared" si="30"/>
        <v>0.65897858319604619</v>
      </c>
      <c r="L99" s="9">
        <v>446</v>
      </c>
      <c r="M99" s="9">
        <v>444</v>
      </c>
      <c r="N99" s="9">
        <f t="shared" si="31"/>
        <v>890</v>
      </c>
      <c r="O99" s="7">
        <v>607</v>
      </c>
      <c r="P99" s="10">
        <f t="shared" si="35"/>
        <v>68.202247191011239</v>
      </c>
      <c r="Q99" s="7">
        <v>94</v>
      </c>
      <c r="R99" s="7">
        <f t="shared" si="36"/>
        <v>10.561797752808989</v>
      </c>
      <c r="S99" s="7">
        <f t="shared" si="32"/>
        <v>32</v>
      </c>
      <c r="T99" s="7">
        <f t="shared" si="37"/>
        <v>34.042553191489361</v>
      </c>
      <c r="U99" s="7">
        <v>62</v>
      </c>
      <c r="V99" s="11">
        <f t="shared" si="38"/>
        <v>65.957446808510639</v>
      </c>
      <c r="W99" s="7">
        <v>740</v>
      </c>
      <c r="X99" s="7">
        <f t="shared" si="39"/>
        <v>89.438202247191015</v>
      </c>
      <c r="Y99" s="7">
        <f t="shared" si="47"/>
        <v>246</v>
      </c>
      <c r="Z99" s="12">
        <f t="shared" si="40"/>
        <v>33.243243243243242</v>
      </c>
      <c r="AA99" s="12">
        <v>494</v>
      </c>
      <c r="AB99" s="13">
        <f t="shared" si="41"/>
        <v>66.756756756756758</v>
      </c>
      <c r="AC99" s="12">
        <f t="shared" si="49"/>
        <v>556</v>
      </c>
      <c r="AD99" s="12" t="str">
        <f t="shared" si="42"/>
        <v>AVG</v>
      </c>
      <c r="AE99" s="14" t="str">
        <f t="shared" si="43"/>
        <v>VLOW</v>
      </c>
      <c r="AF99" s="12" t="str">
        <f t="shared" si="44"/>
        <v>EXCELLENT</v>
      </c>
      <c r="AG99" s="12" t="str">
        <f t="shared" si="33"/>
        <v>MEN</v>
      </c>
      <c r="AH99" s="12" t="str">
        <f t="shared" si="45"/>
        <v>H</v>
      </c>
      <c r="AI99" s="15">
        <f t="shared" si="50"/>
        <v>68.533772652388805</v>
      </c>
      <c r="AJ99" s="25" t="str">
        <f t="shared" si="34"/>
        <v>CONGRESSGAIN</v>
      </c>
      <c r="AK99" s="14" t="str">
        <f t="shared" si="46"/>
        <v>VERYHIGHMARGIN</v>
      </c>
    </row>
    <row r="100" spans="1:37">
      <c r="A100" s="7">
        <v>97</v>
      </c>
      <c r="B100" s="8" t="s">
        <v>231</v>
      </c>
      <c r="C100" s="7">
        <v>682</v>
      </c>
      <c r="D100" s="7">
        <v>259</v>
      </c>
      <c r="E100" s="7">
        <f t="shared" si="27"/>
        <v>37.976539589442815</v>
      </c>
      <c r="F100" s="7">
        <v>407</v>
      </c>
      <c r="G100" s="7">
        <f t="shared" si="28"/>
        <v>59.677419354838712</v>
      </c>
      <c r="H100" s="7">
        <v>4</v>
      </c>
      <c r="I100" s="7">
        <f t="shared" si="29"/>
        <v>0.5865102639296188</v>
      </c>
      <c r="J100" s="7">
        <v>4</v>
      </c>
      <c r="K100" s="7">
        <f t="shared" si="30"/>
        <v>0.5865102639296188</v>
      </c>
      <c r="L100" s="9">
        <v>488</v>
      </c>
      <c r="M100" s="9">
        <v>505</v>
      </c>
      <c r="N100" s="9">
        <f t="shared" si="31"/>
        <v>993</v>
      </c>
      <c r="O100" s="7">
        <v>682</v>
      </c>
      <c r="P100" s="10">
        <f t="shared" si="35"/>
        <v>68.680765357502509</v>
      </c>
      <c r="Q100" s="7">
        <v>439</v>
      </c>
      <c r="R100" s="7">
        <f t="shared" si="36"/>
        <v>44.209466263846927</v>
      </c>
      <c r="S100" s="7">
        <f t="shared" si="32"/>
        <v>143</v>
      </c>
      <c r="T100" s="7">
        <f t="shared" si="37"/>
        <v>32.574031890660592</v>
      </c>
      <c r="U100" s="7">
        <v>296</v>
      </c>
      <c r="V100" s="11">
        <f t="shared" si="38"/>
        <v>67.425968109339408</v>
      </c>
      <c r="W100" s="7">
        <f>486+8</f>
        <v>494</v>
      </c>
      <c r="X100" s="7">
        <f t="shared" si="39"/>
        <v>55.790533736153073</v>
      </c>
      <c r="Y100" s="17">
        <f t="shared" si="47"/>
        <v>133</v>
      </c>
      <c r="Z100" s="12">
        <f t="shared" si="40"/>
        <v>26.923076923076923</v>
      </c>
      <c r="AA100" s="12">
        <f>359+2</f>
        <v>361</v>
      </c>
      <c r="AB100" s="13">
        <f t="shared" si="41"/>
        <v>73.076923076923066</v>
      </c>
      <c r="AC100" s="12">
        <f t="shared" si="49"/>
        <v>657</v>
      </c>
      <c r="AD100" s="12" t="str">
        <f t="shared" si="42"/>
        <v>AVG</v>
      </c>
      <c r="AE100" s="14" t="str">
        <f t="shared" si="43"/>
        <v>VLOW</v>
      </c>
      <c r="AF100" s="12" t="str">
        <f t="shared" si="44"/>
        <v>WEAK</v>
      </c>
      <c r="AG100" s="12" t="str">
        <f t="shared" si="33"/>
        <v>FEMALE DOM</v>
      </c>
      <c r="AH100" s="12" t="str">
        <f t="shared" si="45"/>
        <v>H</v>
      </c>
      <c r="AI100" s="15">
        <f t="shared" si="50"/>
        <v>21.700879765395896</v>
      </c>
      <c r="AJ100" s="25" t="str">
        <f t="shared" si="34"/>
        <v>CONGRESSGAIN</v>
      </c>
      <c r="AK100" s="15" t="str">
        <f t="shared" si="46"/>
        <v>LOWMARGIN</v>
      </c>
    </row>
    <row r="101" spans="1:37">
      <c r="A101" s="7">
        <v>98</v>
      </c>
      <c r="B101" s="8" t="s">
        <v>232</v>
      </c>
      <c r="C101" s="7">
        <v>772</v>
      </c>
      <c r="D101" s="7">
        <v>618</v>
      </c>
      <c r="E101" s="7">
        <f t="shared" si="27"/>
        <v>80.051813471502584</v>
      </c>
      <c r="F101" s="7">
        <v>116</v>
      </c>
      <c r="G101" s="7">
        <f t="shared" si="28"/>
        <v>15.025906735751295</v>
      </c>
      <c r="H101" s="7">
        <v>1</v>
      </c>
      <c r="I101" s="7">
        <f t="shared" si="29"/>
        <v>0.1295336787564767</v>
      </c>
      <c r="J101" s="7">
        <v>2</v>
      </c>
      <c r="K101" s="7">
        <f t="shared" si="30"/>
        <v>0.2590673575129534</v>
      </c>
      <c r="L101" s="9">
        <v>602</v>
      </c>
      <c r="M101" s="9">
        <v>651</v>
      </c>
      <c r="N101" s="9">
        <f t="shared" si="31"/>
        <v>1253</v>
      </c>
      <c r="O101" s="7">
        <v>772</v>
      </c>
      <c r="P101" s="10">
        <f t="shared" si="35"/>
        <v>61.612130885873903</v>
      </c>
      <c r="Q101" s="7"/>
      <c r="R101" s="7">
        <f t="shared" si="36"/>
        <v>0</v>
      </c>
      <c r="S101" s="7">
        <f t="shared" si="32"/>
        <v>0</v>
      </c>
      <c r="T101" s="7" t="e">
        <f t="shared" si="37"/>
        <v>#DIV/0!</v>
      </c>
      <c r="U101" s="7"/>
      <c r="V101" s="11">
        <f t="shared" si="38"/>
        <v>0</v>
      </c>
      <c r="W101" s="7"/>
      <c r="X101" s="7">
        <f t="shared" si="39"/>
        <v>100</v>
      </c>
      <c r="Y101" s="7">
        <f t="shared" si="47"/>
        <v>0</v>
      </c>
      <c r="Z101" s="12" t="e">
        <f t="shared" si="40"/>
        <v>#DIV/0!</v>
      </c>
      <c r="AA101" s="12"/>
      <c r="AB101" s="13">
        <f t="shared" si="41"/>
        <v>0</v>
      </c>
      <c r="AC101" s="12">
        <f t="shared" si="49"/>
        <v>0</v>
      </c>
      <c r="AD101" s="12" t="str">
        <f t="shared" si="42"/>
        <v>AVG</v>
      </c>
      <c r="AE101" s="14" t="str">
        <f t="shared" si="43"/>
        <v>VLOW</v>
      </c>
      <c r="AF101" s="12" t="str">
        <f t="shared" si="44"/>
        <v>EXCELLENT</v>
      </c>
      <c r="AG101" s="12" t="str">
        <f t="shared" si="33"/>
        <v>FEMALE DOM</v>
      </c>
      <c r="AH101" s="12" t="e">
        <f t="shared" si="45"/>
        <v>#DIV/0!</v>
      </c>
      <c r="AI101" s="15">
        <f>E101-G101</f>
        <v>65.025906735751292</v>
      </c>
      <c r="AJ101" s="16" t="str">
        <f t="shared" si="34"/>
        <v>BJP GAIN</v>
      </c>
      <c r="AK101" s="14" t="str">
        <f t="shared" si="46"/>
        <v>VERYHIGHMARGIN</v>
      </c>
    </row>
    <row r="102" spans="1:37">
      <c r="A102" s="7">
        <v>99</v>
      </c>
      <c r="B102" s="8" t="s">
        <v>233</v>
      </c>
      <c r="C102" s="7">
        <v>1007</v>
      </c>
      <c r="D102" s="7">
        <v>233</v>
      </c>
      <c r="E102" s="7">
        <f t="shared" si="27"/>
        <v>23.13803376365442</v>
      </c>
      <c r="F102" s="7">
        <v>763</v>
      </c>
      <c r="G102" s="7">
        <f t="shared" si="28"/>
        <v>75.769612711022845</v>
      </c>
      <c r="H102" s="7">
        <v>1</v>
      </c>
      <c r="I102" s="7">
        <f t="shared" si="29"/>
        <v>9.9304865938430978E-2</v>
      </c>
      <c r="J102" s="7">
        <v>0</v>
      </c>
      <c r="K102" s="7">
        <f t="shared" si="30"/>
        <v>0</v>
      </c>
      <c r="L102" s="9">
        <v>766</v>
      </c>
      <c r="M102" s="9">
        <v>721</v>
      </c>
      <c r="N102" s="9">
        <f t="shared" si="31"/>
        <v>1487</v>
      </c>
      <c r="O102" s="7">
        <v>1007</v>
      </c>
      <c r="P102" s="10">
        <f t="shared" si="35"/>
        <v>67.720242098184272</v>
      </c>
      <c r="Q102" s="7">
        <v>314</v>
      </c>
      <c r="R102" s="7">
        <f t="shared" si="36"/>
        <v>21.116341627437794</v>
      </c>
      <c r="S102" s="21">
        <f t="shared" si="32"/>
        <v>144</v>
      </c>
      <c r="T102" s="7">
        <f t="shared" si="37"/>
        <v>45.859872611464972</v>
      </c>
      <c r="U102" s="7">
        <v>170</v>
      </c>
      <c r="V102" s="11">
        <f t="shared" si="38"/>
        <v>54.140127388535028</v>
      </c>
      <c r="W102" s="7">
        <v>749</v>
      </c>
      <c r="X102" s="7">
        <f t="shared" si="39"/>
        <v>78.883658372562209</v>
      </c>
      <c r="Y102" s="7">
        <f t="shared" si="47"/>
        <v>149</v>
      </c>
      <c r="Z102" s="12">
        <f t="shared" si="40"/>
        <v>19.893190921228303</v>
      </c>
      <c r="AA102" s="12">
        <v>600</v>
      </c>
      <c r="AB102" s="13">
        <f t="shared" si="41"/>
        <v>80.10680907877169</v>
      </c>
      <c r="AC102" s="12">
        <f t="shared" si="49"/>
        <v>770</v>
      </c>
      <c r="AD102" s="12" t="str">
        <f t="shared" si="42"/>
        <v>AVG</v>
      </c>
      <c r="AE102" s="14" t="str">
        <f t="shared" si="43"/>
        <v>VLOW</v>
      </c>
      <c r="AF102" s="12" t="str">
        <f t="shared" si="44"/>
        <v>STRONG</v>
      </c>
      <c r="AG102" s="12" t="str">
        <f t="shared" si="33"/>
        <v>MEN</v>
      </c>
      <c r="AH102" s="12" t="str">
        <f t="shared" si="45"/>
        <v>H</v>
      </c>
      <c r="AI102" s="15">
        <f>G102-E102</f>
        <v>52.631578947368425</v>
      </c>
      <c r="AJ102" s="25" t="str">
        <f t="shared" si="34"/>
        <v>CONGRESSGAIN</v>
      </c>
      <c r="AK102" s="14" t="str">
        <f t="shared" si="46"/>
        <v>VERYHIGHMARGIN</v>
      </c>
    </row>
    <row r="103" spans="1:37">
      <c r="A103" s="7">
        <v>100</v>
      </c>
      <c r="B103" s="8" t="s">
        <v>234</v>
      </c>
      <c r="C103" s="7">
        <v>506</v>
      </c>
      <c r="D103" s="7">
        <v>143</v>
      </c>
      <c r="E103" s="7">
        <f t="shared" si="27"/>
        <v>28.260869565217391</v>
      </c>
      <c r="F103" s="7">
        <v>350</v>
      </c>
      <c r="G103" s="7">
        <f t="shared" si="28"/>
        <v>69.169960474308297</v>
      </c>
      <c r="H103" s="7">
        <v>2</v>
      </c>
      <c r="I103" s="7">
        <f t="shared" si="29"/>
        <v>0.39525691699604742</v>
      </c>
      <c r="J103" s="7">
        <v>2</v>
      </c>
      <c r="K103" s="7">
        <f t="shared" si="30"/>
        <v>0.39525691699604742</v>
      </c>
      <c r="L103" s="9">
        <v>365</v>
      </c>
      <c r="M103" s="9">
        <v>365</v>
      </c>
      <c r="N103" s="9">
        <f t="shared" si="31"/>
        <v>730</v>
      </c>
      <c r="O103" s="7">
        <v>506</v>
      </c>
      <c r="P103" s="10">
        <f t="shared" si="35"/>
        <v>69.31506849315069</v>
      </c>
      <c r="Q103" s="7"/>
      <c r="R103" s="7">
        <f t="shared" si="36"/>
        <v>0</v>
      </c>
      <c r="S103" s="7">
        <f t="shared" si="32"/>
        <v>0</v>
      </c>
      <c r="T103" s="7" t="e">
        <f t="shared" si="37"/>
        <v>#DIV/0!</v>
      </c>
      <c r="U103" s="7"/>
      <c r="V103" s="11">
        <f t="shared" si="38"/>
        <v>0</v>
      </c>
      <c r="W103" s="7"/>
      <c r="X103" s="7">
        <f t="shared" si="39"/>
        <v>100</v>
      </c>
      <c r="Y103" s="17">
        <f t="shared" si="47"/>
        <v>0</v>
      </c>
      <c r="Z103" s="12" t="e">
        <f t="shared" si="40"/>
        <v>#DIV/0!</v>
      </c>
      <c r="AA103" s="12"/>
      <c r="AB103" s="13">
        <f t="shared" si="41"/>
        <v>0</v>
      </c>
      <c r="AC103" s="12">
        <f t="shared" si="49"/>
        <v>0</v>
      </c>
      <c r="AD103" s="12" t="str">
        <f t="shared" si="42"/>
        <v>AVG</v>
      </c>
      <c r="AE103" s="14" t="str">
        <f t="shared" si="43"/>
        <v>VLOW</v>
      </c>
      <c r="AF103" s="12" t="str">
        <f t="shared" si="44"/>
        <v>EXCELLENT</v>
      </c>
      <c r="AG103" s="12" t="str">
        <f t="shared" si="33"/>
        <v>MEN</v>
      </c>
      <c r="AH103" s="12" t="e">
        <f t="shared" si="45"/>
        <v>#DIV/0!</v>
      </c>
      <c r="AI103" s="15">
        <f>G103-E103</f>
        <v>40.909090909090907</v>
      </c>
      <c r="AJ103" s="25" t="str">
        <f t="shared" si="34"/>
        <v>CONGRESSGAIN</v>
      </c>
      <c r="AK103" s="19" t="str">
        <f t="shared" si="46"/>
        <v>HIGHMARGIN</v>
      </c>
    </row>
    <row r="104" spans="1:37">
      <c r="A104" s="7">
        <v>101</v>
      </c>
      <c r="B104" s="8" t="s">
        <v>235</v>
      </c>
      <c r="C104" s="7">
        <v>403</v>
      </c>
      <c r="D104" s="7">
        <v>343</v>
      </c>
      <c r="E104" s="7">
        <f t="shared" si="27"/>
        <v>85.111662531017373</v>
      </c>
      <c r="F104" s="7">
        <v>50</v>
      </c>
      <c r="G104" s="7">
        <f t="shared" si="28"/>
        <v>12.406947890818859</v>
      </c>
      <c r="H104" s="7">
        <v>0</v>
      </c>
      <c r="I104" s="7">
        <f t="shared" si="29"/>
        <v>0</v>
      </c>
      <c r="J104" s="7">
        <v>2</v>
      </c>
      <c r="K104" s="7">
        <f t="shared" si="30"/>
        <v>0.49627791563275436</v>
      </c>
      <c r="L104" s="9">
        <v>296</v>
      </c>
      <c r="M104" s="9">
        <v>285</v>
      </c>
      <c r="N104" s="9">
        <f t="shared" si="31"/>
        <v>581</v>
      </c>
      <c r="O104" s="7">
        <v>403</v>
      </c>
      <c r="P104" s="10">
        <f t="shared" si="35"/>
        <v>69.363166953528406</v>
      </c>
      <c r="Q104" s="7">
        <v>579</v>
      </c>
      <c r="R104" s="7">
        <f t="shared" si="36"/>
        <v>99.65576592082617</v>
      </c>
      <c r="S104" s="7">
        <f t="shared" si="32"/>
        <v>176</v>
      </c>
      <c r="T104" s="7">
        <f t="shared" si="37"/>
        <v>30.397236614853195</v>
      </c>
      <c r="U104" s="7">
        <v>403</v>
      </c>
      <c r="V104" s="11">
        <f t="shared" si="38"/>
        <v>69.602763385146801</v>
      </c>
      <c r="W104" s="7">
        <v>0</v>
      </c>
      <c r="X104" s="7">
        <f t="shared" si="39"/>
        <v>0.34423407917383031</v>
      </c>
      <c r="Y104" s="7">
        <f t="shared" si="47"/>
        <v>0</v>
      </c>
      <c r="Z104" s="12" t="e">
        <f t="shared" si="40"/>
        <v>#DIV/0!</v>
      </c>
      <c r="AA104" s="12">
        <v>0</v>
      </c>
      <c r="AB104" s="13">
        <f t="shared" si="41"/>
        <v>0</v>
      </c>
      <c r="AC104" s="12">
        <f t="shared" si="49"/>
        <v>403</v>
      </c>
      <c r="AD104" s="12" t="str">
        <f t="shared" si="42"/>
        <v>AVG</v>
      </c>
      <c r="AE104" s="14" t="str">
        <f t="shared" si="43"/>
        <v>EXCELLENT</v>
      </c>
      <c r="AF104" s="12" t="str">
        <f t="shared" si="44"/>
        <v>VLOW</v>
      </c>
      <c r="AG104" s="12" t="str">
        <f t="shared" si="33"/>
        <v>MEN</v>
      </c>
      <c r="AH104" s="12" t="e">
        <f t="shared" si="45"/>
        <v>#DIV/0!</v>
      </c>
      <c r="AI104" s="15">
        <f>E104-G104</f>
        <v>72.704714640198517</v>
      </c>
      <c r="AJ104" s="16" t="str">
        <f t="shared" si="34"/>
        <v>BJP GAIN</v>
      </c>
      <c r="AK104" s="14" t="str">
        <f t="shared" si="46"/>
        <v>VERYHIGHMARGIN</v>
      </c>
    </row>
    <row r="105" spans="1:37">
      <c r="A105" s="7">
        <v>102</v>
      </c>
      <c r="B105" s="8" t="s">
        <v>236</v>
      </c>
      <c r="C105" s="7">
        <v>820</v>
      </c>
      <c r="D105" s="7">
        <v>675</v>
      </c>
      <c r="E105" s="7">
        <f t="shared" si="27"/>
        <v>82.317073170731703</v>
      </c>
      <c r="F105" s="7">
        <v>106</v>
      </c>
      <c r="G105" s="7">
        <f t="shared" si="28"/>
        <v>12.926829268292684</v>
      </c>
      <c r="H105" s="7">
        <v>1</v>
      </c>
      <c r="I105" s="7">
        <f t="shared" si="29"/>
        <v>0.12195121951219512</v>
      </c>
      <c r="J105" s="7">
        <v>1</v>
      </c>
      <c r="K105" s="7">
        <f t="shared" si="30"/>
        <v>0.12195121951219512</v>
      </c>
      <c r="L105" s="9">
        <v>580</v>
      </c>
      <c r="M105" s="9">
        <v>608</v>
      </c>
      <c r="N105" s="9">
        <f t="shared" si="31"/>
        <v>1188</v>
      </c>
      <c r="O105" s="7">
        <v>820</v>
      </c>
      <c r="P105" s="10">
        <f t="shared" si="35"/>
        <v>69.023569023569024</v>
      </c>
      <c r="Q105" s="7">
        <v>1133</v>
      </c>
      <c r="R105" s="7">
        <f t="shared" si="36"/>
        <v>95.370370370370367</v>
      </c>
      <c r="S105" s="7">
        <f t="shared" si="32"/>
        <v>318</v>
      </c>
      <c r="T105" s="7">
        <f t="shared" si="37"/>
        <v>28.067078552515447</v>
      </c>
      <c r="U105" s="7">
        <v>815</v>
      </c>
      <c r="V105" s="11">
        <f t="shared" si="38"/>
        <v>71.93292144748456</v>
      </c>
      <c r="W105" s="7">
        <v>5</v>
      </c>
      <c r="X105" s="7">
        <f t="shared" si="39"/>
        <v>4.6296296296296333</v>
      </c>
      <c r="Y105" s="7">
        <f t="shared" si="47"/>
        <v>2</v>
      </c>
      <c r="Z105" s="12">
        <f t="shared" si="40"/>
        <v>40</v>
      </c>
      <c r="AA105" s="12">
        <v>3</v>
      </c>
      <c r="AB105" s="13">
        <f t="shared" si="41"/>
        <v>60</v>
      </c>
      <c r="AC105" s="12">
        <f t="shared" si="49"/>
        <v>818</v>
      </c>
      <c r="AD105" s="12" t="str">
        <f t="shared" si="42"/>
        <v>AVG</v>
      </c>
      <c r="AE105" s="14" t="str">
        <f t="shared" si="43"/>
        <v>EXCELLENT</v>
      </c>
      <c r="AF105" s="12" t="str">
        <f t="shared" si="44"/>
        <v>VLOW</v>
      </c>
      <c r="AG105" s="12" t="str">
        <f t="shared" si="33"/>
        <v>FEMALE DOM</v>
      </c>
      <c r="AH105" s="12" t="str">
        <f t="shared" si="45"/>
        <v>O</v>
      </c>
      <c r="AI105" s="15">
        <f>E105-G105</f>
        <v>69.390243902439025</v>
      </c>
      <c r="AJ105" s="16" t="str">
        <f t="shared" si="34"/>
        <v>BJP GAIN</v>
      </c>
      <c r="AK105" s="14" t="str">
        <f t="shared" si="46"/>
        <v>VERYHIGHMARGIN</v>
      </c>
    </row>
    <row r="106" spans="1:37">
      <c r="A106" s="7">
        <v>103</v>
      </c>
      <c r="B106" s="8" t="s">
        <v>237</v>
      </c>
      <c r="C106" s="7">
        <v>563</v>
      </c>
      <c r="D106" s="7">
        <v>212</v>
      </c>
      <c r="E106" s="7">
        <f t="shared" si="27"/>
        <v>37.655417406749557</v>
      </c>
      <c r="F106" s="7">
        <v>337</v>
      </c>
      <c r="G106" s="7">
        <f t="shared" si="28"/>
        <v>59.857904085257552</v>
      </c>
      <c r="H106" s="7">
        <v>0</v>
      </c>
      <c r="I106" s="7">
        <f t="shared" si="29"/>
        <v>0</v>
      </c>
      <c r="J106" s="7">
        <v>3</v>
      </c>
      <c r="K106" s="7">
        <f t="shared" si="30"/>
        <v>0.53285968028419184</v>
      </c>
      <c r="L106" s="9">
        <v>422</v>
      </c>
      <c r="M106" s="9">
        <v>398</v>
      </c>
      <c r="N106" s="9">
        <f t="shared" si="31"/>
        <v>820</v>
      </c>
      <c r="O106" s="7">
        <v>563</v>
      </c>
      <c r="P106" s="10">
        <f t="shared" si="35"/>
        <v>68.658536585365866</v>
      </c>
      <c r="Q106" s="7">
        <v>392</v>
      </c>
      <c r="R106" s="7">
        <f t="shared" si="36"/>
        <v>47.804878048780488</v>
      </c>
      <c r="S106" s="21">
        <f t="shared" si="32"/>
        <v>124</v>
      </c>
      <c r="T106" s="7">
        <f t="shared" si="37"/>
        <v>31.632653061224492</v>
      </c>
      <c r="U106" s="7">
        <v>268</v>
      </c>
      <c r="V106" s="11">
        <f t="shared" si="38"/>
        <v>68.367346938775512</v>
      </c>
      <c r="W106" s="7">
        <f>390+38</f>
        <v>428</v>
      </c>
      <c r="X106" s="7">
        <f t="shared" si="39"/>
        <v>52.195121951219512</v>
      </c>
      <c r="Y106" s="17">
        <f t="shared" si="47"/>
        <v>136</v>
      </c>
      <c r="Z106" s="12">
        <f t="shared" si="40"/>
        <v>31.775700934579437</v>
      </c>
      <c r="AA106" s="12">
        <f>269+23</f>
        <v>292</v>
      </c>
      <c r="AB106" s="13">
        <f t="shared" si="41"/>
        <v>68.224299065420553</v>
      </c>
      <c r="AC106" s="12">
        <f t="shared" si="49"/>
        <v>560</v>
      </c>
      <c r="AD106" s="12" t="str">
        <f t="shared" si="42"/>
        <v>AVG</v>
      </c>
      <c r="AE106" s="14" t="str">
        <f t="shared" si="43"/>
        <v>VLOW</v>
      </c>
      <c r="AF106" s="12" t="str">
        <f t="shared" si="44"/>
        <v>WEAK</v>
      </c>
      <c r="AG106" s="12" t="str">
        <f t="shared" si="33"/>
        <v>MEN</v>
      </c>
      <c r="AH106" s="12" t="str">
        <f t="shared" si="45"/>
        <v>O</v>
      </c>
      <c r="AI106" s="15">
        <f>G106-E106</f>
        <v>22.202486678507995</v>
      </c>
      <c r="AJ106" s="25" t="str">
        <f t="shared" si="34"/>
        <v>CONGRESSGAIN</v>
      </c>
      <c r="AK106" s="15" t="str">
        <f t="shared" si="46"/>
        <v>LOWMARGIN</v>
      </c>
    </row>
    <row r="107" spans="1:37">
      <c r="A107" s="7">
        <v>104</v>
      </c>
      <c r="B107" s="8" t="s">
        <v>238</v>
      </c>
      <c r="C107" s="7">
        <v>467</v>
      </c>
      <c r="D107" s="7">
        <v>230</v>
      </c>
      <c r="E107" s="7">
        <f t="shared" si="27"/>
        <v>49.25053533190578</v>
      </c>
      <c r="F107" s="7">
        <v>207</v>
      </c>
      <c r="G107" s="7">
        <f t="shared" si="28"/>
        <v>44.325481798715202</v>
      </c>
      <c r="H107" s="7">
        <v>6</v>
      </c>
      <c r="I107" s="7">
        <f t="shared" si="29"/>
        <v>1.2847965738758029</v>
      </c>
      <c r="J107" s="7">
        <v>6</v>
      </c>
      <c r="K107" s="7">
        <f t="shared" si="30"/>
        <v>1.2847965738758029</v>
      </c>
      <c r="L107" s="9">
        <v>357</v>
      </c>
      <c r="M107" s="9">
        <v>333</v>
      </c>
      <c r="N107" s="9">
        <f t="shared" si="31"/>
        <v>690</v>
      </c>
      <c r="O107" s="7">
        <v>467</v>
      </c>
      <c r="P107" s="10">
        <f t="shared" si="35"/>
        <v>67.681159420289859</v>
      </c>
      <c r="Q107" s="7">
        <f>690-293</f>
        <v>397</v>
      </c>
      <c r="R107" s="7">
        <f t="shared" si="36"/>
        <v>57.536231884057976</v>
      </c>
      <c r="S107" s="7">
        <f t="shared" si="32"/>
        <v>109</v>
      </c>
      <c r="T107" s="7">
        <f t="shared" si="37"/>
        <v>27.455919395465994</v>
      </c>
      <c r="U107" s="7">
        <f>467-179</f>
        <v>288</v>
      </c>
      <c r="V107" s="11">
        <f t="shared" si="38"/>
        <v>72.544080604534003</v>
      </c>
      <c r="W107" s="7">
        <v>293</v>
      </c>
      <c r="X107" s="7">
        <f t="shared" si="39"/>
        <v>42.463768115942024</v>
      </c>
      <c r="Y107" s="7">
        <f t="shared" si="47"/>
        <v>114</v>
      </c>
      <c r="Z107" s="12">
        <f t="shared" si="40"/>
        <v>38.907849829351534</v>
      </c>
      <c r="AA107" s="12">
        <v>179</v>
      </c>
      <c r="AB107" s="13">
        <f t="shared" si="41"/>
        <v>61.092150170648466</v>
      </c>
      <c r="AC107" s="12">
        <f t="shared" si="49"/>
        <v>467</v>
      </c>
      <c r="AD107" s="12" t="str">
        <f t="shared" si="42"/>
        <v>AVG</v>
      </c>
      <c r="AE107" s="14" t="str">
        <f t="shared" si="43"/>
        <v>WEAK</v>
      </c>
      <c r="AF107" s="12" t="str">
        <f t="shared" si="44"/>
        <v>VLOW</v>
      </c>
      <c r="AG107" s="12" t="str">
        <f t="shared" si="33"/>
        <v>MEN</v>
      </c>
      <c r="AH107" s="12" t="str">
        <f t="shared" si="45"/>
        <v>O</v>
      </c>
      <c r="AI107" s="15">
        <f>E107-G107</f>
        <v>4.925053533190578</v>
      </c>
      <c r="AJ107" s="16" t="str">
        <f t="shared" si="34"/>
        <v>BJP GAIN</v>
      </c>
      <c r="AK107" s="15" t="str">
        <f t="shared" si="46"/>
        <v>NARROWMARGIN</v>
      </c>
    </row>
    <row r="108" spans="1:37">
      <c r="A108" s="7">
        <v>105</v>
      </c>
      <c r="B108" s="8" t="s">
        <v>239</v>
      </c>
      <c r="C108" s="7">
        <v>574</v>
      </c>
      <c r="D108" s="7">
        <v>52</v>
      </c>
      <c r="E108" s="7">
        <f t="shared" si="27"/>
        <v>9.0592334494773521</v>
      </c>
      <c r="F108" s="7">
        <v>466</v>
      </c>
      <c r="G108" s="7">
        <f t="shared" si="28"/>
        <v>81.184668989547035</v>
      </c>
      <c r="H108" s="7">
        <v>34</v>
      </c>
      <c r="I108" s="7">
        <f t="shared" si="29"/>
        <v>5.9233449477351918</v>
      </c>
      <c r="J108" s="7">
        <v>6</v>
      </c>
      <c r="K108" s="7">
        <f t="shared" si="30"/>
        <v>1.0452961672473868</v>
      </c>
      <c r="L108" s="9">
        <v>471</v>
      </c>
      <c r="M108" s="9">
        <v>455</v>
      </c>
      <c r="N108" s="9">
        <f t="shared" si="31"/>
        <v>926</v>
      </c>
      <c r="O108" s="7">
        <v>574</v>
      </c>
      <c r="P108" s="10">
        <f t="shared" si="35"/>
        <v>61.987041036717059</v>
      </c>
      <c r="Q108" s="7">
        <f>926-861</f>
        <v>65</v>
      </c>
      <c r="R108" s="7">
        <f t="shared" si="36"/>
        <v>7.0194384449244058</v>
      </c>
      <c r="S108" s="7">
        <f t="shared" si="32"/>
        <v>28</v>
      </c>
      <c r="T108" s="7">
        <f t="shared" si="37"/>
        <v>43.07692307692308</v>
      </c>
      <c r="U108" s="7">
        <f>574-537</f>
        <v>37</v>
      </c>
      <c r="V108" s="11">
        <f t="shared" si="38"/>
        <v>56.92307692307692</v>
      </c>
      <c r="W108" s="7">
        <v>861</v>
      </c>
      <c r="X108" s="7">
        <f t="shared" si="39"/>
        <v>92.980561555075596</v>
      </c>
      <c r="Y108" s="7">
        <f t="shared" si="47"/>
        <v>324</v>
      </c>
      <c r="Z108" s="12">
        <f t="shared" si="40"/>
        <v>37.630662020905923</v>
      </c>
      <c r="AA108" s="12">
        <v>537</v>
      </c>
      <c r="AB108" s="13">
        <f t="shared" si="41"/>
        <v>62.369337979094077</v>
      </c>
      <c r="AC108" s="12">
        <f t="shared" si="49"/>
        <v>574</v>
      </c>
      <c r="AD108" s="12" t="str">
        <f t="shared" si="42"/>
        <v>AVG</v>
      </c>
      <c r="AE108" s="14" t="str">
        <f t="shared" si="43"/>
        <v>VLOW</v>
      </c>
      <c r="AF108" s="12" t="str">
        <f t="shared" si="44"/>
        <v>EXCELLENT</v>
      </c>
      <c r="AG108" s="12" t="str">
        <f t="shared" si="33"/>
        <v>MEN</v>
      </c>
      <c r="AH108" s="12" t="str">
        <f t="shared" si="45"/>
        <v>H</v>
      </c>
      <c r="AI108" s="15">
        <f>G108-E108</f>
        <v>72.125435540069688</v>
      </c>
      <c r="AJ108" s="25" t="str">
        <f t="shared" si="34"/>
        <v>CONGRESSGAIN</v>
      </c>
      <c r="AK108" s="14" t="str">
        <f t="shared" si="46"/>
        <v>VERYHIGHMARGIN</v>
      </c>
    </row>
    <row r="109" spans="1:37">
      <c r="A109" s="7">
        <v>106</v>
      </c>
      <c r="B109" s="8" t="s">
        <v>240</v>
      </c>
      <c r="C109" s="7">
        <v>885</v>
      </c>
      <c r="D109" s="7">
        <v>422</v>
      </c>
      <c r="E109" s="7">
        <f t="shared" si="27"/>
        <v>47.683615819209038</v>
      </c>
      <c r="F109" s="7">
        <v>411</v>
      </c>
      <c r="G109" s="7">
        <f t="shared" si="28"/>
        <v>46.440677966101696</v>
      </c>
      <c r="H109" s="7">
        <v>16</v>
      </c>
      <c r="I109" s="7">
        <f t="shared" si="29"/>
        <v>1.807909604519774</v>
      </c>
      <c r="J109" s="7">
        <v>4</v>
      </c>
      <c r="K109" s="7">
        <f t="shared" si="30"/>
        <v>0.4519774011299435</v>
      </c>
      <c r="L109" s="9">
        <v>691</v>
      </c>
      <c r="M109" s="9">
        <v>678</v>
      </c>
      <c r="N109" s="9">
        <f t="shared" si="31"/>
        <v>1369</v>
      </c>
      <c r="O109" s="7">
        <v>885</v>
      </c>
      <c r="P109" s="10">
        <f t="shared" si="35"/>
        <v>64.645726807888977</v>
      </c>
      <c r="Q109" s="7">
        <f>1369-596</f>
        <v>773</v>
      </c>
      <c r="R109" s="7">
        <f t="shared" si="36"/>
        <v>56.464572680788891</v>
      </c>
      <c r="S109" s="7">
        <f t="shared" si="32"/>
        <v>277</v>
      </c>
      <c r="T109" s="7">
        <f t="shared" si="37"/>
        <v>35.834411384217333</v>
      </c>
      <c r="U109" s="7">
        <f>885-389</f>
        <v>496</v>
      </c>
      <c r="V109" s="11">
        <f t="shared" si="38"/>
        <v>64.165588615782667</v>
      </c>
      <c r="W109" s="7">
        <v>596</v>
      </c>
      <c r="X109" s="7">
        <f t="shared" si="39"/>
        <v>43.535427319211109</v>
      </c>
      <c r="Y109" s="17">
        <f t="shared" si="47"/>
        <v>207</v>
      </c>
      <c r="Z109" s="12">
        <f t="shared" si="40"/>
        <v>34.731543624161077</v>
      </c>
      <c r="AA109" s="12">
        <v>389</v>
      </c>
      <c r="AB109" s="13">
        <f t="shared" si="41"/>
        <v>65.268456375838923</v>
      </c>
      <c r="AC109" s="12">
        <f t="shared" si="49"/>
        <v>885</v>
      </c>
      <c r="AD109" s="12" t="str">
        <f t="shared" si="42"/>
        <v>AVG</v>
      </c>
      <c r="AE109" s="14" t="str">
        <f t="shared" si="43"/>
        <v>WEAK</v>
      </c>
      <c r="AF109" s="12" t="str">
        <f t="shared" si="44"/>
        <v>VLOW</v>
      </c>
      <c r="AG109" s="12" t="str">
        <f t="shared" si="33"/>
        <v>MEN</v>
      </c>
      <c r="AH109" s="12" t="str">
        <f t="shared" si="45"/>
        <v>H</v>
      </c>
      <c r="AI109" s="15">
        <f>E109-G109</f>
        <v>1.2429378531073425</v>
      </c>
      <c r="AJ109" s="16" t="str">
        <f t="shared" si="34"/>
        <v>BJP GAIN</v>
      </c>
      <c r="AK109" s="15" t="str">
        <f t="shared" si="46"/>
        <v>NARROWMARGIN</v>
      </c>
    </row>
    <row r="110" spans="1:37">
      <c r="A110" s="7">
        <v>107</v>
      </c>
      <c r="B110" s="8" t="s">
        <v>241</v>
      </c>
      <c r="C110" s="7">
        <v>632</v>
      </c>
      <c r="D110" s="7">
        <v>129</v>
      </c>
      <c r="E110" s="7">
        <f t="shared" si="27"/>
        <v>20.411392405063292</v>
      </c>
      <c r="F110" s="7">
        <v>486</v>
      </c>
      <c r="G110" s="7">
        <f t="shared" si="28"/>
        <v>76.898734177215189</v>
      </c>
      <c r="H110" s="7">
        <v>8</v>
      </c>
      <c r="I110" s="7">
        <f t="shared" si="29"/>
        <v>1.2658227848101267</v>
      </c>
      <c r="J110" s="7">
        <v>5</v>
      </c>
      <c r="K110" s="7">
        <f t="shared" si="30"/>
        <v>0.79113924050632911</v>
      </c>
      <c r="L110" s="9">
        <v>440</v>
      </c>
      <c r="M110" s="9">
        <v>404</v>
      </c>
      <c r="N110" s="9">
        <f t="shared" si="31"/>
        <v>844</v>
      </c>
      <c r="O110" s="7">
        <v>632</v>
      </c>
      <c r="P110" s="10">
        <f t="shared" si="35"/>
        <v>74.881516587677723</v>
      </c>
      <c r="Q110" s="7">
        <f>844-510</f>
        <v>334</v>
      </c>
      <c r="R110" s="7">
        <f t="shared" si="36"/>
        <v>39.573459715639807</v>
      </c>
      <c r="S110" s="21">
        <f t="shared" si="32"/>
        <v>212</v>
      </c>
      <c r="T110" s="7">
        <f t="shared" si="37"/>
        <v>63.473053892215567</v>
      </c>
      <c r="U110" s="7">
        <f>632-510</f>
        <v>122</v>
      </c>
      <c r="V110" s="11">
        <f t="shared" si="38"/>
        <v>36.526946107784433</v>
      </c>
      <c r="W110" s="7">
        <v>705</v>
      </c>
      <c r="X110" s="7">
        <f t="shared" si="39"/>
        <v>60.426540284360193</v>
      </c>
      <c r="Y110" s="7">
        <f t="shared" si="47"/>
        <v>195</v>
      </c>
      <c r="Z110" s="12">
        <f t="shared" si="40"/>
        <v>27.659574468085108</v>
      </c>
      <c r="AA110" s="12">
        <v>510</v>
      </c>
      <c r="AB110" s="13">
        <f t="shared" si="41"/>
        <v>72.340425531914903</v>
      </c>
      <c r="AC110" s="12">
        <f t="shared" si="49"/>
        <v>632</v>
      </c>
      <c r="AD110" s="12" t="str">
        <f t="shared" si="42"/>
        <v>STRONG</v>
      </c>
      <c r="AE110" s="14" t="str">
        <f t="shared" si="43"/>
        <v>VLOW</v>
      </c>
      <c r="AF110" s="12" t="str">
        <f t="shared" si="44"/>
        <v>AVG</v>
      </c>
      <c r="AG110" s="12" t="str">
        <f t="shared" si="33"/>
        <v>MEN</v>
      </c>
      <c r="AH110" s="12" t="str">
        <f t="shared" si="45"/>
        <v>H</v>
      </c>
      <c r="AI110" s="15">
        <f>G110-E110</f>
        <v>56.487341772151893</v>
      </c>
      <c r="AJ110" s="25" t="str">
        <f t="shared" si="34"/>
        <v>CONGRESSGAIN</v>
      </c>
      <c r="AK110" s="14" t="str">
        <f t="shared" si="46"/>
        <v>VERYHIGHMARGIN</v>
      </c>
    </row>
    <row r="111" spans="1:37">
      <c r="A111" s="7">
        <v>108</v>
      </c>
      <c r="B111" s="8" t="s">
        <v>242</v>
      </c>
      <c r="C111" s="7">
        <v>713</v>
      </c>
      <c r="D111" s="7">
        <v>37</v>
      </c>
      <c r="E111" s="7">
        <f t="shared" si="27"/>
        <v>5.1893408134642351</v>
      </c>
      <c r="F111" s="7">
        <v>648</v>
      </c>
      <c r="G111" s="7">
        <f t="shared" si="28"/>
        <v>90.883590462833098</v>
      </c>
      <c r="H111" s="7">
        <v>9</v>
      </c>
      <c r="I111" s="7">
        <f t="shared" si="29"/>
        <v>1.2622720897615709</v>
      </c>
      <c r="J111" s="7">
        <v>9</v>
      </c>
      <c r="K111" s="7">
        <f t="shared" si="30"/>
        <v>1.2622720897615709</v>
      </c>
      <c r="L111" s="9">
        <v>572</v>
      </c>
      <c r="M111" s="9">
        <v>556</v>
      </c>
      <c r="N111" s="9">
        <f t="shared" si="31"/>
        <v>1128</v>
      </c>
      <c r="O111" s="7">
        <v>713</v>
      </c>
      <c r="P111" s="10">
        <f t="shared" si="35"/>
        <v>63.209219858156033</v>
      </c>
      <c r="Q111" s="7">
        <f>1128-1105</f>
        <v>23</v>
      </c>
      <c r="R111" s="7">
        <f t="shared" si="36"/>
        <v>2.0390070921985819</v>
      </c>
      <c r="S111" s="7">
        <f t="shared" si="32"/>
        <v>8</v>
      </c>
      <c r="T111" s="7">
        <f t="shared" si="37"/>
        <v>34.782608695652172</v>
      </c>
      <c r="U111" s="7">
        <f>713-698</f>
        <v>15</v>
      </c>
      <c r="V111" s="11">
        <f t="shared" si="38"/>
        <v>65.217391304347828</v>
      </c>
      <c r="W111" s="7">
        <v>1105</v>
      </c>
      <c r="X111" s="7">
        <f t="shared" si="39"/>
        <v>97.960992907801412</v>
      </c>
      <c r="Y111" s="7">
        <f t="shared" si="47"/>
        <v>407</v>
      </c>
      <c r="Z111" s="12">
        <f t="shared" si="40"/>
        <v>36.832579185520366</v>
      </c>
      <c r="AA111" s="12">
        <v>698</v>
      </c>
      <c r="AB111" s="13">
        <f t="shared" si="41"/>
        <v>63.167420814479634</v>
      </c>
      <c r="AC111" s="12">
        <f t="shared" si="49"/>
        <v>713</v>
      </c>
      <c r="AD111" s="12" t="str">
        <f t="shared" si="42"/>
        <v>AVG</v>
      </c>
      <c r="AE111" s="14" t="str">
        <f t="shared" si="43"/>
        <v>VLOW</v>
      </c>
      <c r="AF111" s="12" t="str">
        <f t="shared" si="44"/>
        <v>EXCELLENT</v>
      </c>
      <c r="AG111" s="12" t="str">
        <f t="shared" si="33"/>
        <v>MEN</v>
      </c>
      <c r="AH111" s="12" t="str">
        <f t="shared" si="45"/>
        <v>O</v>
      </c>
      <c r="AI111" s="15">
        <f>G111-E111</f>
        <v>85.694249649368857</v>
      </c>
      <c r="AJ111" s="25" t="str">
        <f t="shared" si="34"/>
        <v>CONGRESSGAIN</v>
      </c>
      <c r="AK111" s="14" t="str">
        <f t="shared" si="46"/>
        <v>VERYHIGHMARGIN</v>
      </c>
    </row>
    <row r="112" spans="1:37">
      <c r="A112" s="7">
        <v>109</v>
      </c>
      <c r="B112" s="8" t="s">
        <v>243</v>
      </c>
      <c r="C112" s="7">
        <v>430</v>
      </c>
      <c r="D112" s="7">
        <v>238</v>
      </c>
      <c r="E112" s="7">
        <f t="shared" si="27"/>
        <v>55.348837209302324</v>
      </c>
      <c r="F112" s="7">
        <v>185</v>
      </c>
      <c r="G112" s="7">
        <f t="shared" si="28"/>
        <v>43.02325581395349</v>
      </c>
      <c r="H112" s="7">
        <v>2</v>
      </c>
      <c r="I112" s="7">
        <f t="shared" si="29"/>
        <v>0.46511627906976744</v>
      </c>
      <c r="J112" s="7">
        <v>1</v>
      </c>
      <c r="K112" s="7">
        <f t="shared" si="30"/>
        <v>0.23255813953488372</v>
      </c>
      <c r="L112" s="9">
        <v>379</v>
      </c>
      <c r="M112" s="9">
        <v>347</v>
      </c>
      <c r="N112" s="9">
        <f t="shared" si="31"/>
        <v>726</v>
      </c>
      <c r="O112" s="7">
        <v>430</v>
      </c>
      <c r="P112" s="10">
        <f t="shared" si="35"/>
        <v>59.228650137741049</v>
      </c>
      <c r="Q112" s="7">
        <v>448</v>
      </c>
      <c r="R112" s="7">
        <f t="shared" si="36"/>
        <v>61.707988980716252</v>
      </c>
      <c r="S112" s="7">
        <f t="shared" si="32"/>
        <v>195</v>
      </c>
      <c r="T112" s="7">
        <f t="shared" si="37"/>
        <v>43.526785714285715</v>
      </c>
      <c r="U112" s="7">
        <v>253</v>
      </c>
      <c r="V112" s="11">
        <f t="shared" si="38"/>
        <v>56.473214285714292</v>
      </c>
      <c r="W112" s="7">
        <f>726-448</f>
        <v>278</v>
      </c>
      <c r="X112" s="7">
        <f t="shared" si="39"/>
        <v>38.292011019283748</v>
      </c>
      <c r="Y112" s="17">
        <f t="shared" si="47"/>
        <v>101</v>
      </c>
      <c r="Z112" s="12">
        <f t="shared" si="40"/>
        <v>36.330935251798564</v>
      </c>
      <c r="AA112" s="12">
        <v>177</v>
      </c>
      <c r="AB112" s="13">
        <f t="shared" si="41"/>
        <v>63.669064748201443</v>
      </c>
      <c r="AC112" s="12">
        <f t="shared" si="49"/>
        <v>430</v>
      </c>
      <c r="AD112" s="12" t="str">
        <f t="shared" si="42"/>
        <v>WEAK</v>
      </c>
      <c r="AE112" s="14" t="str">
        <f t="shared" si="43"/>
        <v>AVG</v>
      </c>
      <c r="AF112" s="12" t="str">
        <f t="shared" si="44"/>
        <v>VLOW</v>
      </c>
      <c r="AG112" s="12" t="str">
        <f t="shared" si="33"/>
        <v>MEN</v>
      </c>
      <c r="AH112" s="12" t="str">
        <f t="shared" si="45"/>
        <v>H</v>
      </c>
      <c r="AI112" s="15">
        <f t="shared" ref="AI112:AI117" si="51">E112-G112</f>
        <v>12.325581395348834</v>
      </c>
      <c r="AJ112" s="16" t="str">
        <f t="shared" si="34"/>
        <v>BJP GAIN</v>
      </c>
      <c r="AK112" s="15" t="str">
        <f t="shared" si="46"/>
        <v>LOWMARGIN</v>
      </c>
    </row>
    <row r="113" spans="1:37">
      <c r="A113" s="21">
        <v>110</v>
      </c>
      <c r="B113" s="8" t="s">
        <v>244</v>
      </c>
      <c r="C113" s="21">
        <v>696</v>
      </c>
      <c r="D113" s="21">
        <v>562</v>
      </c>
      <c r="E113" s="7">
        <f t="shared" si="27"/>
        <v>80.747126436781613</v>
      </c>
      <c r="F113" s="21">
        <v>106</v>
      </c>
      <c r="G113" s="7">
        <f t="shared" si="28"/>
        <v>15.229885057471265</v>
      </c>
      <c r="H113" s="21">
        <v>2</v>
      </c>
      <c r="I113" s="7">
        <f t="shared" si="29"/>
        <v>0.28735632183908044</v>
      </c>
      <c r="J113" s="21">
        <v>3</v>
      </c>
      <c r="K113" s="7">
        <f t="shared" si="30"/>
        <v>0.43103448275862066</v>
      </c>
      <c r="L113" s="9">
        <v>509</v>
      </c>
      <c r="M113" s="9">
        <v>469</v>
      </c>
      <c r="N113" s="9">
        <f t="shared" si="31"/>
        <v>978</v>
      </c>
      <c r="O113" s="7">
        <v>696</v>
      </c>
      <c r="P113" s="10">
        <f t="shared" si="35"/>
        <v>71.165644171779135</v>
      </c>
      <c r="Q113" s="7">
        <v>900</v>
      </c>
      <c r="R113" s="7">
        <f t="shared" si="36"/>
        <v>92.024539877300612</v>
      </c>
      <c r="S113" s="7">
        <f t="shared" si="32"/>
        <v>258</v>
      </c>
      <c r="T113" s="7">
        <f t="shared" si="37"/>
        <v>28.666666666666668</v>
      </c>
      <c r="U113" s="7">
        <v>642</v>
      </c>
      <c r="V113" s="11">
        <f t="shared" si="38"/>
        <v>71.333333333333343</v>
      </c>
      <c r="W113" s="7">
        <f>78</f>
        <v>78</v>
      </c>
      <c r="X113" s="7">
        <f t="shared" si="39"/>
        <v>7.9754601226993884</v>
      </c>
      <c r="Y113" s="7">
        <f t="shared" si="47"/>
        <v>24</v>
      </c>
      <c r="Z113" s="12">
        <f t="shared" si="40"/>
        <v>30.76923076923077</v>
      </c>
      <c r="AA113" s="12">
        <v>54</v>
      </c>
      <c r="AB113" s="13">
        <f t="shared" si="41"/>
        <v>69.230769230769226</v>
      </c>
      <c r="AC113" s="12">
        <f t="shared" si="49"/>
        <v>696</v>
      </c>
      <c r="AD113" s="12" t="str">
        <f t="shared" si="42"/>
        <v>STRONG</v>
      </c>
      <c r="AE113" s="14" t="str">
        <f t="shared" si="43"/>
        <v>EXCELLENT</v>
      </c>
      <c r="AF113" s="12" t="str">
        <f t="shared" si="44"/>
        <v>VLOW</v>
      </c>
      <c r="AG113" s="12" t="str">
        <f t="shared" si="33"/>
        <v>MEN</v>
      </c>
      <c r="AH113" s="12" t="str">
        <f t="shared" si="45"/>
        <v>O</v>
      </c>
      <c r="AI113" s="15">
        <f t="shared" si="51"/>
        <v>65.517241379310349</v>
      </c>
      <c r="AJ113" s="16" t="str">
        <f t="shared" si="34"/>
        <v>BJP GAIN</v>
      </c>
      <c r="AK113" s="14" t="str">
        <f t="shared" si="46"/>
        <v>VERYHIGHMARGIN</v>
      </c>
    </row>
    <row r="114" spans="1:37">
      <c r="A114" s="7">
        <v>111</v>
      </c>
      <c r="B114" s="8" t="s">
        <v>245</v>
      </c>
      <c r="C114" s="7">
        <v>614</v>
      </c>
      <c r="D114" s="7">
        <v>488</v>
      </c>
      <c r="E114" s="7">
        <f t="shared" si="27"/>
        <v>79.478827361563518</v>
      </c>
      <c r="F114" s="7">
        <v>99</v>
      </c>
      <c r="G114" s="7">
        <f t="shared" si="28"/>
        <v>16.123778501628664</v>
      </c>
      <c r="H114" s="7">
        <v>1</v>
      </c>
      <c r="I114" s="7">
        <f t="shared" si="29"/>
        <v>0.16286644951140067</v>
      </c>
      <c r="J114" s="7">
        <v>1</v>
      </c>
      <c r="K114" s="7">
        <f t="shared" si="30"/>
        <v>0.16286644951140067</v>
      </c>
      <c r="L114" s="9">
        <v>424</v>
      </c>
      <c r="M114" s="9">
        <v>447</v>
      </c>
      <c r="N114" s="9">
        <f t="shared" si="31"/>
        <v>871</v>
      </c>
      <c r="O114" s="7">
        <v>614</v>
      </c>
      <c r="P114" s="10">
        <f t="shared" si="35"/>
        <v>70.493685419058551</v>
      </c>
      <c r="Q114" s="7">
        <v>859</v>
      </c>
      <c r="R114" s="7">
        <f t="shared" si="36"/>
        <v>98.622273249138928</v>
      </c>
      <c r="S114" s="21">
        <f t="shared" si="32"/>
        <v>253</v>
      </c>
      <c r="T114" s="7">
        <f t="shared" si="37"/>
        <v>29.452852153667052</v>
      </c>
      <c r="U114" s="7">
        <v>606</v>
      </c>
      <c r="V114" s="11">
        <f t="shared" si="38"/>
        <v>70.547147846332948</v>
      </c>
      <c r="W114" s="7">
        <f>871-859</f>
        <v>12</v>
      </c>
      <c r="X114" s="7">
        <f t="shared" si="39"/>
        <v>1.377726750861072</v>
      </c>
      <c r="Y114" s="7">
        <f t="shared" si="47"/>
        <v>4</v>
      </c>
      <c r="Z114" s="12">
        <f t="shared" si="40"/>
        <v>33.333333333333329</v>
      </c>
      <c r="AA114" s="12">
        <v>8</v>
      </c>
      <c r="AB114" s="13">
        <f t="shared" si="41"/>
        <v>66.666666666666657</v>
      </c>
      <c r="AC114" s="12">
        <f t="shared" si="49"/>
        <v>614</v>
      </c>
      <c r="AD114" s="12" t="str">
        <f t="shared" si="42"/>
        <v>STRONG</v>
      </c>
      <c r="AE114" s="14" t="str">
        <f t="shared" si="43"/>
        <v>EXCELLENT</v>
      </c>
      <c r="AF114" s="12" t="str">
        <f t="shared" si="44"/>
        <v>VLOW</v>
      </c>
      <c r="AG114" s="12" t="str">
        <f t="shared" si="33"/>
        <v>FEMALE DOM</v>
      </c>
      <c r="AH114" s="12" t="str">
        <f t="shared" si="45"/>
        <v>O</v>
      </c>
      <c r="AI114" s="15">
        <f t="shared" si="51"/>
        <v>63.355048859934854</v>
      </c>
      <c r="AJ114" s="16" t="str">
        <f t="shared" si="34"/>
        <v>BJP GAIN</v>
      </c>
      <c r="AK114" s="14" t="str">
        <f t="shared" si="46"/>
        <v>VERYHIGHMARGIN</v>
      </c>
    </row>
    <row r="115" spans="1:37">
      <c r="A115" s="7">
        <v>112</v>
      </c>
      <c r="B115" s="8" t="s">
        <v>246</v>
      </c>
      <c r="C115" s="7">
        <v>906</v>
      </c>
      <c r="D115" s="7">
        <v>708</v>
      </c>
      <c r="E115" s="7">
        <f t="shared" si="27"/>
        <v>78.145695364238406</v>
      </c>
      <c r="F115" s="7">
        <v>146</v>
      </c>
      <c r="G115" s="7">
        <f t="shared" si="28"/>
        <v>16.114790286975715</v>
      </c>
      <c r="H115" s="7">
        <v>2</v>
      </c>
      <c r="I115" s="7">
        <f t="shared" si="29"/>
        <v>0.22075055187637968</v>
      </c>
      <c r="J115" s="7">
        <v>3</v>
      </c>
      <c r="K115" s="7">
        <f t="shared" si="30"/>
        <v>0.33112582781456956</v>
      </c>
      <c r="L115" s="9">
        <v>680</v>
      </c>
      <c r="M115" s="9">
        <v>680</v>
      </c>
      <c r="N115" s="9">
        <f t="shared" si="31"/>
        <v>1360</v>
      </c>
      <c r="O115" s="7">
        <v>906</v>
      </c>
      <c r="P115" s="10">
        <f t="shared" si="35"/>
        <v>66.617647058823522</v>
      </c>
      <c r="Q115" s="7">
        <v>1313</v>
      </c>
      <c r="R115" s="7">
        <f t="shared" si="36"/>
        <v>96.544117647058826</v>
      </c>
      <c r="S115" s="7">
        <f t="shared" si="32"/>
        <v>420</v>
      </c>
      <c r="T115" s="7">
        <f t="shared" si="37"/>
        <v>31.987814166031985</v>
      </c>
      <c r="U115" s="7">
        <v>893</v>
      </c>
      <c r="V115" s="11">
        <f t="shared" si="38"/>
        <v>68.012185833968005</v>
      </c>
      <c r="W115" s="7">
        <v>47</v>
      </c>
      <c r="X115" s="7">
        <f t="shared" si="39"/>
        <v>3.455882352941174</v>
      </c>
      <c r="Y115" s="17">
        <f t="shared" si="47"/>
        <v>34</v>
      </c>
      <c r="Z115" s="12">
        <f t="shared" si="40"/>
        <v>72.340425531914903</v>
      </c>
      <c r="AA115" s="12">
        <f>906-893</f>
        <v>13</v>
      </c>
      <c r="AB115" s="13">
        <f t="shared" si="41"/>
        <v>27.659574468085108</v>
      </c>
      <c r="AC115" s="12">
        <f t="shared" si="49"/>
        <v>906</v>
      </c>
      <c r="AD115" s="12" t="str">
        <f t="shared" si="42"/>
        <v>AVG</v>
      </c>
      <c r="AE115" s="14" t="str">
        <f t="shared" si="43"/>
        <v>EXCELLENT</v>
      </c>
      <c r="AF115" s="12" t="str">
        <f t="shared" si="44"/>
        <v>VLOW</v>
      </c>
      <c r="AG115" s="12" t="str">
        <f t="shared" si="33"/>
        <v>MEN</v>
      </c>
      <c r="AH115" s="12" t="str">
        <f t="shared" si="45"/>
        <v>O</v>
      </c>
      <c r="AI115" s="15">
        <f t="shared" si="51"/>
        <v>62.030905077262688</v>
      </c>
      <c r="AJ115" s="16" t="str">
        <f t="shared" si="34"/>
        <v>BJP GAIN</v>
      </c>
      <c r="AK115" s="14" t="str">
        <f t="shared" si="46"/>
        <v>VERYHIGHMARGIN</v>
      </c>
    </row>
    <row r="116" spans="1:37">
      <c r="A116" s="7">
        <v>113</v>
      </c>
      <c r="B116" s="8" t="s">
        <v>247</v>
      </c>
      <c r="C116" s="7">
        <v>674</v>
      </c>
      <c r="D116" s="7">
        <v>561</v>
      </c>
      <c r="E116" s="7">
        <f t="shared" si="27"/>
        <v>83.234421364985167</v>
      </c>
      <c r="F116" s="7">
        <v>93</v>
      </c>
      <c r="G116" s="7">
        <f t="shared" si="28"/>
        <v>13.798219584569733</v>
      </c>
      <c r="H116" s="7">
        <v>0</v>
      </c>
      <c r="I116" s="7">
        <f t="shared" si="29"/>
        <v>0</v>
      </c>
      <c r="J116" s="7">
        <v>3</v>
      </c>
      <c r="K116" s="7">
        <f t="shared" si="30"/>
        <v>0.44510385756676557</v>
      </c>
      <c r="L116" s="9">
        <v>474</v>
      </c>
      <c r="M116" s="9">
        <v>451</v>
      </c>
      <c r="N116" s="9">
        <f t="shared" si="31"/>
        <v>925</v>
      </c>
      <c r="O116" s="7">
        <v>674</v>
      </c>
      <c r="P116" s="10">
        <f t="shared" si="35"/>
        <v>72.86486486486487</v>
      </c>
      <c r="Q116" s="7">
        <v>919</v>
      </c>
      <c r="R116" s="7">
        <f t="shared" si="36"/>
        <v>99.35135135135134</v>
      </c>
      <c r="S116" s="7">
        <f t="shared" si="32"/>
        <v>246</v>
      </c>
      <c r="T116" s="7">
        <f t="shared" si="37"/>
        <v>26.768226332970617</v>
      </c>
      <c r="U116" s="7">
        <v>673</v>
      </c>
      <c r="V116" s="11">
        <f t="shared" si="38"/>
        <v>73.231773667029373</v>
      </c>
      <c r="W116" s="7">
        <v>6</v>
      </c>
      <c r="X116" s="7">
        <f t="shared" si="39"/>
        <v>0.64864864864865979</v>
      </c>
      <c r="Y116" s="7">
        <f t="shared" si="47"/>
        <v>5</v>
      </c>
      <c r="Z116" s="12">
        <f t="shared" si="40"/>
        <v>83.333333333333343</v>
      </c>
      <c r="AA116" s="12">
        <v>1</v>
      </c>
      <c r="AB116" s="13">
        <f t="shared" si="41"/>
        <v>16.666666666666664</v>
      </c>
      <c r="AC116" s="12">
        <f t="shared" si="49"/>
        <v>674</v>
      </c>
      <c r="AD116" s="12" t="str">
        <f t="shared" si="42"/>
        <v>STRONG</v>
      </c>
      <c r="AE116" s="14" t="str">
        <f t="shared" si="43"/>
        <v>EXCELLENT</v>
      </c>
      <c r="AF116" s="12" t="str">
        <f t="shared" si="44"/>
        <v>VLOW</v>
      </c>
      <c r="AG116" s="12" t="str">
        <f t="shared" si="33"/>
        <v>MEN</v>
      </c>
      <c r="AH116" s="12" t="str">
        <f t="shared" si="45"/>
        <v>O</v>
      </c>
      <c r="AI116" s="15">
        <f t="shared" si="51"/>
        <v>69.436201780415431</v>
      </c>
      <c r="AJ116" s="16" t="str">
        <f t="shared" si="34"/>
        <v>BJP GAIN</v>
      </c>
      <c r="AK116" s="14" t="str">
        <f t="shared" si="46"/>
        <v>VERYHIGHMARGIN</v>
      </c>
    </row>
    <row r="117" spans="1:37">
      <c r="A117" s="7">
        <v>114</v>
      </c>
      <c r="B117" s="8" t="s">
        <v>248</v>
      </c>
      <c r="C117" s="7">
        <v>547</v>
      </c>
      <c r="D117" s="7">
        <v>311</v>
      </c>
      <c r="E117" s="7">
        <f t="shared" si="27"/>
        <v>56.855575868372945</v>
      </c>
      <c r="F117" s="7">
        <v>226</v>
      </c>
      <c r="G117" s="7">
        <f t="shared" si="28"/>
        <v>41.316270566727603</v>
      </c>
      <c r="H117" s="7">
        <v>3</v>
      </c>
      <c r="I117" s="7">
        <f t="shared" si="29"/>
        <v>0.54844606946983543</v>
      </c>
      <c r="J117" s="7">
        <v>3</v>
      </c>
      <c r="K117" s="7">
        <f t="shared" si="30"/>
        <v>0.54844606946983543</v>
      </c>
      <c r="L117" s="9">
        <v>512</v>
      </c>
      <c r="M117" s="9">
        <v>501</v>
      </c>
      <c r="N117" s="9">
        <f t="shared" si="31"/>
        <v>1013</v>
      </c>
      <c r="O117" s="7">
        <v>547</v>
      </c>
      <c r="P117" s="10">
        <f t="shared" si="35"/>
        <v>53.998025666337611</v>
      </c>
      <c r="Q117" s="7">
        <v>673</v>
      </c>
      <c r="R117" s="7">
        <f t="shared" si="36"/>
        <v>66.436327739387963</v>
      </c>
      <c r="S117" s="7">
        <f t="shared" si="32"/>
        <v>313</v>
      </c>
      <c r="T117" s="7">
        <f t="shared" si="37"/>
        <v>46.508172362555719</v>
      </c>
      <c r="U117" s="7">
        <v>360</v>
      </c>
      <c r="V117" s="11">
        <f t="shared" si="38"/>
        <v>53.491827637444281</v>
      </c>
      <c r="W117" s="7">
        <f>102+238</f>
        <v>340</v>
      </c>
      <c r="X117" s="7">
        <f t="shared" si="39"/>
        <v>33.563672260612037</v>
      </c>
      <c r="Y117" s="7">
        <f t="shared" si="47"/>
        <v>153</v>
      </c>
      <c r="Z117" s="12">
        <f t="shared" si="40"/>
        <v>45</v>
      </c>
      <c r="AA117" s="12">
        <v>187</v>
      </c>
      <c r="AB117" s="13">
        <f t="shared" si="41"/>
        <v>55.000000000000007</v>
      </c>
      <c r="AC117" s="12">
        <f t="shared" si="49"/>
        <v>547</v>
      </c>
      <c r="AD117" s="12" t="str">
        <f t="shared" si="42"/>
        <v>WEAK</v>
      </c>
      <c r="AE117" s="14" t="str">
        <f t="shared" si="43"/>
        <v>AVG</v>
      </c>
      <c r="AF117" s="12" t="str">
        <f t="shared" si="44"/>
        <v>VLOW</v>
      </c>
      <c r="AG117" s="12" t="str">
        <f t="shared" si="33"/>
        <v>MEN</v>
      </c>
      <c r="AH117" s="12" t="str">
        <f t="shared" si="45"/>
        <v>H</v>
      </c>
      <c r="AI117" s="15">
        <f t="shared" si="51"/>
        <v>15.539305301645342</v>
      </c>
      <c r="AJ117" s="16" t="str">
        <f t="shared" si="34"/>
        <v>BJP GAIN</v>
      </c>
      <c r="AK117" s="15" t="str">
        <f t="shared" si="46"/>
        <v>LOWMARGIN</v>
      </c>
    </row>
    <row r="118" spans="1:37">
      <c r="A118" s="7">
        <v>115</v>
      </c>
      <c r="B118" s="8" t="s">
        <v>249</v>
      </c>
      <c r="C118" s="7">
        <v>623</v>
      </c>
      <c r="D118" s="7">
        <v>226</v>
      </c>
      <c r="E118" s="7">
        <f t="shared" si="27"/>
        <v>36.276083467094708</v>
      </c>
      <c r="F118" s="7">
        <v>389</v>
      </c>
      <c r="G118" s="7">
        <f t="shared" si="28"/>
        <v>62.43980738362761</v>
      </c>
      <c r="H118" s="7">
        <v>2</v>
      </c>
      <c r="I118" s="7">
        <f t="shared" si="29"/>
        <v>0.32102728731942215</v>
      </c>
      <c r="J118" s="7">
        <v>4</v>
      </c>
      <c r="K118" s="7">
        <f t="shared" si="30"/>
        <v>0.6420545746388443</v>
      </c>
      <c r="L118" s="9">
        <v>602</v>
      </c>
      <c r="M118" s="9">
        <v>634</v>
      </c>
      <c r="N118" s="9">
        <f t="shared" si="31"/>
        <v>1236</v>
      </c>
      <c r="O118" s="7">
        <v>623</v>
      </c>
      <c r="P118" s="10">
        <f t="shared" si="35"/>
        <v>50.404530744336576</v>
      </c>
      <c r="Q118" s="7">
        <v>525</v>
      </c>
      <c r="R118" s="7">
        <f t="shared" si="36"/>
        <v>42.475728155339802</v>
      </c>
      <c r="S118" s="21">
        <f t="shared" si="32"/>
        <v>252</v>
      </c>
      <c r="T118" s="7">
        <f t="shared" si="37"/>
        <v>48</v>
      </c>
      <c r="U118" s="7">
        <v>273</v>
      </c>
      <c r="V118" s="11">
        <f t="shared" si="38"/>
        <v>52</v>
      </c>
      <c r="W118" s="7">
        <v>677</v>
      </c>
      <c r="X118" s="7">
        <f t="shared" si="39"/>
        <v>57.524271844660198</v>
      </c>
      <c r="Y118" s="17">
        <f t="shared" si="47"/>
        <v>327</v>
      </c>
      <c r="Z118" s="12">
        <f t="shared" si="40"/>
        <v>48.301329394386997</v>
      </c>
      <c r="AA118" s="12">
        <v>350</v>
      </c>
      <c r="AB118" s="13">
        <f t="shared" si="41"/>
        <v>51.698670605612996</v>
      </c>
      <c r="AC118" s="12">
        <f t="shared" si="49"/>
        <v>623</v>
      </c>
      <c r="AD118" s="12" t="str">
        <f t="shared" si="42"/>
        <v>WEAK</v>
      </c>
      <c r="AE118" s="14" t="str">
        <f t="shared" si="43"/>
        <v>VLOW</v>
      </c>
      <c r="AF118" s="12" t="str">
        <f t="shared" si="44"/>
        <v>WEAK</v>
      </c>
      <c r="AG118" s="12" t="str">
        <f t="shared" si="33"/>
        <v>FEMALE DOM</v>
      </c>
      <c r="AH118" s="12" t="str">
        <f t="shared" si="45"/>
        <v>O</v>
      </c>
      <c r="AI118" s="15">
        <f t="shared" ref="AI118:AI127" si="52">G118-E118</f>
        <v>26.163723916532902</v>
      </c>
      <c r="AJ118" s="25" t="str">
        <f t="shared" si="34"/>
        <v>CONGRESSGAIN</v>
      </c>
      <c r="AK118" s="15" t="str">
        <f t="shared" si="46"/>
        <v>LOWMARGIN</v>
      </c>
    </row>
    <row r="119" spans="1:37">
      <c r="A119" s="7">
        <v>116</v>
      </c>
      <c r="B119" s="8" t="s">
        <v>250</v>
      </c>
      <c r="C119" s="7">
        <v>536</v>
      </c>
      <c r="D119" s="7">
        <v>261</v>
      </c>
      <c r="E119" s="7">
        <f t="shared" si="27"/>
        <v>48.694029850746269</v>
      </c>
      <c r="F119" s="7">
        <v>265</v>
      </c>
      <c r="G119" s="7">
        <f t="shared" si="28"/>
        <v>49.440298507462686</v>
      </c>
      <c r="H119" s="7">
        <v>2</v>
      </c>
      <c r="I119" s="7">
        <f t="shared" si="29"/>
        <v>0.37313432835820892</v>
      </c>
      <c r="J119" s="7">
        <v>0</v>
      </c>
      <c r="K119" s="7">
        <f t="shared" si="30"/>
        <v>0</v>
      </c>
      <c r="L119" s="9">
        <v>494</v>
      </c>
      <c r="M119" s="9">
        <v>522</v>
      </c>
      <c r="N119" s="9">
        <f t="shared" si="31"/>
        <v>1016</v>
      </c>
      <c r="O119" s="7">
        <v>536</v>
      </c>
      <c r="P119" s="10">
        <f t="shared" si="35"/>
        <v>52.755905511811022</v>
      </c>
      <c r="Q119" s="7"/>
      <c r="R119" s="7">
        <f t="shared" si="36"/>
        <v>0</v>
      </c>
      <c r="S119" s="7">
        <f t="shared" si="32"/>
        <v>0</v>
      </c>
      <c r="T119" s="7" t="e">
        <f t="shared" si="37"/>
        <v>#DIV/0!</v>
      </c>
      <c r="U119" s="7"/>
      <c r="V119" s="11">
        <f t="shared" si="38"/>
        <v>0</v>
      </c>
      <c r="W119" s="7"/>
      <c r="X119" s="7">
        <f t="shared" si="39"/>
        <v>100</v>
      </c>
      <c r="Y119" s="7">
        <f t="shared" si="47"/>
        <v>0</v>
      </c>
      <c r="Z119" s="12" t="e">
        <f t="shared" si="40"/>
        <v>#DIV/0!</v>
      </c>
      <c r="AA119" s="12"/>
      <c r="AB119" s="13">
        <f t="shared" si="41"/>
        <v>0</v>
      </c>
      <c r="AC119" s="12">
        <f t="shared" si="49"/>
        <v>0</v>
      </c>
      <c r="AD119" s="12" t="str">
        <f t="shared" si="42"/>
        <v>WEAK</v>
      </c>
      <c r="AE119" s="14" t="str">
        <f t="shared" si="43"/>
        <v>VLOW</v>
      </c>
      <c r="AF119" s="12" t="str">
        <f t="shared" si="44"/>
        <v>EXCELLENT</v>
      </c>
      <c r="AG119" s="12" t="str">
        <f t="shared" si="33"/>
        <v>FEMALE DOM</v>
      </c>
      <c r="AH119" s="12" t="e">
        <f t="shared" si="45"/>
        <v>#DIV/0!</v>
      </c>
      <c r="AI119" s="15">
        <f t="shared" si="52"/>
        <v>0.74626865671641696</v>
      </c>
      <c r="AJ119" s="25" t="str">
        <f t="shared" si="34"/>
        <v>CONGRESSGAIN</v>
      </c>
      <c r="AK119" s="34" t="str">
        <f>IF(AI119&gt;=50,"VERYHIGHMARGIN",IF(AI119&gt;=40,"HIGHMARGIN",IF(AI119&gt;=30,"MEDIUMMARGIN",IF(AI119&gt;10,"LOWMARGIN",IF(AI119&lt;1,"NARROWMARGIN")))))</f>
        <v>NARROWMARGIN</v>
      </c>
    </row>
    <row r="120" spans="1:37">
      <c r="A120" s="7">
        <v>117</v>
      </c>
      <c r="B120" s="8" t="s">
        <v>251</v>
      </c>
      <c r="C120" s="7">
        <v>634</v>
      </c>
      <c r="D120" s="7">
        <v>291</v>
      </c>
      <c r="E120" s="7">
        <f t="shared" si="27"/>
        <v>45.899053627760253</v>
      </c>
      <c r="F120" s="7">
        <v>318</v>
      </c>
      <c r="G120" s="7">
        <f t="shared" si="28"/>
        <v>50.157728706624603</v>
      </c>
      <c r="H120" s="7">
        <v>5</v>
      </c>
      <c r="I120" s="7">
        <f t="shared" si="29"/>
        <v>0.78864353312302837</v>
      </c>
      <c r="J120" s="7">
        <v>6</v>
      </c>
      <c r="K120" s="7">
        <f t="shared" si="30"/>
        <v>0.94637223974763407</v>
      </c>
      <c r="L120" s="9">
        <v>496</v>
      </c>
      <c r="M120" s="9">
        <v>549</v>
      </c>
      <c r="N120" s="9">
        <f t="shared" si="31"/>
        <v>1045</v>
      </c>
      <c r="O120" s="7">
        <v>634</v>
      </c>
      <c r="P120" s="10">
        <f t="shared" si="35"/>
        <v>60.669856459330141</v>
      </c>
      <c r="Q120" s="7">
        <v>531</v>
      </c>
      <c r="R120" s="7">
        <f t="shared" si="36"/>
        <v>50.813397129186598</v>
      </c>
      <c r="S120" s="7">
        <f t="shared" si="32"/>
        <v>148</v>
      </c>
      <c r="T120" s="7">
        <f t="shared" si="37"/>
        <v>27.871939736346519</v>
      </c>
      <c r="U120" s="7">
        <v>383</v>
      </c>
      <c r="V120" s="11">
        <f t="shared" si="38"/>
        <v>72.128060263653481</v>
      </c>
      <c r="W120" s="7">
        <v>438</v>
      </c>
      <c r="X120" s="7">
        <f t="shared" si="39"/>
        <v>49.186602870813402</v>
      </c>
      <c r="Y120" s="7">
        <f t="shared" si="47"/>
        <v>215</v>
      </c>
      <c r="Z120" s="12">
        <f t="shared" si="40"/>
        <v>49.086757990867582</v>
      </c>
      <c r="AA120" s="12">
        <v>223</v>
      </c>
      <c r="AB120" s="13">
        <f t="shared" si="41"/>
        <v>50.913242009132418</v>
      </c>
      <c r="AC120" s="12">
        <f t="shared" si="49"/>
        <v>606</v>
      </c>
      <c r="AD120" s="12" t="str">
        <f t="shared" si="42"/>
        <v>AVG</v>
      </c>
      <c r="AE120" s="14" t="str">
        <f t="shared" si="43"/>
        <v>WEAK</v>
      </c>
      <c r="AF120" s="12" t="str">
        <f t="shared" si="44"/>
        <v>VLOW</v>
      </c>
      <c r="AG120" s="12" t="str">
        <f t="shared" si="33"/>
        <v>FEMALE DOM</v>
      </c>
      <c r="AH120" s="12" t="str">
        <f t="shared" si="45"/>
        <v>O</v>
      </c>
      <c r="AI120" s="15">
        <f t="shared" si="52"/>
        <v>4.2586750788643499</v>
      </c>
      <c r="AJ120" s="25" t="str">
        <f t="shared" si="34"/>
        <v>CONGRESSGAIN</v>
      </c>
      <c r="AK120" s="15" t="str">
        <f t="shared" si="46"/>
        <v>NARROWMARGIN</v>
      </c>
    </row>
    <row r="121" spans="1:37">
      <c r="A121" s="7">
        <v>118</v>
      </c>
      <c r="B121" s="8" t="s">
        <v>252</v>
      </c>
      <c r="C121" s="7">
        <v>695</v>
      </c>
      <c r="D121" s="7">
        <v>205</v>
      </c>
      <c r="E121" s="7">
        <f t="shared" si="27"/>
        <v>29.496402877697843</v>
      </c>
      <c r="F121" s="7">
        <v>474</v>
      </c>
      <c r="G121" s="7">
        <f t="shared" si="28"/>
        <v>68.201438848920859</v>
      </c>
      <c r="H121" s="7">
        <v>5</v>
      </c>
      <c r="I121" s="7">
        <f t="shared" si="29"/>
        <v>0.71942446043165476</v>
      </c>
      <c r="J121" s="7">
        <v>4</v>
      </c>
      <c r="K121" s="7">
        <f t="shared" si="30"/>
        <v>0.57553956834532372</v>
      </c>
      <c r="L121" s="9">
        <v>494</v>
      </c>
      <c r="M121" s="9">
        <v>607</v>
      </c>
      <c r="N121" s="9">
        <f t="shared" si="31"/>
        <v>1101</v>
      </c>
      <c r="O121" s="7">
        <v>695</v>
      </c>
      <c r="P121" s="10">
        <f t="shared" si="35"/>
        <v>63.124432334241597</v>
      </c>
      <c r="Q121" s="7">
        <v>385</v>
      </c>
      <c r="R121" s="7">
        <f t="shared" si="36"/>
        <v>34.968210717529516</v>
      </c>
      <c r="S121" s="7">
        <f t="shared" si="32"/>
        <v>145</v>
      </c>
      <c r="T121" s="7">
        <f t="shared" si="37"/>
        <v>37.662337662337663</v>
      </c>
      <c r="U121" s="7">
        <v>240</v>
      </c>
      <c r="V121" s="11">
        <f t="shared" si="38"/>
        <v>62.337662337662337</v>
      </c>
      <c r="W121" s="7">
        <f>1101-385</f>
        <v>716</v>
      </c>
      <c r="X121" s="7">
        <f t="shared" si="39"/>
        <v>65.031789282470484</v>
      </c>
      <c r="Y121" s="17">
        <f t="shared" si="47"/>
        <v>261</v>
      </c>
      <c r="Z121" s="12">
        <f t="shared" si="40"/>
        <v>36.452513966480446</v>
      </c>
      <c r="AA121" s="12">
        <f>695-240</f>
        <v>455</v>
      </c>
      <c r="AB121" s="13">
        <f t="shared" si="41"/>
        <v>63.547486033519554</v>
      </c>
      <c r="AC121" s="12">
        <f t="shared" si="49"/>
        <v>695</v>
      </c>
      <c r="AD121" s="12" t="str">
        <f t="shared" si="42"/>
        <v>AVG</v>
      </c>
      <c r="AE121" s="14" t="str">
        <f t="shared" si="43"/>
        <v>VLOW</v>
      </c>
      <c r="AF121" s="12" t="str">
        <f t="shared" si="44"/>
        <v>AVG</v>
      </c>
      <c r="AG121" s="12" t="str">
        <f t="shared" si="33"/>
        <v>FEMALE DOM</v>
      </c>
      <c r="AH121" s="12" t="str">
        <f t="shared" si="45"/>
        <v>H</v>
      </c>
      <c r="AI121" s="15">
        <f t="shared" si="52"/>
        <v>38.705035971223012</v>
      </c>
      <c r="AJ121" s="25" t="str">
        <f t="shared" si="34"/>
        <v>CONGRESSGAIN</v>
      </c>
      <c r="AK121" s="24" t="str">
        <f t="shared" si="46"/>
        <v>MEDIUMMARGIN</v>
      </c>
    </row>
    <row r="122" spans="1:37">
      <c r="A122" s="7">
        <v>119</v>
      </c>
      <c r="B122" s="8" t="s">
        <v>253</v>
      </c>
      <c r="C122" s="7">
        <v>961</v>
      </c>
      <c r="D122" s="7">
        <v>356</v>
      </c>
      <c r="E122" s="7">
        <f t="shared" si="27"/>
        <v>37.044745057232049</v>
      </c>
      <c r="F122" s="7">
        <v>600</v>
      </c>
      <c r="G122" s="7">
        <f t="shared" si="28"/>
        <v>62.434963579604577</v>
      </c>
      <c r="H122" s="7">
        <v>1</v>
      </c>
      <c r="I122" s="7">
        <f t="shared" si="29"/>
        <v>0.10405827263267431</v>
      </c>
      <c r="J122" s="7">
        <v>3</v>
      </c>
      <c r="K122" s="7">
        <f t="shared" si="30"/>
        <v>0.31217481789802287</v>
      </c>
      <c r="L122" s="9">
        <v>641</v>
      </c>
      <c r="M122" s="9">
        <v>957</v>
      </c>
      <c r="N122" s="9">
        <f t="shared" si="31"/>
        <v>1598</v>
      </c>
      <c r="O122" s="7">
        <v>961</v>
      </c>
      <c r="P122" s="10">
        <f t="shared" si="35"/>
        <v>60.137672090112638</v>
      </c>
      <c r="Q122" s="7">
        <v>692</v>
      </c>
      <c r="R122" s="7">
        <f t="shared" si="36"/>
        <v>43.30413016270338</v>
      </c>
      <c r="S122" s="21">
        <f t="shared" si="32"/>
        <v>372</v>
      </c>
      <c r="T122" s="7">
        <f t="shared" si="37"/>
        <v>53.75722543352601</v>
      </c>
      <c r="U122" s="7">
        <v>320</v>
      </c>
      <c r="V122" s="11">
        <f t="shared" si="38"/>
        <v>46.24277456647399</v>
      </c>
      <c r="W122" s="7">
        <v>906</v>
      </c>
      <c r="X122" s="7">
        <f t="shared" si="39"/>
        <v>56.69586983729662</v>
      </c>
      <c r="Y122" s="7">
        <f t="shared" si="47"/>
        <v>261</v>
      </c>
      <c r="Z122" s="12">
        <f t="shared" si="40"/>
        <v>28.807947019867548</v>
      </c>
      <c r="AA122" s="12">
        <v>645</v>
      </c>
      <c r="AB122" s="13">
        <f t="shared" si="41"/>
        <v>71.192052980132445</v>
      </c>
      <c r="AC122" s="12">
        <f t="shared" si="49"/>
        <v>965</v>
      </c>
      <c r="AD122" s="12" t="str">
        <f t="shared" si="42"/>
        <v>AVG</v>
      </c>
      <c r="AE122" s="14" t="str">
        <f t="shared" si="43"/>
        <v>VLOW</v>
      </c>
      <c r="AF122" s="12" t="str">
        <f t="shared" si="44"/>
        <v>WEAK</v>
      </c>
      <c r="AG122" s="12" t="str">
        <f t="shared" si="33"/>
        <v>FEMALE DOM</v>
      </c>
      <c r="AH122" s="12" t="str">
        <f t="shared" si="45"/>
        <v>H</v>
      </c>
      <c r="AI122" s="15">
        <f t="shared" si="52"/>
        <v>25.390218522372528</v>
      </c>
      <c r="AJ122" s="25" t="str">
        <f t="shared" si="34"/>
        <v>CONGRESSGAIN</v>
      </c>
      <c r="AK122" s="15" t="str">
        <f t="shared" si="46"/>
        <v>LOWMARGIN</v>
      </c>
    </row>
    <row r="123" spans="1:37">
      <c r="A123" s="7">
        <v>120</v>
      </c>
      <c r="B123" s="8" t="s">
        <v>254</v>
      </c>
      <c r="C123" s="7">
        <v>694</v>
      </c>
      <c r="D123" s="7">
        <v>279</v>
      </c>
      <c r="E123" s="7">
        <f t="shared" si="27"/>
        <v>40.201729106628243</v>
      </c>
      <c r="F123" s="7">
        <v>398</v>
      </c>
      <c r="G123" s="7">
        <f t="shared" si="28"/>
        <v>57.348703170028813</v>
      </c>
      <c r="H123" s="7">
        <v>5</v>
      </c>
      <c r="I123" s="7">
        <f t="shared" si="29"/>
        <v>0.72046109510086453</v>
      </c>
      <c r="J123" s="7">
        <v>2</v>
      </c>
      <c r="K123" s="7">
        <f t="shared" si="30"/>
        <v>0.28818443804034583</v>
      </c>
      <c r="L123" s="9">
        <v>478</v>
      </c>
      <c r="M123" s="9">
        <v>553</v>
      </c>
      <c r="N123" s="9">
        <f t="shared" si="31"/>
        <v>1031</v>
      </c>
      <c r="O123" s="7">
        <v>694</v>
      </c>
      <c r="P123" s="10">
        <f t="shared" si="35"/>
        <v>67.31328806983511</v>
      </c>
      <c r="Q123" s="7">
        <v>609</v>
      </c>
      <c r="R123" s="7">
        <f t="shared" si="36"/>
        <v>59.068865179437438</v>
      </c>
      <c r="S123" s="7">
        <f t="shared" si="32"/>
        <v>205</v>
      </c>
      <c r="T123" s="7">
        <f t="shared" si="37"/>
        <v>33.66174055829228</v>
      </c>
      <c r="U123" s="7">
        <v>404</v>
      </c>
      <c r="V123" s="11">
        <f t="shared" si="38"/>
        <v>66.33825944170772</v>
      </c>
      <c r="W123" s="7">
        <f>1031-609</f>
        <v>422</v>
      </c>
      <c r="X123" s="7">
        <f t="shared" si="39"/>
        <v>40.931134820562562</v>
      </c>
      <c r="Y123" s="7">
        <f t="shared" si="47"/>
        <v>132</v>
      </c>
      <c r="Z123" s="12">
        <f t="shared" si="40"/>
        <v>31.279620853080569</v>
      </c>
      <c r="AA123" s="12">
        <f>694-404</f>
        <v>290</v>
      </c>
      <c r="AB123" s="13">
        <f t="shared" si="41"/>
        <v>68.720379146919427</v>
      </c>
      <c r="AC123" s="12">
        <f t="shared" si="49"/>
        <v>694</v>
      </c>
      <c r="AD123" s="12" t="str">
        <f t="shared" si="42"/>
        <v>AVG</v>
      </c>
      <c r="AE123" s="14" t="str">
        <f t="shared" si="43"/>
        <v>WEAK</v>
      </c>
      <c r="AF123" s="12" t="str">
        <f t="shared" si="44"/>
        <v>VLOW</v>
      </c>
      <c r="AG123" s="12" t="str">
        <f t="shared" si="33"/>
        <v>FEMALE DOM</v>
      </c>
      <c r="AH123" s="12" t="str">
        <f t="shared" si="45"/>
        <v>H</v>
      </c>
      <c r="AI123" s="15">
        <f t="shared" si="52"/>
        <v>17.14697406340057</v>
      </c>
      <c r="AJ123" s="25" t="str">
        <f t="shared" si="34"/>
        <v>CONGRESSGAIN</v>
      </c>
      <c r="AK123" s="15" t="str">
        <f t="shared" si="46"/>
        <v>LOWMARGIN</v>
      </c>
    </row>
    <row r="124" spans="1:37">
      <c r="A124" s="7">
        <v>121</v>
      </c>
      <c r="B124" s="8" t="s">
        <v>255</v>
      </c>
      <c r="C124" s="7">
        <v>527</v>
      </c>
      <c r="D124" s="7">
        <v>86</v>
      </c>
      <c r="E124" s="7">
        <f t="shared" si="27"/>
        <v>16.318785578747626</v>
      </c>
      <c r="F124" s="7">
        <v>430</v>
      </c>
      <c r="G124" s="7">
        <f t="shared" si="28"/>
        <v>81.59392789373814</v>
      </c>
      <c r="H124" s="7">
        <v>4</v>
      </c>
      <c r="I124" s="7">
        <f t="shared" si="29"/>
        <v>0.75901328273244784</v>
      </c>
      <c r="J124" s="7">
        <v>1</v>
      </c>
      <c r="K124" s="7">
        <f t="shared" si="30"/>
        <v>0.18975332068311196</v>
      </c>
      <c r="L124" s="9">
        <v>408</v>
      </c>
      <c r="M124" s="9">
        <v>662</v>
      </c>
      <c r="N124" s="9">
        <f t="shared" si="31"/>
        <v>1070</v>
      </c>
      <c r="O124" s="7">
        <v>527</v>
      </c>
      <c r="P124" s="10">
        <f t="shared" si="35"/>
        <v>49.252336448598136</v>
      </c>
      <c r="Q124" s="7">
        <v>335</v>
      </c>
      <c r="R124" s="7">
        <f t="shared" si="36"/>
        <v>31.308411214953267</v>
      </c>
      <c r="S124" s="7">
        <f t="shared" si="32"/>
        <v>130</v>
      </c>
      <c r="T124" s="7">
        <f t="shared" si="37"/>
        <v>38.805970149253731</v>
      </c>
      <c r="U124" s="7">
        <v>205</v>
      </c>
      <c r="V124" s="11">
        <f t="shared" si="38"/>
        <v>61.194029850746269</v>
      </c>
      <c r="W124" s="7">
        <v>735</v>
      </c>
      <c r="X124" s="7">
        <f t="shared" si="39"/>
        <v>68.691588785046733</v>
      </c>
      <c r="Y124" s="17">
        <f t="shared" si="47"/>
        <v>413</v>
      </c>
      <c r="Z124" s="12">
        <f t="shared" si="40"/>
        <v>56.19047619047619</v>
      </c>
      <c r="AA124" s="12">
        <v>322</v>
      </c>
      <c r="AB124" s="13">
        <f t="shared" si="41"/>
        <v>43.80952380952381</v>
      </c>
      <c r="AC124" s="12">
        <f t="shared" si="49"/>
        <v>527</v>
      </c>
      <c r="AD124" s="12" t="str">
        <f t="shared" si="42"/>
        <v>VLOW</v>
      </c>
      <c r="AE124" s="14" t="str">
        <f t="shared" si="43"/>
        <v>VLOW</v>
      </c>
      <c r="AF124" s="12" t="str">
        <f t="shared" si="44"/>
        <v>AVG</v>
      </c>
      <c r="AG124" s="12" t="str">
        <f t="shared" si="33"/>
        <v>FEMALE DOM</v>
      </c>
      <c r="AH124" s="12" t="str">
        <f t="shared" si="45"/>
        <v>O</v>
      </c>
      <c r="AI124" s="15">
        <f t="shared" si="52"/>
        <v>65.275142314990518</v>
      </c>
      <c r="AJ124" s="25" t="str">
        <f t="shared" si="34"/>
        <v>CONGRESSGAIN</v>
      </c>
      <c r="AK124" s="14" t="str">
        <f t="shared" si="46"/>
        <v>VERYHIGHMARGIN</v>
      </c>
    </row>
    <row r="125" spans="1:37">
      <c r="A125" s="7">
        <v>122</v>
      </c>
      <c r="B125" s="8" t="s">
        <v>256</v>
      </c>
      <c r="C125" s="7">
        <v>535</v>
      </c>
      <c r="D125" s="7">
        <v>200</v>
      </c>
      <c r="E125" s="7">
        <f t="shared" si="27"/>
        <v>37.383177570093459</v>
      </c>
      <c r="F125" s="7">
        <v>332</v>
      </c>
      <c r="G125" s="7">
        <f t="shared" si="28"/>
        <v>62.056074766355138</v>
      </c>
      <c r="H125" s="7">
        <v>2</v>
      </c>
      <c r="I125" s="7">
        <f t="shared" si="29"/>
        <v>0.37383177570093462</v>
      </c>
      <c r="J125" s="7">
        <v>0</v>
      </c>
      <c r="K125" s="7">
        <f t="shared" si="30"/>
        <v>0</v>
      </c>
      <c r="L125" s="9">
        <v>351</v>
      </c>
      <c r="M125" s="9">
        <v>492</v>
      </c>
      <c r="N125" s="9">
        <f t="shared" si="31"/>
        <v>843</v>
      </c>
      <c r="O125" s="7">
        <v>535</v>
      </c>
      <c r="P125" s="10">
        <f t="shared" si="35"/>
        <v>63.463819691577697</v>
      </c>
      <c r="Q125" s="7"/>
      <c r="R125" s="7">
        <f t="shared" si="36"/>
        <v>0</v>
      </c>
      <c r="S125" s="7">
        <f t="shared" si="32"/>
        <v>0</v>
      </c>
      <c r="T125" s="7" t="e">
        <f t="shared" si="37"/>
        <v>#DIV/0!</v>
      </c>
      <c r="U125" s="7"/>
      <c r="V125" s="11">
        <f t="shared" si="38"/>
        <v>0</v>
      </c>
      <c r="W125" s="7"/>
      <c r="X125" s="7">
        <f t="shared" si="39"/>
        <v>100</v>
      </c>
      <c r="Y125" s="7">
        <f t="shared" si="47"/>
        <v>0</v>
      </c>
      <c r="Z125" s="12" t="e">
        <f t="shared" si="40"/>
        <v>#DIV/0!</v>
      </c>
      <c r="AA125" s="12"/>
      <c r="AB125" s="13">
        <f t="shared" si="41"/>
        <v>0</v>
      </c>
      <c r="AC125" s="12">
        <f t="shared" si="49"/>
        <v>0</v>
      </c>
      <c r="AD125" s="12" t="str">
        <f t="shared" si="42"/>
        <v>AVG</v>
      </c>
      <c r="AE125" s="14" t="str">
        <f t="shared" si="43"/>
        <v>VLOW</v>
      </c>
      <c r="AF125" s="12" t="str">
        <f t="shared" si="44"/>
        <v>EXCELLENT</v>
      </c>
      <c r="AG125" s="12" t="str">
        <f t="shared" si="33"/>
        <v>FEMALE DOM</v>
      </c>
      <c r="AH125" s="12" t="e">
        <f t="shared" si="45"/>
        <v>#DIV/0!</v>
      </c>
      <c r="AI125" s="15">
        <f t="shared" si="52"/>
        <v>24.67289719626168</v>
      </c>
      <c r="AJ125" s="25" t="str">
        <f t="shared" si="34"/>
        <v>CONGRESSGAIN</v>
      </c>
      <c r="AK125" s="15" t="str">
        <f t="shared" si="46"/>
        <v>LOWMARGIN</v>
      </c>
    </row>
    <row r="126" spans="1:37">
      <c r="A126" s="7">
        <v>123</v>
      </c>
      <c r="B126" s="8" t="s">
        <v>257</v>
      </c>
      <c r="C126" s="7">
        <v>700</v>
      </c>
      <c r="D126" s="7">
        <v>270</v>
      </c>
      <c r="E126" s="7">
        <f t="shared" si="27"/>
        <v>38.571428571428577</v>
      </c>
      <c r="F126" s="7">
        <v>412</v>
      </c>
      <c r="G126" s="7">
        <f t="shared" si="28"/>
        <v>58.857142857142854</v>
      </c>
      <c r="H126" s="7">
        <v>5</v>
      </c>
      <c r="I126" s="7">
        <f t="shared" si="29"/>
        <v>0.7142857142857143</v>
      </c>
      <c r="J126" s="7">
        <v>2</v>
      </c>
      <c r="K126" s="7">
        <f t="shared" si="30"/>
        <v>0.2857142857142857</v>
      </c>
      <c r="L126" s="9">
        <v>553</v>
      </c>
      <c r="M126" s="9">
        <v>649</v>
      </c>
      <c r="N126" s="9">
        <f t="shared" si="31"/>
        <v>1202</v>
      </c>
      <c r="O126" s="7">
        <v>700</v>
      </c>
      <c r="P126" s="10">
        <f t="shared" si="35"/>
        <v>58.236272878535779</v>
      </c>
      <c r="Q126" s="7" t="s">
        <v>378</v>
      </c>
      <c r="R126" s="7" t="e">
        <f t="shared" si="36"/>
        <v>#VALUE!</v>
      </c>
      <c r="S126" s="21">
        <v>0</v>
      </c>
      <c r="T126" s="7" t="e">
        <f t="shared" si="37"/>
        <v>#VALUE!</v>
      </c>
      <c r="U126" s="7">
        <v>366</v>
      </c>
      <c r="V126" s="11">
        <f t="shared" si="38"/>
        <v>0</v>
      </c>
      <c r="W126" s="7">
        <f>1202-603</f>
        <v>599</v>
      </c>
      <c r="X126" s="7" t="e">
        <f t="shared" si="39"/>
        <v>#VALUE!</v>
      </c>
      <c r="Y126" s="7">
        <f t="shared" si="47"/>
        <v>265</v>
      </c>
      <c r="Z126" s="12">
        <f t="shared" si="40"/>
        <v>44.240400667779632</v>
      </c>
      <c r="AA126" s="12">
        <f>700-366</f>
        <v>334</v>
      </c>
      <c r="AB126" s="13">
        <f t="shared" si="41"/>
        <v>55.759599332220368</v>
      </c>
      <c r="AC126" s="12">
        <f t="shared" si="49"/>
        <v>700</v>
      </c>
      <c r="AD126" s="12" t="str">
        <f t="shared" si="42"/>
        <v>WEAK</v>
      </c>
      <c r="AE126" s="14" t="e">
        <f t="shared" si="43"/>
        <v>#VALUE!</v>
      </c>
      <c r="AF126" s="12" t="e">
        <f t="shared" si="44"/>
        <v>#VALUE!</v>
      </c>
      <c r="AG126" s="12" t="str">
        <f t="shared" si="33"/>
        <v>FEMALE DOM</v>
      </c>
      <c r="AH126" s="12" t="e">
        <f t="shared" si="45"/>
        <v>#VALUE!</v>
      </c>
      <c r="AI126" s="15">
        <f t="shared" si="52"/>
        <v>20.285714285714278</v>
      </c>
      <c r="AJ126" s="25" t="str">
        <f t="shared" si="34"/>
        <v>CONGRESSGAIN</v>
      </c>
      <c r="AK126" s="15" t="str">
        <f t="shared" si="46"/>
        <v>LOWMARGIN</v>
      </c>
    </row>
    <row r="127" spans="1:37">
      <c r="A127" s="7">
        <v>124</v>
      </c>
      <c r="B127" s="8" t="s">
        <v>258</v>
      </c>
      <c r="C127" s="7">
        <v>685</v>
      </c>
      <c r="D127" s="7">
        <v>236</v>
      </c>
      <c r="E127" s="7">
        <f t="shared" si="27"/>
        <v>34.45255474452555</v>
      </c>
      <c r="F127" s="7">
        <v>442</v>
      </c>
      <c r="G127" s="7">
        <f t="shared" si="28"/>
        <v>64.525547445255469</v>
      </c>
      <c r="H127" s="7">
        <v>3</v>
      </c>
      <c r="I127" s="7">
        <f t="shared" si="29"/>
        <v>0.43795620437956206</v>
      </c>
      <c r="J127" s="7">
        <v>1</v>
      </c>
      <c r="K127" s="7">
        <f t="shared" si="30"/>
        <v>0.145985401459854</v>
      </c>
      <c r="L127" s="9">
        <v>531</v>
      </c>
      <c r="M127" s="9">
        <v>637</v>
      </c>
      <c r="N127" s="9">
        <f t="shared" si="31"/>
        <v>1168</v>
      </c>
      <c r="O127" s="7">
        <v>685</v>
      </c>
      <c r="P127" s="10">
        <f t="shared" si="35"/>
        <v>58.647260273972599</v>
      </c>
      <c r="Q127" s="7">
        <v>586</v>
      </c>
      <c r="R127" s="7">
        <f t="shared" si="36"/>
        <v>50.171232876712324</v>
      </c>
      <c r="S127" s="7">
        <f t="shared" si="32"/>
        <v>268</v>
      </c>
      <c r="T127" s="7">
        <f t="shared" si="37"/>
        <v>45.733788395904433</v>
      </c>
      <c r="U127" s="7">
        <v>318</v>
      </c>
      <c r="V127" s="11">
        <f t="shared" si="38"/>
        <v>54.26621160409556</v>
      </c>
      <c r="W127" s="7">
        <f>441+119</f>
        <v>560</v>
      </c>
      <c r="X127" s="7">
        <f t="shared" si="39"/>
        <v>49.828767123287676</v>
      </c>
      <c r="Y127" s="17">
        <f t="shared" si="47"/>
        <v>193</v>
      </c>
      <c r="Z127" s="12">
        <f t="shared" si="40"/>
        <v>34.464285714285715</v>
      </c>
      <c r="AA127" s="12">
        <v>367</v>
      </c>
      <c r="AB127" s="13">
        <f t="shared" si="41"/>
        <v>65.535714285714292</v>
      </c>
      <c r="AC127" s="12">
        <f t="shared" si="49"/>
        <v>685</v>
      </c>
      <c r="AD127" s="12" t="str">
        <f t="shared" si="42"/>
        <v>WEAK</v>
      </c>
      <c r="AE127" s="14" t="str">
        <f t="shared" si="43"/>
        <v>WEAK</v>
      </c>
      <c r="AF127" s="12" t="str">
        <f t="shared" si="44"/>
        <v>VLOW</v>
      </c>
      <c r="AG127" s="12" t="str">
        <f t="shared" si="33"/>
        <v>FEMALE DOM</v>
      </c>
      <c r="AH127" s="12" t="str">
        <f t="shared" si="45"/>
        <v>H</v>
      </c>
      <c r="AI127" s="15">
        <f t="shared" si="52"/>
        <v>30.07299270072992</v>
      </c>
      <c r="AJ127" s="25" t="str">
        <f t="shared" si="34"/>
        <v>CONGRESSGAIN</v>
      </c>
      <c r="AK127" s="24" t="str">
        <f t="shared" si="46"/>
        <v>MEDIUMMARGIN</v>
      </c>
    </row>
    <row r="128" spans="1:37">
      <c r="A128" s="7">
        <v>125</v>
      </c>
      <c r="B128" s="8" t="s">
        <v>259</v>
      </c>
      <c r="C128" s="7">
        <v>779</v>
      </c>
      <c r="D128" s="7">
        <v>548</v>
      </c>
      <c r="E128" s="7">
        <f t="shared" si="27"/>
        <v>70.346598202824126</v>
      </c>
      <c r="F128" s="7">
        <v>206</v>
      </c>
      <c r="G128" s="7">
        <f t="shared" si="28"/>
        <v>26.444159178433889</v>
      </c>
      <c r="H128" s="7">
        <v>3</v>
      </c>
      <c r="I128" s="7">
        <f t="shared" si="29"/>
        <v>0.38510911424903727</v>
      </c>
      <c r="J128" s="7">
        <v>6</v>
      </c>
      <c r="K128" s="7">
        <f t="shared" si="30"/>
        <v>0.77021822849807453</v>
      </c>
      <c r="L128" s="9">
        <v>484</v>
      </c>
      <c r="M128" s="9">
        <v>530</v>
      </c>
      <c r="N128" s="9">
        <f t="shared" si="31"/>
        <v>1014</v>
      </c>
      <c r="O128" s="7">
        <v>779</v>
      </c>
      <c r="P128" s="10">
        <f t="shared" si="35"/>
        <v>76.824457593688365</v>
      </c>
      <c r="Q128" s="7"/>
      <c r="R128" s="7">
        <f t="shared" si="36"/>
        <v>0</v>
      </c>
      <c r="S128" s="7">
        <f t="shared" si="32"/>
        <v>0</v>
      </c>
      <c r="T128" s="7" t="e">
        <f t="shared" si="37"/>
        <v>#DIV/0!</v>
      </c>
      <c r="U128" s="7"/>
      <c r="V128" s="11">
        <f t="shared" si="38"/>
        <v>0</v>
      </c>
      <c r="W128" s="7"/>
      <c r="X128" s="7">
        <f t="shared" si="39"/>
        <v>100</v>
      </c>
      <c r="Y128" s="7">
        <f t="shared" si="47"/>
        <v>0</v>
      </c>
      <c r="Z128" s="12" t="e">
        <f t="shared" si="40"/>
        <v>#DIV/0!</v>
      </c>
      <c r="AA128" s="12"/>
      <c r="AB128" s="13">
        <f t="shared" si="41"/>
        <v>0</v>
      </c>
      <c r="AC128" s="12">
        <f t="shared" si="49"/>
        <v>0</v>
      </c>
      <c r="AD128" s="12" t="str">
        <f t="shared" si="42"/>
        <v>STRONG</v>
      </c>
      <c r="AE128" s="14" t="str">
        <f t="shared" si="43"/>
        <v>VLOW</v>
      </c>
      <c r="AF128" s="12" t="str">
        <f t="shared" si="44"/>
        <v>EXCELLENT</v>
      </c>
      <c r="AG128" s="12" t="str">
        <f t="shared" si="33"/>
        <v>FEMALE DOM</v>
      </c>
      <c r="AH128" s="12" t="e">
        <f t="shared" si="45"/>
        <v>#DIV/0!</v>
      </c>
      <c r="AI128" s="15">
        <f>E128-G128</f>
        <v>43.902439024390233</v>
      </c>
      <c r="AJ128" s="16" t="str">
        <f t="shared" si="34"/>
        <v>BJP GAIN</v>
      </c>
      <c r="AK128" s="19" t="str">
        <f t="shared" si="46"/>
        <v>HIGHMARGIN</v>
      </c>
    </row>
    <row r="129" spans="1:37">
      <c r="A129" s="7">
        <v>126</v>
      </c>
      <c r="B129" s="8" t="s">
        <v>260</v>
      </c>
      <c r="C129" s="7">
        <v>961</v>
      </c>
      <c r="D129" s="7">
        <v>487</v>
      </c>
      <c r="E129" s="7">
        <f t="shared" si="27"/>
        <v>50.676378772112386</v>
      </c>
      <c r="F129" s="7">
        <v>449</v>
      </c>
      <c r="G129" s="7">
        <f t="shared" si="28"/>
        <v>46.722164412070761</v>
      </c>
      <c r="H129" s="7">
        <v>4</v>
      </c>
      <c r="I129" s="7">
        <f t="shared" si="29"/>
        <v>0.41623309053069724</v>
      </c>
      <c r="J129" s="7">
        <v>11</v>
      </c>
      <c r="K129" s="7">
        <f t="shared" si="30"/>
        <v>1.1446409989594173</v>
      </c>
      <c r="L129" s="9">
        <v>801</v>
      </c>
      <c r="M129" s="9">
        <v>787</v>
      </c>
      <c r="N129" s="9">
        <f t="shared" si="31"/>
        <v>1588</v>
      </c>
      <c r="O129" s="7">
        <v>961</v>
      </c>
      <c r="P129" s="10">
        <f t="shared" si="35"/>
        <v>60.516372795969772</v>
      </c>
      <c r="Q129" s="7">
        <v>953</v>
      </c>
      <c r="R129" s="7">
        <f t="shared" si="36"/>
        <v>60.012594458438286</v>
      </c>
      <c r="S129" s="7">
        <f t="shared" si="32"/>
        <v>775</v>
      </c>
      <c r="T129" s="7">
        <f t="shared" si="37"/>
        <v>81.322140608604414</v>
      </c>
      <c r="U129" s="7">
        <v>178</v>
      </c>
      <c r="V129" s="11">
        <f t="shared" si="38"/>
        <v>18.677859391395593</v>
      </c>
      <c r="W129" s="7">
        <f>359+276</f>
        <v>635</v>
      </c>
      <c r="X129" s="7">
        <f t="shared" si="39"/>
        <v>39.987405541561714</v>
      </c>
      <c r="Y129" s="7">
        <f t="shared" si="47"/>
        <v>335</v>
      </c>
      <c r="Z129" s="12">
        <f t="shared" si="40"/>
        <v>52.755905511811022</v>
      </c>
      <c r="AA129" s="12">
        <v>300</v>
      </c>
      <c r="AB129" s="13">
        <f t="shared" si="41"/>
        <v>47.244094488188978</v>
      </c>
      <c r="AC129" s="12">
        <f t="shared" si="49"/>
        <v>478</v>
      </c>
      <c r="AD129" s="12" t="str">
        <f t="shared" si="42"/>
        <v>AVG</v>
      </c>
      <c r="AE129" s="14" t="str">
        <f t="shared" si="43"/>
        <v>AVG</v>
      </c>
      <c r="AF129" s="12" t="str">
        <f t="shared" si="44"/>
        <v>VLOW</v>
      </c>
      <c r="AG129" s="12" t="str">
        <f t="shared" si="33"/>
        <v>MEN</v>
      </c>
      <c r="AH129" s="12" t="str">
        <f t="shared" si="45"/>
        <v>H</v>
      </c>
      <c r="AI129" s="15">
        <f>E129-G129</f>
        <v>3.9542143600416253</v>
      </c>
      <c r="AJ129" s="16" t="str">
        <f t="shared" si="34"/>
        <v>BJP GAIN</v>
      </c>
      <c r="AK129" s="15" t="str">
        <f t="shared" si="46"/>
        <v>NARROWMARGIN</v>
      </c>
    </row>
    <row r="130" spans="1:37">
      <c r="A130" s="7">
        <v>127</v>
      </c>
      <c r="B130" s="8" t="s">
        <v>261</v>
      </c>
      <c r="C130" s="7">
        <v>677</v>
      </c>
      <c r="D130" s="7">
        <v>349</v>
      </c>
      <c r="E130" s="7">
        <f t="shared" si="27"/>
        <v>51.550960118168391</v>
      </c>
      <c r="F130" s="7">
        <v>315</v>
      </c>
      <c r="G130" s="7">
        <f t="shared" si="28"/>
        <v>46.528803545051701</v>
      </c>
      <c r="H130" s="7">
        <v>0</v>
      </c>
      <c r="I130" s="7">
        <f t="shared" si="29"/>
        <v>0</v>
      </c>
      <c r="J130" s="7">
        <v>0</v>
      </c>
      <c r="K130" s="7">
        <f t="shared" si="30"/>
        <v>0</v>
      </c>
      <c r="L130" s="9">
        <v>508</v>
      </c>
      <c r="M130" s="9">
        <v>554</v>
      </c>
      <c r="N130" s="9">
        <f t="shared" si="31"/>
        <v>1062</v>
      </c>
      <c r="O130" s="7">
        <v>677</v>
      </c>
      <c r="P130" s="10">
        <f t="shared" si="35"/>
        <v>63.747645951035778</v>
      </c>
      <c r="Q130" s="7">
        <v>584</v>
      </c>
      <c r="R130" s="7">
        <f t="shared" si="36"/>
        <v>54.990583804143121</v>
      </c>
      <c r="S130" s="21">
        <f t="shared" si="32"/>
        <v>182</v>
      </c>
      <c r="T130" s="7">
        <f t="shared" si="37"/>
        <v>31.164383561643838</v>
      </c>
      <c r="U130" s="7">
        <v>402</v>
      </c>
      <c r="V130" s="11">
        <f t="shared" si="38"/>
        <v>68.835616438356169</v>
      </c>
      <c r="W130" s="7">
        <v>475</v>
      </c>
      <c r="X130" s="7">
        <f t="shared" si="39"/>
        <v>45.009416195856879</v>
      </c>
      <c r="Y130" s="17">
        <f t="shared" si="47"/>
        <v>205</v>
      </c>
      <c r="Z130" s="12">
        <f t="shared" si="40"/>
        <v>43.15789473684211</v>
      </c>
      <c r="AA130" s="12">
        <v>270</v>
      </c>
      <c r="AB130" s="13">
        <f t="shared" si="41"/>
        <v>56.84210526315789</v>
      </c>
      <c r="AC130" s="12">
        <f t="shared" si="49"/>
        <v>672</v>
      </c>
      <c r="AD130" s="12" t="str">
        <f t="shared" si="42"/>
        <v>AVG</v>
      </c>
      <c r="AE130" s="14" t="str">
        <f t="shared" si="43"/>
        <v>WEAK</v>
      </c>
      <c r="AF130" s="12" t="str">
        <f t="shared" si="44"/>
        <v>VLOW</v>
      </c>
      <c r="AG130" s="12" t="str">
        <f t="shared" si="33"/>
        <v>FEMALE DOM</v>
      </c>
      <c r="AH130" s="12" t="str">
        <f t="shared" si="45"/>
        <v>O</v>
      </c>
      <c r="AI130" s="15">
        <f>E130-G130</f>
        <v>5.0221565731166891</v>
      </c>
      <c r="AJ130" s="16" t="str">
        <f t="shared" si="34"/>
        <v>BJP GAIN</v>
      </c>
      <c r="AK130" s="15" t="str">
        <f t="shared" si="46"/>
        <v>NARROWMARGIN</v>
      </c>
    </row>
    <row r="131" spans="1:37">
      <c r="A131" s="7">
        <v>128</v>
      </c>
      <c r="B131" s="8" t="s">
        <v>262</v>
      </c>
      <c r="C131" s="7">
        <v>354</v>
      </c>
      <c r="D131" s="7">
        <v>273</v>
      </c>
      <c r="E131" s="7">
        <f t="shared" si="27"/>
        <v>77.118644067796609</v>
      </c>
      <c r="F131" s="7">
        <v>71</v>
      </c>
      <c r="G131" s="7">
        <f t="shared" si="28"/>
        <v>20.056497175141246</v>
      </c>
      <c r="H131" s="7">
        <v>0</v>
      </c>
      <c r="I131" s="7">
        <f t="shared" si="29"/>
        <v>0</v>
      </c>
      <c r="J131" s="7">
        <v>1</v>
      </c>
      <c r="K131" s="7">
        <f t="shared" si="30"/>
        <v>0.2824858757062147</v>
      </c>
      <c r="L131" s="9">
        <v>368</v>
      </c>
      <c r="M131" s="9">
        <v>430</v>
      </c>
      <c r="N131" s="9">
        <f t="shared" si="31"/>
        <v>798</v>
      </c>
      <c r="O131" s="7">
        <v>354</v>
      </c>
      <c r="P131" s="10">
        <f t="shared" si="35"/>
        <v>44.360902255639097</v>
      </c>
      <c r="Q131" s="7">
        <v>753</v>
      </c>
      <c r="R131" s="7">
        <f t="shared" si="36"/>
        <v>94.360902255639104</v>
      </c>
      <c r="S131" s="21">
        <f t="shared" si="32"/>
        <v>411</v>
      </c>
      <c r="T131" s="7">
        <f t="shared" si="37"/>
        <v>54.581673306772906</v>
      </c>
      <c r="U131" s="7">
        <v>342</v>
      </c>
      <c r="V131" s="11">
        <f t="shared" si="38"/>
        <v>45.418326693227087</v>
      </c>
      <c r="W131" s="7">
        <v>45</v>
      </c>
      <c r="X131" s="7">
        <f t="shared" si="39"/>
        <v>5.6390977443608961</v>
      </c>
      <c r="Y131" s="7">
        <f t="shared" si="47"/>
        <v>31</v>
      </c>
      <c r="Z131" s="12">
        <f t="shared" si="40"/>
        <v>68.888888888888886</v>
      </c>
      <c r="AA131" s="12">
        <v>14</v>
      </c>
      <c r="AB131" s="13">
        <f t="shared" si="41"/>
        <v>31.111111111111111</v>
      </c>
      <c r="AC131" s="12">
        <f t="shared" si="49"/>
        <v>356</v>
      </c>
      <c r="AD131" s="12" t="str">
        <f t="shared" si="42"/>
        <v>VLOW</v>
      </c>
      <c r="AE131" s="14" t="str">
        <f t="shared" si="43"/>
        <v>EXCELLENT</v>
      </c>
      <c r="AF131" s="12" t="str">
        <f t="shared" si="44"/>
        <v>VLOW</v>
      </c>
      <c r="AG131" s="12" t="str">
        <f t="shared" si="33"/>
        <v>FEMALE DOM</v>
      </c>
      <c r="AH131" s="12" t="str">
        <f t="shared" si="45"/>
        <v>O</v>
      </c>
      <c r="AI131" s="15">
        <f>E131-G131</f>
        <v>57.062146892655363</v>
      </c>
      <c r="AJ131" s="16" t="str">
        <f t="shared" si="34"/>
        <v>BJP GAIN</v>
      </c>
      <c r="AK131" s="14" t="str">
        <f t="shared" si="46"/>
        <v>VERYHIGHMARGIN</v>
      </c>
    </row>
    <row r="132" spans="1:37">
      <c r="A132" s="7">
        <v>129</v>
      </c>
      <c r="B132" s="8" t="s">
        <v>263</v>
      </c>
      <c r="C132" s="7">
        <v>604</v>
      </c>
      <c r="D132" s="7">
        <v>164</v>
      </c>
      <c r="E132" s="7">
        <f t="shared" ref="E132:E195" si="53">(D132/C132)*100</f>
        <v>27.152317880794701</v>
      </c>
      <c r="F132" s="7">
        <v>428</v>
      </c>
      <c r="G132" s="7">
        <f t="shared" ref="G132:G195" si="54">(F132/C132)*100</f>
        <v>70.860927152317871</v>
      </c>
      <c r="H132" s="7">
        <v>0</v>
      </c>
      <c r="I132" s="7">
        <f t="shared" ref="I132:I195" si="55">(H132/C132)*100</f>
        <v>0</v>
      </c>
      <c r="J132" s="7">
        <v>4</v>
      </c>
      <c r="K132" s="7">
        <f t="shared" ref="K132:K195" si="56">(J132/C132)*100</f>
        <v>0.66225165562913912</v>
      </c>
      <c r="L132" s="9">
        <v>519</v>
      </c>
      <c r="M132" s="9">
        <v>492</v>
      </c>
      <c r="N132" s="9">
        <f t="shared" ref="N132:N195" si="57">L132+M132</f>
        <v>1011</v>
      </c>
      <c r="O132" s="7">
        <v>604</v>
      </c>
      <c r="P132" s="10">
        <f t="shared" si="35"/>
        <v>59.742828882294759</v>
      </c>
      <c r="Q132" s="7">
        <v>334</v>
      </c>
      <c r="R132" s="7">
        <f t="shared" si="36"/>
        <v>33.036597428288822</v>
      </c>
      <c r="S132" s="7">
        <f t="shared" ref="S132:S195" si="58">Q132-U132</f>
        <v>136</v>
      </c>
      <c r="T132" s="7">
        <f t="shared" si="37"/>
        <v>40.718562874251496</v>
      </c>
      <c r="U132" s="7">
        <v>198</v>
      </c>
      <c r="V132" s="11">
        <f t="shared" si="38"/>
        <v>59.281437125748504</v>
      </c>
      <c r="W132" s="7">
        <f>506+171</f>
        <v>677</v>
      </c>
      <c r="X132" s="7">
        <f t="shared" si="39"/>
        <v>66.963402571711185</v>
      </c>
      <c r="Y132" s="7">
        <f t="shared" si="47"/>
        <v>275</v>
      </c>
      <c r="Z132" s="12">
        <f t="shared" si="40"/>
        <v>40.620384047267358</v>
      </c>
      <c r="AA132" s="12">
        <v>402</v>
      </c>
      <c r="AB132" s="13">
        <f t="shared" si="41"/>
        <v>59.379615952732642</v>
      </c>
      <c r="AC132" s="12">
        <f t="shared" si="49"/>
        <v>600</v>
      </c>
      <c r="AD132" s="12" t="str">
        <f t="shared" si="42"/>
        <v>WEAK</v>
      </c>
      <c r="AE132" s="14" t="str">
        <f t="shared" si="43"/>
        <v>VLOW</v>
      </c>
      <c r="AF132" s="12" t="str">
        <f t="shared" si="44"/>
        <v>AVG</v>
      </c>
      <c r="AG132" s="12" t="str">
        <f t="shared" ref="AG132:AG195" si="59">IF(M132&gt;L132,"FEMALE DOM","MEN")</f>
        <v>MEN</v>
      </c>
      <c r="AH132" s="12" t="str">
        <f t="shared" si="45"/>
        <v>H</v>
      </c>
      <c r="AI132" s="15">
        <f>G132-E132</f>
        <v>43.708609271523173</v>
      </c>
      <c r="AJ132" s="25" t="str">
        <f t="shared" ref="AJ132:AJ195" si="60">IF(E132&gt;G132, "BJP GAIN","CONGRESSGAIN")</f>
        <v>CONGRESSGAIN</v>
      </c>
      <c r="AK132" s="19" t="str">
        <f t="shared" si="46"/>
        <v>HIGHMARGIN</v>
      </c>
    </row>
    <row r="133" spans="1:37">
      <c r="A133" s="7">
        <v>130</v>
      </c>
      <c r="B133" s="8" t="s">
        <v>264</v>
      </c>
      <c r="C133" s="7">
        <v>267</v>
      </c>
      <c r="D133" s="7">
        <v>131</v>
      </c>
      <c r="E133" s="7">
        <f t="shared" si="53"/>
        <v>49.063670411985015</v>
      </c>
      <c r="F133" s="7">
        <v>112</v>
      </c>
      <c r="G133" s="7">
        <f t="shared" si="54"/>
        <v>41.947565543071164</v>
      </c>
      <c r="H133" s="7">
        <v>1</v>
      </c>
      <c r="I133" s="7">
        <f t="shared" si="55"/>
        <v>0.37453183520599254</v>
      </c>
      <c r="J133" s="7">
        <v>18</v>
      </c>
      <c r="K133" s="7">
        <f t="shared" si="56"/>
        <v>6.7415730337078648</v>
      </c>
      <c r="L133" s="9">
        <v>333</v>
      </c>
      <c r="M133" s="9">
        <v>271</v>
      </c>
      <c r="N133" s="9">
        <f t="shared" si="57"/>
        <v>604</v>
      </c>
      <c r="O133" s="7">
        <v>267</v>
      </c>
      <c r="P133" s="10">
        <f t="shared" ref="P133:P196" si="61">O133/N133*100</f>
        <v>44.205298013245034</v>
      </c>
      <c r="Q133" s="7"/>
      <c r="R133" s="7">
        <f t="shared" ref="R133:R196" si="62">(Q133/N133)*100</f>
        <v>0</v>
      </c>
      <c r="S133" s="7">
        <f t="shared" si="58"/>
        <v>0</v>
      </c>
      <c r="T133" s="7" t="e">
        <f t="shared" ref="T133:T196" si="63">(S133/Q133)*100</f>
        <v>#DIV/0!</v>
      </c>
      <c r="U133" s="7"/>
      <c r="V133" s="11">
        <f t="shared" ref="V133:V196" si="64">IFERROR(U133/Q133*100,0)</f>
        <v>0</v>
      </c>
      <c r="W133" s="7"/>
      <c r="X133" s="7">
        <f t="shared" ref="X133:X196" si="65">100-R133</f>
        <v>100</v>
      </c>
      <c r="Y133" s="17">
        <f t="shared" si="47"/>
        <v>0</v>
      </c>
      <c r="Z133" s="12" t="e">
        <f t="shared" ref="Z133:Z196" si="66">(Y133/W133)*100</f>
        <v>#DIV/0!</v>
      </c>
      <c r="AA133" s="12"/>
      <c r="AB133" s="13">
        <f t="shared" ref="AB133:AB196" si="67">IFERROR(AA133/W133*100,0)</f>
        <v>0</v>
      </c>
      <c r="AC133" s="12">
        <f t="shared" si="49"/>
        <v>0</v>
      </c>
      <c r="AD133" s="12" t="str">
        <f t="shared" ref="AD133:AD196" si="68">IF(P133&gt;80,"EXCELLENT",IF(P133&gt;70,"STRONG",IF(P133&gt;60,"AVG",IF(P133&gt;50,"WEAK",IF(P133&lt;50,"VLOW")))))</f>
        <v>VLOW</v>
      </c>
      <c r="AE133" s="14" t="str">
        <f t="shared" ref="AE133:AE196" si="69">IF(R133&gt;80,"EXCELLENT",IF(R133&gt;70,"STRONG",IF(R133&gt;60,"AVG",IF(R133&gt;50,"WEAK",IF(R133&lt;50,"VLOW")))))</f>
        <v>VLOW</v>
      </c>
      <c r="AF133" s="12" t="str">
        <f t="shared" ref="AF133:AF196" si="70">IF(X133&gt;80,"EXCELLENT",IF(X133&gt;70,"STRONG",IF(X133&gt;60,"AVG",IF(X133&gt;50,"WEAK",IF(X133&lt;50,"VLOW")))))</f>
        <v>EXCELLENT</v>
      </c>
      <c r="AG133" s="12" t="str">
        <f t="shared" si="59"/>
        <v>MEN</v>
      </c>
      <c r="AH133" s="12" t="e">
        <f t="shared" ref="AH133:AH196" si="71">IF(T133&gt;Z133,"H","O")</f>
        <v>#DIV/0!</v>
      </c>
      <c r="AI133" s="15">
        <f>E133-G133</f>
        <v>7.1161048689138511</v>
      </c>
      <c r="AJ133" s="16" t="str">
        <f t="shared" si="60"/>
        <v>BJP GAIN</v>
      </c>
      <c r="AK133" s="15" t="str">
        <f t="shared" ref="AK133:AK196" si="72">IF(AI133&gt;=50,"VERYHIGHMARGIN",IF(AI133&gt;=40,"HIGHMARGIN",IF(AI133&gt;=30,"MEDIUMMARGIN",IF(AI133&gt;10,"LOWMARGIN",IF(AI133&gt;=1,"NARROWMARGIN")))))</f>
        <v>NARROWMARGIN</v>
      </c>
    </row>
    <row r="134" spans="1:37">
      <c r="A134" s="7">
        <v>131</v>
      </c>
      <c r="B134" s="8" t="s">
        <v>265</v>
      </c>
      <c r="C134" s="7">
        <v>848</v>
      </c>
      <c r="D134" s="7">
        <v>468</v>
      </c>
      <c r="E134" s="7">
        <f t="shared" si="53"/>
        <v>55.188679245283026</v>
      </c>
      <c r="F134" s="7">
        <v>360</v>
      </c>
      <c r="G134" s="7">
        <f t="shared" si="54"/>
        <v>42.452830188679243</v>
      </c>
      <c r="H134" s="7">
        <v>7</v>
      </c>
      <c r="I134" s="7">
        <f t="shared" si="55"/>
        <v>0.82547169811320753</v>
      </c>
      <c r="J134" s="7">
        <v>4</v>
      </c>
      <c r="K134" s="7">
        <f t="shared" si="56"/>
        <v>0.47169811320754718</v>
      </c>
      <c r="L134" s="9">
        <v>563</v>
      </c>
      <c r="M134" s="9">
        <v>638</v>
      </c>
      <c r="N134" s="9">
        <f t="shared" si="57"/>
        <v>1201</v>
      </c>
      <c r="O134" s="7">
        <v>848</v>
      </c>
      <c r="P134" s="10">
        <f t="shared" si="61"/>
        <v>70.607826810990844</v>
      </c>
      <c r="Q134" s="7"/>
      <c r="R134" s="7">
        <f t="shared" si="62"/>
        <v>0</v>
      </c>
      <c r="S134" s="7">
        <f t="shared" si="58"/>
        <v>0</v>
      </c>
      <c r="T134" s="7" t="e">
        <f t="shared" si="63"/>
        <v>#DIV/0!</v>
      </c>
      <c r="U134" s="7"/>
      <c r="V134" s="11">
        <f t="shared" si="64"/>
        <v>0</v>
      </c>
      <c r="W134" s="7"/>
      <c r="X134" s="7">
        <f t="shared" si="65"/>
        <v>100</v>
      </c>
      <c r="Y134" s="7">
        <f t="shared" ref="Y134:Y197" si="73">W134-AA134</f>
        <v>0</v>
      </c>
      <c r="Z134" s="12" t="e">
        <f t="shared" si="66"/>
        <v>#DIV/0!</v>
      </c>
      <c r="AA134" s="12"/>
      <c r="AB134" s="13">
        <f t="shared" si="67"/>
        <v>0</v>
      </c>
      <c r="AC134" s="12">
        <f t="shared" si="49"/>
        <v>0</v>
      </c>
      <c r="AD134" s="12" t="str">
        <f t="shared" si="68"/>
        <v>STRONG</v>
      </c>
      <c r="AE134" s="14" t="str">
        <f t="shared" si="69"/>
        <v>VLOW</v>
      </c>
      <c r="AF134" s="12" t="str">
        <f t="shared" si="70"/>
        <v>EXCELLENT</v>
      </c>
      <c r="AG134" s="12" t="str">
        <f t="shared" si="59"/>
        <v>FEMALE DOM</v>
      </c>
      <c r="AH134" s="12" t="e">
        <f t="shared" si="71"/>
        <v>#DIV/0!</v>
      </c>
      <c r="AI134" s="15">
        <f>E134-G134</f>
        <v>12.735849056603783</v>
      </c>
      <c r="AJ134" s="16" t="str">
        <f t="shared" si="60"/>
        <v>BJP GAIN</v>
      </c>
      <c r="AK134" s="15" t="str">
        <f t="shared" si="72"/>
        <v>LOWMARGIN</v>
      </c>
    </row>
    <row r="135" spans="1:37">
      <c r="A135" s="7">
        <v>132</v>
      </c>
      <c r="B135" s="8" t="s">
        <v>266</v>
      </c>
      <c r="C135" s="7">
        <v>634</v>
      </c>
      <c r="D135" s="7">
        <v>281</v>
      </c>
      <c r="E135" s="7">
        <f t="shared" si="53"/>
        <v>44.321766561514195</v>
      </c>
      <c r="F135" s="7">
        <v>335</v>
      </c>
      <c r="G135" s="7">
        <f t="shared" si="54"/>
        <v>52.839116719242909</v>
      </c>
      <c r="H135" s="7">
        <v>5</v>
      </c>
      <c r="I135" s="7">
        <f t="shared" si="55"/>
        <v>0.78864353312302837</v>
      </c>
      <c r="J135" s="7">
        <v>3</v>
      </c>
      <c r="K135" s="7">
        <f t="shared" si="56"/>
        <v>0.47318611987381703</v>
      </c>
      <c r="L135" s="9">
        <v>509</v>
      </c>
      <c r="M135" s="9">
        <v>538</v>
      </c>
      <c r="N135" s="9">
        <f t="shared" si="57"/>
        <v>1047</v>
      </c>
      <c r="O135" s="7">
        <v>634</v>
      </c>
      <c r="P135" s="10">
        <f t="shared" si="61"/>
        <v>60.553963705826177</v>
      </c>
      <c r="Q135" s="7"/>
      <c r="R135" s="7">
        <f t="shared" si="62"/>
        <v>0</v>
      </c>
      <c r="S135" s="21">
        <f t="shared" si="58"/>
        <v>0</v>
      </c>
      <c r="T135" s="7" t="e">
        <f t="shared" si="63"/>
        <v>#DIV/0!</v>
      </c>
      <c r="U135" s="7"/>
      <c r="V135" s="11">
        <f t="shared" si="64"/>
        <v>0</v>
      </c>
      <c r="W135" s="7"/>
      <c r="X135" s="7">
        <f t="shared" si="65"/>
        <v>100</v>
      </c>
      <c r="Y135" s="7">
        <f t="shared" si="73"/>
        <v>0</v>
      </c>
      <c r="Z135" s="12" t="e">
        <f t="shared" si="66"/>
        <v>#DIV/0!</v>
      </c>
      <c r="AA135" s="12"/>
      <c r="AB135" s="13">
        <f t="shared" si="67"/>
        <v>0</v>
      </c>
      <c r="AC135" s="12">
        <f t="shared" si="49"/>
        <v>0</v>
      </c>
      <c r="AD135" s="12" t="str">
        <f t="shared" si="68"/>
        <v>AVG</v>
      </c>
      <c r="AE135" s="14" t="str">
        <f t="shared" si="69"/>
        <v>VLOW</v>
      </c>
      <c r="AF135" s="12" t="str">
        <f t="shared" si="70"/>
        <v>EXCELLENT</v>
      </c>
      <c r="AG135" s="12" t="str">
        <f t="shared" si="59"/>
        <v>FEMALE DOM</v>
      </c>
      <c r="AH135" s="12" t="e">
        <f t="shared" si="71"/>
        <v>#DIV/0!</v>
      </c>
      <c r="AI135" s="15">
        <f>G135-E135</f>
        <v>8.5173501577287141</v>
      </c>
      <c r="AJ135" s="25" t="str">
        <f t="shared" si="60"/>
        <v>CONGRESSGAIN</v>
      </c>
      <c r="AK135" s="15" t="str">
        <f t="shared" si="72"/>
        <v>NARROWMARGIN</v>
      </c>
    </row>
    <row r="136" spans="1:37">
      <c r="A136" s="7">
        <v>133</v>
      </c>
      <c r="B136" s="8" t="s">
        <v>267</v>
      </c>
      <c r="C136" s="7">
        <v>761</v>
      </c>
      <c r="D136" s="7">
        <v>378</v>
      </c>
      <c r="E136" s="7">
        <f t="shared" si="53"/>
        <v>49.67148488830486</v>
      </c>
      <c r="F136" s="7">
        <v>373</v>
      </c>
      <c r="G136" s="7">
        <f t="shared" si="54"/>
        <v>49.014454664914588</v>
      </c>
      <c r="H136" s="7">
        <v>0</v>
      </c>
      <c r="I136" s="7">
        <f t="shared" si="55"/>
        <v>0</v>
      </c>
      <c r="J136" s="7">
        <v>6</v>
      </c>
      <c r="K136" s="7">
        <f t="shared" si="56"/>
        <v>0.78843626806833111</v>
      </c>
      <c r="L136" s="9">
        <v>647</v>
      </c>
      <c r="M136" s="9">
        <v>650</v>
      </c>
      <c r="N136" s="9">
        <f t="shared" si="57"/>
        <v>1297</v>
      </c>
      <c r="O136" s="7">
        <v>761</v>
      </c>
      <c r="P136" s="10">
        <f t="shared" si="61"/>
        <v>58.673862760215876</v>
      </c>
      <c r="Q136" s="7"/>
      <c r="R136" s="7">
        <f t="shared" si="62"/>
        <v>0</v>
      </c>
      <c r="S136" s="7">
        <f t="shared" si="58"/>
        <v>0</v>
      </c>
      <c r="T136" s="7" t="e">
        <f t="shared" si="63"/>
        <v>#DIV/0!</v>
      </c>
      <c r="U136" s="7"/>
      <c r="V136" s="11">
        <f t="shared" si="64"/>
        <v>0</v>
      </c>
      <c r="W136" s="7"/>
      <c r="X136" s="7">
        <f t="shared" si="65"/>
        <v>100</v>
      </c>
      <c r="Y136" s="17">
        <f t="shared" si="73"/>
        <v>0</v>
      </c>
      <c r="Z136" s="12" t="e">
        <f t="shared" si="66"/>
        <v>#DIV/0!</v>
      </c>
      <c r="AA136" s="12"/>
      <c r="AB136" s="13">
        <f t="shared" si="67"/>
        <v>0</v>
      </c>
      <c r="AC136" s="12">
        <f t="shared" si="49"/>
        <v>0</v>
      </c>
      <c r="AD136" s="12" t="str">
        <f t="shared" si="68"/>
        <v>WEAK</v>
      </c>
      <c r="AE136" s="14" t="str">
        <f t="shared" si="69"/>
        <v>VLOW</v>
      </c>
      <c r="AF136" s="12" t="str">
        <f t="shared" si="70"/>
        <v>EXCELLENT</v>
      </c>
      <c r="AG136" s="12" t="str">
        <f t="shared" si="59"/>
        <v>FEMALE DOM</v>
      </c>
      <c r="AH136" s="12" t="e">
        <f t="shared" si="71"/>
        <v>#DIV/0!</v>
      </c>
      <c r="AI136" s="15">
        <f>E136-G136</f>
        <v>0.65703022339027228</v>
      </c>
      <c r="AJ136" s="16" t="str">
        <f t="shared" si="60"/>
        <v>BJP GAIN</v>
      </c>
      <c r="AK136" s="34" t="str">
        <f>IF(AI136&gt;=50,"VERYHIGHMARGIN",IF(AI136&gt;=40,"HIGHMARGIN",IF(AI136&gt;=30,"MEDIUMMARGIN",IF(AI136&gt;10,"LOWMARGIN",IF(AI136&lt;1,"NARROWMARGIN")))))</f>
        <v>NARROWMARGIN</v>
      </c>
    </row>
    <row r="137" spans="1:37">
      <c r="A137" s="7">
        <v>134</v>
      </c>
      <c r="B137" s="8" t="s">
        <v>268</v>
      </c>
      <c r="C137" s="7">
        <v>653</v>
      </c>
      <c r="D137" s="7">
        <v>201</v>
      </c>
      <c r="E137" s="7">
        <f t="shared" si="53"/>
        <v>30.781010719754974</v>
      </c>
      <c r="F137" s="7">
        <v>442</v>
      </c>
      <c r="G137" s="7">
        <f t="shared" si="54"/>
        <v>67.687595712098016</v>
      </c>
      <c r="H137" s="7">
        <v>3</v>
      </c>
      <c r="I137" s="7">
        <f t="shared" si="55"/>
        <v>0.45941807044410415</v>
      </c>
      <c r="J137" s="7">
        <v>2</v>
      </c>
      <c r="K137" s="7">
        <f t="shared" si="56"/>
        <v>0.30627871362940279</v>
      </c>
      <c r="L137" s="9">
        <v>486</v>
      </c>
      <c r="M137" s="9">
        <v>507</v>
      </c>
      <c r="N137" s="9">
        <f t="shared" si="57"/>
        <v>993</v>
      </c>
      <c r="O137" s="7">
        <v>653</v>
      </c>
      <c r="P137" s="10">
        <f t="shared" si="61"/>
        <v>65.760322255790541</v>
      </c>
      <c r="Q137" s="7">
        <v>326</v>
      </c>
      <c r="R137" s="7">
        <f t="shared" si="62"/>
        <v>32.829808660624373</v>
      </c>
      <c r="S137" s="7">
        <f t="shared" si="58"/>
        <v>90</v>
      </c>
      <c r="T137" s="7">
        <f t="shared" si="63"/>
        <v>27.607361963190186</v>
      </c>
      <c r="U137" s="7">
        <v>236</v>
      </c>
      <c r="V137" s="11">
        <f t="shared" si="64"/>
        <v>72.392638036809814</v>
      </c>
      <c r="W137" s="7">
        <f>993-326</f>
        <v>667</v>
      </c>
      <c r="X137" s="7">
        <f t="shared" si="65"/>
        <v>67.170191339375634</v>
      </c>
      <c r="Y137" s="7">
        <f t="shared" si="73"/>
        <v>250</v>
      </c>
      <c r="Z137" s="12">
        <f t="shared" si="66"/>
        <v>37.481259370314838</v>
      </c>
      <c r="AA137" s="12">
        <f>653-236</f>
        <v>417</v>
      </c>
      <c r="AB137" s="13">
        <f t="shared" si="67"/>
        <v>62.518740629685155</v>
      </c>
      <c r="AC137" s="12">
        <f t="shared" si="49"/>
        <v>653</v>
      </c>
      <c r="AD137" s="12" t="str">
        <f t="shared" si="68"/>
        <v>AVG</v>
      </c>
      <c r="AE137" s="14" t="str">
        <f t="shared" si="69"/>
        <v>VLOW</v>
      </c>
      <c r="AF137" s="12" t="str">
        <f t="shared" si="70"/>
        <v>AVG</v>
      </c>
      <c r="AG137" s="12" t="str">
        <f t="shared" si="59"/>
        <v>FEMALE DOM</v>
      </c>
      <c r="AH137" s="12" t="str">
        <f t="shared" si="71"/>
        <v>O</v>
      </c>
      <c r="AI137" s="15">
        <f>G137-E137</f>
        <v>36.906584992343042</v>
      </c>
      <c r="AJ137" s="25" t="str">
        <f t="shared" si="60"/>
        <v>CONGRESSGAIN</v>
      </c>
      <c r="AK137" s="24" t="str">
        <f t="shared" si="72"/>
        <v>MEDIUMMARGIN</v>
      </c>
    </row>
    <row r="138" spans="1:37">
      <c r="A138" s="7">
        <v>135</v>
      </c>
      <c r="B138" s="8" t="s">
        <v>269</v>
      </c>
      <c r="C138" s="7">
        <v>889</v>
      </c>
      <c r="D138" s="7">
        <v>175</v>
      </c>
      <c r="E138" s="7">
        <f t="shared" si="53"/>
        <v>19.685039370078741</v>
      </c>
      <c r="F138" s="7">
        <v>679</v>
      </c>
      <c r="G138" s="7">
        <f t="shared" si="54"/>
        <v>76.377952755905511</v>
      </c>
      <c r="H138" s="7">
        <v>21</v>
      </c>
      <c r="I138" s="7">
        <f t="shared" si="55"/>
        <v>2.3622047244094486</v>
      </c>
      <c r="J138" s="7">
        <v>2</v>
      </c>
      <c r="K138" s="7">
        <f t="shared" si="56"/>
        <v>0.22497187851518563</v>
      </c>
      <c r="L138" s="9">
        <v>700</v>
      </c>
      <c r="M138" s="9">
        <v>666</v>
      </c>
      <c r="N138" s="9">
        <f t="shared" si="57"/>
        <v>1366</v>
      </c>
      <c r="O138" s="7">
        <v>889</v>
      </c>
      <c r="P138" s="10">
        <f t="shared" si="61"/>
        <v>65.080527086383597</v>
      </c>
      <c r="Q138" s="7"/>
      <c r="R138" s="7">
        <f t="shared" si="62"/>
        <v>0</v>
      </c>
      <c r="S138" s="7">
        <f t="shared" si="58"/>
        <v>0</v>
      </c>
      <c r="T138" s="7" t="e">
        <f t="shared" si="63"/>
        <v>#DIV/0!</v>
      </c>
      <c r="U138" s="7"/>
      <c r="V138" s="11">
        <f t="shared" si="64"/>
        <v>0</v>
      </c>
      <c r="W138" s="7"/>
      <c r="X138" s="7">
        <f t="shared" si="65"/>
        <v>100</v>
      </c>
      <c r="Y138" s="7">
        <f t="shared" si="73"/>
        <v>0</v>
      </c>
      <c r="Z138" s="12" t="e">
        <f t="shared" si="66"/>
        <v>#DIV/0!</v>
      </c>
      <c r="AA138" s="12"/>
      <c r="AB138" s="13">
        <f t="shared" si="67"/>
        <v>0</v>
      </c>
      <c r="AC138" s="12">
        <f t="shared" si="49"/>
        <v>0</v>
      </c>
      <c r="AD138" s="12" t="str">
        <f t="shared" si="68"/>
        <v>AVG</v>
      </c>
      <c r="AE138" s="14" t="str">
        <f t="shared" si="69"/>
        <v>VLOW</v>
      </c>
      <c r="AF138" s="12" t="str">
        <f t="shared" si="70"/>
        <v>EXCELLENT</v>
      </c>
      <c r="AG138" s="12" t="str">
        <f t="shared" si="59"/>
        <v>MEN</v>
      </c>
      <c r="AH138" s="12" t="e">
        <f t="shared" si="71"/>
        <v>#DIV/0!</v>
      </c>
      <c r="AI138" s="15">
        <f>G138-E138</f>
        <v>56.69291338582677</v>
      </c>
      <c r="AJ138" s="25" t="str">
        <f t="shared" si="60"/>
        <v>CONGRESSGAIN</v>
      </c>
      <c r="AK138" s="14" t="str">
        <f t="shared" si="72"/>
        <v>VERYHIGHMARGIN</v>
      </c>
    </row>
    <row r="139" spans="1:37">
      <c r="A139" s="7">
        <v>136</v>
      </c>
      <c r="B139" s="8" t="s">
        <v>270</v>
      </c>
      <c r="C139" s="7">
        <v>744</v>
      </c>
      <c r="D139" s="7">
        <v>352</v>
      </c>
      <c r="E139" s="7">
        <f t="shared" si="53"/>
        <v>47.311827956989248</v>
      </c>
      <c r="F139" s="7">
        <v>370</v>
      </c>
      <c r="G139" s="7">
        <f t="shared" si="54"/>
        <v>49.731182795698928</v>
      </c>
      <c r="H139" s="7">
        <v>4</v>
      </c>
      <c r="I139" s="7">
        <f t="shared" si="55"/>
        <v>0.53763440860215062</v>
      </c>
      <c r="J139" s="7">
        <v>12</v>
      </c>
      <c r="K139" s="7">
        <f t="shared" si="56"/>
        <v>1.6129032258064515</v>
      </c>
      <c r="L139" s="9">
        <v>428</v>
      </c>
      <c r="M139" s="9">
        <v>725</v>
      </c>
      <c r="N139" s="9">
        <f t="shared" si="57"/>
        <v>1153</v>
      </c>
      <c r="O139" s="7">
        <v>744</v>
      </c>
      <c r="P139" s="10">
        <f t="shared" si="61"/>
        <v>64.52732003469211</v>
      </c>
      <c r="Q139" s="7">
        <f>405+174</f>
        <v>579</v>
      </c>
      <c r="R139" s="7">
        <f t="shared" si="62"/>
        <v>50.21682567215958</v>
      </c>
      <c r="S139" s="21">
        <f t="shared" si="58"/>
        <v>174</v>
      </c>
      <c r="T139" s="7">
        <f t="shared" si="63"/>
        <v>30.051813471502591</v>
      </c>
      <c r="U139" s="7">
        <v>405</v>
      </c>
      <c r="V139" s="11">
        <f t="shared" si="64"/>
        <v>69.948186528497416</v>
      </c>
      <c r="W139" s="7">
        <f>121+70+212+214</f>
        <v>617</v>
      </c>
      <c r="X139" s="7">
        <f t="shared" si="65"/>
        <v>49.78317432784042</v>
      </c>
      <c r="Y139" s="17">
        <f t="shared" si="73"/>
        <v>278</v>
      </c>
      <c r="Z139" s="12">
        <f t="shared" si="66"/>
        <v>45.056726094003238</v>
      </c>
      <c r="AA139" s="12">
        <v>339</v>
      </c>
      <c r="AB139" s="13">
        <f t="shared" si="67"/>
        <v>54.943273905996762</v>
      </c>
      <c r="AC139" s="12">
        <f t="shared" si="49"/>
        <v>744</v>
      </c>
      <c r="AD139" s="12" t="str">
        <f t="shared" si="68"/>
        <v>AVG</v>
      </c>
      <c r="AE139" s="14" t="str">
        <f t="shared" si="69"/>
        <v>WEAK</v>
      </c>
      <c r="AF139" s="12" t="str">
        <f t="shared" si="70"/>
        <v>VLOW</v>
      </c>
      <c r="AG139" s="12" t="str">
        <f t="shared" si="59"/>
        <v>FEMALE DOM</v>
      </c>
      <c r="AH139" s="12" t="str">
        <f t="shared" si="71"/>
        <v>O</v>
      </c>
      <c r="AI139" s="15">
        <f>G139-E139</f>
        <v>2.4193548387096797</v>
      </c>
      <c r="AJ139" s="25" t="str">
        <f t="shared" si="60"/>
        <v>CONGRESSGAIN</v>
      </c>
      <c r="AK139" s="15" t="str">
        <f t="shared" si="72"/>
        <v>NARROWMARGIN</v>
      </c>
    </row>
    <row r="140" spans="1:37">
      <c r="A140" s="7">
        <v>137</v>
      </c>
      <c r="B140" s="8" t="s">
        <v>271</v>
      </c>
      <c r="C140" s="7">
        <v>651</v>
      </c>
      <c r="D140" s="7">
        <v>405</v>
      </c>
      <c r="E140" s="7">
        <f t="shared" si="53"/>
        <v>62.21198156682027</v>
      </c>
      <c r="F140" s="7">
        <v>232</v>
      </c>
      <c r="G140" s="7">
        <f t="shared" si="54"/>
        <v>35.637480798771122</v>
      </c>
      <c r="H140" s="7">
        <v>2</v>
      </c>
      <c r="I140" s="7">
        <f t="shared" si="55"/>
        <v>0.30721966205837176</v>
      </c>
      <c r="J140" s="7">
        <v>2</v>
      </c>
      <c r="K140" s="7">
        <f t="shared" si="56"/>
        <v>0.30721966205837176</v>
      </c>
      <c r="L140" s="9">
        <v>488</v>
      </c>
      <c r="M140" s="9">
        <v>485</v>
      </c>
      <c r="N140" s="9">
        <f t="shared" si="57"/>
        <v>973</v>
      </c>
      <c r="O140" s="7">
        <v>651</v>
      </c>
      <c r="P140" s="10">
        <f t="shared" si="61"/>
        <v>66.906474820143885</v>
      </c>
      <c r="Q140" s="7"/>
      <c r="R140" s="7">
        <f t="shared" si="62"/>
        <v>0</v>
      </c>
      <c r="S140" s="7">
        <f t="shared" si="58"/>
        <v>0</v>
      </c>
      <c r="T140" s="7" t="e">
        <f t="shared" si="63"/>
        <v>#DIV/0!</v>
      </c>
      <c r="U140" s="7"/>
      <c r="V140" s="11">
        <f t="shared" si="64"/>
        <v>0</v>
      </c>
      <c r="W140" s="7"/>
      <c r="X140" s="7">
        <f t="shared" si="65"/>
        <v>100</v>
      </c>
      <c r="Y140" s="7">
        <f t="shared" si="73"/>
        <v>0</v>
      </c>
      <c r="Z140" s="12" t="e">
        <f t="shared" si="66"/>
        <v>#DIV/0!</v>
      </c>
      <c r="AA140" s="12"/>
      <c r="AB140" s="13">
        <f t="shared" si="67"/>
        <v>0</v>
      </c>
      <c r="AC140" s="12">
        <f t="shared" si="49"/>
        <v>0</v>
      </c>
      <c r="AD140" s="12" t="str">
        <f t="shared" si="68"/>
        <v>AVG</v>
      </c>
      <c r="AE140" s="14" t="str">
        <f t="shared" si="69"/>
        <v>VLOW</v>
      </c>
      <c r="AF140" s="12" t="str">
        <f t="shared" si="70"/>
        <v>EXCELLENT</v>
      </c>
      <c r="AG140" s="12" t="str">
        <f t="shared" si="59"/>
        <v>MEN</v>
      </c>
      <c r="AH140" s="12" t="e">
        <f t="shared" si="71"/>
        <v>#DIV/0!</v>
      </c>
      <c r="AI140" s="15">
        <f>E140-G140</f>
        <v>26.574500768049148</v>
      </c>
      <c r="AJ140" s="16" t="str">
        <f t="shared" si="60"/>
        <v>BJP GAIN</v>
      </c>
      <c r="AK140" s="15" t="str">
        <f t="shared" si="72"/>
        <v>LOWMARGIN</v>
      </c>
    </row>
    <row r="141" spans="1:37">
      <c r="A141" s="7">
        <v>138</v>
      </c>
      <c r="B141" s="8" t="s">
        <v>272</v>
      </c>
      <c r="C141" s="7">
        <v>625</v>
      </c>
      <c r="D141" s="7">
        <v>438</v>
      </c>
      <c r="E141" s="7">
        <f t="shared" si="53"/>
        <v>70.08</v>
      </c>
      <c r="F141" s="7">
        <v>172</v>
      </c>
      <c r="G141" s="7">
        <f t="shared" si="54"/>
        <v>27.52</v>
      </c>
      <c r="H141" s="7">
        <v>4</v>
      </c>
      <c r="I141" s="7">
        <f t="shared" si="55"/>
        <v>0.64</v>
      </c>
      <c r="J141" s="7">
        <v>6</v>
      </c>
      <c r="K141" s="7">
        <f t="shared" si="56"/>
        <v>0.96</v>
      </c>
      <c r="L141" s="9">
        <v>454</v>
      </c>
      <c r="M141" s="9">
        <v>471</v>
      </c>
      <c r="N141" s="9">
        <f t="shared" si="57"/>
        <v>925</v>
      </c>
      <c r="O141" s="7">
        <v>625</v>
      </c>
      <c r="P141" s="10">
        <f t="shared" si="61"/>
        <v>67.567567567567565</v>
      </c>
      <c r="Q141" s="7">
        <v>765</v>
      </c>
      <c r="R141" s="7">
        <f t="shared" si="62"/>
        <v>82.702702702702709</v>
      </c>
      <c r="S141" s="7">
        <f t="shared" si="58"/>
        <v>247</v>
      </c>
      <c r="T141" s="7">
        <f t="shared" si="63"/>
        <v>32.287581699346404</v>
      </c>
      <c r="U141" s="7">
        <v>518</v>
      </c>
      <c r="V141" s="11">
        <f t="shared" si="64"/>
        <v>67.712418300653596</v>
      </c>
      <c r="W141" s="7">
        <f>925-765</f>
        <v>160</v>
      </c>
      <c r="X141" s="7">
        <f t="shared" si="65"/>
        <v>17.297297297297291</v>
      </c>
      <c r="Y141" s="7">
        <f t="shared" si="73"/>
        <v>53</v>
      </c>
      <c r="Z141" s="12">
        <f t="shared" si="66"/>
        <v>33.125</v>
      </c>
      <c r="AA141" s="12">
        <f>625-518</f>
        <v>107</v>
      </c>
      <c r="AB141" s="13">
        <f t="shared" si="67"/>
        <v>66.875</v>
      </c>
      <c r="AC141" s="12">
        <f t="shared" si="49"/>
        <v>625</v>
      </c>
      <c r="AD141" s="12" t="str">
        <f t="shared" si="68"/>
        <v>AVG</v>
      </c>
      <c r="AE141" s="14" t="str">
        <f t="shared" si="69"/>
        <v>EXCELLENT</v>
      </c>
      <c r="AF141" s="12" t="str">
        <f t="shared" si="70"/>
        <v>VLOW</v>
      </c>
      <c r="AG141" s="12" t="str">
        <f t="shared" si="59"/>
        <v>FEMALE DOM</v>
      </c>
      <c r="AH141" s="12" t="str">
        <f t="shared" si="71"/>
        <v>O</v>
      </c>
      <c r="AI141" s="15">
        <f>E141-G141</f>
        <v>42.56</v>
      </c>
      <c r="AJ141" s="16" t="str">
        <f t="shared" si="60"/>
        <v>BJP GAIN</v>
      </c>
      <c r="AK141" s="19" t="str">
        <f t="shared" si="72"/>
        <v>HIGHMARGIN</v>
      </c>
    </row>
    <row r="142" spans="1:37">
      <c r="A142" s="7">
        <v>139</v>
      </c>
      <c r="B142" s="8" t="s">
        <v>273</v>
      </c>
      <c r="C142" s="7">
        <v>515</v>
      </c>
      <c r="D142" s="7">
        <v>283</v>
      </c>
      <c r="E142" s="7">
        <f t="shared" si="53"/>
        <v>54.951456310679617</v>
      </c>
      <c r="F142" s="7">
        <v>218</v>
      </c>
      <c r="G142" s="7">
        <f t="shared" si="54"/>
        <v>42.33009708737864</v>
      </c>
      <c r="H142" s="7">
        <v>1</v>
      </c>
      <c r="I142" s="7">
        <f t="shared" si="55"/>
        <v>0.1941747572815534</v>
      </c>
      <c r="J142" s="7">
        <v>6</v>
      </c>
      <c r="K142" s="7">
        <f t="shared" si="56"/>
        <v>1.1650485436893203</v>
      </c>
      <c r="L142" s="9">
        <v>310</v>
      </c>
      <c r="M142" s="9">
        <v>415</v>
      </c>
      <c r="N142" s="9">
        <f t="shared" si="57"/>
        <v>725</v>
      </c>
      <c r="O142" s="7">
        <v>515</v>
      </c>
      <c r="P142" s="10">
        <f t="shared" si="61"/>
        <v>71.034482758620683</v>
      </c>
      <c r="Q142" s="7">
        <v>552</v>
      </c>
      <c r="R142" s="7">
        <f t="shared" si="62"/>
        <v>76.137931034482747</v>
      </c>
      <c r="S142" s="7">
        <f t="shared" si="58"/>
        <v>121</v>
      </c>
      <c r="T142" s="7">
        <f t="shared" si="63"/>
        <v>21.920289855072465</v>
      </c>
      <c r="U142" s="7">
        <v>431</v>
      </c>
      <c r="V142" s="11">
        <f t="shared" si="64"/>
        <v>78.079710144927532</v>
      </c>
      <c r="W142" s="7">
        <v>173</v>
      </c>
      <c r="X142" s="7">
        <f t="shared" si="65"/>
        <v>23.862068965517253</v>
      </c>
      <c r="Y142" s="17">
        <f t="shared" si="73"/>
        <v>107</v>
      </c>
      <c r="Z142" s="12">
        <f t="shared" si="66"/>
        <v>61.849710982658955</v>
      </c>
      <c r="AA142" s="12">
        <v>66</v>
      </c>
      <c r="AB142" s="13">
        <f t="shared" si="67"/>
        <v>38.150289017341038</v>
      </c>
      <c r="AC142" s="12">
        <f t="shared" si="49"/>
        <v>497</v>
      </c>
      <c r="AD142" s="12" t="str">
        <f t="shared" si="68"/>
        <v>STRONG</v>
      </c>
      <c r="AE142" s="14" t="str">
        <f t="shared" si="69"/>
        <v>STRONG</v>
      </c>
      <c r="AF142" s="12" t="str">
        <f t="shared" si="70"/>
        <v>VLOW</v>
      </c>
      <c r="AG142" s="12" t="str">
        <f t="shared" si="59"/>
        <v>FEMALE DOM</v>
      </c>
      <c r="AH142" s="12" t="str">
        <f t="shared" si="71"/>
        <v>O</v>
      </c>
      <c r="AI142" s="15">
        <f>E142-G142</f>
        <v>12.621359223300978</v>
      </c>
      <c r="AJ142" s="16" t="str">
        <f t="shared" si="60"/>
        <v>BJP GAIN</v>
      </c>
      <c r="AK142" s="15" t="str">
        <f t="shared" si="72"/>
        <v>LOWMARGIN</v>
      </c>
    </row>
    <row r="143" spans="1:37">
      <c r="A143" s="7">
        <v>140</v>
      </c>
      <c r="B143" s="8" t="s">
        <v>274</v>
      </c>
      <c r="C143" s="7">
        <v>611</v>
      </c>
      <c r="D143" s="7">
        <v>398</v>
      </c>
      <c r="E143" s="7">
        <f t="shared" si="53"/>
        <v>65.139116202945985</v>
      </c>
      <c r="F143" s="7">
        <v>193</v>
      </c>
      <c r="G143" s="7">
        <f t="shared" si="54"/>
        <v>31.58756137479542</v>
      </c>
      <c r="H143" s="7">
        <v>4</v>
      </c>
      <c r="I143" s="7">
        <f t="shared" si="55"/>
        <v>0.65466448445171854</v>
      </c>
      <c r="J143" s="7">
        <v>11</v>
      </c>
      <c r="K143" s="7">
        <f t="shared" si="56"/>
        <v>1.800327332242226</v>
      </c>
      <c r="L143" s="9">
        <v>429</v>
      </c>
      <c r="M143" s="9">
        <v>482</v>
      </c>
      <c r="N143" s="9">
        <f t="shared" si="57"/>
        <v>911</v>
      </c>
      <c r="O143" s="7">
        <v>611</v>
      </c>
      <c r="P143" s="10">
        <f t="shared" si="61"/>
        <v>67.06915477497256</v>
      </c>
      <c r="Q143" s="7"/>
      <c r="R143" s="7">
        <f t="shared" si="62"/>
        <v>0</v>
      </c>
      <c r="S143" s="21">
        <f t="shared" si="58"/>
        <v>0</v>
      </c>
      <c r="T143" s="7" t="e">
        <f t="shared" si="63"/>
        <v>#DIV/0!</v>
      </c>
      <c r="U143" s="7"/>
      <c r="V143" s="11">
        <f t="shared" si="64"/>
        <v>0</v>
      </c>
      <c r="W143" s="7"/>
      <c r="X143" s="7">
        <f t="shared" si="65"/>
        <v>100</v>
      </c>
      <c r="Y143" s="7">
        <f t="shared" si="73"/>
        <v>0</v>
      </c>
      <c r="Z143" s="12" t="e">
        <f t="shared" si="66"/>
        <v>#DIV/0!</v>
      </c>
      <c r="AA143" s="12"/>
      <c r="AB143" s="13">
        <f t="shared" si="67"/>
        <v>0</v>
      </c>
      <c r="AC143" s="12">
        <f t="shared" si="49"/>
        <v>0</v>
      </c>
      <c r="AD143" s="12" t="str">
        <f t="shared" si="68"/>
        <v>AVG</v>
      </c>
      <c r="AE143" s="14" t="str">
        <f t="shared" si="69"/>
        <v>VLOW</v>
      </c>
      <c r="AF143" s="12" t="str">
        <f t="shared" si="70"/>
        <v>EXCELLENT</v>
      </c>
      <c r="AG143" s="12" t="str">
        <f t="shared" si="59"/>
        <v>FEMALE DOM</v>
      </c>
      <c r="AH143" s="12" t="e">
        <f t="shared" si="71"/>
        <v>#DIV/0!</v>
      </c>
      <c r="AI143" s="15">
        <f>E143-G143</f>
        <v>33.551554828150564</v>
      </c>
      <c r="AJ143" s="16" t="str">
        <f t="shared" si="60"/>
        <v>BJP GAIN</v>
      </c>
      <c r="AK143" s="24" t="str">
        <f t="shared" si="72"/>
        <v>MEDIUMMARGIN</v>
      </c>
    </row>
    <row r="144" spans="1:37">
      <c r="A144" s="7">
        <v>141</v>
      </c>
      <c r="B144" s="8" t="s">
        <v>275</v>
      </c>
      <c r="C144" s="7">
        <v>559</v>
      </c>
      <c r="D144" s="7">
        <v>188</v>
      </c>
      <c r="E144" s="7">
        <f t="shared" si="53"/>
        <v>33.631484794275494</v>
      </c>
      <c r="F144" s="7">
        <v>351</v>
      </c>
      <c r="G144" s="7">
        <f t="shared" si="54"/>
        <v>62.790697674418603</v>
      </c>
      <c r="H144" s="7">
        <v>6</v>
      </c>
      <c r="I144" s="7">
        <f t="shared" si="55"/>
        <v>1.0733452593917709</v>
      </c>
      <c r="J144" s="7">
        <v>5</v>
      </c>
      <c r="K144" s="7">
        <f t="shared" si="56"/>
        <v>0.89445438282647582</v>
      </c>
      <c r="L144" s="9">
        <v>404</v>
      </c>
      <c r="M144" s="9">
        <v>440</v>
      </c>
      <c r="N144" s="9">
        <f t="shared" si="57"/>
        <v>844</v>
      </c>
      <c r="O144" s="7">
        <v>559</v>
      </c>
      <c r="P144" s="10">
        <f t="shared" si="61"/>
        <v>66.232227488151665</v>
      </c>
      <c r="Q144" s="7">
        <v>382</v>
      </c>
      <c r="R144" s="7">
        <f t="shared" si="62"/>
        <v>45.260663507109008</v>
      </c>
      <c r="S144" s="7">
        <f t="shared" si="58"/>
        <v>127</v>
      </c>
      <c r="T144" s="7">
        <f t="shared" si="63"/>
        <v>33.246073298429316</v>
      </c>
      <c r="U144" s="7">
        <v>255</v>
      </c>
      <c r="V144" s="11">
        <f t="shared" si="64"/>
        <v>66.753926701570677</v>
      </c>
      <c r="W144" s="7">
        <f>384+92</f>
        <v>476</v>
      </c>
      <c r="X144" s="7">
        <f t="shared" si="65"/>
        <v>54.739336492890992</v>
      </c>
      <c r="Y144" s="7">
        <f t="shared" si="73"/>
        <v>172</v>
      </c>
      <c r="Z144" s="12">
        <f t="shared" si="66"/>
        <v>36.134453781512605</v>
      </c>
      <c r="AA144" s="12">
        <f>251+53</f>
        <v>304</v>
      </c>
      <c r="AB144" s="13">
        <f t="shared" si="67"/>
        <v>63.865546218487388</v>
      </c>
      <c r="AC144" s="12">
        <f t="shared" si="49"/>
        <v>559</v>
      </c>
      <c r="AD144" s="12" t="str">
        <f t="shared" si="68"/>
        <v>AVG</v>
      </c>
      <c r="AE144" s="14" t="str">
        <f t="shared" si="69"/>
        <v>VLOW</v>
      </c>
      <c r="AF144" s="12" t="str">
        <f t="shared" si="70"/>
        <v>WEAK</v>
      </c>
      <c r="AG144" s="12" t="str">
        <f t="shared" si="59"/>
        <v>FEMALE DOM</v>
      </c>
      <c r="AH144" s="12" t="str">
        <f t="shared" si="71"/>
        <v>O</v>
      </c>
      <c r="AI144" s="15">
        <f>G144-E144</f>
        <v>29.159212880143109</v>
      </c>
      <c r="AJ144" s="25" t="str">
        <f t="shared" si="60"/>
        <v>CONGRESSGAIN</v>
      </c>
      <c r="AK144" s="15" t="str">
        <f t="shared" si="72"/>
        <v>LOWMARGIN</v>
      </c>
    </row>
    <row r="145" spans="1:37">
      <c r="A145" s="7">
        <v>142</v>
      </c>
      <c r="B145" s="8" t="s">
        <v>276</v>
      </c>
      <c r="C145" s="7">
        <v>960</v>
      </c>
      <c r="D145" s="7">
        <v>362</v>
      </c>
      <c r="E145" s="7">
        <f t="shared" si="53"/>
        <v>37.708333333333336</v>
      </c>
      <c r="F145" s="7">
        <v>534</v>
      </c>
      <c r="G145" s="7">
        <f t="shared" si="54"/>
        <v>55.625</v>
      </c>
      <c r="H145" s="7">
        <v>8</v>
      </c>
      <c r="I145" s="7">
        <f t="shared" si="55"/>
        <v>0.83333333333333337</v>
      </c>
      <c r="J145" s="7">
        <v>11</v>
      </c>
      <c r="K145" s="7">
        <f t="shared" si="56"/>
        <v>1.1458333333333333</v>
      </c>
      <c r="L145" s="9">
        <v>808</v>
      </c>
      <c r="M145" s="9">
        <v>777</v>
      </c>
      <c r="N145" s="9">
        <f t="shared" si="57"/>
        <v>1585</v>
      </c>
      <c r="O145" s="7">
        <v>960</v>
      </c>
      <c r="P145" s="10">
        <f t="shared" si="61"/>
        <v>60.56782334384858</v>
      </c>
      <c r="Q145" s="7"/>
      <c r="R145" s="7">
        <f t="shared" si="62"/>
        <v>0</v>
      </c>
      <c r="S145" s="7">
        <f t="shared" si="58"/>
        <v>0</v>
      </c>
      <c r="T145" s="7" t="e">
        <f t="shared" si="63"/>
        <v>#DIV/0!</v>
      </c>
      <c r="U145" s="7"/>
      <c r="V145" s="11">
        <f t="shared" si="64"/>
        <v>0</v>
      </c>
      <c r="W145" s="7"/>
      <c r="X145" s="7">
        <f t="shared" si="65"/>
        <v>100</v>
      </c>
      <c r="Y145" s="17">
        <f t="shared" si="73"/>
        <v>0</v>
      </c>
      <c r="Z145" s="12" t="e">
        <f t="shared" si="66"/>
        <v>#DIV/0!</v>
      </c>
      <c r="AA145" s="12"/>
      <c r="AB145" s="13">
        <f t="shared" si="67"/>
        <v>0</v>
      </c>
      <c r="AC145" s="12">
        <f t="shared" si="49"/>
        <v>0</v>
      </c>
      <c r="AD145" s="12" t="str">
        <f t="shared" si="68"/>
        <v>AVG</v>
      </c>
      <c r="AE145" s="14" t="str">
        <f t="shared" si="69"/>
        <v>VLOW</v>
      </c>
      <c r="AF145" s="12" t="str">
        <f t="shared" si="70"/>
        <v>EXCELLENT</v>
      </c>
      <c r="AG145" s="12" t="str">
        <f t="shared" si="59"/>
        <v>MEN</v>
      </c>
      <c r="AH145" s="12" t="e">
        <f t="shared" si="71"/>
        <v>#DIV/0!</v>
      </c>
      <c r="AI145" s="15">
        <f>G145-E145</f>
        <v>17.916666666666664</v>
      </c>
      <c r="AJ145" s="25" t="str">
        <f t="shared" si="60"/>
        <v>CONGRESSGAIN</v>
      </c>
      <c r="AK145" s="15" t="str">
        <f t="shared" si="72"/>
        <v>LOWMARGIN</v>
      </c>
    </row>
    <row r="146" spans="1:37">
      <c r="A146" s="7">
        <v>143</v>
      </c>
      <c r="B146" s="8" t="s">
        <v>277</v>
      </c>
      <c r="C146" s="7">
        <v>765</v>
      </c>
      <c r="D146" s="7">
        <v>469</v>
      </c>
      <c r="E146" s="7">
        <f t="shared" si="53"/>
        <v>61.307189542483663</v>
      </c>
      <c r="F146" s="7">
        <v>256</v>
      </c>
      <c r="G146" s="7">
        <f t="shared" si="54"/>
        <v>33.464052287581694</v>
      </c>
      <c r="H146" s="7">
        <v>5</v>
      </c>
      <c r="I146" s="7">
        <f t="shared" si="55"/>
        <v>0.65359477124183007</v>
      </c>
      <c r="J146" s="7">
        <v>13</v>
      </c>
      <c r="K146" s="7">
        <f t="shared" si="56"/>
        <v>1.6993464052287581</v>
      </c>
      <c r="L146" s="9">
        <v>531</v>
      </c>
      <c r="M146" s="9">
        <v>602</v>
      </c>
      <c r="N146" s="9">
        <f t="shared" si="57"/>
        <v>1133</v>
      </c>
      <c r="O146" s="7">
        <v>765</v>
      </c>
      <c r="P146" s="10">
        <f t="shared" si="61"/>
        <v>67.519858781994699</v>
      </c>
      <c r="Q146" s="7"/>
      <c r="R146" s="7">
        <f t="shared" si="62"/>
        <v>0</v>
      </c>
      <c r="S146" s="7">
        <f t="shared" si="58"/>
        <v>0</v>
      </c>
      <c r="T146" s="7" t="e">
        <f t="shared" si="63"/>
        <v>#DIV/0!</v>
      </c>
      <c r="U146" s="7"/>
      <c r="V146" s="11">
        <f t="shared" si="64"/>
        <v>0</v>
      </c>
      <c r="W146" s="7"/>
      <c r="X146" s="7">
        <f t="shared" si="65"/>
        <v>100</v>
      </c>
      <c r="Y146" s="7">
        <f t="shared" si="73"/>
        <v>0</v>
      </c>
      <c r="Z146" s="12" t="e">
        <f t="shared" si="66"/>
        <v>#DIV/0!</v>
      </c>
      <c r="AA146" s="12"/>
      <c r="AB146" s="13">
        <f t="shared" si="67"/>
        <v>0</v>
      </c>
      <c r="AC146" s="12">
        <f t="shared" si="49"/>
        <v>0</v>
      </c>
      <c r="AD146" s="12" t="str">
        <f t="shared" si="68"/>
        <v>AVG</v>
      </c>
      <c r="AE146" s="14" t="str">
        <f t="shared" si="69"/>
        <v>VLOW</v>
      </c>
      <c r="AF146" s="12" t="str">
        <f t="shared" si="70"/>
        <v>EXCELLENT</v>
      </c>
      <c r="AG146" s="12" t="str">
        <f t="shared" si="59"/>
        <v>FEMALE DOM</v>
      </c>
      <c r="AH146" s="12" t="e">
        <f t="shared" si="71"/>
        <v>#DIV/0!</v>
      </c>
      <c r="AI146" s="15">
        <f>E146-G146</f>
        <v>27.843137254901968</v>
      </c>
      <c r="AJ146" s="16" t="str">
        <f t="shared" si="60"/>
        <v>BJP GAIN</v>
      </c>
      <c r="AK146" s="15" t="str">
        <f t="shared" si="72"/>
        <v>LOWMARGIN</v>
      </c>
    </row>
    <row r="147" spans="1:37">
      <c r="A147" s="7">
        <v>144</v>
      </c>
      <c r="B147" s="8" t="s">
        <v>278</v>
      </c>
      <c r="C147" s="7">
        <v>426</v>
      </c>
      <c r="D147" s="7">
        <v>22</v>
      </c>
      <c r="E147" s="7">
        <f t="shared" si="53"/>
        <v>5.164319248826291</v>
      </c>
      <c r="F147" s="7">
        <v>395</v>
      </c>
      <c r="G147" s="7">
        <f t="shared" si="54"/>
        <v>92.72300469483568</v>
      </c>
      <c r="H147" s="7">
        <v>3</v>
      </c>
      <c r="I147" s="7">
        <f t="shared" si="55"/>
        <v>0.70422535211267612</v>
      </c>
      <c r="J147" s="7">
        <v>1</v>
      </c>
      <c r="K147" s="7">
        <f t="shared" si="56"/>
        <v>0.23474178403755869</v>
      </c>
      <c r="L147" s="9">
        <v>281</v>
      </c>
      <c r="M147" s="9">
        <v>278</v>
      </c>
      <c r="N147" s="9">
        <f t="shared" si="57"/>
        <v>559</v>
      </c>
      <c r="O147" s="7">
        <v>426</v>
      </c>
      <c r="P147" s="10">
        <f t="shared" si="61"/>
        <v>76.207513416815743</v>
      </c>
      <c r="Q147" s="7">
        <v>34</v>
      </c>
      <c r="R147" s="7">
        <f t="shared" si="62"/>
        <v>6.0822898032200357</v>
      </c>
      <c r="S147" s="21">
        <f t="shared" si="58"/>
        <v>24</v>
      </c>
      <c r="T147" s="7">
        <f t="shared" si="63"/>
        <v>70.588235294117652</v>
      </c>
      <c r="U147" s="7">
        <v>10</v>
      </c>
      <c r="V147" s="11">
        <f t="shared" si="64"/>
        <v>29.411764705882355</v>
      </c>
      <c r="W147" s="7">
        <v>525</v>
      </c>
      <c r="X147" s="7">
        <f t="shared" si="65"/>
        <v>93.917710196779964</v>
      </c>
      <c r="Y147" s="7">
        <f t="shared" si="73"/>
        <v>115</v>
      </c>
      <c r="Z147" s="12">
        <f t="shared" si="66"/>
        <v>21.904761904761905</v>
      </c>
      <c r="AA147" s="12">
        <v>410</v>
      </c>
      <c r="AB147" s="13">
        <f t="shared" si="67"/>
        <v>78.095238095238102</v>
      </c>
      <c r="AC147" s="12">
        <f t="shared" si="49"/>
        <v>420</v>
      </c>
      <c r="AD147" s="12" t="str">
        <f t="shared" si="68"/>
        <v>STRONG</v>
      </c>
      <c r="AE147" s="14" t="str">
        <f t="shared" si="69"/>
        <v>VLOW</v>
      </c>
      <c r="AF147" s="12" t="str">
        <f t="shared" si="70"/>
        <v>EXCELLENT</v>
      </c>
      <c r="AG147" s="12" t="str">
        <f t="shared" si="59"/>
        <v>MEN</v>
      </c>
      <c r="AH147" s="12" t="str">
        <f t="shared" si="71"/>
        <v>H</v>
      </c>
      <c r="AI147" s="15">
        <f t="shared" ref="AI147:AI157" si="74">G147-E147</f>
        <v>87.558685446009392</v>
      </c>
      <c r="AJ147" s="25" t="str">
        <f t="shared" si="60"/>
        <v>CONGRESSGAIN</v>
      </c>
      <c r="AK147" s="14" t="str">
        <f t="shared" si="72"/>
        <v>VERYHIGHMARGIN</v>
      </c>
    </row>
    <row r="148" spans="1:37">
      <c r="A148" s="7">
        <v>145</v>
      </c>
      <c r="B148" s="8" t="s">
        <v>279</v>
      </c>
      <c r="C148" s="7">
        <v>661</v>
      </c>
      <c r="D148" s="7">
        <v>35</v>
      </c>
      <c r="E148" s="7">
        <f t="shared" si="53"/>
        <v>5.2950075642965198</v>
      </c>
      <c r="F148" s="7">
        <v>606</v>
      </c>
      <c r="G148" s="7">
        <f t="shared" si="54"/>
        <v>91.679273827534033</v>
      </c>
      <c r="H148" s="7">
        <v>2</v>
      </c>
      <c r="I148" s="7">
        <f t="shared" si="55"/>
        <v>0.30257186081694404</v>
      </c>
      <c r="J148" s="7">
        <v>2</v>
      </c>
      <c r="K148" s="7">
        <f t="shared" si="56"/>
        <v>0.30257186081694404</v>
      </c>
      <c r="L148" s="9">
        <v>312</v>
      </c>
      <c r="M148" s="9">
        <v>559</v>
      </c>
      <c r="N148" s="9">
        <f t="shared" si="57"/>
        <v>871</v>
      </c>
      <c r="O148" s="7">
        <v>661</v>
      </c>
      <c r="P148" s="10">
        <f t="shared" si="61"/>
        <v>75.889781859931119</v>
      </c>
      <c r="Q148" s="7">
        <v>116</v>
      </c>
      <c r="R148" s="7">
        <f t="shared" si="62"/>
        <v>13.318025258323765</v>
      </c>
      <c r="S148" s="7">
        <f t="shared" si="58"/>
        <v>70</v>
      </c>
      <c r="T148" s="7">
        <f t="shared" si="63"/>
        <v>60.344827586206897</v>
      </c>
      <c r="U148" s="7">
        <v>46</v>
      </c>
      <c r="V148" s="11">
        <f t="shared" si="64"/>
        <v>39.655172413793103</v>
      </c>
      <c r="W148" s="7">
        <v>725</v>
      </c>
      <c r="X148" s="7">
        <f t="shared" si="65"/>
        <v>86.681974741676243</v>
      </c>
      <c r="Y148" s="17">
        <f t="shared" si="73"/>
        <v>725</v>
      </c>
      <c r="Z148" s="12">
        <f t="shared" si="66"/>
        <v>100</v>
      </c>
      <c r="AA148" s="12"/>
      <c r="AB148" s="13">
        <f t="shared" si="67"/>
        <v>0</v>
      </c>
      <c r="AC148" s="12">
        <f t="shared" si="49"/>
        <v>46</v>
      </c>
      <c r="AD148" s="12" t="str">
        <f t="shared" si="68"/>
        <v>STRONG</v>
      </c>
      <c r="AE148" s="14" t="str">
        <f t="shared" si="69"/>
        <v>VLOW</v>
      </c>
      <c r="AF148" s="12" t="str">
        <f t="shared" si="70"/>
        <v>EXCELLENT</v>
      </c>
      <c r="AG148" s="12" t="str">
        <f t="shared" si="59"/>
        <v>FEMALE DOM</v>
      </c>
      <c r="AH148" s="12" t="str">
        <f t="shared" si="71"/>
        <v>O</v>
      </c>
      <c r="AI148" s="15">
        <f t="shared" si="74"/>
        <v>86.384266263237507</v>
      </c>
      <c r="AJ148" s="25" t="str">
        <f t="shared" si="60"/>
        <v>CONGRESSGAIN</v>
      </c>
      <c r="AK148" s="14" t="str">
        <f t="shared" si="72"/>
        <v>VERYHIGHMARGIN</v>
      </c>
    </row>
    <row r="149" spans="1:37">
      <c r="A149" s="7">
        <v>146</v>
      </c>
      <c r="B149" s="8" t="s">
        <v>280</v>
      </c>
      <c r="C149" s="7">
        <v>532</v>
      </c>
      <c r="D149" s="7">
        <v>44</v>
      </c>
      <c r="E149" s="7">
        <f t="shared" si="53"/>
        <v>8.2706766917293226</v>
      </c>
      <c r="F149" s="7">
        <v>485</v>
      </c>
      <c r="G149" s="7">
        <f t="shared" si="54"/>
        <v>91.165413533834581</v>
      </c>
      <c r="H149" s="7">
        <v>1</v>
      </c>
      <c r="I149" s="7">
        <f t="shared" si="55"/>
        <v>0.18796992481203006</v>
      </c>
      <c r="J149" s="7">
        <v>0</v>
      </c>
      <c r="K149" s="7">
        <f t="shared" si="56"/>
        <v>0</v>
      </c>
      <c r="L149" s="9">
        <v>438</v>
      </c>
      <c r="M149" s="9">
        <v>625</v>
      </c>
      <c r="N149" s="9">
        <f t="shared" si="57"/>
        <v>1063</v>
      </c>
      <c r="O149" s="7">
        <v>532</v>
      </c>
      <c r="P149" s="10">
        <f t="shared" si="61"/>
        <v>50.047036688617119</v>
      </c>
      <c r="Q149" s="7">
        <v>157</v>
      </c>
      <c r="R149" s="7">
        <f t="shared" si="62"/>
        <v>14.769520225776105</v>
      </c>
      <c r="S149" s="7">
        <f t="shared" si="58"/>
        <v>67</v>
      </c>
      <c r="T149" s="7">
        <f t="shared" si="63"/>
        <v>42.675159235668794</v>
      </c>
      <c r="U149" s="7">
        <v>90</v>
      </c>
      <c r="V149" s="11">
        <f t="shared" si="64"/>
        <v>57.324840764331206</v>
      </c>
      <c r="W149" s="7">
        <v>897</v>
      </c>
      <c r="X149" s="7">
        <f t="shared" si="65"/>
        <v>85.230479774223895</v>
      </c>
      <c r="Y149" s="7">
        <f t="shared" si="73"/>
        <v>457</v>
      </c>
      <c r="Z149" s="12">
        <f t="shared" si="66"/>
        <v>50.94760312151616</v>
      </c>
      <c r="AA149" s="12">
        <v>440</v>
      </c>
      <c r="AB149" s="13">
        <f t="shared" si="67"/>
        <v>49.052396878483833</v>
      </c>
      <c r="AC149" s="12">
        <f t="shared" si="49"/>
        <v>530</v>
      </c>
      <c r="AD149" s="12" t="str">
        <f t="shared" si="68"/>
        <v>WEAK</v>
      </c>
      <c r="AE149" s="14" t="str">
        <f t="shared" si="69"/>
        <v>VLOW</v>
      </c>
      <c r="AF149" s="12" t="str">
        <f t="shared" si="70"/>
        <v>EXCELLENT</v>
      </c>
      <c r="AG149" s="12" t="str">
        <f t="shared" si="59"/>
        <v>FEMALE DOM</v>
      </c>
      <c r="AH149" s="12" t="str">
        <f t="shared" si="71"/>
        <v>O</v>
      </c>
      <c r="AI149" s="15">
        <f t="shared" si="74"/>
        <v>82.89473684210526</v>
      </c>
      <c r="AJ149" s="25" t="str">
        <f t="shared" si="60"/>
        <v>CONGRESSGAIN</v>
      </c>
      <c r="AK149" s="14" t="str">
        <f t="shared" si="72"/>
        <v>VERYHIGHMARGIN</v>
      </c>
    </row>
    <row r="150" spans="1:37">
      <c r="A150" s="7">
        <v>147</v>
      </c>
      <c r="B150" s="8" t="s">
        <v>281</v>
      </c>
      <c r="C150" s="7">
        <v>528</v>
      </c>
      <c r="D150" s="7">
        <v>51</v>
      </c>
      <c r="E150" s="7">
        <f t="shared" si="53"/>
        <v>9.6590909090909083</v>
      </c>
      <c r="F150" s="7">
        <v>465</v>
      </c>
      <c r="G150" s="7">
        <f t="shared" si="54"/>
        <v>88.068181818181827</v>
      </c>
      <c r="H150" s="7">
        <v>4</v>
      </c>
      <c r="I150" s="7">
        <f t="shared" si="55"/>
        <v>0.75757575757575757</v>
      </c>
      <c r="J150" s="7">
        <v>1</v>
      </c>
      <c r="K150" s="7">
        <f t="shared" si="56"/>
        <v>0.18939393939393939</v>
      </c>
      <c r="L150" s="9">
        <v>335</v>
      </c>
      <c r="M150" s="9">
        <v>577</v>
      </c>
      <c r="N150" s="9">
        <f t="shared" si="57"/>
        <v>912</v>
      </c>
      <c r="O150" s="7">
        <v>528</v>
      </c>
      <c r="P150" s="10">
        <f t="shared" si="61"/>
        <v>57.894736842105267</v>
      </c>
      <c r="Q150" s="7">
        <v>130</v>
      </c>
      <c r="R150" s="7">
        <f t="shared" si="62"/>
        <v>14.254385964912281</v>
      </c>
      <c r="S150" s="7">
        <f t="shared" si="58"/>
        <v>92</v>
      </c>
      <c r="T150" s="7">
        <f t="shared" si="63"/>
        <v>70.769230769230774</v>
      </c>
      <c r="U150" s="7">
        <v>38</v>
      </c>
      <c r="V150" s="11">
        <f t="shared" si="64"/>
        <v>29.230769230769234</v>
      </c>
      <c r="W150" s="7">
        <v>792</v>
      </c>
      <c r="X150" s="7">
        <f t="shared" si="65"/>
        <v>85.745614035087726</v>
      </c>
      <c r="Y150" s="7">
        <f t="shared" si="73"/>
        <v>312</v>
      </c>
      <c r="Z150" s="12">
        <f t="shared" si="66"/>
        <v>39.393939393939391</v>
      </c>
      <c r="AA150" s="12">
        <v>480</v>
      </c>
      <c r="AB150" s="13">
        <f t="shared" si="67"/>
        <v>60.606060606060609</v>
      </c>
      <c r="AC150" s="12">
        <f t="shared" si="49"/>
        <v>518</v>
      </c>
      <c r="AD150" s="12" t="str">
        <f t="shared" si="68"/>
        <v>WEAK</v>
      </c>
      <c r="AE150" s="14" t="str">
        <f t="shared" si="69"/>
        <v>VLOW</v>
      </c>
      <c r="AF150" s="12" t="str">
        <f t="shared" si="70"/>
        <v>EXCELLENT</v>
      </c>
      <c r="AG150" s="12" t="str">
        <f t="shared" si="59"/>
        <v>FEMALE DOM</v>
      </c>
      <c r="AH150" s="12" t="str">
        <f t="shared" si="71"/>
        <v>H</v>
      </c>
      <c r="AI150" s="15">
        <f t="shared" si="74"/>
        <v>78.409090909090921</v>
      </c>
      <c r="AJ150" s="25" t="str">
        <f t="shared" si="60"/>
        <v>CONGRESSGAIN</v>
      </c>
      <c r="AK150" s="14" t="str">
        <f t="shared" si="72"/>
        <v>VERYHIGHMARGIN</v>
      </c>
    </row>
    <row r="151" spans="1:37">
      <c r="A151" s="7">
        <v>148</v>
      </c>
      <c r="B151" s="8" t="s">
        <v>282</v>
      </c>
      <c r="C151" s="7">
        <v>515</v>
      </c>
      <c r="D151" s="7">
        <v>88</v>
      </c>
      <c r="E151" s="7">
        <f t="shared" si="53"/>
        <v>17.087378640776699</v>
      </c>
      <c r="F151" s="7">
        <v>423</v>
      </c>
      <c r="G151" s="7">
        <f t="shared" si="54"/>
        <v>82.135922330097088</v>
      </c>
      <c r="H151" s="7">
        <v>0</v>
      </c>
      <c r="I151" s="7">
        <f t="shared" si="55"/>
        <v>0</v>
      </c>
      <c r="J151" s="7">
        <v>0</v>
      </c>
      <c r="K151" s="7">
        <f t="shared" si="56"/>
        <v>0</v>
      </c>
      <c r="L151" s="9">
        <v>410</v>
      </c>
      <c r="M151" s="9">
        <v>503</v>
      </c>
      <c r="N151" s="9">
        <f t="shared" si="57"/>
        <v>913</v>
      </c>
      <c r="O151" s="7">
        <v>515</v>
      </c>
      <c r="P151" s="10">
        <f t="shared" si="61"/>
        <v>56.407447973713033</v>
      </c>
      <c r="Q151" s="7">
        <v>204</v>
      </c>
      <c r="R151" s="7">
        <f t="shared" si="62"/>
        <v>22.343921139101862</v>
      </c>
      <c r="S151" s="21">
        <f t="shared" si="58"/>
        <v>81</v>
      </c>
      <c r="T151" s="7">
        <f t="shared" si="63"/>
        <v>39.705882352941174</v>
      </c>
      <c r="U151" s="7">
        <v>123</v>
      </c>
      <c r="V151" s="11">
        <f t="shared" si="64"/>
        <v>60.294117647058819</v>
      </c>
      <c r="W151" s="7">
        <f>367+344+15</f>
        <v>726</v>
      </c>
      <c r="X151" s="7">
        <f t="shared" si="65"/>
        <v>77.656078860898134</v>
      </c>
      <c r="Y151" s="17">
        <f t="shared" si="73"/>
        <v>349</v>
      </c>
      <c r="Z151" s="12">
        <f t="shared" si="66"/>
        <v>48.071625344352618</v>
      </c>
      <c r="AA151" s="12">
        <f>184+193</f>
        <v>377</v>
      </c>
      <c r="AB151" s="13">
        <f t="shared" si="67"/>
        <v>51.928374655647382</v>
      </c>
      <c r="AC151" s="12">
        <f t="shared" si="49"/>
        <v>500</v>
      </c>
      <c r="AD151" s="12" t="str">
        <f t="shared" si="68"/>
        <v>WEAK</v>
      </c>
      <c r="AE151" s="14" t="str">
        <f t="shared" si="69"/>
        <v>VLOW</v>
      </c>
      <c r="AF151" s="12" t="str">
        <f t="shared" si="70"/>
        <v>STRONG</v>
      </c>
      <c r="AG151" s="12" t="str">
        <f t="shared" si="59"/>
        <v>FEMALE DOM</v>
      </c>
      <c r="AH151" s="12" t="str">
        <f t="shared" si="71"/>
        <v>O</v>
      </c>
      <c r="AI151" s="15">
        <f t="shared" si="74"/>
        <v>65.048543689320383</v>
      </c>
      <c r="AJ151" s="25" t="str">
        <f t="shared" si="60"/>
        <v>CONGRESSGAIN</v>
      </c>
      <c r="AK151" s="14" t="str">
        <f t="shared" si="72"/>
        <v>VERYHIGHMARGIN</v>
      </c>
    </row>
    <row r="152" spans="1:37">
      <c r="A152" s="7">
        <v>149</v>
      </c>
      <c r="B152" s="8" t="s">
        <v>282</v>
      </c>
      <c r="C152" s="7">
        <v>622</v>
      </c>
      <c r="D152" s="7">
        <v>111</v>
      </c>
      <c r="E152" s="7">
        <f t="shared" si="53"/>
        <v>17.845659163987136</v>
      </c>
      <c r="F152" s="7">
        <v>503</v>
      </c>
      <c r="G152" s="7">
        <f t="shared" si="54"/>
        <v>80.868167202572351</v>
      </c>
      <c r="H152" s="7">
        <v>0</v>
      </c>
      <c r="I152" s="7">
        <f t="shared" si="55"/>
        <v>0</v>
      </c>
      <c r="J152" s="7">
        <v>0</v>
      </c>
      <c r="K152" s="7">
        <f t="shared" si="56"/>
        <v>0</v>
      </c>
      <c r="L152" s="9">
        <v>476</v>
      </c>
      <c r="M152" s="9">
        <v>574</v>
      </c>
      <c r="N152" s="9">
        <f t="shared" si="57"/>
        <v>1050</v>
      </c>
      <c r="O152" s="7">
        <v>622</v>
      </c>
      <c r="P152" s="10">
        <f t="shared" si="61"/>
        <v>59.238095238095234</v>
      </c>
      <c r="Q152" s="7"/>
      <c r="R152" s="7">
        <f t="shared" si="62"/>
        <v>0</v>
      </c>
      <c r="S152" s="7">
        <f t="shared" si="58"/>
        <v>0</v>
      </c>
      <c r="T152" s="7" t="e">
        <f t="shared" si="63"/>
        <v>#DIV/0!</v>
      </c>
      <c r="U152" s="7"/>
      <c r="V152" s="11">
        <f t="shared" si="64"/>
        <v>0</v>
      </c>
      <c r="W152" s="7"/>
      <c r="X152" s="7">
        <f t="shared" si="65"/>
        <v>100</v>
      </c>
      <c r="Y152" s="7">
        <f t="shared" si="73"/>
        <v>0</v>
      </c>
      <c r="Z152" s="12" t="e">
        <f t="shared" si="66"/>
        <v>#DIV/0!</v>
      </c>
      <c r="AA152" s="12"/>
      <c r="AB152" s="13">
        <f t="shared" si="67"/>
        <v>0</v>
      </c>
      <c r="AC152" s="12">
        <f t="shared" si="49"/>
        <v>0</v>
      </c>
      <c r="AD152" s="12" t="str">
        <f t="shared" si="68"/>
        <v>WEAK</v>
      </c>
      <c r="AE152" s="14" t="str">
        <f t="shared" si="69"/>
        <v>VLOW</v>
      </c>
      <c r="AF152" s="12" t="str">
        <f t="shared" si="70"/>
        <v>EXCELLENT</v>
      </c>
      <c r="AG152" s="12" t="str">
        <f t="shared" si="59"/>
        <v>FEMALE DOM</v>
      </c>
      <c r="AH152" s="12" t="e">
        <f t="shared" si="71"/>
        <v>#DIV/0!</v>
      </c>
      <c r="AI152" s="15">
        <f t="shared" si="74"/>
        <v>63.022508038585215</v>
      </c>
      <c r="AJ152" s="25" t="str">
        <f t="shared" si="60"/>
        <v>CONGRESSGAIN</v>
      </c>
      <c r="AK152" s="14" t="str">
        <f t="shared" si="72"/>
        <v>VERYHIGHMARGIN</v>
      </c>
    </row>
    <row r="153" spans="1:37">
      <c r="A153" s="7">
        <v>150</v>
      </c>
      <c r="B153" s="8" t="s">
        <v>283</v>
      </c>
      <c r="C153" s="7">
        <v>697</v>
      </c>
      <c r="D153" s="7">
        <v>253</v>
      </c>
      <c r="E153" s="7">
        <f t="shared" si="53"/>
        <v>36.298421807747488</v>
      </c>
      <c r="F153" s="7">
        <v>434</v>
      </c>
      <c r="G153" s="7">
        <f t="shared" si="54"/>
        <v>62.266857962697273</v>
      </c>
      <c r="H153" s="7">
        <v>0</v>
      </c>
      <c r="I153" s="7">
        <f t="shared" si="55"/>
        <v>0</v>
      </c>
      <c r="J153" s="7">
        <v>4</v>
      </c>
      <c r="K153" s="7">
        <f t="shared" si="56"/>
        <v>0.57388809182209477</v>
      </c>
      <c r="L153" s="9">
        <v>591</v>
      </c>
      <c r="M153" s="9">
        <v>644</v>
      </c>
      <c r="N153" s="9">
        <f t="shared" si="57"/>
        <v>1235</v>
      </c>
      <c r="O153" s="7">
        <v>697</v>
      </c>
      <c r="P153" s="10">
        <f t="shared" si="61"/>
        <v>56.43724696356275</v>
      </c>
      <c r="Q153" s="7">
        <v>511</v>
      </c>
      <c r="R153" s="7">
        <f t="shared" si="62"/>
        <v>41.376518218623481</v>
      </c>
      <c r="S153" s="7">
        <f t="shared" si="58"/>
        <v>219</v>
      </c>
      <c r="T153" s="7">
        <f t="shared" si="63"/>
        <v>42.857142857142854</v>
      </c>
      <c r="U153" s="7">
        <v>292</v>
      </c>
      <c r="V153" s="11">
        <f t="shared" si="64"/>
        <v>57.142857142857139</v>
      </c>
      <c r="W153" s="7">
        <v>724</v>
      </c>
      <c r="X153" s="7">
        <f t="shared" si="65"/>
        <v>58.623481781376519</v>
      </c>
      <c r="Y153" s="7">
        <f t="shared" si="73"/>
        <v>394</v>
      </c>
      <c r="Z153" s="12">
        <f t="shared" si="66"/>
        <v>54.41988950276243</v>
      </c>
      <c r="AA153" s="12">
        <v>330</v>
      </c>
      <c r="AB153" s="13">
        <f t="shared" si="67"/>
        <v>45.58011049723757</v>
      </c>
      <c r="AC153" s="12">
        <f t="shared" si="49"/>
        <v>622</v>
      </c>
      <c r="AD153" s="12" t="str">
        <f t="shared" si="68"/>
        <v>WEAK</v>
      </c>
      <c r="AE153" s="14" t="str">
        <f t="shared" si="69"/>
        <v>VLOW</v>
      </c>
      <c r="AF153" s="12" t="str">
        <f t="shared" si="70"/>
        <v>WEAK</v>
      </c>
      <c r="AG153" s="12" t="str">
        <f t="shared" si="59"/>
        <v>FEMALE DOM</v>
      </c>
      <c r="AH153" s="12" t="str">
        <f t="shared" si="71"/>
        <v>O</v>
      </c>
      <c r="AI153" s="15">
        <f t="shared" si="74"/>
        <v>25.968436154949785</v>
      </c>
      <c r="AJ153" s="25" t="str">
        <f t="shared" si="60"/>
        <v>CONGRESSGAIN</v>
      </c>
      <c r="AK153" s="15" t="str">
        <f t="shared" si="72"/>
        <v>LOWMARGIN</v>
      </c>
    </row>
    <row r="154" spans="1:37">
      <c r="A154" s="7">
        <v>151</v>
      </c>
      <c r="B154" s="8" t="s">
        <v>284</v>
      </c>
      <c r="C154" s="7">
        <v>781</v>
      </c>
      <c r="D154" s="7">
        <v>243</v>
      </c>
      <c r="E154" s="7">
        <f t="shared" si="53"/>
        <v>31.113956466069144</v>
      </c>
      <c r="F154" s="7">
        <v>524</v>
      </c>
      <c r="G154" s="7">
        <f t="shared" si="54"/>
        <v>67.093469910371311</v>
      </c>
      <c r="H154" s="7">
        <v>2</v>
      </c>
      <c r="I154" s="7">
        <f t="shared" si="55"/>
        <v>0.25608194622279129</v>
      </c>
      <c r="J154" s="7">
        <v>5</v>
      </c>
      <c r="K154" s="7">
        <f t="shared" si="56"/>
        <v>0.6402048655569782</v>
      </c>
      <c r="L154" s="9">
        <v>671</v>
      </c>
      <c r="M154" s="9">
        <v>723</v>
      </c>
      <c r="N154" s="9">
        <f t="shared" si="57"/>
        <v>1394</v>
      </c>
      <c r="O154" s="7">
        <v>781</v>
      </c>
      <c r="P154" s="10">
        <f t="shared" si="61"/>
        <v>56.025824964131999</v>
      </c>
      <c r="Q154" s="7">
        <v>553</v>
      </c>
      <c r="R154" s="7">
        <f t="shared" si="62"/>
        <v>39.670014347202297</v>
      </c>
      <c r="S154" s="7">
        <f t="shared" si="58"/>
        <v>267</v>
      </c>
      <c r="T154" s="7">
        <f t="shared" si="63"/>
        <v>48.282097649186255</v>
      </c>
      <c r="U154" s="7">
        <v>286</v>
      </c>
      <c r="V154" s="11">
        <f t="shared" si="64"/>
        <v>51.717902350813738</v>
      </c>
      <c r="W154" s="7">
        <f>613+228</f>
        <v>841</v>
      </c>
      <c r="X154" s="7">
        <f t="shared" si="65"/>
        <v>60.329985652797703</v>
      </c>
      <c r="Y154" s="17">
        <f t="shared" si="73"/>
        <v>381</v>
      </c>
      <c r="Z154" s="12">
        <f t="shared" si="66"/>
        <v>45.303210463733649</v>
      </c>
      <c r="AA154" s="12">
        <f>349+111</f>
        <v>460</v>
      </c>
      <c r="AB154" s="13">
        <f t="shared" si="67"/>
        <v>54.696789536266351</v>
      </c>
      <c r="AC154" s="12">
        <f t="shared" si="49"/>
        <v>746</v>
      </c>
      <c r="AD154" s="12" t="str">
        <f t="shared" si="68"/>
        <v>WEAK</v>
      </c>
      <c r="AE154" s="14" t="str">
        <f t="shared" si="69"/>
        <v>VLOW</v>
      </c>
      <c r="AF154" s="12" t="str">
        <f t="shared" si="70"/>
        <v>AVG</v>
      </c>
      <c r="AG154" s="12" t="str">
        <f t="shared" si="59"/>
        <v>FEMALE DOM</v>
      </c>
      <c r="AH154" s="12" t="str">
        <f t="shared" si="71"/>
        <v>H</v>
      </c>
      <c r="AI154" s="15">
        <f t="shared" si="74"/>
        <v>35.979513444302171</v>
      </c>
      <c r="AJ154" s="25" t="str">
        <f t="shared" si="60"/>
        <v>CONGRESSGAIN</v>
      </c>
      <c r="AK154" s="24" t="str">
        <f t="shared" si="72"/>
        <v>MEDIUMMARGIN</v>
      </c>
    </row>
    <row r="155" spans="1:37">
      <c r="A155" s="7">
        <v>152</v>
      </c>
      <c r="B155" s="8" t="s">
        <v>285</v>
      </c>
      <c r="C155" s="7">
        <v>664</v>
      </c>
      <c r="D155" s="7">
        <v>182</v>
      </c>
      <c r="E155" s="7">
        <f t="shared" si="53"/>
        <v>27.409638554216869</v>
      </c>
      <c r="F155" s="7">
        <v>478</v>
      </c>
      <c r="G155" s="7">
        <f t="shared" si="54"/>
        <v>71.98795180722891</v>
      </c>
      <c r="H155" s="7">
        <v>1</v>
      </c>
      <c r="I155" s="7">
        <f t="shared" si="55"/>
        <v>0.15060240963855423</v>
      </c>
      <c r="J155" s="7">
        <v>1</v>
      </c>
      <c r="K155" s="7">
        <f t="shared" si="56"/>
        <v>0.15060240963855423</v>
      </c>
      <c r="L155" s="9">
        <v>514</v>
      </c>
      <c r="M155" s="9">
        <v>622</v>
      </c>
      <c r="N155" s="9">
        <f t="shared" si="57"/>
        <v>1136</v>
      </c>
      <c r="O155" s="7">
        <v>664</v>
      </c>
      <c r="P155" s="10">
        <f t="shared" si="61"/>
        <v>58.450704225352112</v>
      </c>
      <c r="Q155" s="7">
        <v>389</v>
      </c>
      <c r="R155" s="7">
        <f t="shared" si="62"/>
        <v>34.242957746478872</v>
      </c>
      <c r="S155" s="21">
        <f t="shared" si="58"/>
        <v>163</v>
      </c>
      <c r="T155" s="7">
        <f t="shared" si="63"/>
        <v>41.902313624678662</v>
      </c>
      <c r="U155" s="7">
        <v>226</v>
      </c>
      <c r="V155" s="11">
        <f t="shared" si="64"/>
        <v>58.097686375321331</v>
      </c>
      <c r="W155" s="7">
        <v>750</v>
      </c>
      <c r="X155" s="7">
        <f t="shared" si="65"/>
        <v>65.757042253521121</v>
      </c>
      <c r="Y155" s="7">
        <f t="shared" si="73"/>
        <v>312</v>
      </c>
      <c r="Z155" s="12">
        <f t="shared" si="66"/>
        <v>41.6</v>
      </c>
      <c r="AA155" s="12">
        <v>438</v>
      </c>
      <c r="AB155" s="13">
        <f t="shared" si="67"/>
        <v>58.4</v>
      </c>
      <c r="AC155" s="12">
        <f t="shared" si="49"/>
        <v>664</v>
      </c>
      <c r="AD155" s="12" t="str">
        <f t="shared" si="68"/>
        <v>WEAK</v>
      </c>
      <c r="AE155" s="14" t="str">
        <f t="shared" si="69"/>
        <v>VLOW</v>
      </c>
      <c r="AF155" s="12" t="str">
        <f t="shared" si="70"/>
        <v>AVG</v>
      </c>
      <c r="AG155" s="12" t="str">
        <f t="shared" si="59"/>
        <v>FEMALE DOM</v>
      </c>
      <c r="AH155" s="12" t="str">
        <f t="shared" si="71"/>
        <v>H</v>
      </c>
      <c r="AI155" s="15">
        <f t="shared" si="74"/>
        <v>44.578313253012041</v>
      </c>
      <c r="AJ155" s="25" t="str">
        <f t="shared" si="60"/>
        <v>CONGRESSGAIN</v>
      </c>
      <c r="AK155" s="19" t="str">
        <f t="shared" si="72"/>
        <v>HIGHMARGIN</v>
      </c>
    </row>
    <row r="156" spans="1:37">
      <c r="A156" s="7">
        <v>153</v>
      </c>
      <c r="B156" s="8" t="s">
        <v>286</v>
      </c>
      <c r="C156" s="7">
        <v>433</v>
      </c>
      <c r="D156" s="7">
        <v>90</v>
      </c>
      <c r="E156" s="7">
        <f t="shared" si="53"/>
        <v>20.785219399538107</v>
      </c>
      <c r="F156" s="7">
        <v>336</v>
      </c>
      <c r="G156" s="7">
        <f t="shared" si="54"/>
        <v>77.59815242494227</v>
      </c>
      <c r="H156" s="7">
        <v>0</v>
      </c>
      <c r="I156" s="7">
        <f t="shared" si="55"/>
        <v>0</v>
      </c>
      <c r="J156" s="7">
        <v>0</v>
      </c>
      <c r="K156" s="7">
        <f t="shared" si="56"/>
        <v>0</v>
      </c>
      <c r="L156" s="9">
        <v>396</v>
      </c>
      <c r="M156" s="9">
        <v>431</v>
      </c>
      <c r="N156" s="9">
        <f t="shared" si="57"/>
        <v>827</v>
      </c>
      <c r="O156" s="7">
        <v>433</v>
      </c>
      <c r="P156" s="10">
        <f t="shared" si="61"/>
        <v>52.357920193470378</v>
      </c>
      <c r="Q156" s="7"/>
      <c r="R156" s="7">
        <f t="shared" si="62"/>
        <v>0</v>
      </c>
      <c r="S156" s="7">
        <f t="shared" si="58"/>
        <v>0</v>
      </c>
      <c r="T156" s="7" t="e">
        <f t="shared" si="63"/>
        <v>#DIV/0!</v>
      </c>
      <c r="U156" s="7"/>
      <c r="V156" s="11">
        <f t="shared" si="64"/>
        <v>0</v>
      </c>
      <c r="W156" s="7"/>
      <c r="X156" s="7">
        <f t="shared" si="65"/>
        <v>100</v>
      </c>
      <c r="Y156" s="7">
        <f t="shared" si="73"/>
        <v>0</v>
      </c>
      <c r="Z156" s="12" t="e">
        <f t="shared" si="66"/>
        <v>#DIV/0!</v>
      </c>
      <c r="AA156" s="12"/>
      <c r="AB156" s="13">
        <f t="shared" si="67"/>
        <v>0</v>
      </c>
      <c r="AC156" s="12">
        <f t="shared" si="49"/>
        <v>0</v>
      </c>
      <c r="AD156" s="12" t="str">
        <f t="shared" si="68"/>
        <v>WEAK</v>
      </c>
      <c r="AE156" s="14" t="str">
        <f t="shared" si="69"/>
        <v>VLOW</v>
      </c>
      <c r="AF156" s="12" t="str">
        <f t="shared" si="70"/>
        <v>EXCELLENT</v>
      </c>
      <c r="AG156" s="12" t="str">
        <f t="shared" si="59"/>
        <v>FEMALE DOM</v>
      </c>
      <c r="AH156" s="12" t="e">
        <f t="shared" si="71"/>
        <v>#DIV/0!</v>
      </c>
      <c r="AI156" s="15">
        <f t="shared" si="74"/>
        <v>56.812933025404163</v>
      </c>
      <c r="AJ156" s="25" t="str">
        <f t="shared" si="60"/>
        <v>CONGRESSGAIN</v>
      </c>
      <c r="AK156" s="14" t="str">
        <f t="shared" si="72"/>
        <v>VERYHIGHMARGIN</v>
      </c>
    </row>
    <row r="157" spans="1:37">
      <c r="A157" s="7">
        <v>154</v>
      </c>
      <c r="B157" s="8" t="s">
        <v>287</v>
      </c>
      <c r="C157" s="7">
        <v>967</v>
      </c>
      <c r="D157" s="7">
        <v>363</v>
      </c>
      <c r="E157" s="7">
        <f t="shared" si="53"/>
        <v>37.5387797311272</v>
      </c>
      <c r="F157" s="7">
        <v>589</v>
      </c>
      <c r="G157" s="7">
        <f t="shared" si="54"/>
        <v>60.910031023784903</v>
      </c>
      <c r="H157" s="7">
        <v>5</v>
      </c>
      <c r="I157" s="7">
        <f t="shared" si="55"/>
        <v>0.51706308169596693</v>
      </c>
      <c r="J157" s="7">
        <v>4</v>
      </c>
      <c r="K157" s="7">
        <f t="shared" si="56"/>
        <v>0.41365046535677358</v>
      </c>
      <c r="L157" s="9">
        <v>714</v>
      </c>
      <c r="M157" s="9">
        <v>809</v>
      </c>
      <c r="N157" s="9">
        <f t="shared" si="57"/>
        <v>1523</v>
      </c>
      <c r="O157" s="7">
        <v>967</v>
      </c>
      <c r="P157" s="10">
        <f t="shared" si="61"/>
        <v>63.493105712409715</v>
      </c>
      <c r="Q157" s="7">
        <v>680</v>
      </c>
      <c r="R157" s="7">
        <f t="shared" si="62"/>
        <v>44.648719632304662</v>
      </c>
      <c r="S157" s="7">
        <f t="shared" si="58"/>
        <v>470</v>
      </c>
      <c r="T157" s="7">
        <f t="shared" si="63"/>
        <v>69.117647058823522</v>
      </c>
      <c r="U157" s="7">
        <v>210</v>
      </c>
      <c r="V157" s="11">
        <f t="shared" si="64"/>
        <v>30.882352941176471</v>
      </c>
      <c r="W157" s="7">
        <v>836</v>
      </c>
      <c r="X157" s="7">
        <f t="shared" si="65"/>
        <v>55.351280367695338</v>
      </c>
      <c r="Y157" s="17">
        <f t="shared" si="73"/>
        <v>84</v>
      </c>
      <c r="Z157" s="12">
        <f t="shared" si="66"/>
        <v>10.047846889952153</v>
      </c>
      <c r="AA157" s="12">
        <v>752</v>
      </c>
      <c r="AB157" s="13">
        <f t="shared" si="67"/>
        <v>89.952153110047846</v>
      </c>
      <c r="AC157" s="12">
        <f t="shared" si="49"/>
        <v>962</v>
      </c>
      <c r="AD157" s="12" t="str">
        <f t="shared" si="68"/>
        <v>AVG</v>
      </c>
      <c r="AE157" s="14" t="str">
        <f t="shared" si="69"/>
        <v>VLOW</v>
      </c>
      <c r="AF157" s="12" t="str">
        <f t="shared" si="70"/>
        <v>WEAK</v>
      </c>
      <c r="AG157" s="12" t="str">
        <f t="shared" si="59"/>
        <v>FEMALE DOM</v>
      </c>
      <c r="AH157" s="12" t="str">
        <f t="shared" si="71"/>
        <v>H</v>
      </c>
      <c r="AI157" s="15">
        <f t="shared" si="74"/>
        <v>23.371251292657703</v>
      </c>
      <c r="AJ157" s="25" t="str">
        <f t="shared" si="60"/>
        <v>CONGRESSGAIN</v>
      </c>
      <c r="AK157" s="15" t="str">
        <f t="shared" si="72"/>
        <v>LOWMARGIN</v>
      </c>
    </row>
    <row r="158" spans="1:37">
      <c r="A158" s="7">
        <v>155</v>
      </c>
      <c r="B158" s="8" t="s">
        <v>288</v>
      </c>
      <c r="C158" s="7">
        <v>896</v>
      </c>
      <c r="D158" s="7">
        <v>502</v>
      </c>
      <c r="E158" s="7">
        <f t="shared" si="53"/>
        <v>56.026785714285708</v>
      </c>
      <c r="F158" s="7">
        <v>357</v>
      </c>
      <c r="G158" s="7">
        <f t="shared" si="54"/>
        <v>39.84375</v>
      </c>
      <c r="H158" s="7">
        <v>3</v>
      </c>
      <c r="I158" s="7">
        <f t="shared" si="55"/>
        <v>0.33482142857142855</v>
      </c>
      <c r="J158" s="7">
        <v>16</v>
      </c>
      <c r="K158" s="7">
        <f t="shared" si="56"/>
        <v>1.7857142857142856</v>
      </c>
      <c r="L158" s="9">
        <v>723</v>
      </c>
      <c r="M158" s="9">
        <v>779</v>
      </c>
      <c r="N158" s="9">
        <f t="shared" si="57"/>
        <v>1502</v>
      </c>
      <c r="O158" s="7">
        <v>896</v>
      </c>
      <c r="P158" s="10">
        <f t="shared" si="61"/>
        <v>59.653794940079898</v>
      </c>
      <c r="Q158" s="7">
        <v>543</v>
      </c>
      <c r="R158" s="7">
        <f t="shared" si="62"/>
        <v>36.151797603195739</v>
      </c>
      <c r="S158" s="7">
        <f t="shared" si="58"/>
        <v>93</v>
      </c>
      <c r="T158" s="7">
        <f t="shared" si="63"/>
        <v>17.127071823204421</v>
      </c>
      <c r="U158" s="7">
        <v>450</v>
      </c>
      <c r="V158" s="11">
        <f t="shared" si="64"/>
        <v>82.872928176795583</v>
      </c>
      <c r="W158" s="7">
        <v>194</v>
      </c>
      <c r="X158" s="7">
        <f t="shared" si="65"/>
        <v>63.848202396804261</v>
      </c>
      <c r="Y158" s="7">
        <f t="shared" si="73"/>
        <v>44</v>
      </c>
      <c r="Z158" s="12">
        <f t="shared" si="66"/>
        <v>22.680412371134022</v>
      </c>
      <c r="AA158" s="12">
        <v>150</v>
      </c>
      <c r="AB158" s="13">
        <f t="shared" si="67"/>
        <v>77.319587628865989</v>
      </c>
      <c r="AC158" s="12">
        <f t="shared" si="49"/>
        <v>600</v>
      </c>
      <c r="AD158" s="12" t="str">
        <f t="shared" si="68"/>
        <v>WEAK</v>
      </c>
      <c r="AE158" s="14" t="str">
        <f t="shared" si="69"/>
        <v>VLOW</v>
      </c>
      <c r="AF158" s="12" t="str">
        <f t="shared" si="70"/>
        <v>AVG</v>
      </c>
      <c r="AG158" s="12" t="str">
        <f t="shared" si="59"/>
        <v>FEMALE DOM</v>
      </c>
      <c r="AH158" s="12" t="str">
        <f t="shared" si="71"/>
        <v>O</v>
      </c>
      <c r="AI158" s="15">
        <f>E158-G158</f>
        <v>16.183035714285708</v>
      </c>
      <c r="AJ158" s="16" t="str">
        <f t="shared" si="60"/>
        <v>BJP GAIN</v>
      </c>
      <c r="AK158" s="15" t="str">
        <f t="shared" si="72"/>
        <v>LOWMARGIN</v>
      </c>
    </row>
    <row r="159" spans="1:37">
      <c r="A159" s="7">
        <v>156</v>
      </c>
      <c r="B159" s="8" t="s">
        <v>289</v>
      </c>
      <c r="C159" s="7">
        <v>559</v>
      </c>
      <c r="D159" s="7">
        <v>229</v>
      </c>
      <c r="E159" s="7">
        <f t="shared" si="53"/>
        <v>40.966010733452599</v>
      </c>
      <c r="F159" s="7">
        <v>317</v>
      </c>
      <c r="G159" s="7">
        <f t="shared" si="54"/>
        <v>56.708407871198574</v>
      </c>
      <c r="H159" s="7">
        <v>7</v>
      </c>
      <c r="I159" s="7">
        <f t="shared" si="55"/>
        <v>1.2522361359570662</v>
      </c>
      <c r="J159" s="7">
        <v>5</v>
      </c>
      <c r="K159" s="7">
        <f t="shared" si="56"/>
        <v>0.89445438282647582</v>
      </c>
      <c r="L159" s="9">
        <v>353</v>
      </c>
      <c r="M159" s="9">
        <v>461</v>
      </c>
      <c r="N159" s="9">
        <f t="shared" si="57"/>
        <v>814</v>
      </c>
      <c r="O159" s="7">
        <v>559</v>
      </c>
      <c r="P159" s="10">
        <f t="shared" si="61"/>
        <v>68.67321867321867</v>
      </c>
      <c r="Q159" s="7"/>
      <c r="R159" s="7">
        <f t="shared" si="62"/>
        <v>0</v>
      </c>
      <c r="S159" s="21">
        <f t="shared" si="58"/>
        <v>0</v>
      </c>
      <c r="T159" s="7" t="e">
        <f t="shared" si="63"/>
        <v>#DIV/0!</v>
      </c>
      <c r="U159" s="7"/>
      <c r="V159" s="11">
        <f t="shared" si="64"/>
        <v>0</v>
      </c>
      <c r="W159" s="7"/>
      <c r="X159" s="7">
        <f t="shared" si="65"/>
        <v>100</v>
      </c>
      <c r="Y159" s="7">
        <f t="shared" si="73"/>
        <v>0</v>
      </c>
      <c r="Z159" s="12" t="e">
        <f t="shared" si="66"/>
        <v>#DIV/0!</v>
      </c>
      <c r="AA159" s="12"/>
      <c r="AB159" s="13">
        <f t="shared" si="67"/>
        <v>0</v>
      </c>
      <c r="AC159" s="12">
        <f t="shared" si="49"/>
        <v>0</v>
      </c>
      <c r="AD159" s="12" t="str">
        <f t="shared" si="68"/>
        <v>AVG</v>
      </c>
      <c r="AE159" s="14" t="str">
        <f t="shared" si="69"/>
        <v>VLOW</v>
      </c>
      <c r="AF159" s="12" t="str">
        <f t="shared" si="70"/>
        <v>EXCELLENT</v>
      </c>
      <c r="AG159" s="12" t="str">
        <f t="shared" si="59"/>
        <v>FEMALE DOM</v>
      </c>
      <c r="AH159" s="12" t="e">
        <f t="shared" si="71"/>
        <v>#DIV/0!</v>
      </c>
      <c r="AI159" s="15">
        <f>G159-E159</f>
        <v>15.742397137745975</v>
      </c>
      <c r="AJ159" s="25" t="str">
        <f t="shared" si="60"/>
        <v>CONGRESSGAIN</v>
      </c>
      <c r="AK159" s="15" t="str">
        <f t="shared" si="72"/>
        <v>LOWMARGIN</v>
      </c>
    </row>
    <row r="160" spans="1:37">
      <c r="A160" s="7">
        <v>157</v>
      </c>
      <c r="B160" s="8" t="s">
        <v>290</v>
      </c>
      <c r="C160" s="7">
        <v>425</v>
      </c>
      <c r="D160" s="7">
        <v>128</v>
      </c>
      <c r="E160" s="7">
        <f t="shared" si="53"/>
        <v>30.117647058823525</v>
      </c>
      <c r="F160" s="7">
        <v>289</v>
      </c>
      <c r="G160" s="7">
        <f t="shared" si="54"/>
        <v>68</v>
      </c>
      <c r="H160" s="7">
        <v>2</v>
      </c>
      <c r="I160" s="7">
        <f t="shared" si="55"/>
        <v>0.47058823529411759</v>
      </c>
      <c r="J160" s="7">
        <v>2</v>
      </c>
      <c r="K160" s="7">
        <f t="shared" si="56"/>
        <v>0.47058823529411759</v>
      </c>
      <c r="L160" s="9">
        <v>318</v>
      </c>
      <c r="M160" s="9">
        <v>377</v>
      </c>
      <c r="N160" s="9">
        <f t="shared" si="57"/>
        <v>695</v>
      </c>
      <c r="O160" s="7">
        <v>425</v>
      </c>
      <c r="P160" s="10">
        <f t="shared" si="61"/>
        <v>61.151079136690647</v>
      </c>
      <c r="Q160" s="7">
        <v>784</v>
      </c>
      <c r="R160" s="7">
        <f t="shared" si="62"/>
        <v>112.80575539568345</v>
      </c>
      <c r="S160" s="7">
        <f t="shared" si="58"/>
        <v>484</v>
      </c>
      <c r="T160" s="7">
        <f t="shared" si="63"/>
        <v>61.734693877551017</v>
      </c>
      <c r="U160" s="7">
        <v>300</v>
      </c>
      <c r="V160" s="11">
        <f t="shared" si="64"/>
        <v>38.265306122448976</v>
      </c>
      <c r="W160" s="7">
        <v>223</v>
      </c>
      <c r="X160" s="7">
        <f t="shared" si="65"/>
        <v>-12.805755395683448</v>
      </c>
      <c r="Y160" s="17">
        <f t="shared" si="73"/>
        <v>118</v>
      </c>
      <c r="Z160" s="12">
        <f t="shared" si="66"/>
        <v>52.914798206278022</v>
      </c>
      <c r="AA160" s="12">
        <v>105</v>
      </c>
      <c r="AB160" s="13">
        <f t="shared" si="67"/>
        <v>47.085201793721978</v>
      </c>
      <c r="AC160" s="12">
        <f t="shared" ref="AC160:AC223" si="75">U160+AA160</f>
        <v>405</v>
      </c>
      <c r="AD160" s="12" t="str">
        <f t="shared" si="68"/>
        <v>AVG</v>
      </c>
      <c r="AE160" s="14" t="str">
        <f t="shared" si="69"/>
        <v>EXCELLENT</v>
      </c>
      <c r="AF160" s="12" t="str">
        <f t="shared" si="70"/>
        <v>VLOW</v>
      </c>
      <c r="AG160" s="12" t="str">
        <f t="shared" si="59"/>
        <v>FEMALE DOM</v>
      </c>
      <c r="AH160" s="12" t="str">
        <f t="shared" si="71"/>
        <v>H</v>
      </c>
      <c r="AI160" s="15">
        <f>G160-E160</f>
        <v>37.882352941176478</v>
      </c>
      <c r="AJ160" s="25" t="str">
        <f t="shared" si="60"/>
        <v>CONGRESSGAIN</v>
      </c>
      <c r="AK160" s="24" t="str">
        <f t="shared" si="72"/>
        <v>MEDIUMMARGIN</v>
      </c>
    </row>
    <row r="161" spans="1:37">
      <c r="A161" s="7">
        <v>158</v>
      </c>
      <c r="B161" s="8" t="s">
        <v>291</v>
      </c>
      <c r="C161" s="7">
        <v>903</v>
      </c>
      <c r="D161" s="7">
        <v>466</v>
      </c>
      <c r="E161" s="7">
        <f t="shared" si="53"/>
        <v>51.605758582502773</v>
      </c>
      <c r="F161" s="7">
        <v>410</v>
      </c>
      <c r="G161" s="7">
        <f t="shared" si="54"/>
        <v>45.40420819490587</v>
      </c>
      <c r="H161" s="7">
        <v>2</v>
      </c>
      <c r="I161" s="7">
        <f t="shared" si="55"/>
        <v>0.22148394241417496</v>
      </c>
      <c r="J161" s="7">
        <v>12</v>
      </c>
      <c r="K161" s="7">
        <f t="shared" si="56"/>
        <v>1.3289036544850499</v>
      </c>
      <c r="L161" s="9">
        <v>618</v>
      </c>
      <c r="M161" s="9">
        <v>720</v>
      </c>
      <c r="N161" s="9">
        <f t="shared" si="57"/>
        <v>1338</v>
      </c>
      <c r="O161" s="7">
        <v>903</v>
      </c>
      <c r="P161" s="10">
        <f t="shared" si="61"/>
        <v>67.488789237668158</v>
      </c>
      <c r="Q161" s="7">
        <v>900</v>
      </c>
      <c r="R161" s="7">
        <f t="shared" si="62"/>
        <v>67.264573991031398</v>
      </c>
      <c r="S161" s="7">
        <f t="shared" si="58"/>
        <v>331</v>
      </c>
      <c r="T161" s="7">
        <f t="shared" si="63"/>
        <v>36.777777777777779</v>
      </c>
      <c r="U161" s="7">
        <v>569</v>
      </c>
      <c r="V161" s="11">
        <f t="shared" si="64"/>
        <v>63.222222222222221</v>
      </c>
      <c r="W161" s="7">
        <f>1338-900</f>
        <v>438</v>
      </c>
      <c r="X161" s="7">
        <f t="shared" si="65"/>
        <v>32.735426008968602</v>
      </c>
      <c r="Y161" s="7">
        <f t="shared" si="73"/>
        <v>104</v>
      </c>
      <c r="Z161" s="12">
        <f t="shared" si="66"/>
        <v>23.74429223744292</v>
      </c>
      <c r="AA161" s="12">
        <f>903-569</f>
        <v>334</v>
      </c>
      <c r="AB161" s="13">
        <f t="shared" si="67"/>
        <v>76.25570776255708</v>
      </c>
      <c r="AC161" s="12">
        <f t="shared" si="75"/>
        <v>903</v>
      </c>
      <c r="AD161" s="12" t="str">
        <f t="shared" si="68"/>
        <v>AVG</v>
      </c>
      <c r="AE161" s="14" t="str">
        <f t="shared" si="69"/>
        <v>AVG</v>
      </c>
      <c r="AF161" s="12" t="str">
        <f t="shared" si="70"/>
        <v>VLOW</v>
      </c>
      <c r="AG161" s="12" t="str">
        <f t="shared" si="59"/>
        <v>FEMALE DOM</v>
      </c>
      <c r="AH161" s="12" t="str">
        <f t="shared" si="71"/>
        <v>H</v>
      </c>
      <c r="AI161" s="15">
        <f>E161-G161</f>
        <v>6.2015503875969031</v>
      </c>
      <c r="AJ161" s="16" t="str">
        <f t="shared" si="60"/>
        <v>BJP GAIN</v>
      </c>
      <c r="AK161" s="15" t="str">
        <f t="shared" si="72"/>
        <v>NARROWMARGIN</v>
      </c>
    </row>
    <row r="162" spans="1:37">
      <c r="A162" s="7">
        <v>159</v>
      </c>
      <c r="B162" s="8" t="s">
        <v>292</v>
      </c>
      <c r="C162" s="7">
        <v>721</v>
      </c>
      <c r="D162" s="7">
        <v>440</v>
      </c>
      <c r="E162" s="7">
        <f t="shared" si="53"/>
        <v>61.026352288488205</v>
      </c>
      <c r="F162" s="7">
        <v>271</v>
      </c>
      <c r="G162" s="7">
        <f t="shared" si="54"/>
        <v>37.586685159500696</v>
      </c>
      <c r="H162" s="7">
        <v>0</v>
      </c>
      <c r="I162" s="7">
        <f t="shared" si="55"/>
        <v>0</v>
      </c>
      <c r="J162" s="7">
        <v>3</v>
      </c>
      <c r="K162" s="7">
        <f t="shared" si="56"/>
        <v>0.41608876560332869</v>
      </c>
      <c r="L162" s="9">
        <v>494</v>
      </c>
      <c r="M162" s="9">
        <v>553</v>
      </c>
      <c r="N162" s="9">
        <f t="shared" si="57"/>
        <v>1047</v>
      </c>
      <c r="O162" s="7">
        <v>721</v>
      </c>
      <c r="P162" s="10">
        <f t="shared" si="61"/>
        <v>68.863419293218726</v>
      </c>
      <c r="Q162" s="7">
        <v>784</v>
      </c>
      <c r="R162" s="7">
        <f t="shared" si="62"/>
        <v>74.880611270296086</v>
      </c>
      <c r="S162" s="7">
        <f t="shared" si="58"/>
        <v>784</v>
      </c>
      <c r="T162" s="7">
        <f t="shared" si="63"/>
        <v>100</v>
      </c>
      <c r="U162" s="7"/>
      <c r="V162" s="11">
        <f t="shared" si="64"/>
        <v>0</v>
      </c>
      <c r="W162" s="7">
        <f>15+208</f>
        <v>223</v>
      </c>
      <c r="X162" s="7">
        <f t="shared" si="65"/>
        <v>25.119388729703914</v>
      </c>
      <c r="Y162" s="7">
        <f t="shared" si="73"/>
        <v>223</v>
      </c>
      <c r="Z162" s="12">
        <f t="shared" si="66"/>
        <v>100</v>
      </c>
      <c r="AA162" s="12"/>
      <c r="AB162" s="13">
        <f t="shared" si="67"/>
        <v>0</v>
      </c>
      <c r="AC162" s="12">
        <f t="shared" si="75"/>
        <v>0</v>
      </c>
      <c r="AD162" s="12" t="str">
        <f t="shared" si="68"/>
        <v>AVG</v>
      </c>
      <c r="AE162" s="14" t="str">
        <f t="shared" si="69"/>
        <v>STRONG</v>
      </c>
      <c r="AF162" s="12" t="str">
        <f t="shared" si="70"/>
        <v>VLOW</v>
      </c>
      <c r="AG162" s="12" t="str">
        <f t="shared" si="59"/>
        <v>FEMALE DOM</v>
      </c>
      <c r="AH162" s="12" t="str">
        <f t="shared" si="71"/>
        <v>O</v>
      </c>
      <c r="AI162" s="15">
        <f>E162-G162</f>
        <v>23.439667128987509</v>
      </c>
      <c r="AJ162" s="16" t="str">
        <f t="shared" si="60"/>
        <v>BJP GAIN</v>
      </c>
      <c r="AK162" s="15" t="str">
        <f t="shared" si="72"/>
        <v>LOWMARGIN</v>
      </c>
    </row>
    <row r="163" spans="1:37">
      <c r="A163" s="7">
        <v>160</v>
      </c>
      <c r="B163" s="8" t="s">
        <v>293</v>
      </c>
      <c r="C163" s="7">
        <v>974</v>
      </c>
      <c r="D163" s="7">
        <v>565</v>
      </c>
      <c r="E163" s="7">
        <f t="shared" si="53"/>
        <v>58.008213552361397</v>
      </c>
      <c r="F163" s="7">
        <v>387</v>
      </c>
      <c r="G163" s="7">
        <f t="shared" si="54"/>
        <v>39.733059548254616</v>
      </c>
      <c r="H163" s="7">
        <v>9</v>
      </c>
      <c r="I163" s="7">
        <f t="shared" si="55"/>
        <v>0.92402464065708423</v>
      </c>
      <c r="J163" s="7">
        <v>7</v>
      </c>
      <c r="K163" s="7">
        <f t="shared" si="56"/>
        <v>0.71868583162217659</v>
      </c>
      <c r="L163" s="9">
        <v>651</v>
      </c>
      <c r="M163" s="9">
        <v>703</v>
      </c>
      <c r="N163" s="9">
        <f t="shared" si="57"/>
        <v>1354</v>
      </c>
      <c r="O163" s="7">
        <v>974</v>
      </c>
      <c r="P163" s="10">
        <f t="shared" si="61"/>
        <v>71.935007385524372</v>
      </c>
      <c r="Q163" s="7"/>
      <c r="R163" s="7">
        <f t="shared" si="62"/>
        <v>0</v>
      </c>
      <c r="S163" s="21">
        <f t="shared" si="58"/>
        <v>0</v>
      </c>
      <c r="T163" s="7" t="e">
        <f t="shared" si="63"/>
        <v>#DIV/0!</v>
      </c>
      <c r="U163" s="7"/>
      <c r="V163" s="11">
        <f t="shared" si="64"/>
        <v>0</v>
      </c>
      <c r="W163" s="7"/>
      <c r="X163" s="7">
        <f t="shared" si="65"/>
        <v>100</v>
      </c>
      <c r="Y163" s="17">
        <f t="shared" si="73"/>
        <v>0</v>
      </c>
      <c r="Z163" s="12" t="e">
        <f t="shared" si="66"/>
        <v>#DIV/0!</v>
      </c>
      <c r="AA163" s="12"/>
      <c r="AB163" s="13">
        <f t="shared" si="67"/>
        <v>0</v>
      </c>
      <c r="AC163" s="12">
        <f t="shared" si="75"/>
        <v>0</v>
      </c>
      <c r="AD163" s="12" t="str">
        <f t="shared" si="68"/>
        <v>STRONG</v>
      </c>
      <c r="AE163" s="14" t="str">
        <f t="shared" si="69"/>
        <v>VLOW</v>
      </c>
      <c r="AF163" s="12" t="str">
        <f t="shared" si="70"/>
        <v>EXCELLENT</v>
      </c>
      <c r="AG163" s="12" t="str">
        <f t="shared" si="59"/>
        <v>FEMALE DOM</v>
      </c>
      <c r="AH163" s="12" t="e">
        <f t="shared" si="71"/>
        <v>#DIV/0!</v>
      </c>
      <c r="AI163" s="15">
        <f>E163-G163</f>
        <v>18.275154004106781</v>
      </c>
      <c r="AJ163" s="16" t="str">
        <f t="shared" si="60"/>
        <v>BJP GAIN</v>
      </c>
      <c r="AK163" s="15" t="str">
        <f t="shared" si="72"/>
        <v>LOWMARGIN</v>
      </c>
    </row>
    <row r="164" spans="1:37">
      <c r="A164" s="7">
        <v>161</v>
      </c>
      <c r="B164" s="8" t="s">
        <v>294</v>
      </c>
      <c r="C164" s="7">
        <v>544</v>
      </c>
      <c r="D164" s="7">
        <v>199</v>
      </c>
      <c r="E164" s="7">
        <f t="shared" si="53"/>
        <v>36.580882352941174</v>
      </c>
      <c r="F164" s="7">
        <v>334</v>
      </c>
      <c r="G164" s="7">
        <f t="shared" si="54"/>
        <v>61.397058823529413</v>
      </c>
      <c r="H164" s="7">
        <v>0</v>
      </c>
      <c r="I164" s="7">
        <f t="shared" si="55"/>
        <v>0</v>
      </c>
      <c r="J164" s="7">
        <v>7</v>
      </c>
      <c r="K164" s="7">
        <f t="shared" si="56"/>
        <v>1.2867647058823528</v>
      </c>
      <c r="L164" s="9">
        <v>402</v>
      </c>
      <c r="M164" s="9">
        <v>410</v>
      </c>
      <c r="N164" s="9">
        <f t="shared" si="57"/>
        <v>812</v>
      </c>
      <c r="O164" s="7">
        <v>544</v>
      </c>
      <c r="P164" s="10">
        <f t="shared" si="61"/>
        <v>66.995073891625609</v>
      </c>
      <c r="Q164" s="7">
        <v>369</v>
      </c>
      <c r="R164" s="7">
        <f t="shared" si="62"/>
        <v>45.443349753694577</v>
      </c>
      <c r="S164" s="7">
        <f t="shared" si="58"/>
        <v>125</v>
      </c>
      <c r="T164" s="7">
        <f t="shared" si="63"/>
        <v>33.875338753387538</v>
      </c>
      <c r="U164" s="7">
        <v>244</v>
      </c>
      <c r="V164" s="11">
        <f t="shared" si="64"/>
        <v>66.124661246612476</v>
      </c>
      <c r="W164" s="7">
        <v>443</v>
      </c>
      <c r="X164" s="7">
        <f t="shared" si="65"/>
        <v>54.556650246305423</v>
      </c>
      <c r="Y164" s="7">
        <f t="shared" si="73"/>
        <v>148</v>
      </c>
      <c r="Z164" s="12">
        <f t="shared" si="66"/>
        <v>33.408577878103841</v>
      </c>
      <c r="AA164" s="12">
        <v>295</v>
      </c>
      <c r="AB164" s="13">
        <f t="shared" si="67"/>
        <v>66.591422121896159</v>
      </c>
      <c r="AC164" s="12">
        <f t="shared" si="75"/>
        <v>539</v>
      </c>
      <c r="AD164" s="12" t="str">
        <f t="shared" si="68"/>
        <v>AVG</v>
      </c>
      <c r="AE164" s="14" t="str">
        <f t="shared" si="69"/>
        <v>VLOW</v>
      </c>
      <c r="AF164" s="12" t="str">
        <f t="shared" si="70"/>
        <v>WEAK</v>
      </c>
      <c r="AG164" s="12" t="str">
        <f t="shared" si="59"/>
        <v>FEMALE DOM</v>
      </c>
      <c r="AH164" s="12" t="str">
        <f t="shared" si="71"/>
        <v>H</v>
      </c>
      <c r="AI164" s="15">
        <f>G164-E164</f>
        <v>24.816176470588239</v>
      </c>
      <c r="AJ164" s="25" t="str">
        <f t="shared" si="60"/>
        <v>CONGRESSGAIN</v>
      </c>
      <c r="AK164" s="15" t="str">
        <f t="shared" si="72"/>
        <v>LOWMARGIN</v>
      </c>
    </row>
    <row r="165" spans="1:37">
      <c r="A165" s="7">
        <v>162</v>
      </c>
      <c r="B165" s="8" t="s">
        <v>295</v>
      </c>
      <c r="C165" s="7">
        <v>657</v>
      </c>
      <c r="D165" s="7">
        <v>459</v>
      </c>
      <c r="E165" s="7">
        <f t="shared" si="53"/>
        <v>69.863013698630141</v>
      </c>
      <c r="F165" s="7">
        <v>162</v>
      </c>
      <c r="G165" s="7">
        <f t="shared" si="54"/>
        <v>24.657534246575342</v>
      </c>
      <c r="H165" s="7">
        <v>5</v>
      </c>
      <c r="I165" s="7">
        <f t="shared" si="55"/>
        <v>0.76103500761035003</v>
      </c>
      <c r="J165" s="7">
        <v>19</v>
      </c>
      <c r="K165" s="7">
        <f t="shared" si="56"/>
        <v>2.8919330289193299</v>
      </c>
      <c r="L165" s="9">
        <v>389</v>
      </c>
      <c r="M165" s="9">
        <v>463</v>
      </c>
      <c r="N165" s="9">
        <f t="shared" si="57"/>
        <v>852</v>
      </c>
      <c r="O165" s="7">
        <v>657</v>
      </c>
      <c r="P165" s="10">
        <f t="shared" si="61"/>
        <v>77.112676056338032</v>
      </c>
      <c r="Q165" s="7">
        <v>574</v>
      </c>
      <c r="R165" s="7">
        <f t="shared" si="62"/>
        <v>67.370892018779344</v>
      </c>
      <c r="S165" s="7">
        <f t="shared" si="58"/>
        <v>37</v>
      </c>
      <c r="T165" s="7">
        <f t="shared" si="63"/>
        <v>6.4459930313588849</v>
      </c>
      <c r="U165" s="7">
        <v>537</v>
      </c>
      <c r="V165" s="11">
        <f t="shared" si="64"/>
        <v>93.554006968641119</v>
      </c>
      <c r="W165" s="7">
        <v>385</v>
      </c>
      <c r="X165" s="7">
        <f t="shared" si="65"/>
        <v>32.629107981220656</v>
      </c>
      <c r="Y165" s="7">
        <f t="shared" si="73"/>
        <v>385</v>
      </c>
      <c r="Z165" s="12">
        <f t="shared" si="66"/>
        <v>100</v>
      </c>
      <c r="AA165" s="12"/>
      <c r="AB165" s="13">
        <f t="shared" si="67"/>
        <v>0</v>
      </c>
      <c r="AC165" s="12">
        <f t="shared" si="75"/>
        <v>537</v>
      </c>
      <c r="AD165" s="12" t="str">
        <f t="shared" si="68"/>
        <v>STRONG</v>
      </c>
      <c r="AE165" s="14" t="str">
        <f t="shared" si="69"/>
        <v>AVG</v>
      </c>
      <c r="AF165" s="12" t="str">
        <f t="shared" si="70"/>
        <v>VLOW</v>
      </c>
      <c r="AG165" s="12" t="str">
        <f t="shared" si="59"/>
        <v>FEMALE DOM</v>
      </c>
      <c r="AH165" s="12" t="str">
        <f t="shared" si="71"/>
        <v>O</v>
      </c>
      <c r="AI165" s="15">
        <f>E165-G165</f>
        <v>45.205479452054803</v>
      </c>
      <c r="AJ165" s="16" t="str">
        <f t="shared" si="60"/>
        <v>BJP GAIN</v>
      </c>
      <c r="AK165" s="19" t="str">
        <f t="shared" si="72"/>
        <v>HIGHMARGIN</v>
      </c>
    </row>
    <row r="166" spans="1:37">
      <c r="A166" s="7">
        <v>163</v>
      </c>
      <c r="B166" s="8" t="s">
        <v>296</v>
      </c>
      <c r="C166" s="7">
        <v>754</v>
      </c>
      <c r="D166" s="7">
        <v>275</v>
      </c>
      <c r="E166" s="7">
        <f t="shared" si="53"/>
        <v>36.472148541114059</v>
      </c>
      <c r="F166" s="7">
        <v>397</v>
      </c>
      <c r="G166" s="7">
        <f t="shared" si="54"/>
        <v>52.652519893899211</v>
      </c>
      <c r="H166" s="7">
        <v>2</v>
      </c>
      <c r="I166" s="7">
        <f t="shared" si="55"/>
        <v>0.2652519893899204</v>
      </c>
      <c r="J166" s="7">
        <v>70</v>
      </c>
      <c r="K166" s="7">
        <f t="shared" si="56"/>
        <v>9.2838196286472154</v>
      </c>
      <c r="L166" s="9">
        <v>493</v>
      </c>
      <c r="M166" s="9">
        <v>505</v>
      </c>
      <c r="N166" s="9">
        <f t="shared" si="57"/>
        <v>998</v>
      </c>
      <c r="O166" s="7">
        <v>754</v>
      </c>
      <c r="P166" s="10">
        <f t="shared" si="61"/>
        <v>75.551102204408821</v>
      </c>
      <c r="Q166" s="7">
        <v>607</v>
      </c>
      <c r="R166" s="7">
        <f t="shared" si="62"/>
        <v>60.821643286573149</v>
      </c>
      <c r="S166" s="7">
        <f t="shared" si="58"/>
        <v>187</v>
      </c>
      <c r="T166" s="7">
        <f t="shared" si="63"/>
        <v>30.807248764415156</v>
      </c>
      <c r="U166" s="7">
        <v>420</v>
      </c>
      <c r="V166" s="11">
        <f t="shared" si="64"/>
        <v>69.192751235584851</v>
      </c>
      <c r="W166" s="7">
        <v>391</v>
      </c>
      <c r="X166" s="7">
        <f t="shared" si="65"/>
        <v>39.178356713426851</v>
      </c>
      <c r="Y166" s="17">
        <f t="shared" si="73"/>
        <v>63</v>
      </c>
      <c r="Z166" s="12">
        <f t="shared" si="66"/>
        <v>16.112531969309462</v>
      </c>
      <c r="AA166" s="12">
        <v>328</v>
      </c>
      <c r="AB166" s="13">
        <f t="shared" si="67"/>
        <v>83.887468030690542</v>
      </c>
      <c r="AC166" s="12">
        <f t="shared" si="75"/>
        <v>748</v>
      </c>
      <c r="AD166" s="12" t="str">
        <f t="shared" si="68"/>
        <v>STRONG</v>
      </c>
      <c r="AE166" s="14" t="str">
        <f t="shared" si="69"/>
        <v>AVG</v>
      </c>
      <c r="AF166" s="12" t="str">
        <f t="shared" si="70"/>
        <v>VLOW</v>
      </c>
      <c r="AG166" s="12" t="str">
        <f t="shared" si="59"/>
        <v>FEMALE DOM</v>
      </c>
      <c r="AH166" s="12" t="str">
        <f t="shared" si="71"/>
        <v>H</v>
      </c>
      <c r="AI166" s="15">
        <f>G166-E166</f>
        <v>16.180371352785151</v>
      </c>
      <c r="AJ166" s="25" t="str">
        <f t="shared" si="60"/>
        <v>CONGRESSGAIN</v>
      </c>
      <c r="AK166" s="15" t="str">
        <f t="shared" si="72"/>
        <v>LOWMARGIN</v>
      </c>
    </row>
    <row r="167" spans="1:37">
      <c r="A167" s="7">
        <v>164</v>
      </c>
      <c r="B167" s="8" t="s">
        <v>297</v>
      </c>
      <c r="C167" s="7">
        <v>524</v>
      </c>
      <c r="D167" s="7">
        <v>322</v>
      </c>
      <c r="E167" s="7">
        <f t="shared" si="53"/>
        <v>61.450381679389309</v>
      </c>
      <c r="F167" s="7">
        <v>154</v>
      </c>
      <c r="G167" s="7">
        <f t="shared" si="54"/>
        <v>29.389312977099237</v>
      </c>
      <c r="H167" s="7">
        <v>4</v>
      </c>
      <c r="I167" s="7">
        <f t="shared" si="55"/>
        <v>0.76335877862595414</v>
      </c>
      <c r="J167" s="7">
        <v>30</v>
      </c>
      <c r="K167" s="7">
        <f t="shared" si="56"/>
        <v>5.7251908396946565</v>
      </c>
      <c r="L167" s="9">
        <v>327</v>
      </c>
      <c r="M167" s="9">
        <v>393</v>
      </c>
      <c r="N167" s="9">
        <f t="shared" si="57"/>
        <v>720</v>
      </c>
      <c r="O167" s="7">
        <v>524</v>
      </c>
      <c r="P167" s="10">
        <f t="shared" si="61"/>
        <v>72.777777777777771</v>
      </c>
      <c r="Q167" s="7">
        <v>523</v>
      </c>
      <c r="R167" s="7">
        <f t="shared" si="62"/>
        <v>72.638888888888886</v>
      </c>
      <c r="S167" s="21">
        <f t="shared" si="58"/>
        <v>120</v>
      </c>
      <c r="T167" s="7">
        <f t="shared" si="63"/>
        <v>22.94455066921606</v>
      </c>
      <c r="U167" s="7">
        <v>403</v>
      </c>
      <c r="V167" s="11">
        <f t="shared" si="64"/>
        <v>77.055449330783944</v>
      </c>
      <c r="W167" s="7">
        <f>23+76</f>
        <v>99</v>
      </c>
      <c r="X167" s="7">
        <f t="shared" si="65"/>
        <v>27.361111111111114</v>
      </c>
      <c r="Y167" s="7">
        <f t="shared" si="73"/>
        <v>54</v>
      </c>
      <c r="Z167" s="12">
        <f t="shared" si="66"/>
        <v>54.54545454545454</v>
      </c>
      <c r="AA167" s="12">
        <f>12+33</f>
        <v>45</v>
      </c>
      <c r="AB167" s="13">
        <f t="shared" si="67"/>
        <v>45.454545454545453</v>
      </c>
      <c r="AC167" s="12">
        <f t="shared" si="75"/>
        <v>448</v>
      </c>
      <c r="AD167" s="12" t="str">
        <f t="shared" si="68"/>
        <v>STRONG</v>
      </c>
      <c r="AE167" s="14" t="str">
        <f t="shared" si="69"/>
        <v>STRONG</v>
      </c>
      <c r="AF167" s="12" t="str">
        <f t="shared" si="70"/>
        <v>VLOW</v>
      </c>
      <c r="AG167" s="12" t="str">
        <f t="shared" si="59"/>
        <v>FEMALE DOM</v>
      </c>
      <c r="AH167" s="12" t="str">
        <f t="shared" si="71"/>
        <v>O</v>
      </c>
      <c r="AI167" s="15">
        <f t="shared" ref="AI167:AI177" si="76">E167-G167</f>
        <v>32.061068702290072</v>
      </c>
      <c r="AJ167" s="16" t="str">
        <f t="shared" si="60"/>
        <v>BJP GAIN</v>
      </c>
      <c r="AK167" s="24" t="str">
        <f t="shared" si="72"/>
        <v>MEDIUMMARGIN</v>
      </c>
    </row>
    <row r="168" spans="1:37">
      <c r="A168" s="7">
        <v>165</v>
      </c>
      <c r="B168" s="8" t="s">
        <v>298</v>
      </c>
      <c r="C168" s="7">
        <v>1048</v>
      </c>
      <c r="D168" s="7">
        <v>731</v>
      </c>
      <c r="E168" s="7">
        <f t="shared" si="53"/>
        <v>69.751908396946561</v>
      </c>
      <c r="F168" s="7">
        <v>282</v>
      </c>
      <c r="G168" s="7">
        <f t="shared" si="54"/>
        <v>26.908396946564885</v>
      </c>
      <c r="H168" s="7">
        <v>4</v>
      </c>
      <c r="I168" s="7">
        <f t="shared" si="55"/>
        <v>0.38167938931297707</v>
      </c>
      <c r="J168" s="7">
        <v>14</v>
      </c>
      <c r="K168" s="7">
        <f t="shared" si="56"/>
        <v>1.3358778625954197</v>
      </c>
      <c r="L168" s="9">
        <v>670</v>
      </c>
      <c r="M168" s="9">
        <v>784</v>
      </c>
      <c r="N168" s="9">
        <f t="shared" si="57"/>
        <v>1454</v>
      </c>
      <c r="O168" s="7">
        <v>1048</v>
      </c>
      <c r="P168" s="10">
        <f t="shared" si="61"/>
        <v>72.077028885832178</v>
      </c>
      <c r="Q168" s="7">
        <v>1165</v>
      </c>
      <c r="R168" s="7">
        <f t="shared" si="62"/>
        <v>80.123796423658874</v>
      </c>
      <c r="S168" s="7">
        <f t="shared" si="58"/>
        <v>365</v>
      </c>
      <c r="T168" s="7">
        <f t="shared" si="63"/>
        <v>31.330472103004293</v>
      </c>
      <c r="U168" s="7">
        <v>800</v>
      </c>
      <c r="V168" s="11">
        <f t="shared" si="64"/>
        <v>68.669527896995703</v>
      </c>
      <c r="W168" s="7">
        <v>289</v>
      </c>
      <c r="X168" s="7">
        <f t="shared" si="65"/>
        <v>19.876203576341126</v>
      </c>
      <c r="Y168" s="7">
        <f t="shared" si="73"/>
        <v>227</v>
      </c>
      <c r="Z168" s="12">
        <f t="shared" si="66"/>
        <v>78.54671280276817</v>
      </c>
      <c r="AA168" s="12">
        <v>62</v>
      </c>
      <c r="AB168" s="13">
        <f t="shared" si="67"/>
        <v>21.453287197231834</v>
      </c>
      <c r="AC168" s="12">
        <f t="shared" si="75"/>
        <v>862</v>
      </c>
      <c r="AD168" s="12" t="str">
        <f t="shared" si="68"/>
        <v>STRONG</v>
      </c>
      <c r="AE168" s="14" t="str">
        <f t="shared" si="69"/>
        <v>EXCELLENT</v>
      </c>
      <c r="AF168" s="12" t="str">
        <f t="shared" si="70"/>
        <v>VLOW</v>
      </c>
      <c r="AG168" s="12" t="str">
        <f t="shared" si="59"/>
        <v>FEMALE DOM</v>
      </c>
      <c r="AH168" s="12" t="str">
        <f t="shared" si="71"/>
        <v>O</v>
      </c>
      <c r="AI168" s="15">
        <f t="shared" si="76"/>
        <v>42.843511450381676</v>
      </c>
      <c r="AJ168" s="16" t="str">
        <f t="shared" si="60"/>
        <v>BJP GAIN</v>
      </c>
      <c r="AK168" s="19" t="str">
        <f t="shared" si="72"/>
        <v>HIGHMARGIN</v>
      </c>
    </row>
    <row r="169" spans="1:37">
      <c r="A169" s="7">
        <v>166</v>
      </c>
      <c r="B169" s="8" t="s">
        <v>299</v>
      </c>
      <c r="C169" s="7">
        <v>827</v>
      </c>
      <c r="D169" s="7">
        <v>510</v>
      </c>
      <c r="E169" s="7">
        <f t="shared" si="53"/>
        <v>61.668681983071338</v>
      </c>
      <c r="F169" s="7">
        <v>291</v>
      </c>
      <c r="G169" s="7">
        <f t="shared" si="54"/>
        <v>35.187424425634823</v>
      </c>
      <c r="H169" s="7">
        <v>1</v>
      </c>
      <c r="I169" s="7">
        <f t="shared" si="55"/>
        <v>0.12091898428053204</v>
      </c>
      <c r="J169" s="7">
        <v>10</v>
      </c>
      <c r="K169" s="7">
        <f t="shared" si="56"/>
        <v>1.2091898428053205</v>
      </c>
      <c r="L169" s="9">
        <v>683</v>
      </c>
      <c r="M169" s="9">
        <v>655</v>
      </c>
      <c r="N169" s="9">
        <f t="shared" si="57"/>
        <v>1338</v>
      </c>
      <c r="O169" s="7">
        <v>827</v>
      </c>
      <c r="P169" s="10">
        <f t="shared" si="61"/>
        <v>61.808669656203286</v>
      </c>
      <c r="Q169" s="7">
        <v>958</v>
      </c>
      <c r="R169" s="7">
        <f t="shared" si="62"/>
        <v>71.599402092675632</v>
      </c>
      <c r="S169" s="7">
        <f t="shared" si="58"/>
        <v>336</v>
      </c>
      <c r="T169" s="7">
        <f t="shared" si="63"/>
        <v>35.073068893528188</v>
      </c>
      <c r="U169" s="7">
        <v>622</v>
      </c>
      <c r="V169" s="11">
        <f t="shared" si="64"/>
        <v>64.926931106471812</v>
      </c>
      <c r="W169" s="7">
        <f>13+367</f>
        <v>380</v>
      </c>
      <c r="X169" s="7">
        <f t="shared" si="65"/>
        <v>28.400597907324368</v>
      </c>
      <c r="Y169" s="17">
        <f t="shared" si="73"/>
        <v>195</v>
      </c>
      <c r="Z169" s="12">
        <f t="shared" si="66"/>
        <v>51.315789473684212</v>
      </c>
      <c r="AA169" s="12">
        <f>7+178</f>
        <v>185</v>
      </c>
      <c r="AB169" s="13">
        <f t="shared" si="67"/>
        <v>48.684210526315788</v>
      </c>
      <c r="AC169" s="12">
        <f t="shared" si="75"/>
        <v>807</v>
      </c>
      <c r="AD169" s="12" t="str">
        <f t="shared" si="68"/>
        <v>AVG</v>
      </c>
      <c r="AE169" s="14" t="str">
        <f t="shared" si="69"/>
        <v>STRONG</v>
      </c>
      <c r="AF169" s="12" t="str">
        <f t="shared" si="70"/>
        <v>VLOW</v>
      </c>
      <c r="AG169" s="12" t="str">
        <f t="shared" si="59"/>
        <v>MEN</v>
      </c>
      <c r="AH169" s="12" t="str">
        <f t="shared" si="71"/>
        <v>O</v>
      </c>
      <c r="AI169" s="15">
        <f t="shared" si="76"/>
        <v>26.481257557436514</v>
      </c>
      <c r="AJ169" s="16" t="str">
        <f t="shared" si="60"/>
        <v>BJP GAIN</v>
      </c>
      <c r="AK169" s="15" t="str">
        <f t="shared" si="72"/>
        <v>LOWMARGIN</v>
      </c>
    </row>
    <row r="170" spans="1:37">
      <c r="A170" s="7">
        <v>167</v>
      </c>
      <c r="B170" s="8" t="s">
        <v>300</v>
      </c>
      <c r="C170" s="7">
        <v>669</v>
      </c>
      <c r="D170" s="7">
        <v>477</v>
      </c>
      <c r="E170" s="7">
        <f t="shared" si="53"/>
        <v>71.300448430493262</v>
      </c>
      <c r="F170" s="7">
        <v>172</v>
      </c>
      <c r="G170" s="7">
        <f t="shared" si="54"/>
        <v>25.710014947683106</v>
      </c>
      <c r="H170" s="7">
        <v>0</v>
      </c>
      <c r="I170" s="7">
        <f t="shared" si="55"/>
        <v>0</v>
      </c>
      <c r="J170" s="7">
        <v>6</v>
      </c>
      <c r="K170" s="7">
        <f t="shared" si="56"/>
        <v>0.89686098654708524</v>
      </c>
      <c r="L170" s="9">
        <v>453</v>
      </c>
      <c r="M170" s="9">
        <v>483</v>
      </c>
      <c r="N170" s="9">
        <f t="shared" si="57"/>
        <v>936</v>
      </c>
      <c r="O170" s="7">
        <v>669</v>
      </c>
      <c r="P170" s="10">
        <f t="shared" si="61"/>
        <v>71.474358974358978</v>
      </c>
      <c r="Q170" s="7">
        <v>786</v>
      </c>
      <c r="R170" s="7">
        <f t="shared" si="62"/>
        <v>83.974358974358978</v>
      </c>
      <c r="S170" s="7">
        <f t="shared" si="58"/>
        <v>245</v>
      </c>
      <c r="T170" s="7">
        <f t="shared" si="63"/>
        <v>31.170483460559794</v>
      </c>
      <c r="U170" s="7">
        <v>541</v>
      </c>
      <c r="V170" s="11">
        <f t="shared" si="64"/>
        <v>68.829516539440206</v>
      </c>
      <c r="W170" s="7">
        <v>150</v>
      </c>
      <c r="X170" s="7">
        <f t="shared" si="65"/>
        <v>16.025641025641022</v>
      </c>
      <c r="Y170" s="7">
        <f t="shared" si="73"/>
        <v>59</v>
      </c>
      <c r="Z170" s="12">
        <f t="shared" si="66"/>
        <v>39.333333333333329</v>
      </c>
      <c r="AA170" s="12">
        <v>91</v>
      </c>
      <c r="AB170" s="13">
        <f t="shared" si="67"/>
        <v>60.666666666666671</v>
      </c>
      <c r="AC170" s="12">
        <f t="shared" si="75"/>
        <v>632</v>
      </c>
      <c r="AD170" s="12" t="str">
        <f t="shared" si="68"/>
        <v>STRONG</v>
      </c>
      <c r="AE170" s="14" t="str">
        <f t="shared" si="69"/>
        <v>EXCELLENT</v>
      </c>
      <c r="AF170" s="12" t="str">
        <f t="shared" si="70"/>
        <v>VLOW</v>
      </c>
      <c r="AG170" s="12" t="str">
        <f t="shared" si="59"/>
        <v>FEMALE DOM</v>
      </c>
      <c r="AH170" s="12" t="str">
        <f t="shared" si="71"/>
        <v>O</v>
      </c>
      <c r="AI170" s="15">
        <f t="shared" si="76"/>
        <v>45.590433482810155</v>
      </c>
      <c r="AJ170" s="16" t="str">
        <f t="shared" si="60"/>
        <v>BJP GAIN</v>
      </c>
      <c r="AK170" s="19" t="str">
        <f t="shared" si="72"/>
        <v>HIGHMARGIN</v>
      </c>
    </row>
    <row r="171" spans="1:37">
      <c r="A171" s="7">
        <v>168</v>
      </c>
      <c r="B171" s="8" t="s">
        <v>301</v>
      </c>
      <c r="C171" s="7">
        <v>395</v>
      </c>
      <c r="D171" s="7">
        <v>197</v>
      </c>
      <c r="E171" s="7">
        <f t="shared" si="53"/>
        <v>49.87341772151899</v>
      </c>
      <c r="F171" s="7">
        <v>187</v>
      </c>
      <c r="G171" s="7">
        <f t="shared" si="54"/>
        <v>47.341772151898738</v>
      </c>
      <c r="H171" s="7">
        <v>0</v>
      </c>
      <c r="I171" s="7">
        <f t="shared" si="55"/>
        <v>0</v>
      </c>
      <c r="J171" s="7">
        <v>4</v>
      </c>
      <c r="K171" s="7">
        <f t="shared" si="56"/>
        <v>1.0126582278481013</v>
      </c>
      <c r="L171" s="9">
        <v>285</v>
      </c>
      <c r="M171" s="9">
        <v>315</v>
      </c>
      <c r="N171" s="9">
        <f t="shared" si="57"/>
        <v>600</v>
      </c>
      <c r="O171" s="7">
        <v>395</v>
      </c>
      <c r="P171" s="10">
        <f t="shared" si="61"/>
        <v>65.833333333333329</v>
      </c>
      <c r="Q171" s="7">
        <v>325</v>
      </c>
      <c r="R171" s="7">
        <f t="shared" si="62"/>
        <v>54.166666666666664</v>
      </c>
      <c r="S171" s="21">
        <f t="shared" si="58"/>
        <v>121</v>
      </c>
      <c r="T171" s="7">
        <f t="shared" si="63"/>
        <v>37.230769230769226</v>
      </c>
      <c r="U171" s="7">
        <v>204</v>
      </c>
      <c r="V171" s="11">
        <f t="shared" si="64"/>
        <v>62.769230769230766</v>
      </c>
      <c r="W171" s="7">
        <v>275</v>
      </c>
      <c r="X171" s="7">
        <f t="shared" si="65"/>
        <v>45.833333333333336</v>
      </c>
      <c r="Y171" s="7">
        <f t="shared" si="73"/>
        <v>111</v>
      </c>
      <c r="Z171" s="12">
        <f t="shared" si="66"/>
        <v>40.36363636363636</v>
      </c>
      <c r="AA171" s="12">
        <v>164</v>
      </c>
      <c r="AB171" s="13">
        <f t="shared" si="67"/>
        <v>59.636363636363633</v>
      </c>
      <c r="AC171" s="12">
        <f t="shared" si="75"/>
        <v>368</v>
      </c>
      <c r="AD171" s="12" t="str">
        <f t="shared" si="68"/>
        <v>AVG</v>
      </c>
      <c r="AE171" s="14" t="str">
        <f t="shared" si="69"/>
        <v>WEAK</v>
      </c>
      <c r="AF171" s="12" t="str">
        <f t="shared" si="70"/>
        <v>VLOW</v>
      </c>
      <c r="AG171" s="12" t="str">
        <f t="shared" si="59"/>
        <v>FEMALE DOM</v>
      </c>
      <c r="AH171" s="12" t="str">
        <f t="shared" si="71"/>
        <v>O</v>
      </c>
      <c r="AI171" s="15">
        <f t="shared" si="76"/>
        <v>2.5316455696202524</v>
      </c>
      <c r="AJ171" s="16" t="str">
        <f t="shared" si="60"/>
        <v>BJP GAIN</v>
      </c>
      <c r="AK171" s="15" t="str">
        <f t="shared" si="72"/>
        <v>NARROWMARGIN</v>
      </c>
    </row>
    <row r="172" spans="1:37">
      <c r="A172" s="7">
        <v>169</v>
      </c>
      <c r="B172" s="8" t="s">
        <v>302</v>
      </c>
      <c r="C172" s="7">
        <v>607</v>
      </c>
      <c r="D172" s="7">
        <v>402</v>
      </c>
      <c r="E172" s="7">
        <f t="shared" si="53"/>
        <v>66.227347611202632</v>
      </c>
      <c r="F172" s="7">
        <v>185</v>
      </c>
      <c r="G172" s="7">
        <f t="shared" si="54"/>
        <v>30.477759472817134</v>
      </c>
      <c r="H172" s="7">
        <v>1</v>
      </c>
      <c r="I172" s="7">
        <f t="shared" si="55"/>
        <v>0.16474464579901155</v>
      </c>
      <c r="J172" s="7">
        <v>11</v>
      </c>
      <c r="K172" s="7">
        <f t="shared" si="56"/>
        <v>1.8121911037891267</v>
      </c>
      <c r="L172" s="9">
        <v>398</v>
      </c>
      <c r="M172" s="9">
        <v>429</v>
      </c>
      <c r="N172" s="9">
        <f t="shared" si="57"/>
        <v>827</v>
      </c>
      <c r="O172" s="7">
        <v>607</v>
      </c>
      <c r="P172" s="10">
        <f t="shared" si="61"/>
        <v>73.397823458282957</v>
      </c>
      <c r="Q172" s="7">
        <v>463</v>
      </c>
      <c r="R172" s="7">
        <f t="shared" si="62"/>
        <v>55.985489721886339</v>
      </c>
      <c r="S172" s="7">
        <f t="shared" si="58"/>
        <v>137</v>
      </c>
      <c r="T172" s="7">
        <f t="shared" si="63"/>
        <v>29.589632829373652</v>
      </c>
      <c r="U172" s="7">
        <v>326</v>
      </c>
      <c r="V172" s="11">
        <f t="shared" si="64"/>
        <v>70.410367170626358</v>
      </c>
      <c r="W172" s="7">
        <v>20</v>
      </c>
      <c r="X172" s="7">
        <f t="shared" si="65"/>
        <v>44.014510278113661</v>
      </c>
      <c r="Y172" s="17">
        <f t="shared" si="73"/>
        <v>9</v>
      </c>
      <c r="Z172" s="12">
        <f t="shared" si="66"/>
        <v>45</v>
      </c>
      <c r="AA172" s="12">
        <v>11</v>
      </c>
      <c r="AB172" s="13">
        <f t="shared" si="67"/>
        <v>55.000000000000007</v>
      </c>
      <c r="AC172" s="12">
        <f t="shared" si="75"/>
        <v>337</v>
      </c>
      <c r="AD172" s="12" t="str">
        <f t="shared" si="68"/>
        <v>STRONG</v>
      </c>
      <c r="AE172" s="14" t="str">
        <f t="shared" si="69"/>
        <v>WEAK</v>
      </c>
      <c r="AF172" s="12" t="str">
        <f t="shared" si="70"/>
        <v>VLOW</v>
      </c>
      <c r="AG172" s="12" t="str">
        <f t="shared" si="59"/>
        <v>FEMALE DOM</v>
      </c>
      <c r="AH172" s="12" t="str">
        <f t="shared" si="71"/>
        <v>O</v>
      </c>
      <c r="AI172" s="15">
        <f t="shared" si="76"/>
        <v>35.749588138385498</v>
      </c>
      <c r="AJ172" s="16" t="str">
        <f t="shared" si="60"/>
        <v>BJP GAIN</v>
      </c>
      <c r="AK172" s="24" t="str">
        <f t="shared" si="72"/>
        <v>MEDIUMMARGIN</v>
      </c>
    </row>
    <row r="173" spans="1:37">
      <c r="A173" s="7">
        <v>170</v>
      </c>
      <c r="B173" s="8" t="s">
        <v>303</v>
      </c>
      <c r="C173" s="7">
        <v>749</v>
      </c>
      <c r="D173" s="7">
        <v>594</v>
      </c>
      <c r="E173" s="7">
        <f t="shared" si="53"/>
        <v>79.305740987983981</v>
      </c>
      <c r="F173" s="7">
        <v>125</v>
      </c>
      <c r="G173" s="7">
        <f t="shared" si="54"/>
        <v>16.688918558077436</v>
      </c>
      <c r="H173" s="7">
        <v>1</v>
      </c>
      <c r="I173" s="7">
        <f t="shared" si="55"/>
        <v>0.13351134846461948</v>
      </c>
      <c r="J173" s="7">
        <v>15</v>
      </c>
      <c r="K173" s="7">
        <f t="shared" si="56"/>
        <v>2.0026702269692924</v>
      </c>
      <c r="L173" s="9">
        <v>474</v>
      </c>
      <c r="M173" s="9">
        <v>547</v>
      </c>
      <c r="N173" s="9">
        <f t="shared" si="57"/>
        <v>1021</v>
      </c>
      <c r="O173" s="7">
        <v>749</v>
      </c>
      <c r="P173" s="10">
        <f t="shared" si="61"/>
        <v>73.359451518119485</v>
      </c>
      <c r="Q173" s="7">
        <v>890</v>
      </c>
      <c r="R173" s="7">
        <f t="shared" si="62"/>
        <v>87.169441723800205</v>
      </c>
      <c r="S173" s="7">
        <f t="shared" si="58"/>
        <v>218</v>
      </c>
      <c r="T173" s="7">
        <f t="shared" si="63"/>
        <v>24.49438202247191</v>
      </c>
      <c r="U173" s="7">
        <v>672</v>
      </c>
      <c r="V173" s="11">
        <f t="shared" si="64"/>
        <v>75.50561797752809</v>
      </c>
      <c r="W173" s="7">
        <f>34+90</f>
        <v>124</v>
      </c>
      <c r="X173" s="7">
        <f t="shared" si="65"/>
        <v>12.830558276199795</v>
      </c>
      <c r="Y173" s="7">
        <f t="shared" si="73"/>
        <v>56</v>
      </c>
      <c r="Z173" s="12">
        <f t="shared" si="66"/>
        <v>45.161290322580641</v>
      </c>
      <c r="AA173" s="12">
        <f>24+44</f>
        <v>68</v>
      </c>
      <c r="AB173" s="13">
        <f t="shared" si="67"/>
        <v>54.838709677419352</v>
      </c>
      <c r="AC173" s="12">
        <f t="shared" si="75"/>
        <v>740</v>
      </c>
      <c r="AD173" s="12" t="str">
        <f t="shared" si="68"/>
        <v>STRONG</v>
      </c>
      <c r="AE173" s="14" t="str">
        <f t="shared" si="69"/>
        <v>EXCELLENT</v>
      </c>
      <c r="AF173" s="12" t="str">
        <f t="shared" si="70"/>
        <v>VLOW</v>
      </c>
      <c r="AG173" s="12" t="str">
        <f t="shared" si="59"/>
        <v>FEMALE DOM</v>
      </c>
      <c r="AH173" s="12" t="str">
        <f t="shared" si="71"/>
        <v>O</v>
      </c>
      <c r="AI173" s="15">
        <f t="shared" si="76"/>
        <v>62.616822429906549</v>
      </c>
      <c r="AJ173" s="16" t="str">
        <f t="shared" si="60"/>
        <v>BJP GAIN</v>
      </c>
      <c r="AK173" s="14" t="str">
        <f t="shared" si="72"/>
        <v>VERYHIGHMARGIN</v>
      </c>
    </row>
    <row r="174" spans="1:37">
      <c r="A174" s="7">
        <v>171</v>
      </c>
      <c r="B174" s="8" t="s">
        <v>304</v>
      </c>
      <c r="C174" s="7">
        <v>747</v>
      </c>
      <c r="D174" s="7">
        <v>465</v>
      </c>
      <c r="E174" s="7">
        <f t="shared" si="53"/>
        <v>62.248995983935743</v>
      </c>
      <c r="F174" s="7">
        <v>272</v>
      </c>
      <c r="G174" s="7">
        <f t="shared" si="54"/>
        <v>36.412315930388218</v>
      </c>
      <c r="H174" s="7">
        <v>0</v>
      </c>
      <c r="I174" s="7">
        <f t="shared" si="55"/>
        <v>0</v>
      </c>
      <c r="J174" s="7">
        <v>4</v>
      </c>
      <c r="K174" s="7">
        <f t="shared" si="56"/>
        <v>0.53547523427041499</v>
      </c>
      <c r="L174" s="9">
        <v>502</v>
      </c>
      <c r="M174" s="9">
        <v>552</v>
      </c>
      <c r="N174" s="9">
        <f t="shared" si="57"/>
        <v>1054</v>
      </c>
      <c r="O174" s="7">
        <v>747</v>
      </c>
      <c r="P174" s="10">
        <f t="shared" si="61"/>
        <v>70.872865275142317</v>
      </c>
      <c r="Q174" s="7">
        <v>781</v>
      </c>
      <c r="R174" s="7">
        <f t="shared" si="62"/>
        <v>74.098671726755214</v>
      </c>
      <c r="S174" s="7">
        <f t="shared" si="58"/>
        <v>221</v>
      </c>
      <c r="T174" s="7">
        <f t="shared" si="63"/>
        <v>28.297055057618437</v>
      </c>
      <c r="U174" s="7">
        <v>560</v>
      </c>
      <c r="V174" s="11">
        <f t="shared" si="64"/>
        <v>71.702944942381563</v>
      </c>
      <c r="W174" s="7">
        <f>35+238</f>
        <v>273</v>
      </c>
      <c r="X174" s="7">
        <f t="shared" si="65"/>
        <v>25.901328273244786</v>
      </c>
      <c r="Y174" s="7">
        <f t="shared" si="73"/>
        <v>89</v>
      </c>
      <c r="Z174" s="12">
        <f t="shared" si="66"/>
        <v>32.600732600732599</v>
      </c>
      <c r="AA174" s="12">
        <f>24+160</f>
        <v>184</v>
      </c>
      <c r="AB174" s="13">
        <f t="shared" si="67"/>
        <v>67.399267399267401</v>
      </c>
      <c r="AC174" s="12">
        <f t="shared" si="75"/>
        <v>744</v>
      </c>
      <c r="AD174" s="12" t="str">
        <f t="shared" si="68"/>
        <v>STRONG</v>
      </c>
      <c r="AE174" s="14" t="str">
        <f t="shared" si="69"/>
        <v>STRONG</v>
      </c>
      <c r="AF174" s="12" t="str">
        <f t="shared" si="70"/>
        <v>VLOW</v>
      </c>
      <c r="AG174" s="12" t="str">
        <f t="shared" si="59"/>
        <v>FEMALE DOM</v>
      </c>
      <c r="AH174" s="12" t="str">
        <f t="shared" si="71"/>
        <v>O</v>
      </c>
      <c r="AI174" s="15">
        <f t="shared" si="76"/>
        <v>25.836680053547525</v>
      </c>
      <c r="AJ174" s="16" t="str">
        <f t="shared" si="60"/>
        <v>BJP GAIN</v>
      </c>
      <c r="AK174" s="15" t="str">
        <f t="shared" si="72"/>
        <v>LOWMARGIN</v>
      </c>
    </row>
    <row r="175" spans="1:37">
      <c r="A175" s="7">
        <v>172</v>
      </c>
      <c r="B175" s="8" t="s">
        <v>305</v>
      </c>
      <c r="C175" s="7">
        <v>586</v>
      </c>
      <c r="D175" s="7">
        <v>303</v>
      </c>
      <c r="E175" s="7">
        <f t="shared" si="53"/>
        <v>51.706484641638227</v>
      </c>
      <c r="F175" s="7">
        <v>270</v>
      </c>
      <c r="G175" s="7">
        <f t="shared" si="54"/>
        <v>46.075085324232084</v>
      </c>
      <c r="H175" s="7">
        <v>3</v>
      </c>
      <c r="I175" s="7">
        <f t="shared" si="55"/>
        <v>0.51194539249146753</v>
      </c>
      <c r="J175" s="7">
        <v>1</v>
      </c>
      <c r="K175" s="7">
        <f t="shared" si="56"/>
        <v>0.17064846416382254</v>
      </c>
      <c r="L175" s="9">
        <v>412</v>
      </c>
      <c r="M175" s="9">
        <v>409</v>
      </c>
      <c r="N175" s="9">
        <f t="shared" si="57"/>
        <v>821</v>
      </c>
      <c r="O175" s="7">
        <v>586</v>
      </c>
      <c r="P175" s="10">
        <f t="shared" si="61"/>
        <v>71.376370280146162</v>
      </c>
      <c r="Q175" s="7">
        <v>485</v>
      </c>
      <c r="R175" s="7">
        <f t="shared" si="62"/>
        <v>59.074299634591966</v>
      </c>
      <c r="S175" s="21">
        <f t="shared" si="58"/>
        <v>135</v>
      </c>
      <c r="T175" s="7">
        <f t="shared" si="63"/>
        <v>27.835051546391753</v>
      </c>
      <c r="U175" s="7">
        <v>350</v>
      </c>
      <c r="V175" s="11">
        <f t="shared" si="64"/>
        <v>72.164948453608247</v>
      </c>
      <c r="W175" s="7">
        <v>336</v>
      </c>
      <c r="X175" s="7">
        <f t="shared" si="65"/>
        <v>40.925700365408034</v>
      </c>
      <c r="Y175" s="17">
        <f t="shared" si="73"/>
        <v>100</v>
      </c>
      <c r="Z175" s="12">
        <f t="shared" si="66"/>
        <v>29.761904761904763</v>
      </c>
      <c r="AA175" s="12">
        <v>236</v>
      </c>
      <c r="AB175" s="13">
        <f t="shared" si="67"/>
        <v>70.238095238095227</v>
      </c>
      <c r="AC175" s="12">
        <f t="shared" si="75"/>
        <v>586</v>
      </c>
      <c r="AD175" s="12" t="str">
        <f t="shared" si="68"/>
        <v>STRONG</v>
      </c>
      <c r="AE175" s="14" t="str">
        <f t="shared" si="69"/>
        <v>WEAK</v>
      </c>
      <c r="AF175" s="12" t="str">
        <f t="shared" si="70"/>
        <v>VLOW</v>
      </c>
      <c r="AG175" s="12" t="str">
        <f t="shared" si="59"/>
        <v>MEN</v>
      </c>
      <c r="AH175" s="12" t="str">
        <f t="shared" si="71"/>
        <v>O</v>
      </c>
      <c r="AI175" s="15">
        <f t="shared" si="76"/>
        <v>5.6313993174061423</v>
      </c>
      <c r="AJ175" s="16" t="str">
        <f t="shared" si="60"/>
        <v>BJP GAIN</v>
      </c>
      <c r="AK175" s="15" t="str">
        <f t="shared" si="72"/>
        <v>NARROWMARGIN</v>
      </c>
    </row>
    <row r="176" spans="1:37">
      <c r="A176" s="7">
        <v>173</v>
      </c>
      <c r="B176" s="8" t="s">
        <v>306</v>
      </c>
      <c r="C176" s="7">
        <v>502</v>
      </c>
      <c r="D176" s="7">
        <v>248</v>
      </c>
      <c r="E176" s="7">
        <f t="shared" si="53"/>
        <v>49.402390438247011</v>
      </c>
      <c r="F176" s="7">
        <v>245</v>
      </c>
      <c r="G176" s="7">
        <f t="shared" si="54"/>
        <v>48.804780876494021</v>
      </c>
      <c r="H176" s="7">
        <v>2</v>
      </c>
      <c r="I176" s="7">
        <f t="shared" si="55"/>
        <v>0.39840637450199201</v>
      </c>
      <c r="J176" s="7">
        <v>1</v>
      </c>
      <c r="K176" s="7">
        <f t="shared" si="56"/>
        <v>0.19920318725099601</v>
      </c>
      <c r="L176" s="9">
        <v>371</v>
      </c>
      <c r="M176" s="9">
        <v>388</v>
      </c>
      <c r="N176" s="9">
        <f t="shared" si="57"/>
        <v>759</v>
      </c>
      <c r="O176" s="7">
        <v>502</v>
      </c>
      <c r="P176" s="10">
        <f t="shared" si="61"/>
        <v>66.13965744400528</v>
      </c>
      <c r="Q176" s="7">
        <v>410</v>
      </c>
      <c r="R176" s="7">
        <f t="shared" si="62"/>
        <v>54.018445322793148</v>
      </c>
      <c r="S176" s="7">
        <f t="shared" si="58"/>
        <v>123</v>
      </c>
      <c r="T176" s="7">
        <f t="shared" si="63"/>
        <v>30</v>
      </c>
      <c r="U176" s="7">
        <v>287</v>
      </c>
      <c r="V176" s="11">
        <f t="shared" si="64"/>
        <v>70</v>
      </c>
      <c r="W176" s="7">
        <v>349</v>
      </c>
      <c r="X176" s="7">
        <f t="shared" si="65"/>
        <v>45.981554677206852</v>
      </c>
      <c r="Y176" s="7">
        <f t="shared" si="73"/>
        <v>134</v>
      </c>
      <c r="Z176" s="12">
        <f t="shared" si="66"/>
        <v>38.395415472779369</v>
      </c>
      <c r="AA176" s="12">
        <v>215</v>
      </c>
      <c r="AB176" s="13">
        <f t="shared" si="67"/>
        <v>61.604584527220631</v>
      </c>
      <c r="AC176" s="12">
        <f t="shared" si="75"/>
        <v>502</v>
      </c>
      <c r="AD176" s="12" t="str">
        <f t="shared" si="68"/>
        <v>AVG</v>
      </c>
      <c r="AE176" s="14" t="str">
        <f t="shared" si="69"/>
        <v>WEAK</v>
      </c>
      <c r="AF176" s="12" t="str">
        <f t="shared" si="70"/>
        <v>VLOW</v>
      </c>
      <c r="AG176" s="12" t="str">
        <f t="shared" si="59"/>
        <v>FEMALE DOM</v>
      </c>
      <c r="AH176" s="12" t="str">
        <f t="shared" si="71"/>
        <v>O</v>
      </c>
      <c r="AI176" s="15">
        <f t="shared" si="76"/>
        <v>0.59760956175298929</v>
      </c>
      <c r="AJ176" s="16" t="str">
        <f t="shared" si="60"/>
        <v>BJP GAIN</v>
      </c>
      <c r="AK176" s="34" t="str">
        <f>IF(AI176&gt;=50,"VERYHIGHMARGIN",IF(AI176&gt;=40,"HIGHMARGIN",IF(AI176&gt;=30,"MEDIUMMARGIN",IF(AI176&gt;10,"LOWMARGIN",IF(AI176&lt;1,"NARROWMARGIN")))))</f>
        <v>NARROWMARGIN</v>
      </c>
    </row>
    <row r="177" spans="1:37">
      <c r="A177" s="7">
        <v>174</v>
      </c>
      <c r="B177" s="8" t="s">
        <v>307</v>
      </c>
      <c r="C177" s="7">
        <v>684</v>
      </c>
      <c r="D177" s="7">
        <v>343</v>
      </c>
      <c r="E177" s="7">
        <f t="shared" si="53"/>
        <v>50.146198830409361</v>
      </c>
      <c r="F177" s="7">
        <v>323</v>
      </c>
      <c r="G177" s="7">
        <f t="shared" si="54"/>
        <v>47.222222222222221</v>
      </c>
      <c r="H177" s="7">
        <v>3</v>
      </c>
      <c r="I177" s="7">
        <f t="shared" si="55"/>
        <v>0.43859649122807015</v>
      </c>
      <c r="J177" s="7">
        <v>3</v>
      </c>
      <c r="K177" s="7">
        <f t="shared" si="56"/>
        <v>0.43859649122807015</v>
      </c>
      <c r="L177" s="9">
        <v>535</v>
      </c>
      <c r="M177" s="9">
        <v>579</v>
      </c>
      <c r="N177" s="9">
        <f t="shared" si="57"/>
        <v>1114</v>
      </c>
      <c r="O177" s="7">
        <v>684</v>
      </c>
      <c r="P177" s="10">
        <f t="shared" si="61"/>
        <v>61.400359066427292</v>
      </c>
      <c r="Q177" s="7">
        <v>652</v>
      </c>
      <c r="R177" s="7">
        <f t="shared" si="62"/>
        <v>58.527827648114908</v>
      </c>
      <c r="S177" s="7">
        <f t="shared" si="58"/>
        <v>203</v>
      </c>
      <c r="T177" s="7">
        <f t="shared" si="63"/>
        <v>31.134969325153371</v>
      </c>
      <c r="U177" s="7">
        <v>449</v>
      </c>
      <c r="V177" s="11">
        <f t="shared" si="64"/>
        <v>68.865030674846622</v>
      </c>
      <c r="W177" s="7">
        <v>459</v>
      </c>
      <c r="X177" s="7">
        <f t="shared" si="65"/>
        <v>41.472172351885092</v>
      </c>
      <c r="Y177" s="7">
        <f t="shared" si="73"/>
        <v>224</v>
      </c>
      <c r="Z177" s="12">
        <f t="shared" si="66"/>
        <v>48.80174291938998</v>
      </c>
      <c r="AA177" s="12">
        <v>235</v>
      </c>
      <c r="AB177" s="13">
        <f t="shared" si="67"/>
        <v>51.19825708061002</v>
      </c>
      <c r="AC177" s="12">
        <f t="shared" si="75"/>
        <v>684</v>
      </c>
      <c r="AD177" s="12" t="str">
        <f t="shared" si="68"/>
        <v>AVG</v>
      </c>
      <c r="AE177" s="14" t="str">
        <f t="shared" si="69"/>
        <v>WEAK</v>
      </c>
      <c r="AF177" s="12" t="str">
        <f t="shared" si="70"/>
        <v>VLOW</v>
      </c>
      <c r="AG177" s="12" t="str">
        <f t="shared" si="59"/>
        <v>FEMALE DOM</v>
      </c>
      <c r="AH177" s="12" t="str">
        <f t="shared" si="71"/>
        <v>O</v>
      </c>
      <c r="AI177" s="15">
        <f t="shared" si="76"/>
        <v>2.9239766081871394</v>
      </c>
      <c r="AJ177" s="16" t="str">
        <f t="shared" si="60"/>
        <v>BJP GAIN</v>
      </c>
      <c r="AK177" s="15" t="str">
        <f t="shared" si="72"/>
        <v>NARROWMARGIN</v>
      </c>
    </row>
    <row r="178" spans="1:37">
      <c r="A178" s="7">
        <v>175</v>
      </c>
      <c r="B178" s="8" t="s">
        <v>308</v>
      </c>
      <c r="C178" s="7">
        <v>637</v>
      </c>
      <c r="D178" s="7">
        <v>298</v>
      </c>
      <c r="E178" s="7">
        <f t="shared" si="53"/>
        <v>46.781789638932494</v>
      </c>
      <c r="F178" s="7">
        <v>303</v>
      </c>
      <c r="G178" s="7">
        <f t="shared" si="54"/>
        <v>47.566718995290422</v>
      </c>
      <c r="H178" s="7">
        <v>2</v>
      </c>
      <c r="I178" s="7">
        <f t="shared" si="55"/>
        <v>0.31397174254317112</v>
      </c>
      <c r="J178" s="7">
        <v>11</v>
      </c>
      <c r="K178" s="7">
        <f t="shared" si="56"/>
        <v>1.7268445839874409</v>
      </c>
      <c r="L178" s="9">
        <v>463</v>
      </c>
      <c r="M178" s="9">
        <v>514</v>
      </c>
      <c r="N178" s="9">
        <f t="shared" si="57"/>
        <v>977</v>
      </c>
      <c r="O178" s="7">
        <v>637</v>
      </c>
      <c r="P178" s="10">
        <f t="shared" si="61"/>
        <v>65.199590583418626</v>
      </c>
      <c r="Q178" s="7">
        <v>530</v>
      </c>
      <c r="R178" s="7">
        <f t="shared" si="62"/>
        <v>54.247697031729778</v>
      </c>
      <c r="S178" s="7">
        <f t="shared" si="58"/>
        <v>178</v>
      </c>
      <c r="T178" s="7">
        <f t="shared" si="63"/>
        <v>33.584905660377359</v>
      </c>
      <c r="U178" s="7">
        <v>352</v>
      </c>
      <c r="V178" s="11">
        <f t="shared" si="64"/>
        <v>66.415094339622641</v>
      </c>
      <c r="W178" s="7">
        <v>424</v>
      </c>
      <c r="X178" s="7">
        <f t="shared" si="65"/>
        <v>45.752302968270222</v>
      </c>
      <c r="Y178" s="17">
        <f t="shared" si="73"/>
        <v>169</v>
      </c>
      <c r="Z178" s="12">
        <f t="shared" si="66"/>
        <v>39.858490566037737</v>
      </c>
      <c r="AA178" s="12">
        <v>255</v>
      </c>
      <c r="AB178" s="13">
        <f t="shared" si="67"/>
        <v>60.141509433962256</v>
      </c>
      <c r="AC178" s="12">
        <f t="shared" si="75"/>
        <v>607</v>
      </c>
      <c r="AD178" s="12" t="str">
        <f t="shared" si="68"/>
        <v>AVG</v>
      </c>
      <c r="AE178" s="14" t="str">
        <f t="shared" si="69"/>
        <v>WEAK</v>
      </c>
      <c r="AF178" s="12" t="str">
        <f t="shared" si="70"/>
        <v>VLOW</v>
      </c>
      <c r="AG178" s="12" t="str">
        <f t="shared" si="59"/>
        <v>FEMALE DOM</v>
      </c>
      <c r="AH178" s="12" t="str">
        <f t="shared" si="71"/>
        <v>O</v>
      </c>
      <c r="AI178" s="15">
        <f>G178-E178</f>
        <v>0.78492935635792804</v>
      </c>
      <c r="AJ178" s="25" t="str">
        <f t="shared" si="60"/>
        <v>CONGRESSGAIN</v>
      </c>
      <c r="AK178" s="34" t="str">
        <f>IF(AI178&gt;=50,"VERYHIGHMARGIN",IF(AI178&gt;=40,"HIGHMARGIN",IF(AI178&gt;=30,"MEDIUMMARGIN",IF(AI178&gt;10,"LOWMARGIN",IF(AI178&lt;1,"NARROWMARGIN")))))</f>
        <v>NARROWMARGIN</v>
      </c>
    </row>
    <row r="179" spans="1:37">
      <c r="A179" s="7">
        <v>176</v>
      </c>
      <c r="B179" s="8" t="s">
        <v>309</v>
      </c>
      <c r="C179" s="7">
        <v>640</v>
      </c>
      <c r="D179" s="7">
        <v>493</v>
      </c>
      <c r="E179" s="7">
        <f t="shared" si="53"/>
        <v>77.03125</v>
      </c>
      <c r="F179" s="7">
        <v>125</v>
      </c>
      <c r="G179" s="7">
        <f t="shared" si="54"/>
        <v>19.53125</v>
      </c>
      <c r="H179" s="7">
        <v>3</v>
      </c>
      <c r="I179" s="7">
        <f t="shared" si="55"/>
        <v>0.46875</v>
      </c>
      <c r="J179" s="7">
        <v>5</v>
      </c>
      <c r="K179" s="7">
        <f t="shared" si="56"/>
        <v>0.78125</v>
      </c>
      <c r="L179" s="9">
        <v>391</v>
      </c>
      <c r="M179" s="9">
        <v>463</v>
      </c>
      <c r="N179" s="9">
        <f t="shared" si="57"/>
        <v>854</v>
      </c>
      <c r="O179" s="7">
        <v>640</v>
      </c>
      <c r="P179" s="10">
        <f t="shared" si="61"/>
        <v>74.941451990632331</v>
      </c>
      <c r="Q179" s="7">
        <v>742</v>
      </c>
      <c r="R179" s="7">
        <f t="shared" si="62"/>
        <v>86.885245901639337</v>
      </c>
      <c r="S179" s="21">
        <f t="shared" si="58"/>
        <v>172</v>
      </c>
      <c r="T179" s="7">
        <f t="shared" si="63"/>
        <v>23.180592991913745</v>
      </c>
      <c r="U179" s="7">
        <v>570</v>
      </c>
      <c r="V179" s="11">
        <f t="shared" si="64"/>
        <v>76.819407008086245</v>
      </c>
      <c r="W179" s="7">
        <v>112</v>
      </c>
      <c r="X179" s="7">
        <f t="shared" si="65"/>
        <v>13.114754098360663</v>
      </c>
      <c r="Y179" s="7">
        <f t="shared" si="73"/>
        <v>44</v>
      </c>
      <c r="Z179" s="12">
        <f t="shared" si="66"/>
        <v>39.285714285714285</v>
      </c>
      <c r="AA179" s="12">
        <v>68</v>
      </c>
      <c r="AB179" s="13">
        <f t="shared" si="67"/>
        <v>60.714285714285708</v>
      </c>
      <c r="AC179" s="12">
        <f t="shared" si="75"/>
        <v>638</v>
      </c>
      <c r="AD179" s="12" t="str">
        <f t="shared" si="68"/>
        <v>STRONG</v>
      </c>
      <c r="AE179" s="14" t="str">
        <f t="shared" si="69"/>
        <v>EXCELLENT</v>
      </c>
      <c r="AF179" s="12" t="str">
        <f t="shared" si="70"/>
        <v>VLOW</v>
      </c>
      <c r="AG179" s="12" t="str">
        <f t="shared" si="59"/>
        <v>FEMALE DOM</v>
      </c>
      <c r="AH179" s="12" t="str">
        <f t="shared" si="71"/>
        <v>O</v>
      </c>
      <c r="AI179" s="15">
        <f>E179-G179</f>
        <v>57.5</v>
      </c>
      <c r="AJ179" s="16" t="str">
        <f t="shared" si="60"/>
        <v>BJP GAIN</v>
      </c>
      <c r="AK179" s="14" t="str">
        <f t="shared" si="72"/>
        <v>VERYHIGHMARGIN</v>
      </c>
    </row>
    <row r="180" spans="1:37">
      <c r="A180" s="7">
        <v>177</v>
      </c>
      <c r="B180" s="8" t="s">
        <v>310</v>
      </c>
      <c r="C180" s="7">
        <v>542</v>
      </c>
      <c r="D180" s="7">
        <v>412</v>
      </c>
      <c r="E180" s="7">
        <f t="shared" si="53"/>
        <v>76.014760147601478</v>
      </c>
      <c r="F180" s="7">
        <v>108</v>
      </c>
      <c r="G180" s="7">
        <f t="shared" si="54"/>
        <v>19.926199261992618</v>
      </c>
      <c r="H180" s="7">
        <v>3</v>
      </c>
      <c r="I180" s="7">
        <f t="shared" si="55"/>
        <v>0.55350553505535049</v>
      </c>
      <c r="J180" s="7">
        <v>12</v>
      </c>
      <c r="K180" s="7">
        <f t="shared" si="56"/>
        <v>2.214022140221402</v>
      </c>
      <c r="L180" s="9">
        <v>320</v>
      </c>
      <c r="M180" s="9">
        <v>364</v>
      </c>
      <c r="N180" s="9">
        <f t="shared" si="57"/>
        <v>684</v>
      </c>
      <c r="O180" s="7">
        <v>542</v>
      </c>
      <c r="P180" s="10">
        <f t="shared" si="61"/>
        <v>79.239766081871338</v>
      </c>
      <c r="Q180" s="7">
        <v>587</v>
      </c>
      <c r="R180" s="7">
        <f t="shared" si="62"/>
        <v>85.818713450292393</v>
      </c>
      <c r="S180" s="7">
        <f t="shared" si="58"/>
        <v>128</v>
      </c>
      <c r="T180" s="7">
        <f t="shared" si="63"/>
        <v>21.80579216354344</v>
      </c>
      <c r="U180" s="7">
        <v>459</v>
      </c>
      <c r="V180" s="11">
        <f t="shared" si="64"/>
        <v>78.19420783645657</v>
      </c>
      <c r="W180" s="7">
        <v>83</v>
      </c>
      <c r="X180" s="7">
        <f t="shared" si="65"/>
        <v>14.181286549707607</v>
      </c>
      <c r="Y180" s="7">
        <f t="shared" si="73"/>
        <v>18</v>
      </c>
      <c r="Z180" s="12">
        <f t="shared" si="66"/>
        <v>21.686746987951807</v>
      </c>
      <c r="AA180" s="12">
        <v>65</v>
      </c>
      <c r="AB180" s="13">
        <f t="shared" si="67"/>
        <v>78.313253012048193</v>
      </c>
      <c r="AC180" s="12">
        <f t="shared" si="75"/>
        <v>524</v>
      </c>
      <c r="AD180" s="12" t="str">
        <f t="shared" si="68"/>
        <v>STRONG</v>
      </c>
      <c r="AE180" s="14" t="str">
        <f t="shared" si="69"/>
        <v>EXCELLENT</v>
      </c>
      <c r="AF180" s="12" t="str">
        <f t="shared" si="70"/>
        <v>VLOW</v>
      </c>
      <c r="AG180" s="12" t="str">
        <f t="shared" si="59"/>
        <v>FEMALE DOM</v>
      </c>
      <c r="AH180" s="12" t="str">
        <f t="shared" si="71"/>
        <v>H</v>
      </c>
      <c r="AI180" s="15">
        <f>E180-G180</f>
        <v>56.088560885608857</v>
      </c>
      <c r="AJ180" s="16" t="str">
        <f t="shared" si="60"/>
        <v>BJP GAIN</v>
      </c>
      <c r="AK180" s="14" t="str">
        <f t="shared" si="72"/>
        <v>VERYHIGHMARGIN</v>
      </c>
    </row>
    <row r="181" spans="1:37">
      <c r="A181" s="7">
        <v>178</v>
      </c>
      <c r="B181" s="8" t="s">
        <v>311</v>
      </c>
      <c r="C181" s="7">
        <v>880</v>
      </c>
      <c r="D181" s="7">
        <v>477</v>
      </c>
      <c r="E181" s="7">
        <f t="shared" si="53"/>
        <v>54.204545454545453</v>
      </c>
      <c r="F181" s="7">
        <v>379</v>
      </c>
      <c r="G181" s="7">
        <f t="shared" si="54"/>
        <v>43.068181818181813</v>
      </c>
      <c r="H181" s="7">
        <v>1</v>
      </c>
      <c r="I181" s="7">
        <f t="shared" si="55"/>
        <v>0.11363636363636363</v>
      </c>
      <c r="J181" s="7">
        <v>12</v>
      </c>
      <c r="K181" s="7">
        <f t="shared" si="56"/>
        <v>1.3636363636363635</v>
      </c>
      <c r="L181" s="9">
        <v>556</v>
      </c>
      <c r="M181" s="9">
        <v>561</v>
      </c>
      <c r="N181" s="9">
        <f t="shared" si="57"/>
        <v>1117</v>
      </c>
      <c r="O181" s="7">
        <v>880</v>
      </c>
      <c r="P181" s="10">
        <f t="shared" si="61"/>
        <v>78.782452999104748</v>
      </c>
      <c r="Q181" s="7">
        <v>641</v>
      </c>
      <c r="R181" s="7">
        <f t="shared" si="62"/>
        <v>57.385854968666074</v>
      </c>
      <c r="S181" s="7">
        <f t="shared" si="58"/>
        <v>130</v>
      </c>
      <c r="T181" s="7">
        <f t="shared" si="63"/>
        <v>20.280811232449299</v>
      </c>
      <c r="U181" s="7">
        <v>511</v>
      </c>
      <c r="V181" s="11">
        <f t="shared" si="64"/>
        <v>79.71918876755069</v>
      </c>
      <c r="W181" s="7">
        <f>1117-641</f>
        <v>476</v>
      </c>
      <c r="X181" s="7">
        <f t="shared" si="65"/>
        <v>42.614145031333926</v>
      </c>
      <c r="Y181" s="17">
        <f t="shared" si="73"/>
        <v>107</v>
      </c>
      <c r="Z181" s="12">
        <f t="shared" si="66"/>
        <v>22.478991596638657</v>
      </c>
      <c r="AA181" s="12">
        <f>880-511</f>
        <v>369</v>
      </c>
      <c r="AB181" s="13">
        <f t="shared" si="67"/>
        <v>77.52100840336135</v>
      </c>
      <c r="AC181" s="12">
        <f t="shared" si="75"/>
        <v>880</v>
      </c>
      <c r="AD181" s="12" t="str">
        <f t="shared" si="68"/>
        <v>STRONG</v>
      </c>
      <c r="AE181" s="14" t="str">
        <f t="shared" si="69"/>
        <v>WEAK</v>
      </c>
      <c r="AF181" s="12" t="str">
        <f t="shared" si="70"/>
        <v>VLOW</v>
      </c>
      <c r="AG181" s="12" t="str">
        <f t="shared" si="59"/>
        <v>FEMALE DOM</v>
      </c>
      <c r="AH181" s="12" t="str">
        <f t="shared" si="71"/>
        <v>O</v>
      </c>
      <c r="AI181" s="15">
        <f>E181-G181</f>
        <v>11.13636363636364</v>
      </c>
      <c r="AJ181" s="16" t="str">
        <f t="shared" si="60"/>
        <v>BJP GAIN</v>
      </c>
      <c r="AK181" s="15" t="str">
        <f t="shared" si="72"/>
        <v>LOWMARGIN</v>
      </c>
    </row>
    <row r="182" spans="1:37">
      <c r="A182" s="7">
        <v>179</v>
      </c>
      <c r="B182" s="8" t="s">
        <v>312</v>
      </c>
      <c r="C182" s="7">
        <v>966</v>
      </c>
      <c r="D182" s="7">
        <v>52</v>
      </c>
      <c r="E182" s="7">
        <f t="shared" si="53"/>
        <v>5.383022774327122</v>
      </c>
      <c r="F182" s="7">
        <v>846</v>
      </c>
      <c r="G182" s="7">
        <f t="shared" si="54"/>
        <v>87.577639751552795</v>
      </c>
      <c r="H182" s="7">
        <v>2</v>
      </c>
      <c r="I182" s="7">
        <f t="shared" si="55"/>
        <v>0.20703933747412009</v>
      </c>
      <c r="J182" s="7">
        <v>45</v>
      </c>
      <c r="K182" s="7">
        <f t="shared" si="56"/>
        <v>4.658385093167702</v>
      </c>
      <c r="L182" s="9">
        <v>703</v>
      </c>
      <c r="M182" s="9">
        <v>656</v>
      </c>
      <c r="N182" s="9">
        <f t="shared" si="57"/>
        <v>1359</v>
      </c>
      <c r="O182" s="7">
        <v>966</v>
      </c>
      <c r="P182" s="10">
        <f t="shared" si="61"/>
        <v>71.081677704194263</v>
      </c>
      <c r="Q182" s="7">
        <v>74</v>
      </c>
      <c r="R182" s="7">
        <f t="shared" si="62"/>
        <v>5.4451802796173654</v>
      </c>
      <c r="S182" s="7">
        <f t="shared" si="58"/>
        <v>25</v>
      </c>
      <c r="T182" s="7">
        <f t="shared" si="63"/>
        <v>33.783783783783782</v>
      </c>
      <c r="U182" s="7">
        <v>49</v>
      </c>
      <c r="V182" s="11">
        <f t="shared" si="64"/>
        <v>66.21621621621621</v>
      </c>
      <c r="W182" s="7">
        <v>1285</v>
      </c>
      <c r="X182" s="7">
        <f t="shared" si="65"/>
        <v>94.554819720382639</v>
      </c>
      <c r="Y182" s="7">
        <f t="shared" si="73"/>
        <v>416</v>
      </c>
      <c r="Z182" s="12">
        <f t="shared" si="66"/>
        <v>32.373540856031127</v>
      </c>
      <c r="AA182" s="12">
        <v>869</v>
      </c>
      <c r="AB182" s="13">
        <f t="shared" si="67"/>
        <v>67.626459143968873</v>
      </c>
      <c r="AC182" s="12">
        <f t="shared" si="75"/>
        <v>918</v>
      </c>
      <c r="AD182" s="12" t="str">
        <f t="shared" si="68"/>
        <v>STRONG</v>
      </c>
      <c r="AE182" s="14" t="str">
        <f t="shared" si="69"/>
        <v>VLOW</v>
      </c>
      <c r="AF182" s="12" t="str">
        <f t="shared" si="70"/>
        <v>EXCELLENT</v>
      </c>
      <c r="AG182" s="12" t="str">
        <f t="shared" si="59"/>
        <v>MEN</v>
      </c>
      <c r="AH182" s="12" t="str">
        <f t="shared" si="71"/>
        <v>H</v>
      </c>
      <c r="AI182" s="15">
        <f>G182-E182</f>
        <v>82.194616977225678</v>
      </c>
      <c r="AJ182" s="25" t="str">
        <f t="shared" si="60"/>
        <v>CONGRESSGAIN</v>
      </c>
      <c r="AK182" s="14" t="str">
        <f t="shared" si="72"/>
        <v>VERYHIGHMARGIN</v>
      </c>
    </row>
    <row r="183" spans="1:37">
      <c r="A183" s="7">
        <v>180</v>
      </c>
      <c r="B183" s="8" t="s">
        <v>313</v>
      </c>
      <c r="C183" s="7">
        <v>862</v>
      </c>
      <c r="D183" s="7">
        <v>502</v>
      </c>
      <c r="E183" s="7">
        <f t="shared" si="53"/>
        <v>58.236658932714612</v>
      </c>
      <c r="F183" s="7">
        <v>348</v>
      </c>
      <c r="G183" s="7">
        <f t="shared" si="54"/>
        <v>40.37122969837587</v>
      </c>
      <c r="H183" s="7">
        <v>0</v>
      </c>
      <c r="I183" s="7">
        <f t="shared" si="55"/>
        <v>0</v>
      </c>
      <c r="J183" s="7">
        <v>7</v>
      </c>
      <c r="K183" s="7">
        <f t="shared" si="56"/>
        <v>0.81206496519721572</v>
      </c>
      <c r="L183" s="9">
        <v>566</v>
      </c>
      <c r="M183" s="9">
        <v>641</v>
      </c>
      <c r="N183" s="9">
        <f t="shared" si="57"/>
        <v>1207</v>
      </c>
      <c r="O183" s="7">
        <v>862</v>
      </c>
      <c r="P183" s="10">
        <f t="shared" si="61"/>
        <v>71.416735708367852</v>
      </c>
      <c r="Q183" s="7">
        <v>845</v>
      </c>
      <c r="R183" s="7">
        <f t="shared" si="62"/>
        <v>70.008285004142508</v>
      </c>
      <c r="S183" s="21">
        <f t="shared" si="58"/>
        <v>530</v>
      </c>
      <c r="T183" s="7">
        <f t="shared" si="63"/>
        <v>62.721893491124256</v>
      </c>
      <c r="U183" s="7">
        <v>315</v>
      </c>
      <c r="V183" s="11">
        <f t="shared" si="64"/>
        <v>37.278106508875744</v>
      </c>
      <c r="W183" s="7">
        <v>362</v>
      </c>
      <c r="X183" s="7">
        <f t="shared" si="65"/>
        <v>29.991714995857492</v>
      </c>
      <c r="Y183" s="7">
        <f t="shared" si="73"/>
        <v>230</v>
      </c>
      <c r="Z183" s="12">
        <f t="shared" si="66"/>
        <v>63.53591160220995</v>
      </c>
      <c r="AA183" s="12">
        <v>132</v>
      </c>
      <c r="AB183" s="13">
        <f t="shared" si="67"/>
        <v>36.464088397790057</v>
      </c>
      <c r="AC183" s="12">
        <f t="shared" si="75"/>
        <v>447</v>
      </c>
      <c r="AD183" s="12" t="str">
        <f t="shared" si="68"/>
        <v>STRONG</v>
      </c>
      <c r="AE183" s="14" t="str">
        <f t="shared" si="69"/>
        <v>STRONG</v>
      </c>
      <c r="AF183" s="12" t="str">
        <f t="shared" si="70"/>
        <v>VLOW</v>
      </c>
      <c r="AG183" s="12" t="str">
        <f t="shared" si="59"/>
        <v>FEMALE DOM</v>
      </c>
      <c r="AH183" s="12" t="str">
        <f t="shared" si="71"/>
        <v>O</v>
      </c>
      <c r="AI183" s="15">
        <f>E183-G183</f>
        <v>17.865429234338741</v>
      </c>
      <c r="AJ183" s="16" t="str">
        <f t="shared" si="60"/>
        <v>BJP GAIN</v>
      </c>
      <c r="AK183" s="15" t="str">
        <f t="shared" si="72"/>
        <v>LOWMARGIN</v>
      </c>
    </row>
    <row r="184" spans="1:37">
      <c r="A184" s="7">
        <v>181</v>
      </c>
      <c r="B184" s="8" t="s">
        <v>314</v>
      </c>
      <c r="C184" s="7">
        <v>1010</v>
      </c>
      <c r="D184" s="7">
        <v>27</v>
      </c>
      <c r="E184" s="7">
        <f t="shared" si="53"/>
        <v>2.6732673267326734</v>
      </c>
      <c r="F184" s="7">
        <v>930</v>
      </c>
      <c r="G184" s="7">
        <f t="shared" si="54"/>
        <v>92.079207920792086</v>
      </c>
      <c r="H184" s="7">
        <v>5</v>
      </c>
      <c r="I184" s="7">
        <f t="shared" si="55"/>
        <v>0.49504950495049505</v>
      </c>
      <c r="J184" s="7">
        <v>22</v>
      </c>
      <c r="K184" s="7">
        <f t="shared" si="56"/>
        <v>2.1782178217821779</v>
      </c>
      <c r="L184" s="9">
        <v>817</v>
      </c>
      <c r="M184" s="9">
        <v>696</v>
      </c>
      <c r="N184" s="9">
        <f t="shared" si="57"/>
        <v>1513</v>
      </c>
      <c r="O184" s="7">
        <v>1010</v>
      </c>
      <c r="P184" s="10">
        <f t="shared" si="61"/>
        <v>66.754791804362185</v>
      </c>
      <c r="Q184" s="7">
        <v>53</v>
      </c>
      <c r="R184" s="7">
        <f t="shared" si="62"/>
        <v>3.5029742233972239</v>
      </c>
      <c r="S184" s="7">
        <f t="shared" si="58"/>
        <v>27</v>
      </c>
      <c r="T184" s="7">
        <f t="shared" si="63"/>
        <v>50.943396226415096</v>
      </c>
      <c r="U184" s="7">
        <v>26</v>
      </c>
      <c r="V184" s="11">
        <f t="shared" si="64"/>
        <v>49.056603773584904</v>
      </c>
      <c r="W184" s="7">
        <v>1460</v>
      </c>
      <c r="X184" s="7">
        <f t="shared" si="65"/>
        <v>96.497025776602783</v>
      </c>
      <c r="Y184" s="17">
        <f t="shared" si="73"/>
        <v>477</v>
      </c>
      <c r="Z184" s="12">
        <f t="shared" si="66"/>
        <v>32.671232876712331</v>
      </c>
      <c r="AA184" s="12">
        <v>983</v>
      </c>
      <c r="AB184" s="13">
        <f t="shared" si="67"/>
        <v>67.328767123287676</v>
      </c>
      <c r="AC184" s="12">
        <f t="shared" si="75"/>
        <v>1009</v>
      </c>
      <c r="AD184" s="12" t="str">
        <f t="shared" si="68"/>
        <v>AVG</v>
      </c>
      <c r="AE184" s="14" t="str">
        <f t="shared" si="69"/>
        <v>VLOW</v>
      </c>
      <c r="AF184" s="12" t="str">
        <f t="shared" si="70"/>
        <v>EXCELLENT</v>
      </c>
      <c r="AG184" s="12" t="str">
        <f t="shared" si="59"/>
        <v>MEN</v>
      </c>
      <c r="AH184" s="12" t="str">
        <f t="shared" si="71"/>
        <v>H</v>
      </c>
      <c r="AI184" s="15">
        <f>G184-E184</f>
        <v>89.405940594059416</v>
      </c>
      <c r="AJ184" s="25" t="str">
        <f t="shared" si="60"/>
        <v>CONGRESSGAIN</v>
      </c>
      <c r="AK184" s="14" t="str">
        <f t="shared" si="72"/>
        <v>VERYHIGHMARGIN</v>
      </c>
    </row>
    <row r="185" spans="1:37">
      <c r="A185" s="7">
        <v>182</v>
      </c>
      <c r="B185" s="8" t="s">
        <v>315</v>
      </c>
      <c r="C185" s="7">
        <v>620</v>
      </c>
      <c r="D185" s="7">
        <v>345</v>
      </c>
      <c r="E185" s="7">
        <f t="shared" si="53"/>
        <v>55.645161290322577</v>
      </c>
      <c r="F185" s="7">
        <v>228</v>
      </c>
      <c r="G185" s="7">
        <f t="shared" si="54"/>
        <v>36.774193548387096</v>
      </c>
      <c r="H185" s="7">
        <v>4</v>
      </c>
      <c r="I185" s="7">
        <f t="shared" si="55"/>
        <v>0.64516129032258063</v>
      </c>
      <c r="J185" s="7">
        <v>25</v>
      </c>
      <c r="K185" s="7">
        <f t="shared" si="56"/>
        <v>4.032258064516129</v>
      </c>
      <c r="L185" s="9">
        <v>434</v>
      </c>
      <c r="M185" s="9">
        <v>458</v>
      </c>
      <c r="N185" s="9">
        <f t="shared" si="57"/>
        <v>892</v>
      </c>
      <c r="O185" s="7">
        <v>620</v>
      </c>
      <c r="P185" s="10">
        <f t="shared" si="61"/>
        <v>69.506726457399111</v>
      </c>
      <c r="Q185" s="7">
        <v>554</v>
      </c>
      <c r="R185" s="7">
        <f t="shared" si="62"/>
        <v>62.107623318385649</v>
      </c>
      <c r="S185" s="7">
        <f t="shared" si="58"/>
        <v>154</v>
      </c>
      <c r="T185" s="7">
        <f t="shared" si="63"/>
        <v>27.797833935018051</v>
      </c>
      <c r="U185" s="7">
        <v>400</v>
      </c>
      <c r="V185" s="11">
        <f t="shared" si="64"/>
        <v>72.202166064981952</v>
      </c>
      <c r="W185" s="7">
        <v>338</v>
      </c>
      <c r="X185" s="7">
        <f t="shared" si="65"/>
        <v>37.892376681614351</v>
      </c>
      <c r="Y185" s="7">
        <f t="shared" si="73"/>
        <v>118</v>
      </c>
      <c r="Z185" s="12">
        <f t="shared" si="66"/>
        <v>34.911242603550299</v>
      </c>
      <c r="AA185" s="12">
        <v>220</v>
      </c>
      <c r="AB185" s="13">
        <f t="shared" si="67"/>
        <v>65.088757396449708</v>
      </c>
      <c r="AC185" s="12">
        <f t="shared" si="75"/>
        <v>620</v>
      </c>
      <c r="AD185" s="12" t="str">
        <f t="shared" si="68"/>
        <v>AVG</v>
      </c>
      <c r="AE185" s="14" t="str">
        <f t="shared" si="69"/>
        <v>AVG</v>
      </c>
      <c r="AF185" s="12" t="str">
        <f t="shared" si="70"/>
        <v>VLOW</v>
      </c>
      <c r="AG185" s="12" t="str">
        <f t="shared" si="59"/>
        <v>FEMALE DOM</v>
      </c>
      <c r="AH185" s="12" t="str">
        <f t="shared" si="71"/>
        <v>O</v>
      </c>
      <c r="AI185" s="15">
        <f>E185-G185</f>
        <v>18.87096774193548</v>
      </c>
      <c r="AJ185" s="16" t="str">
        <f t="shared" si="60"/>
        <v>BJP GAIN</v>
      </c>
      <c r="AK185" s="15" t="str">
        <f t="shared" si="72"/>
        <v>LOWMARGIN</v>
      </c>
    </row>
    <row r="186" spans="1:37">
      <c r="A186" s="7">
        <v>183</v>
      </c>
      <c r="B186" s="8" t="s">
        <v>316</v>
      </c>
      <c r="C186" s="7">
        <v>851</v>
      </c>
      <c r="D186" s="7">
        <v>67</v>
      </c>
      <c r="E186" s="7">
        <f t="shared" si="53"/>
        <v>7.873090481786134</v>
      </c>
      <c r="F186" s="7">
        <v>735</v>
      </c>
      <c r="G186" s="7">
        <f t="shared" si="54"/>
        <v>86.368977673325503</v>
      </c>
      <c r="H186" s="7">
        <v>5</v>
      </c>
      <c r="I186" s="7">
        <f t="shared" si="55"/>
        <v>0.58754406580493534</v>
      </c>
      <c r="J186" s="7">
        <v>20</v>
      </c>
      <c r="K186" s="7">
        <f t="shared" si="56"/>
        <v>2.3501762632197414</v>
      </c>
      <c r="L186" s="9">
        <v>562</v>
      </c>
      <c r="M186" s="9">
        <v>620</v>
      </c>
      <c r="N186" s="9">
        <f t="shared" si="57"/>
        <v>1182</v>
      </c>
      <c r="O186" s="7">
        <v>851</v>
      </c>
      <c r="P186" s="10">
        <f t="shared" si="61"/>
        <v>71.996615905245349</v>
      </c>
      <c r="Q186" s="7">
        <v>100</v>
      </c>
      <c r="R186" s="7">
        <f t="shared" si="62"/>
        <v>8.4602368866328259</v>
      </c>
      <c r="S186" s="7">
        <f t="shared" si="58"/>
        <v>32</v>
      </c>
      <c r="T186" s="7">
        <f t="shared" si="63"/>
        <v>32</v>
      </c>
      <c r="U186" s="7">
        <v>68</v>
      </c>
      <c r="V186" s="11">
        <f t="shared" si="64"/>
        <v>68</v>
      </c>
      <c r="W186" s="7">
        <f>1020+3</f>
        <v>1023</v>
      </c>
      <c r="X186" s="7">
        <f t="shared" si="65"/>
        <v>91.539763113367172</v>
      </c>
      <c r="Y186" s="7">
        <f t="shared" si="73"/>
        <v>271</v>
      </c>
      <c r="Z186" s="12">
        <f t="shared" si="66"/>
        <v>26.490713587487779</v>
      </c>
      <c r="AA186" s="12">
        <f>749+3</f>
        <v>752</v>
      </c>
      <c r="AB186" s="13">
        <f t="shared" si="67"/>
        <v>73.509286412512225</v>
      </c>
      <c r="AC186" s="12">
        <f t="shared" si="75"/>
        <v>820</v>
      </c>
      <c r="AD186" s="12" t="str">
        <f t="shared" si="68"/>
        <v>STRONG</v>
      </c>
      <c r="AE186" s="14" t="str">
        <f t="shared" si="69"/>
        <v>VLOW</v>
      </c>
      <c r="AF186" s="12" t="str">
        <f t="shared" si="70"/>
        <v>EXCELLENT</v>
      </c>
      <c r="AG186" s="12" t="str">
        <f t="shared" si="59"/>
        <v>FEMALE DOM</v>
      </c>
      <c r="AH186" s="12" t="str">
        <f t="shared" si="71"/>
        <v>H</v>
      </c>
      <c r="AI186" s="15">
        <f>G186-E186</f>
        <v>78.495887191539367</v>
      </c>
      <c r="AJ186" s="25" t="str">
        <f t="shared" si="60"/>
        <v>CONGRESSGAIN</v>
      </c>
      <c r="AK186" s="14" t="str">
        <f t="shared" si="72"/>
        <v>VERYHIGHMARGIN</v>
      </c>
    </row>
    <row r="187" spans="1:37">
      <c r="A187" s="7">
        <v>184</v>
      </c>
      <c r="B187" s="8" t="s">
        <v>317</v>
      </c>
      <c r="C187" s="7">
        <v>857</v>
      </c>
      <c r="D187" s="7">
        <v>229</v>
      </c>
      <c r="E187" s="7">
        <f t="shared" si="53"/>
        <v>26.721120186697782</v>
      </c>
      <c r="F187" s="7">
        <v>587</v>
      </c>
      <c r="G187" s="7">
        <f t="shared" si="54"/>
        <v>68.494749124854138</v>
      </c>
      <c r="H187" s="7">
        <v>16</v>
      </c>
      <c r="I187" s="7">
        <f t="shared" si="55"/>
        <v>1.8669778296382729</v>
      </c>
      <c r="J187" s="7">
        <v>9</v>
      </c>
      <c r="K187" s="7">
        <f t="shared" si="56"/>
        <v>1.0501750291715286</v>
      </c>
      <c r="L187" s="9">
        <v>550</v>
      </c>
      <c r="M187" s="9">
        <v>560</v>
      </c>
      <c r="N187" s="9">
        <f t="shared" si="57"/>
        <v>1110</v>
      </c>
      <c r="O187" s="7">
        <v>857</v>
      </c>
      <c r="P187" s="10">
        <f t="shared" si="61"/>
        <v>77.207207207207205</v>
      </c>
      <c r="Q187" s="7">
        <v>365</v>
      </c>
      <c r="R187" s="7">
        <f t="shared" si="62"/>
        <v>32.882882882882889</v>
      </c>
      <c r="S187" s="21">
        <f t="shared" si="58"/>
        <v>79</v>
      </c>
      <c r="T187" s="7">
        <f t="shared" si="63"/>
        <v>21.643835616438356</v>
      </c>
      <c r="U187" s="7">
        <v>286</v>
      </c>
      <c r="V187" s="11">
        <f t="shared" si="64"/>
        <v>78.356164383561648</v>
      </c>
      <c r="W187" s="7">
        <f>687+58</f>
        <v>745</v>
      </c>
      <c r="X187" s="7">
        <f t="shared" si="65"/>
        <v>67.117117117117118</v>
      </c>
      <c r="Y187" s="17">
        <f t="shared" si="73"/>
        <v>161</v>
      </c>
      <c r="Z187" s="12">
        <f t="shared" si="66"/>
        <v>21.610738255033556</v>
      </c>
      <c r="AA187" s="12">
        <f>544+40</f>
        <v>584</v>
      </c>
      <c r="AB187" s="13">
        <f t="shared" si="67"/>
        <v>78.389261744966447</v>
      </c>
      <c r="AC187" s="12">
        <f t="shared" si="75"/>
        <v>870</v>
      </c>
      <c r="AD187" s="12" t="str">
        <f t="shared" si="68"/>
        <v>STRONG</v>
      </c>
      <c r="AE187" s="14" t="str">
        <f t="shared" si="69"/>
        <v>VLOW</v>
      </c>
      <c r="AF187" s="12" t="str">
        <f t="shared" si="70"/>
        <v>AVG</v>
      </c>
      <c r="AG187" s="12" t="str">
        <f t="shared" si="59"/>
        <v>FEMALE DOM</v>
      </c>
      <c r="AH187" s="12" t="str">
        <f t="shared" si="71"/>
        <v>H</v>
      </c>
      <c r="AI187" s="15">
        <f>G187-E187</f>
        <v>41.773628938156357</v>
      </c>
      <c r="AJ187" s="25" t="str">
        <f t="shared" si="60"/>
        <v>CONGRESSGAIN</v>
      </c>
      <c r="AK187" s="19" t="str">
        <f t="shared" si="72"/>
        <v>HIGHMARGIN</v>
      </c>
    </row>
    <row r="188" spans="1:37">
      <c r="A188" s="7">
        <v>185</v>
      </c>
      <c r="B188" s="8" t="s">
        <v>318</v>
      </c>
      <c r="C188" s="7">
        <v>867</v>
      </c>
      <c r="D188" s="7">
        <v>219</v>
      </c>
      <c r="E188" s="7">
        <f t="shared" si="53"/>
        <v>25.259515570934255</v>
      </c>
      <c r="F188" s="7">
        <v>616</v>
      </c>
      <c r="G188" s="7">
        <f t="shared" si="54"/>
        <v>71.049596309111891</v>
      </c>
      <c r="H188" s="7">
        <v>8</v>
      </c>
      <c r="I188" s="7">
        <f t="shared" si="55"/>
        <v>0.92272202998846597</v>
      </c>
      <c r="J188" s="7">
        <v>18</v>
      </c>
      <c r="K188" s="7">
        <f t="shared" si="56"/>
        <v>2.0761245674740483</v>
      </c>
      <c r="L188" s="9">
        <v>651</v>
      </c>
      <c r="M188" s="9">
        <v>682</v>
      </c>
      <c r="N188" s="9">
        <f t="shared" si="57"/>
        <v>1333</v>
      </c>
      <c r="O188" s="7">
        <v>867</v>
      </c>
      <c r="P188" s="10">
        <f t="shared" si="61"/>
        <v>65.041260315078773</v>
      </c>
      <c r="Q188" s="7">
        <v>345</v>
      </c>
      <c r="R188" s="7">
        <f t="shared" si="62"/>
        <v>25.881470367591895</v>
      </c>
      <c r="S188" s="7">
        <f t="shared" si="58"/>
        <v>78</v>
      </c>
      <c r="T188" s="7">
        <f t="shared" si="63"/>
        <v>22.608695652173914</v>
      </c>
      <c r="U188" s="7">
        <v>267</v>
      </c>
      <c r="V188" s="11">
        <f t="shared" si="64"/>
        <v>77.391304347826079</v>
      </c>
      <c r="W188" s="7">
        <f>963+31</f>
        <v>994</v>
      </c>
      <c r="X188" s="7">
        <f t="shared" si="65"/>
        <v>74.118529632408098</v>
      </c>
      <c r="Y188" s="7">
        <f t="shared" si="73"/>
        <v>385</v>
      </c>
      <c r="Z188" s="12">
        <f t="shared" si="66"/>
        <v>38.732394366197184</v>
      </c>
      <c r="AA188" s="12">
        <f>581+28</f>
        <v>609</v>
      </c>
      <c r="AB188" s="13">
        <f t="shared" si="67"/>
        <v>61.267605633802816</v>
      </c>
      <c r="AC188" s="12">
        <f t="shared" si="75"/>
        <v>876</v>
      </c>
      <c r="AD188" s="12" t="str">
        <f t="shared" si="68"/>
        <v>AVG</v>
      </c>
      <c r="AE188" s="14" t="str">
        <f t="shared" si="69"/>
        <v>VLOW</v>
      </c>
      <c r="AF188" s="12" t="str">
        <f t="shared" si="70"/>
        <v>STRONG</v>
      </c>
      <c r="AG188" s="12" t="str">
        <f t="shared" si="59"/>
        <v>FEMALE DOM</v>
      </c>
      <c r="AH188" s="12" t="str">
        <f t="shared" si="71"/>
        <v>O</v>
      </c>
      <c r="AI188" s="15">
        <f>G188-E188</f>
        <v>45.790080738177636</v>
      </c>
      <c r="AJ188" s="25" t="str">
        <f t="shared" si="60"/>
        <v>CONGRESSGAIN</v>
      </c>
      <c r="AK188" s="19" t="str">
        <f t="shared" si="72"/>
        <v>HIGHMARGIN</v>
      </c>
    </row>
    <row r="189" spans="1:37">
      <c r="A189" s="7">
        <v>186</v>
      </c>
      <c r="B189" s="8" t="s">
        <v>319</v>
      </c>
      <c r="C189" s="7">
        <v>691</v>
      </c>
      <c r="D189" s="7">
        <v>497</v>
      </c>
      <c r="E189" s="7">
        <f t="shared" si="53"/>
        <v>71.924746743849482</v>
      </c>
      <c r="F189" s="7">
        <v>156</v>
      </c>
      <c r="G189" s="7">
        <f t="shared" si="54"/>
        <v>22.575976845151953</v>
      </c>
      <c r="H189" s="7">
        <v>3</v>
      </c>
      <c r="I189" s="7">
        <f t="shared" si="55"/>
        <v>0.43415340086830684</v>
      </c>
      <c r="J189" s="7">
        <v>20</v>
      </c>
      <c r="K189" s="7">
        <f t="shared" si="56"/>
        <v>2.8943560057887119</v>
      </c>
      <c r="L189" s="9">
        <v>444</v>
      </c>
      <c r="M189" s="9">
        <v>449</v>
      </c>
      <c r="N189" s="9">
        <f t="shared" si="57"/>
        <v>893</v>
      </c>
      <c r="O189" s="7">
        <v>691</v>
      </c>
      <c r="P189" s="10">
        <f t="shared" si="61"/>
        <v>77.379619260918247</v>
      </c>
      <c r="Q189" s="7">
        <v>711</v>
      </c>
      <c r="R189" s="7">
        <f t="shared" si="62"/>
        <v>79.619260918253076</v>
      </c>
      <c r="S189" s="7">
        <f t="shared" si="58"/>
        <v>149</v>
      </c>
      <c r="T189" s="7">
        <f t="shared" si="63"/>
        <v>20.956399437412095</v>
      </c>
      <c r="U189" s="7">
        <v>562</v>
      </c>
      <c r="V189" s="11">
        <f t="shared" si="64"/>
        <v>79.043600562587898</v>
      </c>
      <c r="W189" s="7">
        <f>49+26</f>
        <v>75</v>
      </c>
      <c r="X189" s="7">
        <f t="shared" si="65"/>
        <v>20.380739081746924</v>
      </c>
      <c r="Y189" s="7">
        <f t="shared" si="73"/>
        <v>29</v>
      </c>
      <c r="Z189" s="12">
        <f t="shared" si="66"/>
        <v>38.666666666666664</v>
      </c>
      <c r="AA189" s="12">
        <f>31+15</f>
        <v>46</v>
      </c>
      <c r="AB189" s="13">
        <f t="shared" si="67"/>
        <v>61.333333333333329</v>
      </c>
      <c r="AC189" s="12">
        <f t="shared" si="75"/>
        <v>608</v>
      </c>
      <c r="AD189" s="12" t="str">
        <f t="shared" si="68"/>
        <v>STRONG</v>
      </c>
      <c r="AE189" s="14" t="str">
        <f t="shared" si="69"/>
        <v>STRONG</v>
      </c>
      <c r="AF189" s="12" t="str">
        <f t="shared" si="70"/>
        <v>VLOW</v>
      </c>
      <c r="AG189" s="12" t="str">
        <f t="shared" si="59"/>
        <v>FEMALE DOM</v>
      </c>
      <c r="AH189" s="12" t="str">
        <f t="shared" si="71"/>
        <v>O</v>
      </c>
      <c r="AI189" s="15">
        <f>E189-G189</f>
        <v>49.348769898697526</v>
      </c>
      <c r="AJ189" s="16" t="str">
        <f t="shared" si="60"/>
        <v>BJP GAIN</v>
      </c>
      <c r="AK189" s="19" t="str">
        <f t="shared" si="72"/>
        <v>HIGHMARGIN</v>
      </c>
    </row>
    <row r="190" spans="1:37">
      <c r="A190" s="7">
        <v>187</v>
      </c>
      <c r="B190" s="8" t="s">
        <v>320</v>
      </c>
      <c r="C190" s="7">
        <v>672</v>
      </c>
      <c r="D190" s="7">
        <v>301</v>
      </c>
      <c r="E190" s="7">
        <f t="shared" si="53"/>
        <v>44.791666666666671</v>
      </c>
      <c r="F190" s="7">
        <v>298</v>
      </c>
      <c r="G190" s="7">
        <f t="shared" si="54"/>
        <v>44.345238095238095</v>
      </c>
      <c r="H190" s="7">
        <v>9</v>
      </c>
      <c r="I190" s="7">
        <f t="shared" si="55"/>
        <v>1.3392857142857142</v>
      </c>
      <c r="J190" s="7">
        <v>54</v>
      </c>
      <c r="K190" s="7">
        <f t="shared" si="56"/>
        <v>8.0357142857142865</v>
      </c>
      <c r="L190" s="9">
        <v>445</v>
      </c>
      <c r="M190" s="9">
        <v>500</v>
      </c>
      <c r="N190" s="9">
        <f t="shared" si="57"/>
        <v>945</v>
      </c>
      <c r="O190" s="7">
        <v>672</v>
      </c>
      <c r="P190" s="10">
        <f t="shared" si="61"/>
        <v>71.111111111111114</v>
      </c>
      <c r="Q190" s="7">
        <v>574</v>
      </c>
      <c r="R190" s="7">
        <f t="shared" si="62"/>
        <v>60.74074074074074</v>
      </c>
      <c r="S190" s="7">
        <f t="shared" si="58"/>
        <v>227</v>
      </c>
      <c r="T190" s="7">
        <f t="shared" si="63"/>
        <v>39.547038327526138</v>
      </c>
      <c r="U190" s="7">
        <v>347</v>
      </c>
      <c r="V190" s="11">
        <f t="shared" si="64"/>
        <v>60.452961672473869</v>
      </c>
      <c r="W190" s="7">
        <v>371</v>
      </c>
      <c r="X190" s="7">
        <f t="shared" si="65"/>
        <v>39.25925925925926</v>
      </c>
      <c r="Y190" s="17">
        <f t="shared" si="73"/>
        <v>154</v>
      </c>
      <c r="Z190" s="12">
        <f t="shared" si="66"/>
        <v>41.509433962264154</v>
      </c>
      <c r="AA190" s="12">
        <v>217</v>
      </c>
      <c r="AB190" s="13">
        <f t="shared" si="67"/>
        <v>58.490566037735846</v>
      </c>
      <c r="AC190" s="12">
        <f t="shared" si="75"/>
        <v>564</v>
      </c>
      <c r="AD190" s="12" t="str">
        <f t="shared" si="68"/>
        <v>STRONG</v>
      </c>
      <c r="AE190" s="14" t="str">
        <f t="shared" si="69"/>
        <v>AVG</v>
      </c>
      <c r="AF190" s="12" t="str">
        <f t="shared" si="70"/>
        <v>VLOW</v>
      </c>
      <c r="AG190" s="12" t="str">
        <f t="shared" si="59"/>
        <v>FEMALE DOM</v>
      </c>
      <c r="AH190" s="12" t="str">
        <f t="shared" si="71"/>
        <v>O</v>
      </c>
      <c r="AI190" s="15">
        <f>E190-G190</f>
        <v>0.4464285714285765</v>
      </c>
      <c r="AJ190" s="16" t="str">
        <f t="shared" si="60"/>
        <v>BJP GAIN</v>
      </c>
      <c r="AK190" s="34" t="str">
        <f>IF(AI190&gt;=50,"VERYHIGHMARGIN",IF(AI190&gt;=40,"HIGHMARGIN",IF(AI190&gt;=30,"MEDIUMMARGIN",IF(AI190&gt;10,"LOWMARGIN",IF(AI190&lt;1,"NARROWMARGIN")))))</f>
        <v>NARROWMARGIN</v>
      </c>
    </row>
    <row r="191" spans="1:37">
      <c r="A191" s="7">
        <v>188</v>
      </c>
      <c r="B191" s="8" t="s">
        <v>321</v>
      </c>
      <c r="C191" s="7">
        <v>469</v>
      </c>
      <c r="D191" s="7">
        <v>199</v>
      </c>
      <c r="E191" s="7">
        <f t="shared" si="53"/>
        <v>42.430703624733475</v>
      </c>
      <c r="F191" s="7">
        <v>233</v>
      </c>
      <c r="G191" s="7">
        <f t="shared" si="54"/>
        <v>49.680170575692962</v>
      </c>
      <c r="H191" s="7">
        <v>7</v>
      </c>
      <c r="I191" s="7">
        <f t="shared" si="55"/>
        <v>1.4925373134328357</v>
      </c>
      <c r="J191" s="7">
        <v>23</v>
      </c>
      <c r="K191" s="7">
        <f t="shared" si="56"/>
        <v>4.9040511727078888</v>
      </c>
      <c r="L191" s="9">
        <v>333</v>
      </c>
      <c r="M191" s="9">
        <v>349</v>
      </c>
      <c r="N191" s="9">
        <f t="shared" si="57"/>
        <v>682</v>
      </c>
      <c r="O191" s="7">
        <v>469</v>
      </c>
      <c r="P191" s="10">
        <f t="shared" si="61"/>
        <v>68.768328445747812</v>
      </c>
      <c r="Q191" s="7">
        <v>368</v>
      </c>
      <c r="R191" s="7">
        <f t="shared" si="62"/>
        <v>53.958944281524921</v>
      </c>
      <c r="S191" s="21">
        <f t="shared" si="58"/>
        <v>122</v>
      </c>
      <c r="T191" s="7">
        <f t="shared" si="63"/>
        <v>33.152173913043477</v>
      </c>
      <c r="U191" s="7">
        <v>246</v>
      </c>
      <c r="V191" s="11">
        <f t="shared" si="64"/>
        <v>66.847826086956516</v>
      </c>
      <c r="W191" s="7">
        <f>277+35</f>
        <v>312</v>
      </c>
      <c r="X191" s="7">
        <f t="shared" si="65"/>
        <v>46.041055718475079</v>
      </c>
      <c r="Y191" s="7">
        <f t="shared" si="73"/>
        <v>89</v>
      </c>
      <c r="Z191" s="12">
        <f t="shared" si="66"/>
        <v>28.525641025641026</v>
      </c>
      <c r="AA191" s="12">
        <f>192+23+8</f>
        <v>223</v>
      </c>
      <c r="AB191" s="13">
        <f t="shared" si="67"/>
        <v>71.474358974358978</v>
      </c>
      <c r="AC191" s="12">
        <f t="shared" si="75"/>
        <v>469</v>
      </c>
      <c r="AD191" s="12" t="str">
        <f t="shared" si="68"/>
        <v>AVG</v>
      </c>
      <c r="AE191" s="14" t="str">
        <f t="shared" si="69"/>
        <v>WEAK</v>
      </c>
      <c r="AF191" s="12" t="str">
        <f t="shared" si="70"/>
        <v>VLOW</v>
      </c>
      <c r="AG191" s="12" t="str">
        <f t="shared" si="59"/>
        <v>FEMALE DOM</v>
      </c>
      <c r="AH191" s="12" t="str">
        <f t="shared" si="71"/>
        <v>H</v>
      </c>
      <c r="AI191" s="15">
        <f>G191-E191</f>
        <v>7.2494669509594871</v>
      </c>
      <c r="AJ191" s="25" t="str">
        <f t="shared" si="60"/>
        <v>CONGRESSGAIN</v>
      </c>
      <c r="AK191" s="15" t="str">
        <f t="shared" si="72"/>
        <v>NARROWMARGIN</v>
      </c>
    </row>
    <row r="192" spans="1:37">
      <c r="A192" s="7">
        <v>189</v>
      </c>
      <c r="B192" s="8" t="s">
        <v>322</v>
      </c>
      <c r="C192" s="7">
        <v>840</v>
      </c>
      <c r="D192" s="7">
        <v>509</v>
      </c>
      <c r="E192" s="7">
        <f t="shared" si="53"/>
        <v>60.595238095238088</v>
      </c>
      <c r="F192" s="7">
        <v>249</v>
      </c>
      <c r="G192" s="7">
        <f t="shared" si="54"/>
        <v>29.642857142857142</v>
      </c>
      <c r="H192" s="7">
        <v>0</v>
      </c>
      <c r="I192" s="7">
        <f t="shared" si="55"/>
        <v>0</v>
      </c>
      <c r="J192" s="7">
        <v>71</v>
      </c>
      <c r="K192" s="7">
        <f t="shared" si="56"/>
        <v>8.4523809523809526</v>
      </c>
      <c r="L192" s="9">
        <v>578</v>
      </c>
      <c r="M192" s="9">
        <v>615</v>
      </c>
      <c r="N192" s="9">
        <f t="shared" si="57"/>
        <v>1193</v>
      </c>
      <c r="O192" s="7">
        <v>840</v>
      </c>
      <c r="P192" s="10">
        <f t="shared" si="61"/>
        <v>70.410729253981557</v>
      </c>
      <c r="Q192" s="7">
        <v>909</v>
      </c>
      <c r="R192" s="7">
        <f t="shared" si="62"/>
        <v>76.194467728415759</v>
      </c>
      <c r="S192" s="21">
        <f t="shared" si="58"/>
        <v>292</v>
      </c>
      <c r="T192" s="7">
        <f t="shared" si="63"/>
        <v>32.123212321232124</v>
      </c>
      <c r="U192" s="7">
        <v>617</v>
      </c>
      <c r="V192" s="11">
        <f t="shared" si="64"/>
        <v>67.876787678767883</v>
      </c>
      <c r="W192" s="7">
        <f>109+175</f>
        <v>284</v>
      </c>
      <c r="X192" s="7">
        <f t="shared" si="65"/>
        <v>23.805532271584241</v>
      </c>
      <c r="Y192" s="7">
        <f t="shared" si="73"/>
        <v>97</v>
      </c>
      <c r="Z192" s="12">
        <f t="shared" si="66"/>
        <v>34.154929577464785</v>
      </c>
      <c r="AA192" s="12">
        <f>80+107</f>
        <v>187</v>
      </c>
      <c r="AB192" s="13">
        <f t="shared" si="67"/>
        <v>65.845070422535215</v>
      </c>
      <c r="AC192" s="12">
        <f t="shared" si="75"/>
        <v>804</v>
      </c>
      <c r="AD192" s="12" t="str">
        <f t="shared" si="68"/>
        <v>STRONG</v>
      </c>
      <c r="AE192" s="14" t="str">
        <f t="shared" si="69"/>
        <v>STRONG</v>
      </c>
      <c r="AF192" s="12" t="str">
        <f t="shared" si="70"/>
        <v>VLOW</v>
      </c>
      <c r="AG192" s="12" t="str">
        <f t="shared" si="59"/>
        <v>FEMALE DOM</v>
      </c>
      <c r="AH192" s="12" t="str">
        <f t="shared" si="71"/>
        <v>O</v>
      </c>
      <c r="AI192" s="15">
        <f t="shared" ref="AI192:AI199" si="77">E192-G192</f>
        <v>30.952380952380945</v>
      </c>
      <c r="AJ192" s="16" t="str">
        <f t="shared" si="60"/>
        <v>BJP GAIN</v>
      </c>
      <c r="AK192" s="24" t="str">
        <f t="shared" si="72"/>
        <v>MEDIUMMARGIN</v>
      </c>
    </row>
    <row r="193" spans="1:37">
      <c r="A193" s="7">
        <v>190</v>
      </c>
      <c r="B193" s="8" t="s">
        <v>323</v>
      </c>
      <c r="C193" s="7">
        <v>332</v>
      </c>
      <c r="D193" s="7">
        <v>168</v>
      </c>
      <c r="E193" s="7">
        <f t="shared" si="53"/>
        <v>50.602409638554214</v>
      </c>
      <c r="F193" s="7">
        <v>148</v>
      </c>
      <c r="G193" s="7">
        <f t="shared" si="54"/>
        <v>44.578313253012048</v>
      </c>
      <c r="H193" s="7">
        <v>0</v>
      </c>
      <c r="I193" s="7">
        <f t="shared" si="55"/>
        <v>0</v>
      </c>
      <c r="J193" s="7">
        <v>14</v>
      </c>
      <c r="K193" s="7">
        <f t="shared" si="56"/>
        <v>4.2168674698795181</v>
      </c>
      <c r="L193" s="9">
        <v>234</v>
      </c>
      <c r="M193" s="9">
        <v>239</v>
      </c>
      <c r="N193" s="9">
        <f t="shared" si="57"/>
        <v>473</v>
      </c>
      <c r="O193" s="7">
        <v>332</v>
      </c>
      <c r="P193" s="10">
        <f t="shared" si="61"/>
        <v>70.190274841437628</v>
      </c>
      <c r="Q193" s="7">
        <v>301</v>
      </c>
      <c r="R193" s="7">
        <f t="shared" si="62"/>
        <v>63.636363636363633</v>
      </c>
      <c r="S193" s="7">
        <f t="shared" si="58"/>
        <v>117</v>
      </c>
      <c r="T193" s="7">
        <f t="shared" si="63"/>
        <v>38.870431893687709</v>
      </c>
      <c r="U193" s="7">
        <v>184</v>
      </c>
      <c r="V193" s="11">
        <f t="shared" si="64"/>
        <v>61.129568106312291</v>
      </c>
      <c r="W193" s="7">
        <v>172</v>
      </c>
      <c r="X193" s="7">
        <f t="shared" si="65"/>
        <v>36.363636363636367</v>
      </c>
      <c r="Y193" s="17">
        <f t="shared" si="73"/>
        <v>35</v>
      </c>
      <c r="Z193" s="12">
        <f t="shared" si="66"/>
        <v>20.348837209302324</v>
      </c>
      <c r="AA193" s="12">
        <v>137</v>
      </c>
      <c r="AB193" s="13">
        <f t="shared" si="67"/>
        <v>79.651162790697668</v>
      </c>
      <c r="AC193" s="12">
        <f t="shared" si="75"/>
        <v>321</v>
      </c>
      <c r="AD193" s="12" t="str">
        <f t="shared" si="68"/>
        <v>STRONG</v>
      </c>
      <c r="AE193" s="14" t="str">
        <f t="shared" si="69"/>
        <v>AVG</v>
      </c>
      <c r="AF193" s="12" t="str">
        <f t="shared" si="70"/>
        <v>VLOW</v>
      </c>
      <c r="AG193" s="12" t="str">
        <f t="shared" si="59"/>
        <v>FEMALE DOM</v>
      </c>
      <c r="AH193" s="12" t="str">
        <f t="shared" si="71"/>
        <v>H</v>
      </c>
      <c r="AI193" s="15">
        <f t="shared" si="77"/>
        <v>6.0240963855421654</v>
      </c>
      <c r="AJ193" s="16" t="str">
        <f t="shared" si="60"/>
        <v>BJP GAIN</v>
      </c>
      <c r="AK193" s="15" t="str">
        <f t="shared" si="72"/>
        <v>NARROWMARGIN</v>
      </c>
    </row>
    <row r="194" spans="1:37">
      <c r="A194" s="7">
        <v>191</v>
      </c>
      <c r="B194" s="8" t="s">
        <v>324</v>
      </c>
      <c r="C194" s="7">
        <v>610</v>
      </c>
      <c r="D194" s="7">
        <v>335</v>
      </c>
      <c r="E194" s="7">
        <f t="shared" si="53"/>
        <v>54.918032786885249</v>
      </c>
      <c r="F194" s="7">
        <v>196</v>
      </c>
      <c r="G194" s="7">
        <f t="shared" si="54"/>
        <v>32.131147540983605</v>
      </c>
      <c r="H194" s="7">
        <v>7</v>
      </c>
      <c r="I194" s="7">
        <f t="shared" si="55"/>
        <v>1.1475409836065573</v>
      </c>
      <c r="J194" s="7">
        <v>55</v>
      </c>
      <c r="K194" s="7">
        <f t="shared" si="56"/>
        <v>9.0163934426229506</v>
      </c>
      <c r="L194" s="9">
        <v>376</v>
      </c>
      <c r="M194" s="9">
        <v>419</v>
      </c>
      <c r="N194" s="9">
        <f t="shared" si="57"/>
        <v>795</v>
      </c>
      <c r="O194" s="7">
        <v>610</v>
      </c>
      <c r="P194" s="10">
        <f t="shared" si="61"/>
        <v>76.729559748427675</v>
      </c>
      <c r="Q194" s="7">
        <v>634</v>
      </c>
      <c r="R194" s="7">
        <f t="shared" si="62"/>
        <v>79.748427672955984</v>
      </c>
      <c r="S194" s="7">
        <f t="shared" si="58"/>
        <v>444</v>
      </c>
      <c r="T194" s="7">
        <f t="shared" si="63"/>
        <v>70.031545741324919</v>
      </c>
      <c r="U194" s="7">
        <v>190</v>
      </c>
      <c r="V194" s="11">
        <f t="shared" si="64"/>
        <v>29.968454258675081</v>
      </c>
      <c r="W194" s="7"/>
      <c r="X194" s="7">
        <f t="shared" si="65"/>
        <v>20.251572327044016</v>
      </c>
      <c r="Y194" s="7">
        <f t="shared" si="73"/>
        <v>0</v>
      </c>
      <c r="Z194" s="12" t="e">
        <f t="shared" si="66"/>
        <v>#DIV/0!</v>
      </c>
      <c r="AA194" s="12"/>
      <c r="AB194" s="13">
        <f t="shared" si="67"/>
        <v>0</v>
      </c>
      <c r="AC194" s="12">
        <f t="shared" si="75"/>
        <v>190</v>
      </c>
      <c r="AD194" s="12" t="str">
        <f t="shared" si="68"/>
        <v>STRONG</v>
      </c>
      <c r="AE194" s="14" t="str">
        <f t="shared" si="69"/>
        <v>STRONG</v>
      </c>
      <c r="AF194" s="12" t="str">
        <f t="shared" si="70"/>
        <v>VLOW</v>
      </c>
      <c r="AG194" s="12" t="str">
        <f t="shared" si="59"/>
        <v>FEMALE DOM</v>
      </c>
      <c r="AH194" s="12" t="e">
        <f t="shared" si="71"/>
        <v>#DIV/0!</v>
      </c>
      <c r="AI194" s="15">
        <f t="shared" si="77"/>
        <v>22.786885245901644</v>
      </c>
      <c r="AJ194" s="16" t="str">
        <f t="shared" si="60"/>
        <v>BJP GAIN</v>
      </c>
      <c r="AK194" s="15" t="str">
        <f t="shared" si="72"/>
        <v>LOWMARGIN</v>
      </c>
    </row>
    <row r="195" spans="1:37">
      <c r="A195" s="7">
        <v>192</v>
      </c>
      <c r="B195" s="8" t="s">
        <v>325</v>
      </c>
      <c r="C195" s="7">
        <v>484</v>
      </c>
      <c r="D195" s="7">
        <v>281</v>
      </c>
      <c r="E195" s="7">
        <f t="shared" si="53"/>
        <v>58.057851239669425</v>
      </c>
      <c r="F195" s="7">
        <v>154</v>
      </c>
      <c r="G195" s="7">
        <f t="shared" si="54"/>
        <v>31.818181818181817</v>
      </c>
      <c r="H195" s="7">
        <v>1</v>
      </c>
      <c r="I195" s="7">
        <f t="shared" si="55"/>
        <v>0.20661157024793389</v>
      </c>
      <c r="J195" s="7">
        <v>46</v>
      </c>
      <c r="K195" s="7">
        <f t="shared" si="56"/>
        <v>9.5041322314049594</v>
      </c>
      <c r="L195" s="9">
        <v>312</v>
      </c>
      <c r="M195" s="9">
        <v>352</v>
      </c>
      <c r="N195" s="9">
        <f t="shared" si="57"/>
        <v>664</v>
      </c>
      <c r="O195" s="7">
        <v>484</v>
      </c>
      <c r="P195" s="10">
        <f t="shared" si="61"/>
        <v>72.891566265060234</v>
      </c>
      <c r="Q195" s="7">
        <v>459</v>
      </c>
      <c r="R195" s="7">
        <f t="shared" si="62"/>
        <v>69.126506024096386</v>
      </c>
      <c r="S195" s="7">
        <f t="shared" si="58"/>
        <v>94</v>
      </c>
      <c r="T195" s="7">
        <f t="shared" si="63"/>
        <v>20.479302832244009</v>
      </c>
      <c r="U195" s="7">
        <v>365</v>
      </c>
      <c r="V195" s="11">
        <f t="shared" si="64"/>
        <v>79.520697167755998</v>
      </c>
      <c r="W195" s="7">
        <f>54+151</f>
        <v>205</v>
      </c>
      <c r="X195" s="7">
        <f t="shared" si="65"/>
        <v>30.873493975903614</v>
      </c>
      <c r="Y195" s="7">
        <f t="shared" si="73"/>
        <v>92</v>
      </c>
      <c r="Z195" s="12">
        <f t="shared" si="66"/>
        <v>44.878048780487809</v>
      </c>
      <c r="AA195" s="12">
        <f>28+85</f>
        <v>113</v>
      </c>
      <c r="AB195" s="13">
        <f t="shared" si="67"/>
        <v>55.121951219512198</v>
      </c>
      <c r="AC195" s="12">
        <f t="shared" si="75"/>
        <v>478</v>
      </c>
      <c r="AD195" s="12" t="str">
        <f t="shared" si="68"/>
        <v>STRONG</v>
      </c>
      <c r="AE195" s="14" t="str">
        <f t="shared" si="69"/>
        <v>AVG</v>
      </c>
      <c r="AF195" s="12" t="str">
        <f t="shared" si="70"/>
        <v>VLOW</v>
      </c>
      <c r="AG195" s="12" t="str">
        <f t="shared" si="59"/>
        <v>FEMALE DOM</v>
      </c>
      <c r="AH195" s="12" t="str">
        <f t="shared" si="71"/>
        <v>O</v>
      </c>
      <c r="AI195" s="15">
        <f t="shared" si="77"/>
        <v>26.239669421487609</v>
      </c>
      <c r="AJ195" s="16" t="str">
        <f t="shared" si="60"/>
        <v>BJP GAIN</v>
      </c>
      <c r="AK195" s="15" t="str">
        <f t="shared" si="72"/>
        <v>LOWMARGIN</v>
      </c>
    </row>
    <row r="196" spans="1:37">
      <c r="A196" s="7">
        <v>193</v>
      </c>
      <c r="B196" s="8" t="s">
        <v>326</v>
      </c>
      <c r="C196" s="7">
        <v>1116</v>
      </c>
      <c r="D196" s="7">
        <v>602</v>
      </c>
      <c r="E196" s="7">
        <f t="shared" ref="E196:E223" si="78">(D196/C196)*100</f>
        <v>53.942652329749109</v>
      </c>
      <c r="F196" s="7">
        <v>409</v>
      </c>
      <c r="G196" s="7">
        <f t="shared" ref="G196:G223" si="79">(F196/C196)*100</f>
        <v>36.648745519713259</v>
      </c>
      <c r="H196" s="7">
        <v>2</v>
      </c>
      <c r="I196" s="7">
        <f t="shared" ref="I196:I223" si="80">(H196/C196)*100</f>
        <v>0.17921146953405018</v>
      </c>
      <c r="J196" s="7">
        <v>83</v>
      </c>
      <c r="K196" s="7">
        <f t="shared" ref="K196:K223" si="81">(J196/C196)*100</f>
        <v>7.4372759856630815</v>
      </c>
      <c r="L196" s="9">
        <v>759</v>
      </c>
      <c r="M196" s="9">
        <v>783</v>
      </c>
      <c r="N196" s="9">
        <f t="shared" ref="N196:N223" si="82">L196+M196</f>
        <v>1542</v>
      </c>
      <c r="O196" s="7">
        <v>1116</v>
      </c>
      <c r="P196" s="10">
        <f t="shared" si="61"/>
        <v>72.373540856031127</v>
      </c>
      <c r="Q196" s="7"/>
      <c r="R196" s="7">
        <f t="shared" si="62"/>
        <v>0</v>
      </c>
      <c r="S196" s="21">
        <f t="shared" ref="S196:S223" si="83">Q196-U196</f>
        <v>0</v>
      </c>
      <c r="T196" s="7" t="e">
        <f t="shared" si="63"/>
        <v>#DIV/0!</v>
      </c>
      <c r="U196" s="7"/>
      <c r="V196" s="11">
        <f t="shared" si="64"/>
        <v>0</v>
      </c>
      <c r="W196" s="7"/>
      <c r="X196" s="7">
        <f t="shared" si="65"/>
        <v>100</v>
      </c>
      <c r="Y196" s="17">
        <f t="shared" si="73"/>
        <v>0</v>
      </c>
      <c r="Z196" s="12" t="e">
        <f t="shared" si="66"/>
        <v>#DIV/0!</v>
      </c>
      <c r="AA196" s="12"/>
      <c r="AB196" s="13">
        <f t="shared" si="67"/>
        <v>0</v>
      </c>
      <c r="AC196" s="12">
        <f t="shared" si="75"/>
        <v>0</v>
      </c>
      <c r="AD196" s="12" t="str">
        <f t="shared" si="68"/>
        <v>STRONG</v>
      </c>
      <c r="AE196" s="14" t="str">
        <f t="shared" si="69"/>
        <v>VLOW</v>
      </c>
      <c r="AF196" s="12" t="str">
        <f t="shared" si="70"/>
        <v>EXCELLENT</v>
      </c>
      <c r="AG196" s="12" t="str">
        <f t="shared" ref="AG196:AG223" si="84">IF(M196&gt;L196,"FEMALE DOM","MEN")</f>
        <v>FEMALE DOM</v>
      </c>
      <c r="AH196" s="12" t="e">
        <f t="shared" si="71"/>
        <v>#DIV/0!</v>
      </c>
      <c r="AI196" s="15">
        <f t="shared" si="77"/>
        <v>17.29390681003585</v>
      </c>
      <c r="AJ196" s="16" t="str">
        <f t="shared" ref="AJ196:AJ223" si="85">IF(E196&gt;G196, "BJP GAIN","CONGRESSGAIN")</f>
        <v>BJP GAIN</v>
      </c>
      <c r="AK196" s="15" t="str">
        <f t="shared" si="72"/>
        <v>LOWMARGIN</v>
      </c>
    </row>
    <row r="197" spans="1:37">
      <c r="A197" s="7">
        <v>194</v>
      </c>
      <c r="B197" s="8" t="s">
        <v>327</v>
      </c>
      <c r="C197" s="7">
        <v>1045</v>
      </c>
      <c r="D197" s="7">
        <v>666</v>
      </c>
      <c r="E197" s="7">
        <f t="shared" si="78"/>
        <v>63.732057416267942</v>
      </c>
      <c r="F197" s="7">
        <v>295</v>
      </c>
      <c r="G197" s="7">
        <f t="shared" si="79"/>
        <v>28.229665071770331</v>
      </c>
      <c r="H197" s="7">
        <v>1</v>
      </c>
      <c r="I197" s="7">
        <f t="shared" si="80"/>
        <v>9.569377990430622E-2</v>
      </c>
      <c r="J197" s="7">
        <v>56</v>
      </c>
      <c r="K197" s="7">
        <f t="shared" si="81"/>
        <v>5.3588516746411488</v>
      </c>
      <c r="L197" s="9">
        <v>723</v>
      </c>
      <c r="M197" s="9">
        <v>766</v>
      </c>
      <c r="N197" s="9">
        <f t="shared" si="82"/>
        <v>1489</v>
      </c>
      <c r="O197" s="7">
        <v>1045</v>
      </c>
      <c r="P197" s="10">
        <f t="shared" ref="P197:P223" si="86">O197/N197*100</f>
        <v>70.181329751511072</v>
      </c>
      <c r="Q197" s="7">
        <v>1173</v>
      </c>
      <c r="R197" s="7">
        <f t="shared" ref="R197:R223" si="87">(Q197/N197)*100</f>
        <v>78.777703156480854</v>
      </c>
      <c r="S197" s="7">
        <f t="shared" si="83"/>
        <v>374</v>
      </c>
      <c r="T197" s="7">
        <f t="shared" ref="T197:T223" si="88">(S197/Q197)*100</f>
        <v>31.884057971014489</v>
      </c>
      <c r="U197" s="7">
        <v>799</v>
      </c>
      <c r="V197" s="11">
        <f t="shared" ref="V197:V224" si="89">IFERROR(U197/Q197*100,0)</f>
        <v>68.115942028985515</v>
      </c>
      <c r="W197" s="7">
        <v>316</v>
      </c>
      <c r="X197" s="7">
        <f t="shared" ref="X197:X223" si="90">100-R197</f>
        <v>21.222296843519146</v>
      </c>
      <c r="Y197" s="7">
        <f t="shared" si="73"/>
        <v>155</v>
      </c>
      <c r="Z197" s="12">
        <f t="shared" ref="Z197:Z223" si="91">(Y197/W197)*100</f>
        <v>49.050632911392405</v>
      </c>
      <c r="AA197" s="12">
        <v>161</v>
      </c>
      <c r="AB197" s="13">
        <f t="shared" ref="AB197:AB224" si="92">IFERROR(AA197/W197*100,0)</f>
        <v>50.949367088607602</v>
      </c>
      <c r="AC197" s="12">
        <f t="shared" si="75"/>
        <v>960</v>
      </c>
      <c r="AD197" s="12" t="str">
        <f t="shared" ref="AD197:AD223" si="93">IF(P197&gt;80,"EXCELLENT",IF(P197&gt;70,"STRONG",IF(P197&gt;60,"AVG",IF(P197&gt;50,"WEAK",IF(P197&lt;50,"VLOW")))))</f>
        <v>STRONG</v>
      </c>
      <c r="AE197" s="14" t="str">
        <f t="shared" ref="AE197:AE223" si="94">IF(R197&gt;80,"EXCELLENT",IF(R197&gt;70,"STRONG",IF(R197&gt;60,"AVG",IF(R197&gt;50,"WEAK",IF(R197&lt;50,"VLOW")))))</f>
        <v>STRONG</v>
      </c>
      <c r="AF197" s="12" t="str">
        <f t="shared" ref="AF197:AF223" si="95">IF(X197&gt;80,"EXCELLENT",IF(X197&gt;70,"STRONG",IF(X197&gt;60,"AVG",IF(X197&gt;50,"WEAK",IF(X197&lt;50,"VLOW")))))</f>
        <v>VLOW</v>
      </c>
      <c r="AG197" s="12" t="str">
        <f t="shared" si="84"/>
        <v>FEMALE DOM</v>
      </c>
      <c r="AH197" s="12" t="str">
        <f t="shared" ref="AH197:AH223" si="96">IF(T197&gt;Z197,"H","O")</f>
        <v>O</v>
      </c>
      <c r="AI197" s="15">
        <f t="shared" si="77"/>
        <v>35.502392344497608</v>
      </c>
      <c r="AJ197" s="16" t="str">
        <f t="shared" si="85"/>
        <v>BJP GAIN</v>
      </c>
      <c r="AK197" s="24" t="str">
        <f t="shared" ref="AK197:AK223" si="97">IF(AI197&gt;=50,"VERYHIGHMARGIN",IF(AI197&gt;=40,"HIGHMARGIN",IF(AI197&gt;=30,"MEDIUMMARGIN",IF(AI197&gt;10,"LOWMARGIN",IF(AI197&gt;=1,"NARROWMARGIN")))))</f>
        <v>MEDIUMMARGIN</v>
      </c>
    </row>
    <row r="198" spans="1:37">
      <c r="A198" s="7">
        <v>195</v>
      </c>
      <c r="B198" s="8" t="s">
        <v>328</v>
      </c>
      <c r="C198" s="7">
        <v>1189</v>
      </c>
      <c r="D198" s="7">
        <v>802</v>
      </c>
      <c r="E198" s="7">
        <f t="shared" si="78"/>
        <v>67.451640033641709</v>
      </c>
      <c r="F198" s="7">
        <v>261</v>
      </c>
      <c r="G198" s="7">
        <f t="shared" si="79"/>
        <v>21.951219512195124</v>
      </c>
      <c r="H198" s="7">
        <v>4</v>
      </c>
      <c r="I198" s="7">
        <f t="shared" si="80"/>
        <v>0.33641715727502103</v>
      </c>
      <c r="J198" s="7">
        <v>92</v>
      </c>
      <c r="K198" s="7">
        <f t="shared" si="81"/>
        <v>7.7375946173254846</v>
      </c>
      <c r="L198" s="9">
        <v>722</v>
      </c>
      <c r="M198" s="9">
        <v>789</v>
      </c>
      <c r="N198" s="9">
        <f t="shared" si="82"/>
        <v>1511</v>
      </c>
      <c r="O198" s="7">
        <v>1189</v>
      </c>
      <c r="P198" s="10">
        <f t="shared" si="86"/>
        <v>78.689609530112506</v>
      </c>
      <c r="Q198" s="7">
        <v>1340</v>
      </c>
      <c r="R198" s="7">
        <f t="shared" si="87"/>
        <v>88.682991396426203</v>
      </c>
      <c r="S198" s="7">
        <f t="shared" si="83"/>
        <v>340</v>
      </c>
      <c r="T198" s="7">
        <f t="shared" si="88"/>
        <v>25.373134328358208</v>
      </c>
      <c r="U198" s="7">
        <v>1000</v>
      </c>
      <c r="V198" s="11">
        <f t="shared" si="89"/>
        <v>74.626865671641795</v>
      </c>
      <c r="W198" s="7">
        <v>171</v>
      </c>
      <c r="X198" s="7">
        <f t="shared" si="90"/>
        <v>11.317008603573797</v>
      </c>
      <c r="Y198" s="7">
        <f t="shared" ref="Y198:Y223" si="98">W198-AA198</f>
        <v>58</v>
      </c>
      <c r="Z198" s="12">
        <f t="shared" si="91"/>
        <v>33.918128654970758</v>
      </c>
      <c r="AA198" s="12">
        <v>113</v>
      </c>
      <c r="AB198" s="13">
        <f t="shared" si="92"/>
        <v>66.081871345029242</v>
      </c>
      <c r="AC198" s="12">
        <f t="shared" si="75"/>
        <v>1113</v>
      </c>
      <c r="AD198" s="12" t="str">
        <f t="shared" si="93"/>
        <v>STRONG</v>
      </c>
      <c r="AE198" s="14" t="str">
        <f t="shared" si="94"/>
        <v>EXCELLENT</v>
      </c>
      <c r="AF198" s="12" t="str">
        <f t="shared" si="95"/>
        <v>VLOW</v>
      </c>
      <c r="AG198" s="12" t="str">
        <f t="shared" si="84"/>
        <v>FEMALE DOM</v>
      </c>
      <c r="AH198" s="12" t="str">
        <f t="shared" si="96"/>
        <v>O</v>
      </c>
      <c r="AI198" s="15">
        <f t="shared" si="77"/>
        <v>45.500420521446586</v>
      </c>
      <c r="AJ198" s="16" t="str">
        <f t="shared" si="85"/>
        <v>BJP GAIN</v>
      </c>
      <c r="AK198" s="19" t="str">
        <f t="shared" si="97"/>
        <v>HIGHMARGIN</v>
      </c>
    </row>
    <row r="199" spans="1:37">
      <c r="A199" s="7">
        <v>196</v>
      </c>
      <c r="B199" s="8" t="s">
        <v>329</v>
      </c>
      <c r="C199" s="7">
        <v>1147</v>
      </c>
      <c r="D199" s="7">
        <v>658</v>
      </c>
      <c r="E199" s="7">
        <f t="shared" si="78"/>
        <v>57.367044463818658</v>
      </c>
      <c r="F199" s="7">
        <v>431</v>
      </c>
      <c r="G199" s="7">
        <f t="shared" si="79"/>
        <v>37.576285963382738</v>
      </c>
      <c r="H199" s="7">
        <v>4</v>
      </c>
      <c r="I199" s="7">
        <f t="shared" si="80"/>
        <v>0.34873583260680036</v>
      </c>
      <c r="J199" s="7">
        <v>27</v>
      </c>
      <c r="K199" s="7">
        <f t="shared" si="81"/>
        <v>2.3539668700959022</v>
      </c>
      <c r="L199" s="9">
        <v>737</v>
      </c>
      <c r="M199" s="9">
        <v>805</v>
      </c>
      <c r="N199" s="9">
        <f t="shared" si="82"/>
        <v>1542</v>
      </c>
      <c r="O199" s="7">
        <v>1147</v>
      </c>
      <c r="P199" s="10">
        <f t="shared" si="86"/>
        <v>74.383916990920881</v>
      </c>
      <c r="Q199" s="7"/>
      <c r="R199" s="7">
        <f t="shared" si="87"/>
        <v>0</v>
      </c>
      <c r="S199" s="7">
        <f t="shared" si="83"/>
        <v>0</v>
      </c>
      <c r="T199" s="7" t="e">
        <f t="shared" si="88"/>
        <v>#DIV/0!</v>
      </c>
      <c r="U199" s="7"/>
      <c r="V199" s="11">
        <f t="shared" si="89"/>
        <v>0</v>
      </c>
      <c r="W199" s="7"/>
      <c r="X199" s="7">
        <f t="shared" si="90"/>
        <v>100</v>
      </c>
      <c r="Y199" s="17">
        <f t="shared" si="98"/>
        <v>0</v>
      </c>
      <c r="Z199" s="12" t="e">
        <f t="shared" si="91"/>
        <v>#DIV/0!</v>
      </c>
      <c r="AA199" s="12"/>
      <c r="AB199" s="13">
        <f t="shared" si="92"/>
        <v>0</v>
      </c>
      <c r="AC199" s="12">
        <f t="shared" si="75"/>
        <v>0</v>
      </c>
      <c r="AD199" s="12" t="str">
        <f t="shared" si="93"/>
        <v>STRONG</v>
      </c>
      <c r="AE199" s="14" t="str">
        <f t="shared" si="94"/>
        <v>VLOW</v>
      </c>
      <c r="AF199" s="12" t="str">
        <f t="shared" si="95"/>
        <v>EXCELLENT</v>
      </c>
      <c r="AG199" s="12" t="str">
        <f t="shared" si="84"/>
        <v>FEMALE DOM</v>
      </c>
      <c r="AH199" s="12" t="e">
        <f t="shared" si="96"/>
        <v>#DIV/0!</v>
      </c>
      <c r="AI199" s="15">
        <f t="shared" si="77"/>
        <v>19.790758500435921</v>
      </c>
      <c r="AJ199" s="16" t="str">
        <f t="shared" si="85"/>
        <v>BJP GAIN</v>
      </c>
      <c r="AK199" s="15" t="str">
        <f t="shared" si="97"/>
        <v>LOWMARGIN</v>
      </c>
    </row>
    <row r="200" spans="1:37">
      <c r="A200" s="7">
        <v>197</v>
      </c>
      <c r="B200" s="8" t="s">
        <v>330</v>
      </c>
      <c r="C200" s="7">
        <v>986</v>
      </c>
      <c r="D200" s="7">
        <v>428</v>
      </c>
      <c r="E200" s="7">
        <f t="shared" si="78"/>
        <v>43.40770791075051</v>
      </c>
      <c r="F200" s="7">
        <v>524</v>
      </c>
      <c r="G200" s="7">
        <f t="shared" si="79"/>
        <v>53.144016227180522</v>
      </c>
      <c r="H200" s="7">
        <v>6</v>
      </c>
      <c r="I200" s="7">
        <f t="shared" si="80"/>
        <v>0.6085192697768762</v>
      </c>
      <c r="J200" s="7">
        <v>11</v>
      </c>
      <c r="K200" s="7">
        <f t="shared" si="81"/>
        <v>1.1156186612576064</v>
      </c>
      <c r="L200" s="9">
        <v>734</v>
      </c>
      <c r="M200" s="9">
        <v>781</v>
      </c>
      <c r="N200" s="9">
        <f t="shared" si="82"/>
        <v>1515</v>
      </c>
      <c r="O200" s="7">
        <v>986</v>
      </c>
      <c r="P200" s="10">
        <f t="shared" si="86"/>
        <v>65.082508250825072</v>
      </c>
      <c r="Q200" s="7"/>
      <c r="R200" s="7">
        <f t="shared" si="87"/>
        <v>0</v>
      </c>
      <c r="S200" s="21">
        <f t="shared" si="83"/>
        <v>0</v>
      </c>
      <c r="T200" s="7" t="e">
        <f t="shared" si="88"/>
        <v>#DIV/0!</v>
      </c>
      <c r="U200" s="7"/>
      <c r="V200" s="11">
        <f t="shared" si="89"/>
        <v>0</v>
      </c>
      <c r="W200" s="7"/>
      <c r="X200" s="7">
        <f t="shared" si="90"/>
        <v>100</v>
      </c>
      <c r="Y200" s="7">
        <f t="shared" si="98"/>
        <v>0</v>
      </c>
      <c r="Z200" s="12" t="e">
        <f t="shared" si="91"/>
        <v>#DIV/0!</v>
      </c>
      <c r="AA200" s="12"/>
      <c r="AB200" s="13">
        <f t="shared" si="92"/>
        <v>0</v>
      </c>
      <c r="AC200" s="12">
        <f t="shared" si="75"/>
        <v>0</v>
      </c>
      <c r="AD200" s="12" t="str">
        <f t="shared" si="93"/>
        <v>AVG</v>
      </c>
      <c r="AE200" s="14" t="str">
        <f t="shared" si="94"/>
        <v>VLOW</v>
      </c>
      <c r="AF200" s="12" t="str">
        <f t="shared" si="95"/>
        <v>EXCELLENT</v>
      </c>
      <c r="AG200" s="12" t="str">
        <f t="shared" si="84"/>
        <v>FEMALE DOM</v>
      </c>
      <c r="AH200" s="12" t="e">
        <f t="shared" si="96"/>
        <v>#DIV/0!</v>
      </c>
      <c r="AI200" s="15">
        <f>G200-E200</f>
        <v>9.7363083164300122</v>
      </c>
      <c r="AJ200" s="25" t="str">
        <f t="shared" si="85"/>
        <v>CONGRESSGAIN</v>
      </c>
      <c r="AK200" s="15" t="str">
        <f t="shared" si="97"/>
        <v>NARROWMARGIN</v>
      </c>
    </row>
    <row r="201" spans="1:37">
      <c r="A201" s="7">
        <v>198</v>
      </c>
      <c r="B201" s="8" t="s">
        <v>331</v>
      </c>
      <c r="C201" s="7">
        <v>588</v>
      </c>
      <c r="D201" s="7">
        <v>223</v>
      </c>
      <c r="E201" s="7">
        <f t="shared" si="78"/>
        <v>37.925170068027207</v>
      </c>
      <c r="F201" s="7">
        <v>337</v>
      </c>
      <c r="G201" s="7">
        <f t="shared" si="79"/>
        <v>57.312925170068027</v>
      </c>
      <c r="H201" s="7">
        <v>4</v>
      </c>
      <c r="I201" s="7">
        <f t="shared" si="80"/>
        <v>0.68027210884353739</v>
      </c>
      <c r="J201" s="7">
        <v>3</v>
      </c>
      <c r="K201" s="7">
        <f t="shared" si="81"/>
        <v>0.51020408163265307</v>
      </c>
      <c r="L201" s="9">
        <v>461</v>
      </c>
      <c r="M201" s="9">
        <v>474</v>
      </c>
      <c r="N201" s="9">
        <f t="shared" si="82"/>
        <v>935</v>
      </c>
      <c r="O201" s="7">
        <v>588</v>
      </c>
      <c r="P201" s="10">
        <f t="shared" si="86"/>
        <v>62.887700534759361</v>
      </c>
      <c r="Q201" s="7"/>
      <c r="R201" s="7">
        <f t="shared" si="87"/>
        <v>0</v>
      </c>
      <c r="S201" s="7">
        <f t="shared" si="83"/>
        <v>0</v>
      </c>
      <c r="T201" s="7" t="e">
        <f t="shared" si="88"/>
        <v>#DIV/0!</v>
      </c>
      <c r="U201" s="7"/>
      <c r="V201" s="11">
        <f t="shared" si="89"/>
        <v>0</v>
      </c>
      <c r="W201" s="7"/>
      <c r="X201" s="7">
        <f t="shared" si="90"/>
        <v>100</v>
      </c>
      <c r="Y201" s="7">
        <f t="shared" si="98"/>
        <v>0</v>
      </c>
      <c r="Z201" s="12" t="e">
        <f t="shared" si="91"/>
        <v>#DIV/0!</v>
      </c>
      <c r="AA201" s="12"/>
      <c r="AB201" s="13">
        <f t="shared" si="92"/>
        <v>0</v>
      </c>
      <c r="AC201" s="12">
        <f t="shared" si="75"/>
        <v>0</v>
      </c>
      <c r="AD201" s="12" t="str">
        <f t="shared" si="93"/>
        <v>AVG</v>
      </c>
      <c r="AE201" s="14" t="str">
        <f t="shared" si="94"/>
        <v>VLOW</v>
      </c>
      <c r="AF201" s="12" t="str">
        <f t="shared" si="95"/>
        <v>EXCELLENT</v>
      </c>
      <c r="AG201" s="12" t="str">
        <f t="shared" si="84"/>
        <v>FEMALE DOM</v>
      </c>
      <c r="AH201" s="12" t="e">
        <f t="shared" si="96"/>
        <v>#DIV/0!</v>
      </c>
      <c r="AI201" s="15">
        <f>G201-E201</f>
        <v>19.387755102040821</v>
      </c>
      <c r="AJ201" s="25" t="str">
        <f t="shared" si="85"/>
        <v>CONGRESSGAIN</v>
      </c>
      <c r="AK201" s="15" t="str">
        <f t="shared" si="97"/>
        <v>LOWMARGIN</v>
      </c>
    </row>
    <row r="202" spans="1:37">
      <c r="A202" s="7">
        <v>199</v>
      </c>
      <c r="B202" s="8" t="s">
        <v>332</v>
      </c>
      <c r="C202" s="7">
        <v>716</v>
      </c>
      <c r="D202" s="7">
        <v>303</v>
      </c>
      <c r="E202" s="7">
        <f t="shared" si="78"/>
        <v>42.318435754189942</v>
      </c>
      <c r="F202" s="7">
        <v>392</v>
      </c>
      <c r="G202" s="7">
        <f t="shared" si="79"/>
        <v>54.748603351955303</v>
      </c>
      <c r="H202" s="7">
        <v>1</v>
      </c>
      <c r="I202" s="7">
        <f t="shared" si="80"/>
        <v>0.13966480446927373</v>
      </c>
      <c r="J202" s="7">
        <v>8</v>
      </c>
      <c r="K202" s="7">
        <f t="shared" si="81"/>
        <v>1.1173184357541899</v>
      </c>
      <c r="L202" s="9">
        <v>491</v>
      </c>
      <c r="M202" s="9">
        <v>574</v>
      </c>
      <c r="N202" s="9">
        <f t="shared" si="82"/>
        <v>1065</v>
      </c>
      <c r="O202" s="7">
        <v>716</v>
      </c>
      <c r="P202" s="10">
        <f t="shared" si="86"/>
        <v>67.230046948356801</v>
      </c>
      <c r="Q202" s="7"/>
      <c r="R202" s="7">
        <f t="shared" si="87"/>
        <v>0</v>
      </c>
      <c r="S202" s="7">
        <f t="shared" si="83"/>
        <v>0</v>
      </c>
      <c r="T202" s="7" t="e">
        <f t="shared" si="88"/>
        <v>#DIV/0!</v>
      </c>
      <c r="U202" s="7"/>
      <c r="V202" s="11">
        <f t="shared" si="89"/>
        <v>0</v>
      </c>
      <c r="W202" s="7"/>
      <c r="X202" s="7">
        <f t="shared" si="90"/>
        <v>100</v>
      </c>
      <c r="Y202" s="17">
        <f t="shared" si="98"/>
        <v>0</v>
      </c>
      <c r="Z202" s="12" t="e">
        <f t="shared" si="91"/>
        <v>#DIV/0!</v>
      </c>
      <c r="AA202" s="12"/>
      <c r="AB202" s="13">
        <f t="shared" si="92"/>
        <v>0</v>
      </c>
      <c r="AC202" s="12">
        <f t="shared" si="75"/>
        <v>0</v>
      </c>
      <c r="AD202" s="12" t="str">
        <f t="shared" si="93"/>
        <v>AVG</v>
      </c>
      <c r="AE202" s="14" t="str">
        <f t="shared" si="94"/>
        <v>VLOW</v>
      </c>
      <c r="AF202" s="12" t="str">
        <f t="shared" si="95"/>
        <v>EXCELLENT</v>
      </c>
      <c r="AG202" s="12" t="str">
        <f t="shared" si="84"/>
        <v>FEMALE DOM</v>
      </c>
      <c r="AH202" s="12" t="e">
        <f t="shared" si="96"/>
        <v>#DIV/0!</v>
      </c>
      <c r="AI202" s="15">
        <f>G202-E202</f>
        <v>12.430167597765362</v>
      </c>
      <c r="AJ202" s="25" t="str">
        <f t="shared" si="85"/>
        <v>CONGRESSGAIN</v>
      </c>
      <c r="AK202" s="15" t="str">
        <f t="shared" si="97"/>
        <v>LOWMARGIN</v>
      </c>
    </row>
    <row r="203" spans="1:37">
      <c r="A203" s="7">
        <v>200</v>
      </c>
      <c r="B203" s="8" t="s">
        <v>333</v>
      </c>
      <c r="C203" s="7">
        <v>561</v>
      </c>
      <c r="D203" s="7">
        <v>248</v>
      </c>
      <c r="E203" s="7">
        <f t="shared" si="78"/>
        <v>44.206773618538328</v>
      </c>
      <c r="F203" s="7">
        <v>298</v>
      </c>
      <c r="G203" s="7">
        <f t="shared" si="79"/>
        <v>53.11942959001783</v>
      </c>
      <c r="H203" s="7">
        <v>8</v>
      </c>
      <c r="I203" s="7">
        <f t="shared" si="80"/>
        <v>1.4260249554367201</v>
      </c>
      <c r="J203" s="7">
        <v>2</v>
      </c>
      <c r="K203" s="7">
        <f t="shared" si="81"/>
        <v>0.35650623885918004</v>
      </c>
      <c r="L203" s="9">
        <v>421</v>
      </c>
      <c r="M203" s="9">
        <v>473</v>
      </c>
      <c r="N203" s="9">
        <f t="shared" si="82"/>
        <v>894</v>
      </c>
      <c r="O203" s="7">
        <v>561</v>
      </c>
      <c r="P203" s="10">
        <f t="shared" si="86"/>
        <v>62.751677852348998</v>
      </c>
      <c r="Q203" s="7"/>
      <c r="R203" s="7">
        <f t="shared" si="87"/>
        <v>0</v>
      </c>
      <c r="S203" s="7">
        <f t="shared" si="83"/>
        <v>0</v>
      </c>
      <c r="T203" s="7" t="e">
        <f t="shared" si="88"/>
        <v>#DIV/0!</v>
      </c>
      <c r="U203" s="7"/>
      <c r="V203" s="11">
        <f t="shared" si="89"/>
        <v>0</v>
      </c>
      <c r="W203" s="7"/>
      <c r="X203" s="7">
        <f t="shared" si="90"/>
        <v>100</v>
      </c>
      <c r="Y203" s="7">
        <f t="shared" si="98"/>
        <v>0</v>
      </c>
      <c r="Z203" s="12" t="e">
        <f t="shared" si="91"/>
        <v>#DIV/0!</v>
      </c>
      <c r="AA203" s="12"/>
      <c r="AB203" s="13">
        <f t="shared" si="92"/>
        <v>0</v>
      </c>
      <c r="AC203" s="12">
        <f t="shared" si="75"/>
        <v>0</v>
      </c>
      <c r="AD203" s="12" t="str">
        <f t="shared" si="93"/>
        <v>AVG</v>
      </c>
      <c r="AE203" s="14" t="str">
        <f t="shared" si="94"/>
        <v>VLOW</v>
      </c>
      <c r="AF203" s="12" t="str">
        <f t="shared" si="95"/>
        <v>EXCELLENT</v>
      </c>
      <c r="AG203" s="12" t="str">
        <f t="shared" si="84"/>
        <v>FEMALE DOM</v>
      </c>
      <c r="AH203" s="12" t="e">
        <f t="shared" si="96"/>
        <v>#DIV/0!</v>
      </c>
      <c r="AI203" s="15">
        <f>G203-E203</f>
        <v>8.9126559714795022</v>
      </c>
      <c r="AJ203" s="25" t="str">
        <f t="shared" si="85"/>
        <v>CONGRESSGAIN</v>
      </c>
      <c r="AK203" s="15" t="str">
        <f t="shared" si="97"/>
        <v>NARROWMARGIN</v>
      </c>
    </row>
    <row r="204" spans="1:37">
      <c r="A204" s="7">
        <v>201</v>
      </c>
      <c r="B204" s="8" t="s">
        <v>334</v>
      </c>
      <c r="C204" s="7">
        <v>644</v>
      </c>
      <c r="D204" s="7">
        <v>341</v>
      </c>
      <c r="E204" s="7">
        <f t="shared" si="78"/>
        <v>52.950310559006212</v>
      </c>
      <c r="F204" s="7">
        <v>294</v>
      </c>
      <c r="G204" s="7">
        <f t="shared" si="79"/>
        <v>45.652173913043477</v>
      </c>
      <c r="H204" s="7">
        <v>3</v>
      </c>
      <c r="I204" s="7">
        <f t="shared" si="80"/>
        <v>0.46583850931677018</v>
      </c>
      <c r="J204" s="7">
        <v>2</v>
      </c>
      <c r="K204" s="7">
        <f t="shared" si="81"/>
        <v>0.3105590062111801</v>
      </c>
      <c r="L204" s="9">
        <v>463</v>
      </c>
      <c r="M204" s="9">
        <v>555</v>
      </c>
      <c r="N204" s="9">
        <f t="shared" si="82"/>
        <v>1018</v>
      </c>
      <c r="O204" s="7">
        <v>644</v>
      </c>
      <c r="P204" s="10">
        <f t="shared" si="86"/>
        <v>63.261296660117885</v>
      </c>
      <c r="Q204" s="7"/>
      <c r="R204" s="7">
        <f t="shared" si="87"/>
        <v>0</v>
      </c>
      <c r="S204" s="21">
        <f t="shared" si="83"/>
        <v>0</v>
      </c>
      <c r="T204" s="7" t="e">
        <f t="shared" si="88"/>
        <v>#DIV/0!</v>
      </c>
      <c r="U204" s="7"/>
      <c r="V204" s="11">
        <f t="shared" si="89"/>
        <v>0</v>
      </c>
      <c r="W204" s="7"/>
      <c r="X204" s="7">
        <f t="shared" si="90"/>
        <v>100</v>
      </c>
      <c r="Y204" s="7">
        <f t="shared" si="98"/>
        <v>0</v>
      </c>
      <c r="Z204" s="12" t="e">
        <f t="shared" si="91"/>
        <v>#DIV/0!</v>
      </c>
      <c r="AA204" s="12"/>
      <c r="AB204" s="13">
        <f t="shared" si="92"/>
        <v>0</v>
      </c>
      <c r="AC204" s="12">
        <f t="shared" si="75"/>
        <v>0</v>
      </c>
      <c r="AD204" s="12" t="str">
        <f t="shared" si="93"/>
        <v>AVG</v>
      </c>
      <c r="AE204" s="14" t="str">
        <f t="shared" si="94"/>
        <v>VLOW</v>
      </c>
      <c r="AF204" s="12" t="str">
        <f t="shared" si="95"/>
        <v>EXCELLENT</v>
      </c>
      <c r="AG204" s="12" t="str">
        <f t="shared" si="84"/>
        <v>FEMALE DOM</v>
      </c>
      <c r="AH204" s="12" t="e">
        <f t="shared" si="96"/>
        <v>#DIV/0!</v>
      </c>
      <c r="AI204" s="15">
        <f>E204-G204</f>
        <v>7.2981366459627353</v>
      </c>
      <c r="AJ204" s="16" t="str">
        <f t="shared" si="85"/>
        <v>BJP GAIN</v>
      </c>
      <c r="AK204" s="15" t="str">
        <f t="shared" si="97"/>
        <v>NARROWMARGIN</v>
      </c>
    </row>
    <row r="205" spans="1:37">
      <c r="A205" s="7">
        <v>202</v>
      </c>
      <c r="B205" s="8" t="s">
        <v>335</v>
      </c>
      <c r="C205" s="7">
        <v>852</v>
      </c>
      <c r="D205" s="7">
        <v>396</v>
      </c>
      <c r="E205" s="7">
        <f t="shared" si="78"/>
        <v>46.478873239436616</v>
      </c>
      <c r="F205" s="7">
        <v>435</v>
      </c>
      <c r="G205" s="7">
        <f t="shared" si="79"/>
        <v>51.056338028169016</v>
      </c>
      <c r="H205" s="7">
        <v>6</v>
      </c>
      <c r="I205" s="7">
        <f t="shared" si="80"/>
        <v>0.70422535211267612</v>
      </c>
      <c r="J205" s="7">
        <v>3</v>
      </c>
      <c r="K205" s="7">
        <f t="shared" si="81"/>
        <v>0.35211267605633806</v>
      </c>
      <c r="L205" s="9">
        <v>577</v>
      </c>
      <c r="M205" s="9">
        <v>610</v>
      </c>
      <c r="N205" s="9">
        <f t="shared" si="82"/>
        <v>1187</v>
      </c>
      <c r="O205" s="7">
        <v>852</v>
      </c>
      <c r="P205" s="10">
        <f t="shared" si="86"/>
        <v>71.77759056444819</v>
      </c>
      <c r="Q205" s="7">
        <v>678</v>
      </c>
      <c r="R205" s="7">
        <f t="shared" si="87"/>
        <v>57.118786857624258</v>
      </c>
      <c r="S205" s="7">
        <f t="shared" si="83"/>
        <v>185</v>
      </c>
      <c r="T205" s="7">
        <f t="shared" si="88"/>
        <v>27.286135693215343</v>
      </c>
      <c r="U205" s="7">
        <v>493</v>
      </c>
      <c r="V205" s="11">
        <f t="shared" si="89"/>
        <v>72.713864306784657</v>
      </c>
      <c r="W205" s="7">
        <f>235+238</f>
        <v>473</v>
      </c>
      <c r="X205" s="7">
        <f t="shared" si="90"/>
        <v>42.881213142375742</v>
      </c>
      <c r="Y205" s="17">
        <f t="shared" si="98"/>
        <v>114</v>
      </c>
      <c r="Z205" s="12">
        <f t="shared" si="91"/>
        <v>24.101479915433405</v>
      </c>
      <c r="AA205" s="12">
        <f>150+167+42</f>
        <v>359</v>
      </c>
      <c r="AB205" s="13">
        <f t="shared" si="92"/>
        <v>75.898520084566599</v>
      </c>
      <c r="AC205" s="12">
        <f t="shared" si="75"/>
        <v>852</v>
      </c>
      <c r="AD205" s="12" t="str">
        <f t="shared" si="93"/>
        <v>STRONG</v>
      </c>
      <c r="AE205" s="14" t="str">
        <f t="shared" si="94"/>
        <v>WEAK</v>
      </c>
      <c r="AF205" s="12" t="str">
        <f t="shared" si="95"/>
        <v>VLOW</v>
      </c>
      <c r="AG205" s="12" t="str">
        <f t="shared" si="84"/>
        <v>FEMALE DOM</v>
      </c>
      <c r="AH205" s="12" t="str">
        <f t="shared" si="96"/>
        <v>H</v>
      </c>
      <c r="AI205" s="15">
        <f>G205-E205</f>
        <v>4.5774647887323994</v>
      </c>
      <c r="AJ205" s="25" t="str">
        <f t="shared" si="85"/>
        <v>CONGRESSGAIN</v>
      </c>
      <c r="AK205" s="15" t="str">
        <f t="shared" si="97"/>
        <v>NARROWMARGIN</v>
      </c>
    </row>
    <row r="206" spans="1:37">
      <c r="A206" s="7">
        <v>203</v>
      </c>
      <c r="B206" s="8" t="s">
        <v>336</v>
      </c>
      <c r="C206" s="7">
        <v>824</v>
      </c>
      <c r="D206" s="7">
        <v>546</v>
      </c>
      <c r="E206" s="7">
        <f t="shared" si="78"/>
        <v>66.262135922330103</v>
      </c>
      <c r="F206" s="7">
        <v>255</v>
      </c>
      <c r="G206" s="7">
        <f t="shared" si="79"/>
        <v>30.94660194174757</v>
      </c>
      <c r="H206" s="7">
        <v>4</v>
      </c>
      <c r="I206" s="7">
        <f t="shared" si="80"/>
        <v>0.48543689320388345</v>
      </c>
      <c r="J206" s="7">
        <v>4</v>
      </c>
      <c r="K206" s="7">
        <f t="shared" si="81"/>
        <v>0.48543689320388345</v>
      </c>
      <c r="L206" s="9">
        <v>617</v>
      </c>
      <c r="M206" s="9">
        <v>688</v>
      </c>
      <c r="N206" s="9">
        <f t="shared" si="82"/>
        <v>1305</v>
      </c>
      <c r="O206" s="7">
        <v>824</v>
      </c>
      <c r="P206" s="10">
        <f t="shared" si="86"/>
        <v>63.141762452107272</v>
      </c>
      <c r="Q206" s="7"/>
      <c r="R206" s="7">
        <f t="shared" si="87"/>
        <v>0</v>
      </c>
      <c r="S206" s="7">
        <f t="shared" si="83"/>
        <v>0</v>
      </c>
      <c r="T206" s="7" t="e">
        <f t="shared" si="88"/>
        <v>#DIV/0!</v>
      </c>
      <c r="U206" s="7"/>
      <c r="V206" s="11">
        <f t="shared" si="89"/>
        <v>0</v>
      </c>
      <c r="W206" s="7"/>
      <c r="X206" s="7">
        <f t="shared" si="90"/>
        <v>100</v>
      </c>
      <c r="Y206" s="7">
        <f t="shared" si="98"/>
        <v>0</v>
      </c>
      <c r="Z206" s="12" t="e">
        <f t="shared" si="91"/>
        <v>#DIV/0!</v>
      </c>
      <c r="AA206" s="12"/>
      <c r="AB206" s="13">
        <f t="shared" si="92"/>
        <v>0</v>
      </c>
      <c r="AC206" s="12">
        <f t="shared" si="75"/>
        <v>0</v>
      </c>
      <c r="AD206" s="12" t="str">
        <f t="shared" si="93"/>
        <v>AVG</v>
      </c>
      <c r="AE206" s="14" t="str">
        <f t="shared" si="94"/>
        <v>VLOW</v>
      </c>
      <c r="AF206" s="12" t="str">
        <f t="shared" si="95"/>
        <v>EXCELLENT</v>
      </c>
      <c r="AG206" s="12" t="str">
        <f t="shared" si="84"/>
        <v>FEMALE DOM</v>
      </c>
      <c r="AH206" s="12" t="e">
        <f t="shared" si="96"/>
        <v>#DIV/0!</v>
      </c>
      <c r="AI206" s="15">
        <f>E206-G206</f>
        <v>35.315533980582529</v>
      </c>
      <c r="AJ206" s="16" t="str">
        <f t="shared" si="85"/>
        <v>BJP GAIN</v>
      </c>
      <c r="AK206" s="24" t="str">
        <f t="shared" si="97"/>
        <v>MEDIUMMARGIN</v>
      </c>
    </row>
    <row r="207" spans="1:37">
      <c r="A207" s="7">
        <v>204</v>
      </c>
      <c r="B207" s="8" t="s">
        <v>337</v>
      </c>
      <c r="C207" s="7">
        <v>636</v>
      </c>
      <c r="D207" s="7">
        <v>324</v>
      </c>
      <c r="E207" s="7">
        <f t="shared" si="78"/>
        <v>50.943396226415096</v>
      </c>
      <c r="F207" s="7">
        <v>292</v>
      </c>
      <c r="G207" s="7">
        <f t="shared" si="79"/>
        <v>45.911949685534594</v>
      </c>
      <c r="H207" s="7">
        <v>2</v>
      </c>
      <c r="I207" s="7">
        <f t="shared" si="80"/>
        <v>0.31446540880503149</v>
      </c>
      <c r="J207" s="7">
        <v>8</v>
      </c>
      <c r="K207" s="7">
        <f t="shared" si="81"/>
        <v>1.257861635220126</v>
      </c>
      <c r="L207" s="9">
        <v>483</v>
      </c>
      <c r="M207" s="9">
        <v>503</v>
      </c>
      <c r="N207" s="9">
        <f t="shared" si="82"/>
        <v>986</v>
      </c>
      <c r="O207" s="7">
        <v>636</v>
      </c>
      <c r="P207" s="10">
        <f t="shared" si="86"/>
        <v>64.503042596348877</v>
      </c>
      <c r="Q207" s="7"/>
      <c r="R207" s="7">
        <f t="shared" si="87"/>
        <v>0</v>
      </c>
      <c r="S207" s="7">
        <f t="shared" si="83"/>
        <v>0</v>
      </c>
      <c r="T207" s="7" t="e">
        <f t="shared" si="88"/>
        <v>#DIV/0!</v>
      </c>
      <c r="U207" s="7"/>
      <c r="V207" s="11">
        <f t="shared" si="89"/>
        <v>0</v>
      </c>
      <c r="W207" s="7"/>
      <c r="X207" s="7">
        <f t="shared" si="90"/>
        <v>100</v>
      </c>
      <c r="Y207" s="7">
        <f t="shared" si="98"/>
        <v>0</v>
      </c>
      <c r="Z207" s="12" t="e">
        <f t="shared" si="91"/>
        <v>#DIV/0!</v>
      </c>
      <c r="AA207" s="12"/>
      <c r="AB207" s="13">
        <f t="shared" si="92"/>
        <v>0</v>
      </c>
      <c r="AC207" s="12">
        <f t="shared" si="75"/>
        <v>0</v>
      </c>
      <c r="AD207" s="12" t="str">
        <f t="shared" si="93"/>
        <v>AVG</v>
      </c>
      <c r="AE207" s="14" t="str">
        <f t="shared" si="94"/>
        <v>VLOW</v>
      </c>
      <c r="AF207" s="12" t="str">
        <f t="shared" si="95"/>
        <v>EXCELLENT</v>
      </c>
      <c r="AG207" s="12" t="str">
        <f t="shared" si="84"/>
        <v>FEMALE DOM</v>
      </c>
      <c r="AH207" s="12" t="e">
        <f t="shared" si="96"/>
        <v>#DIV/0!</v>
      </c>
      <c r="AI207" s="15">
        <f>E207-G207</f>
        <v>5.031446540880502</v>
      </c>
      <c r="AJ207" s="16" t="str">
        <f t="shared" si="85"/>
        <v>BJP GAIN</v>
      </c>
      <c r="AK207" s="15" t="str">
        <f t="shared" si="97"/>
        <v>NARROWMARGIN</v>
      </c>
    </row>
    <row r="208" spans="1:37">
      <c r="A208" s="7">
        <v>205</v>
      </c>
      <c r="B208" s="8" t="s">
        <v>338</v>
      </c>
      <c r="C208" s="7">
        <v>809</v>
      </c>
      <c r="D208" s="7">
        <v>470</v>
      </c>
      <c r="E208" s="7">
        <f t="shared" si="78"/>
        <v>58.096415327564898</v>
      </c>
      <c r="F208" s="7">
        <v>312</v>
      </c>
      <c r="G208" s="7">
        <f t="shared" si="79"/>
        <v>38.566131025957972</v>
      </c>
      <c r="H208" s="7">
        <v>6</v>
      </c>
      <c r="I208" s="7">
        <f t="shared" si="80"/>
        <v>0.74165636588380723</v>
      </c>
      <c r="J208" s="7">
        <v>8</v>
      </c>
      <c r="K208" s="7">
        <f t="shared" si="81"/>
        <v>0.98887515451174279</v>
      </c>
      <c r="L208" s="9">
        <v>545</v>
      </c>
      <c r="M208" s="9">
        <v>598</v>
      </c>
      <c r="N208" s="9">
        <f t="shared" si="82"/>
        <v>1143</v>
      </c>
      <c r="O208" s="7">
        <v>809</v>
      </c>
      <c r="P208" s="10">
        <f t="shared" si="86"/>
        <v>70.778652668416456</v>
      </c>
      <c r="Q208" s="7"/>
      <c r="R208" s="7">
        <f t="shared" si="87"/>
        <v>0</v>
      </c>
      <c r="S208" s="21">
        <f t="shared" si="83"/>
        <v>0</v>
      </c>
      <c r="T208" s="7" t="e">
        <f t="shared" si="88"/>
        <v>#DIV/0!</v>
      </c>
      <c r="U208" s="7"/>
      <c r="V208" s="11">
        <f t="shared" si="89"/>
        <v>0</v>
      </c>
      <c r="W208" s="7"/>
      <c r="X208" s="7">
        <f t="shared" si="90"/>
        <v>100</v>
      </c>
      <c r="Y208" s="17">
        <f t="shared" si="98"/>
        <v>0</v>
      </c>
      <c r="Z208" s="12" t="e">
        <f t="shared" si="91"/>
        <v>#DIV/0!</v>
      </c>
      <c r="AA208" s="12"/>
      <c r="AB208" s="13">
        <f t="shared" si="92"/>
        <v>0</v>
      </c>
      <c r="AC208" s="12">
        <f t="shared" si="75"/>
        <v>0</v>
      </c>
      <c r="AD208" s="12" t="str">
        <f t="shared" si="93"/>
        <v>STRONG</v>
      </c>
      <c r="AE208" s="14" t="str">
        <f t="shared" si="94"/>
        <v>VLOW</v>
      </c>
      <c r="AF208" s="12" t="str">
        <f t="shared" si="95"/>
        <v>EXCELLENT</v>
      </c>
      <c r="AG208" s="12" t="str">
        <f t="shared" si="84"/>
        <v>FEMALE DOM</v>
      </c>
      <c r="AH208" s="12" t="e">
        <f t="shared" si="96"/>
        <v>#DIV/0!</v>
      </c>
      <c r="AI208" s="15">
        <f>E208-G208</f>
        <v>19.530284301606926</v>
      </c>
      <c r="AJ208" s="16" t="str">
        <f t="shared" si="85"/>
        <v>BJP GAIN</v>
      </c>
      <c r="AK208" s="15" t="str">
        <f t="shared" si="97"/>
        <v>LOWMARGIN</v>
      </c>
    </row>
    <row r="209" spans="1:37">
      <c r="A209" s="7">
        <v>206</v>
      </c>
      <c r="B209" s="8" t="s">
        <v>339</v>
      </c>
      <c r="C209" s="7">
        <v>807</v>
      </c>
      <c r="D209" s="7">
        <v>322</v>
      </c>
      <c r="E209" s="7">
        <f t="shared" si="78"/>
        <v>39.900867410161091</v>
      </c>
      <c r="F209" s="7">
        <v>470</v>
      </c>
      <c r="G209" s="7">
        <f t="shared" si="79"/>
        <v>58.240396530359348</v>
      </c>
      <c r="H209" s="7">
        <v>3</v>
      </c>
      <c r="I209" s="7">
        <f t="shared" si="80"/>
        <v>0.37174721189591076</v>
      </c>
      <c r="J209" s="7">
        <v>2</v>
      </c>
      <c r="K209" s="7">
        <f t="shared" si="81"/>
        <v>0.24783147459727387</v>
      </c>
      <c r="L209" s="9">
        <v>602</v>
      </c>
      <c r="M209" s="9">
        <v>666</v>
      </c>
      <c r="N209" s="9">
        <f t="shared" si="82"/>
        <v>1268</v>
      </c>
      <c r="O209" s="7">
        <v>807</v>
      </c>
      <c r="P209" s="10">
        <f t="shared" si="86"/>
        <v>63.643533123028398</v>
      </c>
      <c r="Q209" s="7">
        <v>633</v>
      </c>
      <c r="R209" s="7">
        <f t="shared" si="87"/>
        <v>49.921135646687695</v>
      </c>
      <c r="S209" s="7">
        <f t="shared" si="83"/>
        <v>202</v>
      </c>
      <c r="T209" s="7">
        <f t="shared" si="88"/>
        <v>31.911532385466035</v>
      </c>
      <c r="U209" s="7">
        <v>431</v>
      </c>
      <c r="V209" s="11">
        <f t="shared" si="89"/>
        <v>68.088467614533968</v>
      </c>
      <c r="W209" s="7">
        <f>576+59</f>
        <v>635</v>
      </c>
      <c r="X209" s="7">
        <f t="shared" si="90"/>
        <v>50.078864353312305</v>
      </c>
      <c r="Y209" s="7">
        <f t="shared" si="98"/>
        <v>259</v>
      </c>
      <c r="Z209" s="12">
        <f t="shared" si="91"/>
        <v>40.787401574803148</v>
      </c>
      <c r="AA209" s="12">
        <v>376</v>
      </c>
      <c r="AB209" s="13">
        <f t="shared" si="92"/>
        <v>59.212598425196852</v>
      </c>
      <c r="AC209" s="12">
        <f t="shared" si="75"/>
        <v>807</v>
      </c>
      <c r="AD209" s="12" t="str">
        <f t="shared" si="93"/>
        <v>AVG</v>
      </c>
      <c r="AE209" s="14" t="str">
        <f t="shared" si="94"/>
        <v>VLOW</v>
      </c>
      <c r="AF209" s="12" t="str">
        <f t="shared" si="95"/>
        <v>WEAK</v>
      </c>
      <c r="AG209" s="12" t="str">
        <f t="shared" si="84"/>
        <v>FEMALE DOM</v>
      </c>
      <c r="AH209" s="12" t="str">
        <f t="shared" si="96"/>
        <v>O</v>
      </c>
      <c r="AI209" s="15">
        <f>G209-E209</f>
        <v>18.339529120198257</v>
      </c>
      <c r="AJ209" s="25" t="str">
        <f t="shared" si="85"/>
        <v>CONGRESSGAIN</v>
      </c>
      <c r="AK209" s="15" t="str">
        <f t="shared" si="97"/>
        <v>LOWMARGIN</v>
      </c>
    </row>
    <row r="210" spans="1:37">
      <c r="A210" s="7">
        <v>207</v>
      </c>
      <c r="B210" s="8" t="s">
        <v>340</v>
      </c>
      <c r="C210" s="7">
        <v>999</v>
      </c>
      <c r="D210" s="7">
        <v>601</v>
      </c>
      <c r="E210" s="7">
        <f t="shared" si="78"/>
        <v>60.16016016016016</v>
      </c>
      <c r="F210" s="7">
        <v>366</v>
      </c>
      <c r="G210" s="7">
        <f t="shared" si="79"/>
        <v>36.636636636636638</v>
      </c>
      <c r="H210" s="7">
        <v>6</v>
      </c>
      <c r="I210" s="7">
        <f t="shared" si="80"/>
        <v>0.60060060060060061</v>
      </c>
      <c r="J210" s="7">
        <v>20</v>
      </c>
      <c r="K210" s="7">
        <f t="shared" si="81"/>
        <v>2.0020020020020022</v>
      </c>
      <c r="L210" s="9">
        <v>685</v>
      </c>
      <c r="M210" s="9">
        <v>772</v>
      </c>
      <c r="N210" s="9">
        <f t="shared" si="82"/>
        <v>1457</v>
      </c>
      <c r="O210" s="7">
        <v>999</v>
      </c>
      <c r="P210" s="10">
        <f t="shared" si="86"/>
        <v>68.565545641729585</v>
      </c>
      <c r="Q210" s="7"/>
      <c r="R210" s="7">
        <f t="shared" si="87"/>
        <v>0</v>
      </c>
      <c r="S210" s="7">
        <f t="shared" si="83"/>
        <v>0</v>
      </c>
      <c r="T210" s="7" t="e">
        <f t="shared" si="88"/>
        <v>#DIV/0!</v>
      </c>
      <c r="U210" s="7"/>
      <c r="V210" s="11">
        <f t="shared" si="89"/>
        <v>0</v>
      </c>
      <c r="W210" s="7"/>
      <c r="X210" s="7">
        <f t="shared" si="90"/>
        <v>100</v>
      </c>
      <c r="Y210" s="7">
        <f t="shared" si="98"/>
        <v>0</v>
      </c>
      <c r="Z210" s="12" t="e">
        <f t="shared" si="91"/>
        <v>#DIV/0!</v>
      </c>
      <c r="AA210" s="12"/>
      <c r="AB210" s="13">
        <f t="shared" si="92"/>
        <v>0</v>
      </c>
      <c r="AC210" s="12">
        <f t="shared" si="75"/>
        <v>0</v>
      </c>
      <c r="AD210" s="12" t="str">
        <f t="shared" si="93"/>
        <v>AVG</v>
      </c>
      <c r="AE210" s="14" t="str">
        <f t="shared" si="94"/>
        <v>VLOW</v>
      </c>
      <c r="AF210" s="12" t="str">
        <f t="shared" si="95"/>
        <v>EXCELLENT</v>
      </c>
      <c r="AG210" s="12" t="str">
        <f t="shared" si="84"/>
        <v>FEMALE DOM</v>
      </c>
      <c r="AH210" s="12" t="e">
        <f t="shared" si="96"/>
        <v>#DIV/0!</v>
      </c>
      <c r="AI210" s="15">
        <f t="shared" ref="AI210:AI219" si="99">E210-G210</f>
        <v>23.523523523523522</v>
      </c>
      <c r="AJ210" s="16" t="str">
        <f t="shared" si="85"/>
        <v>BJP GAIN</v>
      </c>
      <c r="AK210" s="15" t="str">
        <f t="shared" si="97"/>
        <v>LOWMARGIN</v>
      </c>
    </row>
    <row r="211" spans="1:37">
      <c r="A211" s="7">
        <v>208</v>
      </c>
      <c r="B211" s="8" t="s">
        <v>341</v>
      </c>
      <c r="C211" s="7">
        <v>860</v>
      </c>
      <c r="D211" s="7">
        <v>496</v>
      </c>
      <c r="E211" s="7">
        <f t="shared" si="78"/>
        <v>57.674418604651166</v>
      </c>
      <c r="F211" s="7">
        <v>348</v>
      </c>
      <c r="G211" s="7">
        <f t="shared" si="79"/>
        <v>40.465116279069768</v>
      </c>
      <c r="H211" s="7">
        <v>2</v>
      </c>
      <c r="I211" s="7">
        <f t="shared" si="80"/>
        <v>0.23255813953488372</v>
      </c>
      <c r="J211" s="7">
        <v>3</v>
      </c>
      <c r="K211" s="7">
        <f t="shared" si="81"/>
        <v>0.34883720930232559</v>
      </c>
      <c r="L211" s="9">
        <v>560</v>
      </c>
      <c r="M211" s="9">
        <v>639</v>
      </c>
      <c r="N211" s="9">
        <f t="shared" si="82"/>
        <v>1199</v>
      </c>
      <c r="O211" s="7">
        <v>860</v>
      </c>
      <c r="P211" s="10">
        <f t="shared" si="86"/>
        <v>71.726438698915757</v>
      </c>
      <c r="Q211" s="7"/>
      <c r="R211" s="7">
        <f t="shared" si="87"/>
        <v>0</v>
      </c>
      <c r="S211" s="7">
        <f t="shared" si="83"/>
        <v>0</v>
      </c>
      <c r="T211" s="7" t="e">
        <f t="shared" si="88"/>
        <v>#DIV/0!</v>
      </c>
      <c r="U211" s="7"/>
      <c r="V211" s="11">
        <f t="shared" si="89"/>
        <v>0</v>
      </c>
      <c r="W211" s="7"/>
      <c r="X211" s="7">
        <f t="shared" si="90"/>
        <v>100</v>
      </c>
      <c r="Y211" s="17">
        <f t="shared" si="98"/>
        <v>0</v>
      </c>
      <c r="Z211" s="12" t="e">
        <f t="shared" si="91"/>
        <v>#DIV/0!</v>
      </c>
      <c r="AA211" s="12"/>
      <c r="AB211" s="13">
        <f t="shared" si="92"/>
        <v>0</v>
      </c>
      <c r="AC211" s="12">
        <f t="shared" si="75"/>
        <v>0</v>
      </c>
      <c r="AD211" s="12" t="str">
        <f t="shared" si="93"/>
        <v>STRONG</v>
      </c>
      <c r="AE211" s="14" t="str">
        <f t="shared" si="94"/>
        <v>VLOW</v>
      </c>
      <c r="AF211" s="12" t="str">
        <f t="shared" si="95"/>
        <v>EXCELLENT</v>
      </c>
      <c r="AG211" s="12" t="str">
        <f t="shared" si="84"/>
        <v>FEMALE DOM</v>
      </c>
      <c r="AH211" s="12" t="e">
        <f t="shared" si="96"/>
        <v>#DIV/0!</v>
      </c>
      <c r="AI211" s="15">
        <f t="shared" si="99"/>
        <v>17.209302325581397</v>
      </c>
      <c r="AJ211" s="16" t="str">
        <f t="shared" si="85"/>
        <v>BJP GAIN</v>
      </c>
      <c r="AK211" s="15" t="str">
        <f t="shared" si="97"/>
        <v>LOWMARGIN</v>
      </c>
    </row>
    <row r="212" spans="1:37">
      <c r="A212" s="7">
        <v>209</v>
      </c>
      <c r="B212" s="8" t="s">
        <v>342</v>
      </c>
      <c r="C212" s="7">
        <v>887</v>
      </c>
      <c r="D212" s="7">
        <v>497</v>
      </c>
      <c r="E212" s="7">
        <f t="shared" si="78"/>
        <v>56.0315670800451</v>
      </c>
      <c r="F212" s="7">
        <v>367</v>
      </c>
      <c r="G212" s="7">
        <f t="shared" si="79"/>
        <v>41.37542277339346</v>
      </c>
      <c r="H212" s="7">
        <v>5</v>
      </c>
      <c r="I212" s="7">
        <f t="shared" si="80"/>
        <v>0.56369785794813976</v>
      </c>
      <c r="J212" s="7">
        <v>4</v>
      </c>
      <c r="K212" s="7">
        <f t="shared" si="81"/>
        <v>0.45095828635851182</v>
      </c>
      <c r="L212" s="9">
        <v>649</v>
      </c>
      <c r="M212" s="9">
        <v>669</v>
      </c>
      <c r="N212" s="9">
        <f t="shared" si="82"/>
        <v>1318</v>
      </c>
      <c r="O212" s="7">
        <v>887</v>
      </c>
      <c r="P212" s="10">
        <f t="shared" si="86"/>
        <v>67.29893778452201</v>
      </c>
      <c r="Q212" s="7">
        <v>895</v>
      </c>
      <c r="R212" s="7">
        <f t="shared" si="87"/>
        <v>67.905918057663129</v>
      </c>
      <c r="S212" s="21">
        <f t="shared" si="83"/>
        <v>325</v>
      </c>
      <c r="T212" s="7">
        <f t="shared" si="88"/>
        <v>36.312849162011176</v>
      </c>
      <c r="U212" s="7">
        <v>570</v>
      </c>
      <c r="V212" s="11">
        <f t="shared" si="89"/>
        <v>63.687150837988824</v>
      </c>
      <c r="W212" s="7">
        <v>423</v>
      </c>
      <c r="X212" s="7">
        <f t="shared" si="90"/>
        <v>32.094081942336871</v>
      </c>
      <c r="Y212" s="7">
        <f t="shared" si="98"/>
        <v>108</v>
      </c>
      <c r="Z212" s="12">
        <f t="shared" si="91"/>
        <v>25.531914893617021</v>
      </c>
      <c r="AA212" s="12">
        <v>315</v>
      </c>
      <c r="AB212" s="13">
        <f t="shared" si="92"/>
        <v>74.468085106382972</v>
      </c>
      <c r="AC212" s="12">
        <f t="shared" si="75"/>
        <v>885</v>
      </c>
      <c r="AD212" s="12" t="str">
        <f t="shared" si="93"/>
        <v>AVG</v>
      </c>
      <c r="AE212" s="14" t="str">
        <f t="shared" si="94"/>
        <v>AVG</v>
      </c>
      <c r="AF212" s="12" t="str">
        <f t="shared" si="95"/>
        <v>VLOW</v>
      </c>
      <c r="AG212" s="12" t="str">
        <f t="shared" si="84"/>
        <v>FEMALE DOM</v>
      </c>
      <c r="AH212" s="12" t="str">
        <f t="shared" si="96"/>
        <v>H</v>
      </c>
      <c r="AI212" s="15">
        <f t="shared" si="99"/>
        <v>14.65614430665164</v>
      </c>
      <c r="AJ212" s="16" t="str">
        <f t="shared" si="85"/>
        <v>BJP GAIN</v>
      </c>
      <c r="AK212" s="15" t="str">
        <f t="shared" si="97"/>
        <v>LOWMARGIN</v>
      </c>
    </row>
    <row r="213" spans="1:37">
      <c r="A213" s="7">
        <v>210</v>
      </c>
      <c r="B213" s="8" t="s">
        <v>343</v>
      </c>
      <c r="C213" s="7">
        <v>642</v>
      </c>
      <c r="D213" s="7">
        <v>323</v>
      </c>
      <c r="E213" s="7">
        <f t="shared" si="78"/>
        <v>50.311526479750782</v>
      </c>
      <c r="F213" s="7">
        <v>306</v>
      </c>
      <c r="G213" s="7">
        <f t="shared" si="79"/>
        <v>47.663551401869157</v>
      </c>
      <c r="H213" s="7">
        <v>1</v>
      </c>
      <c r="I213" s="7">
        <f t="shared" si="80"/>
        <v>0.1557632398753894</v>
      </c>
      <c r="J213" s="7">
        <v>7</v>
      </c>
      <c r="K213" s="7">
        <f t="shared" si="81"/>
        <v>1.0903426791277258</v>
      </c>
      <c r="L213" s="9">
        <v>467</v>
      </c>
      <c r="M213" s="9">
        <v>496</v>
      </c>
      <c r="N213" s="9">
        <f t="shared" si="82"/>
        <v>963</v>
      </c>
      <c r="O213" s="7">
        <v>642</v>
      </c>
      <c r="P213" s="10">
        <f t="shared" si="86"/>
        <v>66.666666666666657</v>
      </c>
      <c r="Q213" s="7"/>
      <c r="R213" s="7">
        <f t="shared" si="87"/>
        <v>0</v>
      </c>
      <c r="S213" s="7">
        <f t="shared" si="83"/>
        <v>0</v>
      </c>
      <c r="T213" s="7" t="e">
        <f t="shared" si="88"/>
        <v>#DIV/0!</v>
      </c>
      <c r="U213" s="7"/>
      <c r="V213" s="11">
        <f t="shared" si="89"/>
        <v>0</v>
      </c>
      <c r="W213" s="7"/>
      <c r="X213" s="7">
        <f t="shared" si="90"/>
        <v>100</v>
      </c>
      <c r="Y213" s="7">
        <f t="shared" si="98"/>
        <v>0</v>
      </c>
      <c r="Z213" s="12" t="e">
        <f t="shared" si="91"/>
        <v>#DIV/0!</v>
      </c>
      <c r="AA213" s="12"/>
      <c r="AB213" s="13">
        <f t="shared" si="92"/>
        <v>0</v>
      </c>
      <c r="AC213" s="12">
        <f t="shared" si="75"/>
        <v>0</v>
      </c>
      <c r="AD213" s="12" t="str">
        <f t="shared" si="93"/>
        <v>AVG</v>
      </c>
      <c r="AE213" s="14" t="str">
        <f t="shared" si="94"/>
        <v>VLOW</v>
      </c>
      <c r="AF213" s="12" t="str">
        <f t="shared" si="95"/>
        <v>EXCELLENT</v>
      </c>
      <c r="AG213" s="12" t="str">
        <f t="shared" si="84"/>
        <v>FEMALE DOM</v>
      </c>
      <c r="AH213" s="12" t="e">
        <f t="shared" si="96"/>
        <v>#DIV/0!</v>
      </c>
      <c r="AI213" s="15">
        <f t="shared" si="99"/>
        <v>2.6479750778816253</v>
      </c>
      <c r="AJ213" s="16" t="str">
        <f t="shared" si="85"/>
        <v>BJP GAIN</v>
      </c>
      <c r="AK213" s="15" t="str">
        <f t="shared" si="97"/>
        <v>NARROWMARGIN</v>
      </c>
    </row>
    <row r="214" spans="1:37">
      <c r="A214" s="7">
        <v>211</v>
      </c>
      <c r="B214" s="8" t="s">
        <v>344</v>
      </c>
      <c r="C214" s="7">
        <v>744</v>
      </c>
      <c r="D214" s="7">
        <v>507</v>
      </c>
      <c r="E214" s="7">
        <f t="shared" si="78"/>
        <v>68.145161290322577</v>
      </c>
      <c r="F214" s="7">
        <v>198</v>
      </c>
      <c r="G214" s="7">
        <f t="shared" si="79"/>
        <v>26.612903225806448</v>
      </c>
      <c r="H214" s="7">
        <v>3</v>
      </c>
      <c r="I214" s="7">
        <f t="shared" si="80"/>
        <v>0.40322580645161288</v>
      </c>
      <c r="J214" s="7">
        <v>17</v>
      </c>
      <c r="K214" s="7">
        <f t="shared" si="81"/>
        <v>2.28494623655914</v>
      </c>
      <c r="L214" s="9">
        <v>481</v>
      </c>
      <c r="M214" s="9">
        <v>525</v>
      </c>
      <c r="N214" s="9">
        <f t="shared" si="82"/>
        <v>1006</v>
      </c>
      <c r="O214" s="7">
        <v>744</v>
      </c>
      <c r="P214" s="10">
        <f t="shared" si="86"/>
        <v>73.956262425447321</v>
      </c>
      <c r="Q214" s="7"/>
      <c r="R214" s="7">
        <f t="shared" si="87"/>
        <v>0</v>
      </c>
      <c r="S214" s="7">
        <f t="shared" si="83"/>
        <v>0</v>
      </c>
      <c r="T214" s="7" t="e">
        <f t="shared" si="88"/>
        <v>#DIV/0!</v>
      </c>
      <c r="U214" s="7"/>
      <c r="V214" s="11">
        <f t="shared" si="89"/>
        <v>0</v>
      </c>
      <c r="W214" s="7"/>
      <c r="X214" s="7">
        <f t="shared" si="90"/>
        <v>100</v>
      </c>
      <c r="Y214" s="17">
        <f t="shared" si="98"/>
        <v>0</v>
      </c>
      <c r="Z214" s="12" t="e">
        <f t="shared" si="91"/>
        <v>#DIV/0!</v>
      </c>
      <c r="AA214" s="12"/>
      <c r="AB214" s="13">
        <f t="shared" si="92"/>
        <v>0</v>
      </c>
      <c r="AC214" s="12">
        <f t="shared" si="75"/>
        <v>0</v>
      </c>
      <c r="AD214" s="12" t="str">
        <f t="shared" si="93"/>
        <v>STRONG</v>
      </c>
      <c r="AE214" s="14" t="str">
        <f t="shared" si="94"/>
        <v>VLOW</v>
      </c>
      <c r="AF214" s="12" t="str">
        <f t="shared" si="95"/>
        <v>EXCELLENT</v>
      </c>
      <c r="AG214" s="12" t="str">
        <f t="shared" si="84"/>
        <v>FEMALE DOM</v>
      </c>
      <c r="AH214" s="12" t="e">
        <f t="shared" si="96"/>
        <v>#DIV/0!</v>
      </c>
      <c r="AI214" s="15">
        <f t="shared" si="99"/>
        <v>41.532258064516128</v>
      </c>
      <c r="AJ214" s="16" t="str">
        <f t="shared" si="85"/>
        <v>BJP GAIN</v>
      </c>
      <c r="AK214" s="19" t="str">
        <f t="shared" si="97"/>
        <v>HIGHMARGIN</v>
      </c>
    </row>
    <row r="215" spans="1:37">
      <c r="A215" s="7">
        <v>212</v>
      </c>
      <c r="B215" s="8" t="s">
        <v>345</v>
      </c>
      <c r="C215" s="7">
        <v>689</v>
      </c>
      <c r="D215" s="7">
        <v>452</v>
      </c>
      <c r="E215" s="7">
        <f t="shared" si="78"/>
        <v>65.602322206095792</v>
      </c>
      <c r="F215" s="7">
        <v>210</v>
      </c>
      <c r="G215" s="7">
        <f t="shared" si="79"/>
        <v>30.478955007256893</v>
      </c>
      <c r="H215" s="7">
        <v>0</v>
      </c>
      <c r="I215" s="7">
        <f t="shared" si="80"/>
        <v>0</v>
      </c>
      <c r="J215" s="7">
        <v>11</v>
      </c>
      <c r="K215" s="7">
        <f t="shared" si="81"/>
        <v>1.5965166908563133</v>
      </c>
      <c r="L215" s="9">
        <v>477</v>
      </c>
      <c r="M215" s="9">
        <v>515</v>
      </c>
      <c r="N215" s="9">
        <f t="shared" si="82"/>
        <v>992</v>
      </c>
      <c r="O215" s="7">
        <v>689</v>
      </c>
      <c r="P215" s="10">
        <f t="shared" si="86"/>
        <v>69.45564516129032</v>
      </c>
      <c r="Q215" s="7">
        <v>770</v>
      </c>
      <c r="R215" s="7">
        <f t="shared" si="87"/>
        <v>77.620967741935488</v>
      </c>
      <c r="S215" s="7">
        <f t="shared" si="83"/>
        <v>202</v>
      </c>
      <c r="T215" s="7">
        <f t="shared" si="88"/>
        <v>26.233766233766232</v>
      </c>
      <c r="U215" s="7">
        <v>568</v>
      </c>
      <c r="V215" s="11">
        <f t="shared" si="89"/>
        <v>73.766233766233768</v>
      </c>
      <c r="W215" s="7">
        <v>222</v>
      </c>
      <c r="X215" s="7">
        <f t="shared" si="90"/>
        <v>22.379032258064512</v>
      </c>
      <c r="Y215" s="7">
        <f t="shared" si="98"/>
        <v>109</v>
      </c>
      <c r="Z215" s="12">
        <f t="shared" si="91"/>
        <v>49.099099099099099</v>
      </c>
      <c r="AA215" s="12">
        <v>113</v>
      </c>
      <c r="AB215" s="13">
        <f t="shared" si="92"/>
        <v>50.900900900900901</v>
      </c>
      <c r="AC215" s="12">
        <f t="shared" si="75"/>
        <v>681</v>
      </c>
      <c r="AD215" s="12" t="str">
        <f t="shared" si="93"/>
        <v>AVG</v>
      </c>
      <c r="AE215" s="14" t="str">
        <f t="shared" si="94"/>
        <v>STRONG</v>
      </c>
      <c r="AF215" s="12" t="str">
        <f t="shared" si="95"/>
        <v>VLOW</v>
      </c>
      <c r="AG215" s="12" t="str">
        <f t="shared" si="84"/>
        <v>FEMALE DOM</v>
      </c>
      <c r="AH215" s="12" t="str">
        <f t="shared" si="96"/>
        <v>O</v>
      </c>
      <c r="AI215" s="15">
        <f t="shared" si="99"/>
        <v>35.123367198838899</v>
      </c>
      <c r="AJ215" s="16" t="str">
        <f t="shared" si="85"/>
        <v>BJP GAIN</v>
      </c>
      <c r="AK215" s="24" t="str">
        <f t="shared" si="97"/>
        <v>MEDIUMMARGIN</v>
      </c>
    </row>
    <row r="216" spans="1:37">
      <c r="A216" s="7">
        <v>213</v>
      </c>
      <c r="B216" s="8" t="s">
        <v>346</v>
      </c>
      <c r="C216" s="7">
        <v>880</v>
      </c>
      <c r="D216" s="7">
        <v>587</v>
      </c>
      <c r="E216" s="7">
        <f t="shared" si="78"/>
        <v>66.704545454545453</v>
      </c>
      <c r="F216" s="7">
        <v>264</v>
      </c>
      <c r="G216" s="7">
        <f t="shared" si="79"/>
        <v>30</v>
      </c>
      <c r="H216" s="7">
        <v>5</v>
      </c>
      <c r="I216" s="7">
        <f t="shared" si="80"/>
        <v>0.56818181818181823</v>
      </c>
      <c r="J216" s="7">
        <v>10</v>
      </c>
      <c r="K216" s="7">
        <f t="shared" si="81"/>
        <v>1.1363636363636365</v>
      </c>
      <c r="L216" s="9">
        <v>622</v>
      </c>
      <c r="M216" s="9">
        <v>685</v>
      </c>
      <c r="N216" s="9">
        <f t="shared" si="82"/>
        <v>1307</v>
      </c>
      <c r="O216" s="7">
        <v>880</v>
      </c>
      <c r="P216" s="10">
        <f t="shared" si="86"/>
        <v>67.329762815608262</v>
      </c>
      <c r="Q216" s="7">
        <v>1112</v>
      </c>
      <c r="R216" s="7">
        <f t="shared" si="87"/>
        <v>85.080336648814082</v>
      </c>
      <c r="S216" s="21">
        <f t="shared" si="83"/>
        <v>368</v>
      </c>
      <c r="T216" s="7">
        <f t="shared" si="88"/>
        <v>33.093525179856115</v>
      </c>
      <c r="U216" s="7">
        <v>744</v>
      </c>
      <c r="V216" s="11">
        <f t="shared" si="89"/>
        <v>66.906474820143885</v>
      </c>
      <c r="W216" s="7">
        <f>83+112</f>
        <v>195</v>
      </c>
      <c r="X216" s="7">
        <f t="shared" si="90"/>
        <v>14.919663351185918</v>
      </c>
      <c r="Y216" s="7">
        <f t="shared" si="98"/>
        <v>59</v>
      </c>
      <c r="Z216" s="12">
        <f t="shared" si="91"/>
        <v>30.256410256410255</v>
      </c>
      <c r="AA216" s="12">
        <f>43+74+19</f>
        <v>136</v>
      </c>
      <c r="AB216" s="13">
        <f t="shared" si="92"/>
        <v>69.743589743589737</v>
      </c>
      <c r="AC216" s="12">
        <f t="shared" si="75"/>
        <v>880</v>
      </c>
      <c r="AD216" s="12" t="str">
        <f t="shared" si="93"/>
        <v>AVG</v>
      </c>
      <c r="AE216" s="14" t="str">
        <f t="shared" si="94"/>
        <v>EXCELLENT</v>
      </c>
      <c r="AF216" s="12" t="str">
        <f t="shared" si="95"/>
        <v>VLOW</v>
      </c>
      <c r="AG216" s="12" t="str">
        <f t="shared" si="84"/>
        <v>FEMALE DOM</v>
      </c>
      <c r="AH216" s="12" t="str">
        <f t="shared" si="96"/>
        <v>H</v>
      </c>
      <c r="AI216" s="15">
        <f t="shared" si="99"/>
        <v>36.704545454545453</v>
      </c>
      <c r="AJ216" s="16" t="str">
        <f t="shared" si="85"/>
        <v>BJP GAIN</v>
      </c>
      <c r="AK216" s="24" t="str">
        <f t="shared" si="97"/>
        <v>MEDIUMMARGIN</v>
      </c>
    </row>
    <row r="217" spans="1:37">
      <c r="A217" s="7">
        <v>214</v>
      </c>
      <c r="B217" s="8" t="s">
        <v>347</v>
      </c>
      <c r="C217" s="7">
        <v>879</v>
      </c>
      <c r="D217" s="7">
        <v>506</v>
      </c>
      <c r="E217" s="7">
        <f t="shared" si="78"/>
        <v>57.565415244596132</v>
      </c>
      <c r="F217" s="7">
        <v>330</v>
      </c>
      <c r="G217" s="7">
        <f t="shared" si="79"/>
        <v>37.542662116040951</v>
      </c>
      <c r="H217" s="7">
        <v>2</v>
      </c>
      <c r="I217" s="7">
        <f t="shared" si="80"/>
        <v>0.22753128555176336</v>
      </c>
      <c r="J217" s="7">
        <v>28</v>
      </c>
      <c r="K217" s="7">
        <f t="shared" si="81"/>
        <v>3.1854379977246867</v>
      </c>
      <c r="L217" s="9">
        <v>638</v>
      </c>
      <c r="M217" s="9">
        <v>669</v>
      </c>
      <c r="N217" s="9">
        <f t="shared" si="82"/>
        <v>1307</v>
      </c>
      <c r="O217" s="7">
        <v>879</v>
      </c>
      <c r="P217" s="10">
        <f t="shared" si="86"/>
        <v>67.253251721499623</v>
      </c>
      <c r="Q217" s="7"/>
      <c r="R217" s="7">
        <f t="shared" si="87"/>
        <v>0</v>
      </c>
      <c r="S217" s="7">
        <f t="shared" si="83"/>
        <v>0</v>
      </c>
      <c r="T217" s="7" t="e">
        <f t="shared" si="88"/>
        <v>#DIV/0!</v>
      </c>
      <c r="U217" s="7"/>
      <c r="V217" s="11">
        <f t="shared" si="89"/>
        <v>0</v>
      </c>
      <c r="W217" s="7"/>
      <c r="X217" s="7">
        <f t="shared" si="90"/>
        <v>100</v>
      </c>
      <c r="Y217" s="17">
        <f t="shared" si="98"/>
        <v>0</v>
      </c>
      <c r="Z217" s="12" t="e">
        <f t="shared" si="91"/>
        <v>#DIV/0!</v>
      </c>
      <c r="AA217" s="12"/>
      <c r="AB217" s="13">
        <f t="shared" si="92"/>
        <v>0</v>
      </c>
      <c r="AC217" s="12">
        <f t="shared" si="75"/>
        <v>0</v>
      </c>
      <c r="AD217" s="12" t="str">
        <f t="shared" si="93"/>
        <v>AVG</v>
      </c>
      <c r="AE217" s="14" t="str">
        <f t="shared" si="94"/>
        <v>VLOW</v>
      </c>
      <c r="AF217" s="12" t="str">
        <f t="shared" si="95"/>
        <v>EXCELLENT</v>
      </c>
      <c r="AG217" s="12" t="str">
        <f t="shared" si="84"/>
        <v>FEMALE DOM</v>
      </c>
      <c r="AH217" s="12" t="e">
        <f t="shared" si="96"/>
        <v>#DIV/0!</v>
      </c>
      <c r="AI217" s="15">
        <f t="shared" si="99"/>
        <v>20.022753128555181</v>
      </c>
      <c r="AJ217" s="16" t="str">
        <f t="shared" si="85"/>
        <v>BJP GAIN</v>
      </c>
      <c r="AK217" s="15" t="str">
        <f t="shared" si="97"/>
        <v>LOWMARGIN</v>
      </c>
    </row>
    <row r="218" spans="1:37">
      <c r="A218" s="7">
        <v>215</v>
      </c>
      <c r="B218" s="8" t="s">
        <v>348</v>
      </c>
      <c r="C218" s="7">
        <v>771</v>
      </c>
      <c r="D218" s="7">
        <v>445</v>
      </c>
      <c r="E218" s="7">
        <f t="shared" si="78"/>
        <v>57.717250324254209</v>
      </c>
      <c r="F218" s="7">
        <v>290</v>
      </c>
      <c r="G218" s="7">
        <f t="shared" si="79"/>
        <v>37.613488975356681</v>
      </c>
      <c r="H218" s="7">
        <v>2</v>
      </c>
      <c r="I218" s="7">
        <f t="shared" si="80"/>
        <v>0.25940337224383914</v>
      </c>
      <c r="J218" s="7">
        <v>23</v>
      </c>
      <c r="K218" s="7">
        <f t="shared" si="81"/>
        <v>2.9831387808041505</v>
      </c>
      <c r="L218" s="9">
        <v>598</v>
      </c>
      <c r="M218" s="9">
        <v>623</v>
      </c>
      <c r="N218" s="9">
        <f t="shared" si="82"/>
        <v>1221</v>
      </c>
      <c r="O218" s="7">
        <v>771</v>
      </c>
      <c r="P218" s="10">
        <f t="shared" si="86"/>
        <v>63.144963144963143</v>
      </c>
      <c r="Q218" s="7"/>
      <c r="R218" s="7">
        <f t="shared" si="87"/>
        <v>0</v>
      </c>
      <c r="S218" s="7">
        <f t="shared" si="83"/>
        <v>0</v>
      </c>
      <c r="T218" s="7" t="e">
        <f t="shared" si="88"/>
        <v>#DIV/0!</v>
      </c>
      <c r="U218" s="7"/>
      <c r="V218" s="11">
        <f t="shared" si="89"/>
        <v>0</v>
      </c>
      <c r="W218" s="7"/>
      <c r="X218" s="7">
        <f t="shared" si="90"/>
        <v>100</v>
      </c>
      <c r="Y218" s="7">
        <f t="shared" si="98"/>
        <v>0</v>
      </c>
      <c r="Z218" s="12" t="e">
        <f t="shared" si="91"/>
        <v>#DIV/0!</v>
      </c>
      <c r="AA218" s="12"/>
      <c r="AB218" s="13">
        <f t="shared" si="92"/>
        <v>0</v>
      </c>
      <c r="AC218" s="12">
        <f t="shared" si="75"/>
        <v>0</v>
      </c>
      <c r="AD218" s="12" t="str">
        <f t="shared" si="93"/>
        <v>AVG</v>
      </c>
      <c r="AE218" s="14" t="str">
        <f t="shared" si="94"/>
        <v>VLOW</v>
      </c>
      <c r="AF218" s="12" t="str">
        <f t="shared" si="95"/>
        <v>EXCELLENT</v>
      </c>
      <c r="AG218" s="12" t="str">
        <f t="shared" si="84"/>
        <v>FEMALE DOM</v>
      </c>
      <c r="AH218" s="12" t="e">
        <f t="shared" si="96"/>
        <v>#DIV/0!</v>
      </c>
      <c r="AI218" s="15">
        <f t="shared" si="99"/>
        <v>20.103761348897528</v>
      </c>
      <c r="AJ218" s="16" t="str">
        <f t="shared" si="85"/>
        <v>BJP GAIN</v>
      </c>
      <c r="AK218" s="15" t="str">
        <f t="shared" si="97"/>
        <v>LOWMARGIN</v>
      </c>
    </row>
    <row r="219" spans="1:37">
      <c r="A219" s="7">
        <v>216</v>
      </c>
      <c r="B219" s="8" t="s">
        <v>349</v>
      </c>
      <c r="C219" s="7">
        <v>871</v>
      </c>
      <c r="D219" s="7">
        <v>434</v>
      </c>
      <c r="E219" s="7">
        <f t="shared" si="78"/>
        <v>49.827784156142364</v>
      </c>
      <c r="F219" s="7">
        <v>402</v>
      </c>
      <c r="G219" s="7">
        <f t="shared" si="79"/>
        <v>46.153846153846153</v>
      </c>
      <c r="H219" s="7">
        <v>5</v>
      </c>
      <c r="I219" s="7">
        <f t="shared" si="80"/>
        <v>0.57405281285878307</v>
      </c>
      <c r="J219" s="7">
        <v>10</v>
      </c>
      <c r="K219" s="7">
        <f t="shared" si="81"/>
        <v>1.1481056257175661</v>
      </c>
      <c r="L219" s="9">
        <v>608</v>
      </c>
      <c r="M219" s="9">
        <v>647</v>
      </c>
      <c r="N219" s="9">
        <f t="shared" si="82"/>
        <v>1255</v>
      </c>
      <c r="O219" s="7">
        <v>871</v>
      </c>
      <c r="P219" s="10">
        <f t="shared" si="86"/>
        <v>69.402390438247011</v>
      </c>
      <c r="Q219" s="7"/>
      <c r="R219" s="7">
        <f t="shared" si="87"/>
        <v>0</v>
      </c>
      <c r="S219" s="7">
        <f t="shared" si="83"/>
        <v>0</v>
      </c>
      <c r="T219" s="7" t="e">
        <f t="shared" si="88"/>
        <v>#DIV/0!</v>
      </c>
      <c r="U219" s="7"/>
      <c r="V219" s="11">
        <f t="shared" si="89"/>
        <v>0</v>
      </c>
      <c r="W219" s="7"/>
      <c r="X219" s="7">
        <f t="shared" si="90"/>
        <v>100</v>
      </c>
      <c r="Y219" s="7">
        <f t="shared" si="98"/>
        <v>0</v>
      </c>
      <c r="Z219" s="12" t="e">
        <f t="shared" si="91"/>
        <v>#DIV/0!</v>
      </c>
      <c r="AA219" s="12"/>
      <c r="AB219" s="13">
        <f t="shared" si="92"/>
        <v>0</v>
      </c>
      <c r="AC219" s="12">
        <f t="shared" si="75"/>
        <v>0</v>
      </c>
      <c r="AD219" s="12" t="str">
        <f t="shared" si="93"/>
        <v>AVG</v>
      </c>
      <c r="AE219" s="14" t="str">
        <f t="shared" si="94"/>
        <v>VLOW</v>
      </c>
      <c r="AF219" s="12" t="str">
        <f t="shared" si="95"/>
        <v>EXCELLENT</v>
      </c>
      <c r="AG219" s="12" t="str">
        <f t="shared" si="84"/>
        <v>FEMALE DOM</v>
      </c>
      <c r="AH219" s="12" t="e">
        <f t="shared" si="96"/>
        <v>#DIV/0!</v>
      </c>
      <c r="AI219" s="15">
        <f t="shared" si="99"/>
        <v>3.6739380022962109</v>
      </c>
      <c r="AJ219" s="16" t="str">
        <f t="shared" si="85"/>
        <v>BJP GAIN</v>
      </c>
      <c r="AK219" s="15" t="str">
        <f t="shared" si="97"/>
        <v>NARROWMARGIN</v>
      </c>
    </row>
    <row r="220" spans="1:37">
      <c r="A220" s="7">
        <v>217</v>
      </c>
      <c r="B220" s="8" t="s">
        <v>350</v>
      </c>
      <c r="C220" s="7">
        <v>650</v>
      </c>
      <c r="D220" s="7">
        <v>202</v>
      </c>
      <c r="E220" s="7">
        <f t="shared" si="78"/>
        <v>31.076923076923073</v>
      </c>
      <c r="F220" s="7">
        <v>433</v>
      </c>
      <c r="G220" s="7">
        <f t="shared" si="79"/>
        <v>66.615384615384627</v>
      </c>
      <c r="H220" s="7">
        <v>3</v>
      </c>
      <c r="I220" s="7">
        <f t="shared" si="80"/>
        <v>0.46153846153846156</v>
      </c>
      <c r="J220" s="7">
        <v>1</v>
      </c>
      <c r="K220" s="7">
        <f t="shared" si="81"/>
        <v>0.15384615384615385</v>
      </c>
      <c r="L220" s="9">
        <v>500</v>
      </c>
      <c r="M220" s="9">
        <v>522</v>
      </c>
      <c r="N220" s="9">
        <f t="shared" si="82"/>
        <v>1022</v>
      </c>
      <c r="O220" s="7">
        <v>650</v>
      </c>
      <c r="P220" s="10">
        <f t="shared" si="86"/>
        <v>63.600782778864975</v>
      </c>
      <c r="Q220" s="7"/>
      <c r="R220" s="7">
        <f t="shared" si="87"/>
        <v>0</v>
      </c>
      <c r="S220" s="21">
        <f t="shared" si="83"/>
        <v>0</v>
      </c>
      <c r="T220" s="7" t="e">
        <f t="shared" si="88"/>
        <v>#DIV/0!</v>
      </c>
      <c r="U220" s="7"/>
      <c r="V220" s="11">
        <f t="shared" si="89"/>
        <v>0</v>
      </c>
      <c r="W220" s="7"/>
      <c r="X220" s="7">
        <f t="shared" si="90"/>
        <v>100</v>
      </c>
      <c r="Y220" s="17">
        <f t="shared" si="98"/>
        <v>0</v>
      </c>
      <c r="Z220" s="12" t="e">
        <f t="shared" si="91"/>
        <v>#DIV/0!</v>
      </c>
      <c r="AA220" s="12"/>
      <c r="AB220" s="13">
        <f t="shared" si="92"/>
        <v>0</v>
      </c>
      <c r="AC220" s="12">
        <f t="shared" si="75"/>
        <v>0</v>
      </c>
      <c r="AD220" s="12" t="str">
        <f t="shared" si="93"/>
        <v>AVG</v>
      </c>
      <c r="AE220" s="14" t="str">
        <f t="shared" si="94"/>
        <v>VLOW</v>
      </c>
      <c r="AF220" s="12" t="str">
        <f t="shared" si="95"/>
        <v>EXCELLENT</v>
      </c>
      <c r="AG220" s="12" t="str">
        <f t="shared" si="84"/>
        <v>FEMALE DOM</v>
      </c>
      <c r="AH220" s="12" t="e">
        <f t="shared" si="96"/>
        <v>#DIV/0!</v>
      </c>
      <c r="AI220" s="15">
        <f>G220-E220</f>
        <v>35.538461538461554</v>
      </c>
      <c r="AJ220" s="25" t="str">
        <f t="shared" si="85"/>
        <v>CONGRESSGAIN</v>
      </c>
      <c r="AK220" s="24" t="str">
        <f t="shared" si="97"/>
        <v>MEDIUMMARGIN</v>
      </c>
    </row>
    <row r="221" spans="1:37">
      <c r="A221" s="7">
        <v>218</v>
      </c>
      <c r="B221" s="8" t="s">
        <v>351</v>
      </c>
      <c r="C221" s="7">
        <v>693</v>
      </c>
      <c r="D221" s="7">
        <v>166</v>
      </c>
      <c r="E221" s="7">
        <f t="shared" si="78"/>
        <v>23.953823953823957</v>
      </c>
      <c r="F221" s="7">
        <v>520</v>
      </c>
      <c r="G221" s="7">
        <f t="shared" si="79"/>
        <v>75.036075036075033</v>
      </c>
      <c r="H221" s="7">
        <v>2</v>
      </c>
      <c r="I221" s="7">
        <f t="shared" si="80"/>
        <v>0.28860028860028858</v>
      </c>
      <c r="J221" s="7">
        <v>0</v>
      </c>
      <c r="K221" s="7">
        <f t="shared" si="81"/>
        <v>0</v>
      </c>
      <c r="L221" s="9">
        <v>488</v>
      </c>
      <c r="M221" s="9">
        <v>499</v>
      </c>
      <c r="N221" s="9">
        <f t="shared" si="82"/>
        <v>987</v>
      </c>
      <c r="O221" s="7">
        <v>693</v>
      </c>
      <c r="P221" s="10">
        <f t="shared" si="86"/>
        <v>70.212765957446805</v>
      </c>
      <c r="Q221" s="7"/>
      <c r="R221" s="7">
        <f t="shared" si="87"/>
        <v>0</v>
      </c>
      <c r="S221" s="7">
        <f t="shared" si="83"/>
        <v>0</v>
      </c>
      <c r="T221" s="7" t="e">
        <f t="shared" si="88"/>
        <v>#DIV/0!</v>
      </c>
      <c r="U221" s="7"/>
      <c r="V221" s="11">
        <f t="shared" si="89"/>
        <v>0</v>
      </c>
      <c r="W221" s="7"/>
      <c r="X221" s="7">
        <f t="shared" si="90"/>
        <v>100</v>
      </c>
      <c r="Y221" s="7">
        <f t="shared" si="98"/>
        <v>0</v>
      </c>
      <c r="Z221" s="12" t="e">
        <f t="shared" si="91"/>
        <v>#DIV/0!</v>
      </c>
      <c r="AA221" s="12"/>
      <c r="AB221" s="13">
        <f t="shared" si="92"/>
        <v>0</v>
      </c>
      <c r="AC221" s="12">
        <f t="shared" si="75"/>
        <v>0</v>
      </c>
      <c r="AD221" s="12" t="str">
        <f t="shared" si="93"/>
        <v>STRONG</v>
      </c>
      <c r="AE221" s="14" t="str">
        <f t="shared" si="94"/>
        <v>VLOW</v>
      </c>
      <c r="AF221" s="12" t="str">
        <f t="shared" si="95"/>
        <v>EXCELLENT</v>
      </c>
      <c r="AG221" s="12" t="str">
        <f t="shared" si="84"/>
        <v>FEMALE DOM</v>
      </c>
      <c r="AH221" s="12" t="e">
        <f t="shared" si="96"/>
        <v>#DIV/0!</v>
      </c>
      <c r="AI221" s="15">
        <f>G221-E221</f>
        <v>51.082251082251076</v>
      </c>
      <c r="AJ221" s="25" t="str">
        <f t="shared" si="85"/>
        <v>CONGRESSGAIN</v>
      </c>
      <c r="AK221" s="14" t="str">
        <f t="shared" si="97"/>
        <v>VERYHIGHMARGIN</v>
      </c>
    </row>
    <row r="222" spans="1:37">
      <c r="A222" s="7">
        <v>219</v>
      </c>
      <c r="B222" s="8" t="s">
        <v>352</v>
      </c>
      <c r="C222" s="7">
        <v>699</v>
      </c>
      <c r="D222" s="7">
        <v>395</v>
      </c>
      <c r="E222" s="7">
        <f t="shared" si="78"/>
        <v>56.509298998569378</v>
      </c>
      <c r="F222" s="7">
        <v>272</v>
      </c>
      <c r="G222" s="7">
        <f t="shared" si="79"/>
        <v>38.912732474964237</v>
      </c>
      <c r="H222" s="7">
        <v>13</v>
      </c>
      <c r="I222" s="7">
        <f t="shared" si="80"/>
        <v>1.8597997138769671</v>
      </c>
      <c r="J222" s="7">
        <v>5</v>
      </c>
      <c r="K222" s="7">
        <f t="shared" si="81"/>
        <v>0.71530758226037194</v>
      </c>
      <c r="L222" s="9">
        <v>470</v>
      </c>
      <c r="M222" s="9">
        <v>510</v>
      </c>
      <c r="N222" s="9">
        <f t="shared" si="82"/>
        <v>980</v>
      </c>
      <c r="O222" s="7">
        <v>699</v>
      </c>
      <c r="P222" s="10">
        <f t="shared" si="86"/>
        <v>71.326530612244895</v>
      </c>
      <c r="Q222" s="7"/>
      <c r="R222" s="7">
        <f t="shared" si="87"/>
        <v>0</v>
      </c>
      <c r="S222" s="7">
        <f t="shared" si="83"/>
        <v>0</v>
      </c>
      <c r="T222" s="7" t="e">
        <f t="shared" si="88"/>
        <v>#DIV/0!</v>
      </c>
      <c r="U222" s="7"/>
      <c r="V222" s="11">
        <f t="shared" si="89"/>
        <v>0</v>
      </c>
      <c r="W222" s="7"/>
      <c r="X222" s="7">
        <f t="shared" si="90"/>
        <v>100</v>
      </c>
      <c r="Y222" s="7">
        <f t="shared" si="98"/>
        <v>0</v>
      </c>
      <c r="Z222" s="12" t="e">
        <f t="shared" si="91"/>
        <v>#DIV/0!</v>
      </c>
      <c r="AA222" s="12"/>
      <c r="AB222" s="13">
        <f t="shared" si="92"/>
        <v>0</v>
      </c>
      <c r="AC222" s="12">
        <f t="shared" si="75"/>
        <v>0</v>
      </c>
      <c r="AD222" s="12" t="str">
        <f t="shared" si="93"/>
        <v>STRONG</v>
      </c>
      <c r="AE222" s="14" t="str">
        <f t="shared" si="94"/>
        <v>VLOW</v>
      </c>
      <c r="AF222" s="12" t="str">
        <f t="shared" si="95"/>
        <v>EXCELLENT</v>
      </c>
      <c r="AG222" s="12" t="str">
        <f t="shared" si="84"/>
        <v>FEMALE DOM</v>
      </c>
      <c r="AH222" s="12" t="e">
        <f t="shared" si="96"/>
        <v>#DIV/0!</v>
      </c>
      <c r="AI222" s="15">
        <f>E222-G222</f>
        <v>17.596566523605141</v>
      </c>
      <c r="AJ222" s="16" t="str">
        <f t="shared" si="85"/>
        <v>BJP GAIN</v>
      </c>
      <c r="AK222" s="15" t="str">
        <f t="shared" si="97"/>
        <v>LOWMARGIN</v>
      </c>
    </row>
    <row r="223" spans="1:37">
      <c r="A223" s="7">
        <v>220</v>
      </c>
      <c r="B223" s="8" t="s">
        <v>352</v>
      </c>
      <c r="C223" s="7">
        <v>599</v>
      </c>
      <c r="D223" s="7">
        <v>27</v>
      </c>
      <c r="E223" s="7">
        <f t="shared" si="78"/>
        <v>4.5075125208681133</v>
      </c>
      <c r="F223" s="7">
        <v>0</v>
      </c>
      <c r="G223" s="7">
        <f t="shared" si="79"/>
        <v>0</v>
      </c>
      <c r="H223" s="7">
        <v>567</v>
      </c>
      <c r="I223" s="7">
        <f t="shared" si="80"/>
        <v>94.657762938230377</v>
      </c>
      <c r="J223" s="7">
        <v>3</v>
      </c>
      <c r="K223" s="7">
        <f t="shared" si="81"/>
        <v>0.5008347245409015</v>
      </c>
      <c r="L223" s="9">
        <v>403</v>
      </c>
      <c r="M223" s="9">
        <v>426</v>
      </c>
      <c r="N223" s="9">
        <f t="shared" si="82"/>
        <v>829</v>
      </c>
      <c r="O223" s="7">
        <v>599</v>
      </c>
      <c r="P223" s="10">
        <f t="shared" si="86"/>
        <v>72.255729794933657</v>
      </c>
      <c r="Q223" s="7">
        <v>40</v>
      </c>
      <c r="R223" s="7">
        <f t="shared" si="87"/>
        <v>4.8250904704463204</v>
      </c>
      <c r="S223" s="7">
        <f t="shared" si="83"/>
        <v>21</v>
      </c>
      <c r="T223" s="7">
        <f t="shared" si="88"/>
        <v>52.5</v>
      </c>
      <c r="U223" s="7">
        <v>19</v>
      </c>
      <c r="V223" s="11">
        <f t="shared" si="89"/>
        <v>47.5</v>
      </c>
      <c r="W223" s="7">
        <v>789</v>
      </c>
      <c r="X223" s="7">
        <f t="shared" si="90"/>
        <v>95.174909529553673</v>
      </c>
      <c r="Y223" s="17">
        <f t="shared" si="98"/>
        <v>219</v>
      </c>
      <c r="Z223" s="12">
        <f t="shared" si="91"/>
        <v>27.756653992395435</v>
      </c>
      <c r="AA223" s="12">
        <v>570</v>
      </c>
      <c r="AB223" s="13">
        <f t="shared" si="92"/>
        <v>72.243346007604558</v>
      </c>
      <c r="AC223" s="12">
        <f t="shared" si="75"/>
        <v>589</v>
      </c>
      <c r="AD223" s="12" t="str">
        <f t="shared" si="93"/>
        <v>STRONG</v>
      </c>
      <c r="AE223" s="14" t="str">
        <f t="shared" si="94"/>
        <v>VLOW</v>
      </c>
      <c r="AF223" s="12" t="str">
        <f t="shared" si="95"/>
        <v>EXCELLENT</v>
      </c>
      <c r="AG223" s="12" t="str">
        <f t="shared" si="84"/>
        <v>FEMALE DOM</v>
      </c>
      <c r="AH223" s="12" t="str">
        <f t="shared" si="96"/>
        <v>H</v>
      </c>
      <c r="AI223" s="15">
        <f>E223-G223</f>
        <v>4.5075125208681133</v>
      </c>
      <c r="AJ223" s="16" t="str">
        <f t="shared" si="85"/>
        <v>BJP GAIN</v>
      </c>
      <c r="AK223" s="34" t="str">
        <f t="shared" si="97"/>
        <v>NARROWMARGIN</v>
      </c>
    </row>
    <row r="224" spans="1:37" s="40" customFormat="1" ht="15.75">
      <c r="A224" s="74" t="s">
        <v>123</v>
      </c>
      <c r="B224" s="74"/>
      <c r="C224" s="35">
        <f t="shared" ref="C224:O224" si="100">SUM(C4:C223)</f>
        <v>161970</v>
      </c>
      <c r="D224" s="35">
        <f t="shared" si="100"/>
        <v>85740</v>
      </c>
      <c r="E224" s="35">
        <f t="shared" si="100"/>
        <v>11479.743765545831</v>
      </c>
      <c r="F224" s="35">
        <f t="shared" si="100"/>
        <v>69332</v>
      </c>
      <c r="G224" s="35">
        <f t="shared" si="100"/>
        <v>9582.8182879181513</v>
      </c>
      <c r="H224" s="35">
        <f t="shared" si="100"/>
        <v>1331</v>
      </c>
      <c r="I224" s="35">
        <f t="shared" si="100"/>
        <v>200.25800101979399</v>
      </c>
      <c r="J224" s="35">
        <f t="shared" si="100"/>
        <v>2316</v>
      </c>
      <c r="K224" s="35">
        <f t="shared" si="100"/>
        <v>305.9820655132599</v>
      </c>
      <c r="L224" s="36">
        <f t="shared" si="100"/>
        <v>115017</v>
      </c>
      <c r="M224" s="36">
        <f t="shared" si="100"/>
        <v>125040</v>
      </c>
      <c r="N224" s="36">
        <f t="shared" si="100"/>
        <v>240057</v>
      </c>
      <c r="O224" s="35">
        <f t="shared" si="100"/>
        <v>162562</v>
      </c>
      <c r="P224" s="37">
        <f>O224/N224*100</f>
        <v>67.718083621806485</v>
      </c>
      <c r="Q224" s="38">
        <f>SUM(Q4:Q223)</f>
        <v>113268</v>
      </c>
      <c r="R224" s="38"/>
      <c r="S224" s="38">
        <f>SUM(S4:S223)</f>
        <v>38794</v>
      </c>
      <c r="T224" s="38"/>
      <c r="U224" s="38">
        <f>SUM(U4:U223)</f>
        <v>74840</v>
      </c>
      <c r="V224" s="39">
        <f t="shared" si="89"/>
        <v>66.073383479888406</v>
      </c>
      <c r="W224" s="38">
        <f>SUM(W4:W223)</f>
        <v>61080</v>
      </c>
      <c r="X224" s="38"/>
      <c r="Y224" s="38">
        <f>SUM(Y4:Y223)</f>
        <v>23872</v>
      </c>
      <c r="Z224" s="38"/>
      <c r="AA224" s="38">
        <f>SUM(AA4:AA223)</f>
        <v>37208</v>
      </c>
      <c r="AB224" s="39">
        <f t="shared" si="92"/>
        <v>60.916830386378521</v>
      </c>
      <c r="AC224" s="37">
        <v>0</v>
      </c>
      <c r="AD224" s="7"/>
      <c r="AE224" s="7"/>
      <c r="AF224" s="7"/>
      <c r="AG224" s="7"/>
      <c r="AH224" s="7"/>
      <c r="AI224" s="7"/>
      <c r="AJ224" s="7"/>
    </row>
    <row r="225" spans="35:38">
      <c r="AI225" s="16" t="s">
        <v>7</v>
      </c>
      <c r="AJ225" s="16">
        <f>COUNTIF(AJ4:AJ223, "BJP GAIN")</f>
        <v>150</v>
      </c>
      <c r="AK225" s="41" t="s">
        <v>391</v>
      </c>
      <c r="AL225" s="42">
        <f>COUNTIF(AK4:AK223,"NARROWMARGIN")</f>
        <v>37</v>
      </c>
    </row>
    <row r="226" spans="35:38">
      <c r="AI226" s="25" t="s">
        <v>8</v>
      </c>
      <c r="AJ226" s="25">
        <f>COUNTIF(AJ4:AJ223,"CONGRESSGAIN")</f>
        <v>70</v>
      </c>
      <c r="AK226" s="43" t="s">
        <v>88</v>
      </c>
      <c r="AL226" s="44">
        <f>COUNTIF(AK4:AK223,"LOWMARGIN")</f>
        <v>73</v>
      </c>
    </row>
    <row r="227" spans="35:38">
      <c r="AK227" s="45" t="s">
        <v>90</v>
      </c>
      <c r="AL227" s="46">
        <f>COUNTIF(AK4:AK223,"MEDIUMMARGIN")</f>
        <v>31</v>
      </c>
    </row>
    <row r="228" spans="35:38">
      <c r="AK228" s="47" t="s">
        <v>91</v>
      </c>
      <c r="AL228" s="48">
        <f>COUNTIF(AK4:AK223,"HIGHMARGIN")</f>
        <v>25</v>
      </c>
    </row>
    <row r="229" spans="35:38">
      <c r="AK229" s="49" t="s">
        <v>93</v>
      </c>
      <c r="AL229" s="50">
        <f>COUNTIF(AK4:AK223,"VERYHIGHMARGIN")</f>
        <v>54</v>
      </c>
    </row>
  </sheetData>
  <sheetProtection password="CFB8" sheet="1" objects="1" scenarios="1"/>
  <mergeCells count="2">
    <mergeCell ref="A1:AJ2"/>
    <mergeCell ref="A224:B224"/>
  </mergeCells>
  <conditionalFormatting sqref="AD4:AD224">
    <cfRule type="containsText" dxfId="251" priority="16" operator="containsText" text="AVG">
      <formula>NOT(ISERROR(SEARCH("AVG",AD4)))</formula>
    </cfRule>
  </conditionalFormatting>
  <conditionalFormatting sqref="AD6:AD224">
    <cfRule type="cellIs" dxfId="250" priority="15" operator="equal">
      <formula>"STRONG"</formula>
    </cfRule>
  </conditionalFormatting>
  <conditionalFormatting sqref="AD8:AD224">
    <cfRule type="containsText" dxfId="249" priority="14" operator="containsText" text="VSTRONG">
      <formula>NOT(ISERROR(SEARCH("VSTRONG",AD8)))</formula>
    </cfRule>
  </conditionalFormatting>
  <conditionalFormatting sqref="AH4:AH223">
    <cfRule type="containsText" dxfId="248" priority="13" operator="containsText" text="O">
      <formula>NOT(ISERROR(SEARCH("O",AH4)))</formula>
    </cfRule>
  </conditionalFormatting>
  <conditionalFormatting sqref="AH17:AH222">
    <cfRule type="containsText" dxfId="247" priority="11" operator="containsText" text="H">
      <formula>NOT(ISERROR(SEARCH("H",AH17)))</formula>
    </cfRule>
    <cfRule type="containsText" dxfId="246" priority="12" operator="containsText" text="H">
      <formula>NOT(ISERROR(SEARCH("H",AH17)))</formula>
    </cfRule>
  </conditionalFormatting>
  <conditionalFormatting sqref="AE4:AE223">
    <cfRule type="containsText" dxfId="245" priority="10" operator="containsText" text="STRONG">
      <formula>NOT(ISERROR(SEARCH("STRONG",AE4)))</formula>
    </cfRule>
  </conditionalFormatting>
  <conditionalFormatting sqref="AE19:AE223 AF5:AF223">
    <cfRule type="containsText" dxfId="244" priority="9" operator="containsText" text="AVG">
      <formula>NOT(ISERROR(SEARCH("AVG",AE5)))</formula>
    </cfRule>
  </conditionalFormatting>
  <conditionalFormatting sqref="AE9:AE223">
    <cfRule type="containsText" dxfId="243" priority="8" operator="containsText" text="VSTRONG">
      <formula>NOT(ISERROR(SEARCH("VSTRONG",AE9)))</formula>
    </cfRule>
  </conditionalFormatting>
  <conditionalFormatting sqref="AG4:AG223">
    <cfRule type="containsText" dxfId="242" priority="7" operator="containsText" text="FEMALE DOM">
      <formula>NOT(ISERROR(SEARCH("FEMALE DOM",AG4)))</formula>
    </cfRule>
  </conditionalFormatting>
  <conditionalFormatting sqref="AD4:AD224">
    <cfRule type="containsText" dxfId="241" priority="6" operator="containsText" text="AVG">
      <formula>NOT(ISERROR(SEARCH("AVG",AD4)))</formula>
    </cfRule>
  </conditionalFormatting>
  <conditionalFormatting sqref="AH4:AH223">
    <cfRule type="containsText" dxfId="240" priority="5" operator="containsText" text="H">
      <formula>NOT(ISERROR(SEARCH("H",AH4)))</formula>
    </cfRule>
  </conditionalFormatting>
  <conditionalFormatting sqref="AF4:AF223">
    <cfRule type="cellIs" dxfId="239" priority="4" operator="equal">
      <formula>"VWEAK"</formula>
    </cfRule>
  </conditionalFormatting>
  <conditionalFormatting sqref="AF11:AF223">
    <cfRule type="containsText" dxfId="238" priority="3" operator="containsText" text="VSTRONG">
      <formula>NOT(ISERROR(SEARCH("VSTRONG",AF11)))</formula>
    </cfRule>
  </conditionalFormatting>
  <conditionalFormatting sqref="AF40">
    <cfRule type="containsText" dxfId="237" priority="2" operator="containsText" text="WEAK">
      <formula>NOT(ISERROR(SEARCH("WEAK",AF40)))</formula>
    </cfRule>
  </conditionalFormatting>
  <conditionalFormatting sqref="AG21:AG223">
    <cfRule type="containsText" dxfId="236" priority="1" operator="containsText" text="MEN">
      <formula>NOT(ISERROR(SEARCH("MEN",AG21)))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B50"/>
  <sheetViews>
    <sheetView topLeftCell="Q1" workbookViewId="0">
      <selection activeCell="S14" sqref="S14"/>
    </sheetView>
  </sheetViews>
  <sheetFormatPr defaultRowHeight="15"/>
  <cols>
    <col min="1" max="1" width="9.140625" style="51"/>
    <col min="2" max="2" width="13.5703125" style="51" bestFit="1" customWidth="1"/>
    <col min="3" max="3" width="23.5703125" style="51" bestFit="1" customWidth="1"/>
    <col min="4" max="4" width="14.28515625" style="51" customWidth="1"/>
    <col min="5" max="5" width="35.85546875" style="51" bestFit="1" customWidth="1"/>
    <col min="6" max="7" width="12.42578125" style="51" customWidth="1"/>
    <col min="8" max="8" width="14.85546875" style="51" bestFit="1" customWidth="1"/>
    <col min="9" max="9" width="19.28515625" style="51" bestFit="1" customWidth="1"/>
    <col min="10" max="10" width="18.7109375" style="51" bestFit="1" customWidth="1"/>
    <col min="11" max="11" width="13" style="51" customWidth="1"/>
    <col min="12" max="12" width="14.85546875" style="51" bestFit="1" customWidth="1"/>
    <col min="13" max="13" width="14.85546875" style="51" customWidth="1"/>
    <col min="14" max="14" width="19.28515625" style="51" bestFit="1" customWidth="1"/>
    <col min="15" max="15" width="18.7109375" style="51" bestFit="1" customWidth="1"/>
    <col min="16" max="16" width="14" style="51" customWidth="1"/>
    <col min="17" max="17" width="14.85546875" style="51" bestFit="1" customWidth="1"/>
    <col min="18" max="18" width="14.85546875" style="51" customWidth="1"/>
    <col min="19" max="19" width="19.28515625" style="51" bestFit="1" customWidth="1"/>
    <col min="20" max="20" width="18.7109375" style="51" bestFit="1" customWidth="1"/>
    <col min="21" max="21" width="18.5703125" style="51" bestFit="1" customWidth="1"/>
    <col min="22" max="23" width="20.140625" style="51" bestFit="1" customWidth="1"/>
    <col min="24" max="24" width="17.85546875" style="51" bestFit="1" customWidth="1"/>
    <col min="25" max="25" width="25" style="51" bestFit="1" customWidth="1"/>
    <col min="26" max="26" width="18.85546875" style="51" customWidth="1"/>
    <col min="27" max="27" width="20.7109375" style="51" bestFit="1" customWidth="1"/>
    <col min="28" max="28" width="21.140625" style="51" bestFit="1" customWidth="1"/>
    <col min="29" max="16384" width="9.140625" style="51"/>
  </cols>
  <sheetData>
    <row r="1" spans="1:28" ht="33.7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ht="15" customHeight="1">
      <c r="A2" s="86" t="s">
        <v>1</v>
      </c>
      <c r="B2" s="77" t="s">
        <v>2</v>
      </c>
      <c r="C2" s="86" t="s">
        <v>3</v>
      </c>
      <c r="D2" s="77" t="s">
        <v>4</v>
      </c>
      <c r="E2" s="86" t="s">
        <v>5</v>
      </c>
      <c r="F2" s="77" t="s">
        <v>122</v>
      </c>
      <c r="G2" s="77" t="s">
        <v>385</v>
      </c>
      <c r="H2" s="86" t="s">
        <v>6</v>
      </c>
      <c r="I2" s="86"/>
      <c r="J2" s="86"/>
      <c r="K2" s="82" t="s">
        <v>7</v>
      </c>
      <c r="L2" s="83"/>
      <c r="M2" s="83"/>
      <c r="N2" s="83"/>
      <c r="O2" s="84"/>
      <c r="P2" s="79" t="s">
        <v>8</v>
      </c>
      <c r="Q2" s="80"/>
      <c r="R2" s="80"/>
      <c r="S2" s="80"/>
      <c r="T2" s="81"/>
      <c r="U2" s="86">
        <v>2018</v>
      </c>
      <c r="V2" s="86"/>
      <c r="W2" s="86"/>
      <c r="X2" s="86"/>
      <c r="Y2" s="86"/>
      <c r="Z2" s="88" t="s">
        <v>9</v>
      </c>
      <c r="AA2" s="88" t="s">
        <v>10</v>
      </c>
      <c r="AB2" s="88" t="s">
        <v>11</v>
      </c>
    </row>
    <row r="3" spans="1:28" s="52" customFormat="1" ht="30">
      <c r="A3" s="86"/>
      <c r="B3" s="78"/>
      <c r="C3" s="87"/>
      <c r="D3" s="78"/>
      <c r="E3" s="86"/>
      <c r="F3" s="78"/>
      <c r="G3" s="78"/>
      <c r="H3" s="5" t="s">
        <v>12</v>
      </c>
      <c r="I3" s="5" t="s">
        <v>392</v>
      </c>
      <c r="J3" s="5" t="s">
        <v>13</v>
      </c>
      <c r="K3" s="5" t="s">
        <v>393</v>
      </c>
      <c r="L3" s="5" t="s">
        <v>12</v>
      </c>
      <c r="M3" s="5" t="s">
        <v>119</v>
      </c>
      <c r="N3" s="5" t="s">
        <v>392</v>
      </c>
      <c r="O3" s="5" t="s">
        <v>13</v>
      </c>
      <c r="P3" s="5" t="s">
        <v>395</v>
      </c>
      <c r="Q3" s="5" t="s">
        <v>12</v>
      </c>
      <c r="R3" s="5" t="s">
        <v>119</v>
      </c>
      <c r="S3" s="5" t="s">
        <v>392</v>
      </c>
      <c r="T3" s="5" t="s">
        <v>13</v>
      </c>
      <c r="U3" s="5" t="s">
        <v>14</v>
      </c>
      <c r="V3" s="5" t="s">
        <v>15</v>
      </c>
      <c r="W3" s="5" t="s">
        <v>16</v>
      </c>
      <c r="X3" s="5" t="s">
        <v>17</v>
      </c>
      <c r="Y3" s="5" t="s">
        <v>18</v>
      </c>
      <c r="Z3" s="88"/>
      <c r="AA3" s="88"/>
      <c r="AB3" s="88"/>
    </row>
    <row r="4" spans="1:28">
      <c r="A4" s="12">
        <v>1</v>
      </c>
      <c r="B4" s="53">
        <v>21</v>
      </c>
      <c r="C4" s="54" t="s">
        <v>103</v>
      </c>
      <c r="D4" s="55">
        <v>6</v>
      </c>
      <c r="E4" s="12" t="s">
        <v>19</v>
      </c>
      <c r="F4" s="12">
        <v>13795</v>
      </c>
      <c r="G4" s="12">
        <v>10042</v>
      </c>
      <c r="H4" s="56">
        <v>938.33333333333326</v>
      </c>
      <c r="I4" s="56">
        <v>176.83875266593702</v>
      </c>
      <c r="J4" s="56">
        <v>31271.944444444445</v>
      </c>
      <c r="K4" s="7">
        <v>6451</v>
      </c>
      <c r="L4" s="56">
        <v>624.08333333333337</v>
      </c>
      <c r="M4" s="56">
        <f>(L4/H4)*100</f>
        <v>66.509769094138548</v>
      </c>
      <c r="N4" s="56">
        <v>138.97206953597225</v>
      </c>
      <c r="O4" s="56">
        <v>19313.236111111109</v>
      </c>
      <c r="P4" s="7">
        <v>3167</v>
      </c>
      <c r="Q4" s="56">
        <v>269.33333333333337</v>
      </c>
      <c r="R4" s="56">
        <f t="shared" ref="R4:R41" si="0">(Q4/H4)*100</f>
        <v>28.703374777975139</v>
      </c>
      <c r="S4" s="56">
        <v>46.966447834834412</v>
      </c>
      <c r="T4" s="56">
        <v>2205.8472222222222</v>
      </c>
      <c r="U4" s="12" t="s">
        <v>26</v>
      </c>
      <c r="V4" s="14" t="s">
        <v>22</v>
      </c>
      <c r="W4" s="12" t="s">
        <v>21</v>
      </c>
      <c r="X4" s="12" t="s">
        <v>23</v>
      </c>
      <c r="Y4" s="12" t="s">
        <v>35</v>
      </c>
      <c r="Z4" s="16" t="str">
        <f t="shared" ref="Z4:Z41" si="1">IF(L4&gt;Q4,"BJP GAIN","CONGRESS GAIN")</f>
        <v>BJP GAIN</v>
      </c>
      <c r="AA4" s="56">
        <f t="shared" ref="AA4:AA14" si="2">((L4-Q4)/H4)*100</f>
        <v>37.806394316163413</v>
      </c>
      <c r="AB4" s="24" t="str">
        <f>IF(AA4&gt;=50,"VERYHIGHMARGIN",IF(AA4&gt;=40,"HIGHMARGIN",IF(AA4&gt;=30,"MEDIUMMARGIN",IF(AA4&gt;10,"LOWMARGIN",IF(AA4&gt;=1,"NARROWMARGIN")))))</f>
        <v>MEDIUMMARGIN</v>
      </c>
    </row>
    <row r="5" spans="1:28">
      <c r="A5" s="12">
        <v>2</v>
      </c>
      <c r="B5" s="53">
        <v>24</v>
      </c>
      <c r="C5" s="54" t="s">
        <v>104</v>
      </c>
      <c r="D5" s="55">
        <v>6</v>
      </c>
      <c r="E5" s="12" t="s">
        <v>24</v>
      </c>
      <c r="F5" s="12">
        <v>12013</v>
      </c>
      <c r="G5" s="12">
        <v>8029</v>
      </c>
      <c r="H5" s="56">
        <v>669.08333333333326</v>
      </c>
      <c r="I5" s="56">
        <v>177.5816322458804</v>
      </c>
      <c r="J5" s="56">
        <v>31535.236111111109</v>
      </c>
      <c r="K5" s="7">
        <v>4734</v>
      </c>
      <c r="L5" s="56">
        <v>394.5</v>
      </c>
      <c r="M5" s="56">
        <f t="shared" ref="M5:M41" si="3">(L5/H5)*100</f>
        <v>58.961265412878326</v>
      </c>
      <c r="N5" s="56">
        <v>81.002057587034997</v>
      </c>
      <c r="O5" s="56">
        <v>6561.333333333333</v>
      </c>
      <c r="P5" s="7">
        <v>3028</v>
      </c>
      <c r="Q5" s="56">
        <v>252.33333333333334</v>
      </c>
      <c r="R5" s="56">
        <f t="shared" si="0"/>
        <v>37.713289326192559</v>
      </c>
      <c r="S5" s="56">
        <v>98.396872127341751</v>
      </c>
      <c r="T5" s="56">
        <v>9681.9444444444434</v>
      </c>
      <c r="U5" s="12" t="s">
        <v>20</v>
      </c>
      <c r="V5" s="14" t="s">
        <v>21</v>
      </c>
      <c r="W5" s="12" t="s">
        <v>22</v>
      </c>
      <c r="X5" s="12" t="s">
        <v>23</v>
      </c>
      <c r="Y5" s="12" t="e">
        <v>#DIV/0!</v>
      </c>
      <c r="Z5" s="16" t="str">
        <f t="shared" si="1"/>
        <v>BJP GAIN</v>
      </c>
      <c r="AA5" s="56">
        <f t="shared" si="2"/>
        <v>21.247976086685767</v>
      </c>
      <c r="AB5" s="15" t="str">
        <f t="shared" ref="AB5:AB41" si="4">IF(AA5&gt;=50,"VERYHIGHMARGIN",IF(AA5&gt;=40,"HIGHMARGIN",IF(AA5&gt;=30,"MEDIUMMARGIN",IF(AA5&gt;10,"LOWMARGIN",IF(AA5&gt;=1,"NARROWMARGIN")))))</f>
        <v>LOWMARGIN</v>
      </c>
    </row>
    <row r="6" spans="1:28">
      <c r="A6" s="12">
        <v>3</v>
      </c>
      <c r="B6" s="53">
        <v>25</v>
      </c>
      <c r="C6" s="54" t="s">
        <v>105</v>
      </c>
      <c r="D6" s="55">
        <v>6</v>
      </c>
      <c r="E6" s="12" t="s">
        <v>25</v>
      </c>
      <c r="F6" s="12">
        <v>12613</v>
      </c>
      <c r="G6" s="12">
        <v>9077</v>
      </c>
      <c r="H6" s="56">
        <v>756.41666666666674</v>
      </c>
      <c r="I6" s="56">
        <v>190.5406416256414</v>
      </c>
      <c r="J6" s="56">
        <v>36305.736111111109</v>
      </c>
      <c r="K6" s="7">
        <v>5171</v>
      </c>
      <c r="L6" s="56">
        <v>430.91666666666663</v>
      </c>
      <c r="M6" s="56">
        <f t="shared" si="3"/>
        <v>56.968161286768748</v>
      </c>
      <c r="N6" s="56">
        <v>80.878939024802847</v>
      </c>
      <c r="O6" s="56">
        <v>6541.4027777777774</v>
      </c>
      <c r="P6" s="7">
        <v>3416</v>
      </c>
      <c r="Q6" s="56">
        <v>284.66666666666669</v>
      </c>
      <c r="R6" s="56">
        <f t="shared" si="0"/>
        <v>37.633579376445965</v>
      </c>
      <c r="S6" s="56">
        <v>108.24688858756582</v>
      </c>
      <c r="T6" s="56">
        <v>11717.388888888889</v>
      </c>
      <c r="U6" s="12" t="s">
        <v>20</v>
      </c>
      <c r="V6" s="14" t="s">
        <v>26</v>
      </c>
      <c r="W6" s="12" t="s">
        <v>21</v>
      </c>
      <c r="X6" s="57" t="s">
        <v>23</v>
      </c>
      <c r="Y6" s="12" t="e">
        <v>#DIV/0!</v>
      </c>
      <c r="Z6" s="16" t="str">
        <f t="shared" si="1"/>
        <v>BJP GAIN</v>
      </c>
      <c r="AA6" s="56">
        <f t="shared" si="2"/>
        <v>19.334581910322786</v>
      </c>
      <c r="AB6" s="15" t="str">
        <f t="shared" si="4"/>
        <v>LOWMARGIN</v>
      </c>
    </row>
    <row r="7" spans="1:28">
      <c r="A7" s="12">
        <v>4</v>
      </c>
      <c r="B7" s="53">
        <v>26</v>
      </c>
      <c r="C7" s="54" t="s">
        <v>106</v>
      </c>
      <c r="D7" s="55">
        <v>7</v>
      </c>
      <c r="E7" s="18" t="s">
        <v>27</v>
      </c>
      <c r="F7" s="12">
        <v>16428</v>
      </c>
      <c r="G7" s="12">
        <v>11725</v>
      </c>
      <c r="H7" s="56">
        <v>732.8125</v>
      </c>
      <c r="I7" s="56">
        <v>204.79896774031846</v>
      </c>
      <c r="J7" s="56">
        <v>41942.6171875</v>
      </c>
      <c r="K7" s="7">
        <v>7502</v>
      </c>
      <c r="L7" s="56">
        <v>468.875</v>
      </c>
      <c r="M7" s="56">
        <f t="shared" si="3"/>
        <v>63.982942430703623</v>
      </c>
      <c r="N7" s="56">
        <v>139.99860490376324</v>
      </c>
      <c r="O7" s="56">
        <v>19599.609375</v>
      </c>
      <c r="P7" s="7">
        <v>3848</v>
      </c>
      <c r="Q7" s="56">
        <v>240.5</v>
      </c>
      <c r="R7" s="56">
        <f t="shared" si="0"/>
        <v>32.818763326226012</v>
      </c>
      <c r="S7" s="56">
        <v>67.618299113479623</v>
      </c>
      <c r="T7" s="56">
        <v>4572.234375</v>
      </c>
      <c r="U7" s="12" t="s">
        <v>20</v>
      </c>
      <c r="V7" s="14" t="s">
        <v>22</v>
      </c>
      <c r="W7" s="12" t="s">
        <v>21</v>
      </c>
      <c r="X7" s="12" t="s">
        <v>23</v>
      </c>
      <c r="Y7" s="12" t="s">
        <v>35</v>
      </c>
      <c r="Z7" s="16" t="str">
        <f t="shared" si="1"/>
        <v>BJP GAIN</v>
      </c>
      <c r="AA7" s="56">
        <f t="shared" si="2"/>
        <v>31.164179104477611</v>
      </c>
      <c r="AB7" s="24" t="str">
        <f t="shared" si="4"/>
        <v>MEDIUMMARGIN</v>
      </c>
    </row>
    <row r="8" spans="1:28">
      <c r="A8" s="12">
        <v>5</v>
      </c>
      <c r="B8" s="53">
        <v>27</v>
      </c>
      <c r="C8" s="54" t="s">
        <v>78</v>
      </c>
      <c r="D8" s="55">
        <v>6</v>
      </c>
      <c r="E8" s="18" t="s">
        <v>28</v>
      </c>
      <c r="F8" s="12">
        <v>12350</v>
      </c>
      <c r="G8" s="12">
        <v>9133</v>
      </c>
      <c r="H8" s="56">
        <v>761.08333333333326</v>
      </c>
      <c r="I8" s="56">
        <v>181.56790128703307</v>
      </c>
      <c r="J8" s="56">
        <v>32966.902777777781</v>
      </c>
      <c r="K8" s="7">
        <v>6096</v>
      </c>
      <c r="L8" s="56">
        <v>508</v>
      </c>
      <c r="M8" s="56">
        <f t="shared" si="3"/>
        <v>66.746961567940446</v>
      </c>
      <c r="N8" s="56">
        <v>123.25447929656215</v>
      </c>
      <c r="O8" s="56">
        <v>15191.666666666668</v>
      </c>
      <c r="P8" s="7">
        <v>2744</v>
      </c>
      <c r="Q8" s="56">
        <v>228.66666666666666</v>
      </c>
      <c r="R8" s="56">
        <f t="shared" si="0"/>
        <v>30.044892149348517</v>
      </c>
      <c r="S8" s="56">
        <v>81.87066358321249</v>
      </c>
      <c r="T8" s="56">
        <v>6702.8055555555557</v>
      </c>
      <c r="U8" s="12" t="s">
        <v>26</v>
      </c>
      <c r="V8" s="14" t="s">
        <v>22</v>
      </c>
      <c r="W8" s="12" t="s">
        <v>21</v>
      </c>
      <c r="X8" s="12" t="s">
        <v>23</v>
      </c>
      <c r="Y8" s="12" t="s">
        <v>32</v>
      </c>
      <c r="Z8" s="16" t="str">
        <f t="shared" si="1"/>
        <v>BJP GAIN</v>
      </c>
      <c r="AA8" s="56">
        <f t="shared" si="2"/>
        <v>36.702069418591925</v>
      </c>
      <c r="AB8" s="24" t="str">
        <f t="shared" si="4"/>
        <v>MEDIUMMARGIN</v>
      </c>
    </row>
    <row r="9" spans="1:28">
      <c r="A9" s="12">
        <v>6</v>
      </c>
      <c r="B9" s="53">
        <v>28</v>
      </c>
      <c r="C9" s="54" t="s">
        <v>111</v>
      </c>
      <c r="D9" s="55">
        <v>4</v>
      </c>
      <c r="E9" s="18" t="s">
        <v>29</v>
      </c>
      <c r="F9" s="12">
        <v>9695</v>
      </c>
      <c r="G9" s="12">
        <v>6946</v>
      </c>
      <c r="H9" s="56">
        <v>868.25</v>
      </c>
      <c r="I9" s="56">
        <v>149.06018079956834</v>
      </c>
      <c r="J9" s="56">
        <v>22218.9375</v>
      </c>
      <c r="K9" s="7">
        <v>5215</v>
      </c>
      <c r="L9" s="56">
        <v>651.875</v>
      </c>
      <c r="M9" s="56">
        <f t="shared" si="3"/>
        <v>75.079182263173053</v>
      </c>
      <c r="N9" s="56">
        <v>115.5123099500655</v>
      </c>
      <c r="O9" s="56">
        <v>13343.09375</v>
      </c>
      <c r="P9" s="7">
        <v>1510</v>
      </c>
      <c r="Q9" s="56">
        <v>188.75</v>
      </c>
      <c r="R9" s="56">
        <f t="shared" si="0"/>
        <v>21.739130434782609</v>
      </c>
      <c r="S9" s="56">
        <v>45.132443984344569</v>
      </c>
      <c r="T9" s="56">
        <v>2036.9375</v>
      </c>
      <c r="U9" s="12" t="s">
        <v>20</v>
      </c>
      <c r="V9" s="14" t="s">
        <v>22</v>
      </c>
      <c r="W9" s="12" t="s">
        <v>21</v>
      </c>
      <c r="X9" s="58" t="s">
        <v>30</v>
      </c>
      <c r="Y9" s="12" t="s">
        <v>32</v>
      </c>
      <c r="Z9" s="16" t="str">
        <f t="shared" si="1"/>
        <v>BJP GAIN</v>
      </c>
      <c r="AA9" s="56">
        <f t="shared" si="2"/>
        <v>53.340051828390443</v>
      </c>
      <c r="AB9" s="14" t="str">
        <f t="shared" si="4"/>
        <v>VERYHIGHMARGIN</v>
      </c>
    </row>
    <row r="10" spans="1:28">
      <c r="A10" s="12">
        <v>7</v>
      </c>
      <c r="B10" s="53">
        <v>29</v>
      </c>
      <c r="C10" s="54" t="s">
        <v>112</v>
      </c>
      <c r="D10" s="55">
        <v>4</v>
      </c>
      <c r="E10" s="18" t="s">
        <v>31</v>
      </c>
      <c r="F10" s="12">
        <v>9526</v>
      </c>
      <c r="G10" s="12">
        <v>6449</v>
      </c>
      <c r="H10" s="56">
        <v>806.125</v>
      </c>
      <c r="I10" s="56">
        <v>151.23522655122383</v>
      </c>
      <c r="J10" s="56">
        <v>22872.09375</v>
      </c>
      <c r="K10" s="7">
        <v>4937</v>
      </c>
      <c r="L10" s="56">
        <v>617.125</v>
      </c>
      <c r="M10" s="56">
        <f t="shared" si="3"/>
        <v>76.554504574352606</v>
      </c>
      <c r="N10" s="56">
        <v>151.72209380970196</v>
      </c>
      <c r="O10" s="56">
        <v>23019.59375</v>
      </c>
      <c r="P10" s="7">
        <v>1301</v>
      </c>
      <c r="Q10" s="56">
        <v>162.625</v>
      </c>
      <c r="R10" s="56">
        <f t="shared" si="0"/>
        <v>20.173670336486278</v>
      </c>
      <c r="S10" s="56">
        <v>48.107626734229989</v>
      </c>
      <c r="T10" s="56">
        <v>2314.34375</v>
      </c>
      <c r="U10" s="12" t="s">
        <v>20</v>
      </c>
      <c r="V10" s="14" t="s">
        <v>22</v>
      </c>
      <c r="W10" s="12" t="s">
        <v>21</v>
      </c>
      <c r="X10" s="57" t="s">
        <v>23</v>
      </c>
      <c r="Y10" s="16" t="s">
        <v>32</v>
      </c>
      <c r="Z10" s="16" t="str">
        <f t="shared" si="1"/>
        <v>BJP GAIN</v>
      </c>
      <c r="AA10" s="56">
        <f t="shared" si="2"/>
        <v>56.380834237866338</v>
      </c>
      <c r="AB10" s="14" t="str">
        <f t="shared" si="4"/>
        <v>VERYHIGHMARGIN</v>
      </c>
    </row>
    <row r="11" spans="1:28">
      <c r="A11" s="12">
        <v>8</v>
      </c>
      <c r="B11" s="53">
        <v>30</v>
      </c>
      <c r="C11" s="54" t="s">
        <v>107</v>
      </c>
      <c r="D11" s="55">
        <v>5</v>
      </c>
      <c r="E11" s="18" t="s">
        <v>33</v>
      </c>
      <c r="F11" s="12">
        <v>11153</v>
      </c>
      <c r="G11" s="12">
        <v>7180</v>
      </c>
      <c r="H11" s="56">
        <v>718</v>
      </c>
      <c r="I11" s="56">
        <v>115.25814504840861</v>
      </c>
      <c r="J11" s="56">
        <v>13284.439999999999</v>
      </c>
      <c r="K11" s="7">
        <v>4472</v>
      </c>
      <c r="L11" s="56">
        <v>447.20000000000005</v>
      </c>
      <c r="M11" s="56">
        <f t="shared" si="3"/>
        <v>62.284122562674106</v>
      </c>
      <c r="N11" s="56">
        <v>111.37414421668973</v>
      </c>
      <c r="O11" s="56">
        <v>12404.2</v>
      </c>
      <c r="P11" s="7">
        <v>2470</v>
      </c>
      <c r="Q11" s="56">
        <v>247</v>
      </c>
      <c r="R11" s="56">
        <f t="shared" si="0"/>
        <v>34.401114206128135</v>
      </c>
      <c r="S11" s="56">
        <v>23.638950907347812</v>
      </c>
      <c r="T11" s="56">
        <v>558.79999999999995</v>
      </c>
      <c r="U11" s="12" t="s">
        <v>20</v>
      </c>
      <c r="V11" s="14" t="s">
        <v>21</v>
      </c>
      <c r="W11" s="12" t="s">
        <v>22</v>
      </c>
      <c r="X11" s="57" t="s">
        <v>23</v>
      </c>
      <c r="Y11" s="12" t="e">
        <v>#DIV/0!</v>
      </c>
      <c r="Z11" s="16" t="str">
        <f t="shared" si="1"/>
        <v>BJP GAIN</v>
      </c>
      <c r="AA11" s="56">
        <f t="shared" si="2"/>
        <v>27.883008356545968</v>
      </c>
      <c r="AB11" s="15" t="str">
        <f t="shared" si="4"/>
        <v>LOWMARGIN</v>
      </c>
    </row>
    <row r="12" spans="1:28">
      <c r="A12" s="12">
        <v>9</v>
      </c>
      <c r="B12" s="53">
        <v>31</v>
      </c>
      <c r="C12" s="54" t="s">
        <v>108</v>
      </c>
      <c r="D12" s="55">
        <v>6</v>
      </c>
      <c r="E12" s="18" t="s">
        <v>34</v>
      </c>
      <c r="F12" s="12">
        <v>13041</v>
      </c>
      <c r="G12" s="12">
        <v>8718</v>
      </c>
      <c r="H12" s="56">
        <v>726.5</v>
      </c>
      <c r="I12" s="56">
        <v>126.08947440431162</v>
      </c>
      <c r="J12" s="56">
        <v>15898.555555555555</v>
      </c>
      <c r="K12" s="7">
        <v>4783</v>
      </c>
      <c r="L12" s="56">
        <v>398.58333333333337</v>
      </c>
      <c r="M12" s="56">
        <f t="shared" si="3"/>
        <v>54.863500802936457</v>
      </c>
      <c r="N12" s="56">
        <v>85.810271982891294</v>
      </c>
      <c r="O12" s="56">
        <v>7363.4027777777774</v>
      </c>
      <c r="P12" s="7">
        <v>3549</v>
      </c>
      <c r="Q12" s="56">
        <v>295.75</v>
      </c>
      <c r="R12" s="56">
        <f t="shared" si="0"/>
        <v>40.708878183069515</v>
      </c>
      <c r="S12" s="56">
        <v>42.093315647763148</v>
      </c>
      <c r="T12" s="56">
        <v>1771.8472222222222</v>
      </c>
      <c r="U12" s="12" t="s">
        <v>20</v>
      </c>
      <c r="V12" s="14" t="s">
        <v>20</v>
      </c>
      <c r="W12" s="12" t="s">
        <v>21</v>
      </c>
      <c r="X12" s="57" t="s">
        <v>23</v>
      </c>
      <c r="Y12" s="14" t="s">
        <v>35</v>
      </c>
      <c r="Z12" s="16" t="str">
        <f t="shared" si="1"/>
        <v>BJP GAIN</v>
      </c>
      <c r="AA12" s="56">
        <f t="shared" si="2"/>
        <v>14.154622619866947</v>
      </c>
      <c r="AB12" s="15" t="str">
        <f t="shared" si="4"/>
        <v>LOWMARGIN</v>
      </c>
    </row>
    <row r="13" spans="1:28">
      <c r="A13" s="12">
        <v>10</v>
      </c>
      <c r="B13" s="53">
        <v>32</v>
      </c>
      <c r="C13" s="54" t="s">
        <v>109</v>
      </c>
      <c r="D13" s="55">
        <v>5</v>
      </c>
      <c r="E13" s="18" t="s">
        <v>36</v>
      </c>
      <c r="F13" s="12">
        <v>10062</v>
      </c>
      <c r="G13" s="12">
        <v>7185</v>
      </c>
      <c r="H13" s="56">
        <v>718.5</v>
      </c>
      <c r="I13" s="56">
        <v>208.26031787164831</v>
      </c>
      <c r="J13" s="56">
        <v>43372.36</v>
      </c>
      <c r="K13" s="7">
        <v>4667</v>
      </c>
      <c r="L13" s="56">
        <v>466.70000000000005</v>
      </c>
      <c r="M13" s="56">
        <f t="shared" si="3"/>
        <v>64.954766875434942</v>
      </c>
      <c r="N13" s="56">
        <v>133.09019498069722</v>
      </c>
      <c r="O13" s="56">
        <v>17713</v>
      </c>
      <c r="P13" s="7">
        <v>2228</v>
      </c>
      <c r="Q13" s="56">
        <v>222.8</v>
      </c>
      <c r="R13" s="56">
        <f t="shared" si="0"/>
        <v>31.009046624913019</v>
      </c>
      <c r="S13" s="56">
        <v>79.694416366518425</v>
      </c>
      <c r="T13" s="56">
        <v>6351.2</v>
      </c>
      <c r="U13" s="56" t="s">
        <v>26</v>
      </c>
      <c r="V13" s="14" t="s">
        <v>22</v>
      </c>
      <c r="W13" s="12" t="s">
        <v>21</v>
      </c>
      <c r="X13" s="57" t="s">
        <v>23</v>
      </c>
      <c r="Y13" s="14" t="s">
        <v>35</v>
      </c>
      <c r="Z13" s="16" t="str">
        <f t="shared" si="1"/>
        <v>BJP GAIN</v>
      </c>
      <c r="AA13" s="56">
        <f t="shared" si="2"/>
        <v>33.94572025052193</v>
      </c>
      <c r="AB13" s="24" t="str">
        <f t="shared" si="4"/>
        <v>MEDIUMMARGIN</v>
      </c>
    </row>
    <row r="14" spans="1:28">
      <c r="A14" s="12">
        <v>11</v>
      </c>
      <c r="B14" s="53">
        <v>33</v>
      </c>
      <c r="C14" s="54" t="s">
        <v>110</v>
      </c>
      <c r="D14" s="55">
        <v>4</v>
      </c>
      <c r="E14" s="18" t="s">
        <v>37</v>
      </c>
      <c r="F14" s="12">
        <v>9055</v>
      </c>
      <c r="G14" s="12">
        <v>6224</v>
      </c>
      <c r="H14" s="56">
        <v>778</v>
      </c>
      <c r="I14" s="56">
        <v>64.501453471995504</v>
      </c>
      <c r="J14" s="56">
        <v>4160.4375</v>
      </c>
      <c r="K14" s="7">
        <v>3883</v>
      </c>
      <c r="L14" s="56">
        <v>485.375</v>
      </c>
      <c r="M14" s="56">
        <f t="shared" si="3"/>
        <v>62.387532133676096</v>
      </c>
      <c r="N14" s="56">
        <v>65.516934833674867</v>
      </c>
      <c r="O14" s="56">
        <v>4292.46875</v>
      </c>
      <c r="P14" s="7">
        <v>2131</v>
      </c>
      <c r="Q14" s="56">
        <v>266.375</v>
      </c>
      <c r="R14" s="56">
        <f t="shared" si="0"/>
        <v>34.238431876606683</v>
      </c>
      <c r="S14" s="56">
        <v>107.04190184222252</v>
      </c>
      <c r="T14" s="56">
        <v>11457.96875</v>
      </c>
      <c r="U14" s="58" t="s">
        <v>20</v>
      </c>
      <c r="V14" s="14" t="s">
        <v>22</v>
      </c>
      <c r="W14" s="12" t="s">
        <v>21</v>
      </c>
      <c r="X14" s="57" t="s">
        <v>23</v>
      </c>
      <c r="Y14" s="14" t="s">
        <v>35</v>
      </c>
      <c r="Z14" s="16" t="str">
        <f t="shared" si="1"/>
        <v>BJP GAIN</v>
      </c>
      <c r="AA14" s="56">
        <f t="shared" si="2"/>
        <v>28.14910025706941</v>
      </c>
      <c r="AB14" s="15" t="str">
        <f t="shared" si="4"/>
        <v>LOWMARGIN</v>
      </c>
    </row>
    <row r="15" spans="1:28">
      <c r="A15" s="12">
        <v>12</v>
      </c>
      <c r="B15" s="53">
        <v>34</v>
      </c>
      <c r="C15" s="54" t="s">
        <v>114</v>
      </c>
      <c r="D15" s="55">
        <v>5</v>
      </c>
      <c r="E15" s="18" t="s">
        <v>38</v>
      </c>
      <c r="F15" s="12">
        <v>11812</v>
      </c>
      <c r="G15" s="12">
        <v>7205</v>
      </c>
      <c r="H15" s="56">
        <v>720.5</v>
      </c>
      <c r="I15" s="56">
        <v>95.409852740689217</v>
      </c>
      <c r="J15" s="56">
        <v>9103.0400000000009</v>
      </c>
      <c r="K15" s="7">
        <v>3134</v>
      </c>
      <c r="L15" s="56">
        <v>313.39999999999998</v>
      </c>
      <c r="M15" s="56">
        <f t="shared" si="3"/>
        <v>43.497571131158914</v>
      </c>
      <c r="N15" s="56">
        <v>46.041720211130254</v>
      </c>
      <c r="O15" s="56">
        <v>2119.84</v>
      </c>
      <c r="P15" s="7">
        <v>3949</v>
      </c>
      <c r="Q15" s="56">
        <v>394.9</v>
      </c>
      <c r="R15" s="56">
        <f t="shared" si="0"/>
        <v>54.809160305343511</v>
      </c>
      <c r="S15" s="56">
        <v>119.55601197765004</v>
      </c>
      <c r="T15" s="56">
        <v>14293.64</v>
      </c>
      <c r="U15" s="58" t="s">
        <v>20</v>
      </c>
      <c r="V15" s="14" t="s">
        <v>21</v>
      </c>
      <c r="W15" s="12" t="s">
        <v>39</v>
      </c>
      <c r="X15" s="57" t="s">
        <v>23</v>
      </c>
      <c r="Y15" s="16" t="s">
        <v>32</v>
      </c>
      <c r="Z15" s="14" t="str">
        <f t="shared" si="1"/>
        <v>CONGRESS GAIN</v>
      </c>
      <c r="AA15" s="56">
        <f>((Q15-L15)/H15)*100</f>
        <v>11.311589174184594</v>
      </c>
      <c r="AB15" s="15" t="str">
        <f t="shared" si="4"/>
        <v>LOWMARGIN</v>
      </c>
    </row>
    <row r="16" spans="1:28">
      <c r="A16" s="12">
        <v>13</v>
      </c>
      <c r="B16" s="53">
        <v>35</v>
      </c>
      <c r="C16" s="54" t="s">
        <v>100</v>
      </c>
      <c r="D16" s="55">
        <v>7</v>
      </c>
      <c r="E16" s="18" t="s">
        <v>40</v>
      </c>
      <c r="F16" s="12">
        <v>16390</v>
      </c>
      <c r="G16" s="12">
        <v>11575</v>
      </c>
      <c r="H16" s="56">
        <v>826.78571428571433</v>
      </c>
      <c r="I16" s="56">
        <v>104.07444352922752</v>
      </c>
      <c r="J16" s="56">
        <v>10831.489795918367</v>
      </c>
      <c r="K16" s="7">
        <v>6237</v>
      </c>
      <c r="L16" s="56">
        <v>445.5</v>
      </c>
      <c r="M16" s="56">
        <f t="shared" si="3"/>
        <v>53.883369330453554</v>
      </c>
      <c r="N16" s="56">
        <v>107.8317850986017</v>
      </c>
      <c r="O16" s="56">
        <v>11627.693877551021</v>
      </c>
      <c r="P16" s="7">
        <v>4924</v>
      </c>
      <c r="Q16" s="56">
        <v>351.71428571428572</v>
      </c>
      <c r="R16" s="56">
        <f t="shared" si="0"/>
        <v>42.539956803455716</v>
      </c>
      <c r="S16" s="56">
        <v>108.39882897176048</v>
      </c>
      <c r="T16" s="56">
        <v>11750.306122448979</v>
      </c>
      <c r="U16" s="58" t="s">
        <v>20</v>
      </c>
      <c r="V16" s="14" t="s">
        <v>21</v>
      </c>
      <c r="W16" s="12" t="s">
        <v>22</v>
      </c>
      <c r="X16" s="57" t="s">
        <v>23</v>
      </c>
      <c r="Y16" s="12" t="e">
        <v>#DIV/0!</v>
      </c>
      <c r="Z16" s="16" t="str">
        <f t="shared" si="1"/>
        <v>BJP GAIN</v>
      </c>
      <c r="AA16" s="56">
        <f>((L16-Q16)/H16)*100</f>
        <v>11.343412526997838</v>
      </c>
      <c r="AB16" s="15" t="str">
        <f t="shared" si="4"/>
        <v>LOWMARGIN</v>
      </c>
    </row>
    <row r="17" spans="1:28">
      <c r="A17" s="12">
        <v>14</v>
      </c>
      <c r="B17" s="53">
        <v>36</v>
      </c>
      <c r="C17" s="54" t="s">
        <v>115</v>
      </c>
      <c r="D17" s="55">
        <v>3</v>
      </c>
      <c r="E17" s="18" t="s">
        <v>41</v>
      </c>
      <c r="F17" s="12">
        <v>7283</v>
      </c>
      <c r="G17" s="12">
        <v>5092</v>
      </c>
      <c r="H17" s="56">
        <v>848.66666666666674</v>
      </c>
      <c r="I17" s="56">
        <v>104.70328446509106</v>
      </c>
      <c r="J17" s="56">
        <v>10962.777777777777</v>
      </c>
      <c r="K17" s="7">
        <v>2410</v>
      </c>
      <c r="L17" s="56">
        <v>401.66666666666669</v>
      </c>
      <c r="M17" s="56">
        <f t="shared" si="3"/>
        <v>47.329143754909659</v>
      </c>
      <c r="N17" s="56">
        <v>20.10527846666696</v>
      </c>
      <c r="O17" s="56">
        <v>404.22222222222217</v>
      </c>
      <c r="P17" s="7">
        <v>2507</v>
      </c>
      <c r="Q17" s="56">
        <v>417.83333333333331</v>
      </c>
      <c r="R17" s="56">
        <f t="shared" si="0"/>
        <v>49.234092694422614</v>
      </c>
      <c r="S17" s="56">
        <v>112.1229483895048</v>
      </c>
      <c r="T17" s="56">
        <v>12571.555555555557</v>
      </c>
      <c r="U17" s="12" t="s">
        <v>26</v>
      </c>
      <c r="V17" s="14" t="s">
        <v>21</v>
      </c>
      <c r="W17" s="12" t="s">
        <v>22</v>
      </c>
      <c r="X17" s="12" t="s">
        <v>23</v>
      </c>
      <c r="Y17" s="12" t="e">
        <v>#DIV/0!</v>
      </c>
      <c r="Z17" s="14" t="str">
        <f t="shared" si="1"/>
        <v>CONGRESS GAIN</v>
      </c>
      <c r="AA17" s="56">
        <f>((Q17-L17)/H17)*100</f>
        <v>1.9049489395129566</v>
      </c>
      <c r="AB17" s="34" t="str">
        <f t="shared" si="4"/>
        <v>NARROWMARGIN</v>
      </c>
    </row>
    <row r="18" spans="1:28">
      <c r="A18" s="12">
        <v>15</v>
      </c>
      <c r="B18" s="53">
        <v>37</v>
      </c>
      <c r="C18" s="54" t="s">
        <v>101</v>
      </c>
      <c r="D18" s="55">
        <v>6</v>
      </c>
      <c r="E18" s="18" t="s">
        <v>42</v>
      </c>
      <c r="F18" s="12">
        <v>12668</v>
      </c>
      <c r="G18" s="12">
        <v>8985</v>
      </c>
      <c r="H18" s="56">
        <v>748.75</v>
      </c>
      <c r="I18" s="56">
        <v>169.91668710151913</v>
      </c>
      <c r="J18" s="56">
        <v>28871.680555555555</v>
      </c>
      <c r="K18" s="7">
        <v>4812</v>
      </c>
      <c r="L18" s="56">
        <v>401</v>
      </c>
      <c r="M18" s="56">
        <f t="shared" si="3"/>
        <v>53.555926544240393</v>
      </c>
      <c r="N18" s="56">
        <v>155.24756215656191</v>
      </c>
      <c r="O18" s="56">
        <v>24101.805555555555</v>
      </c>
      <c r="P18" s="7">
        <v>3902</v>
      </c>
      <c r="Q18" s="56">
        <v>325.16666666666669</v>
      </c>
      <c r="R18" s="56">
        <f t="shared" si="0"/>
        <v>43.427935447968842</v>
      </c>
      <c r="S18" s="56">
        <v>35.824417495458164</v>
      </c>
      <c r="T18" s="56">
        <v>1283.3888888888889</v>
      </c>
      <c r="U18" s="12" t="s">
        <v>26</v>
      </c>
      <c r="V18" s="14" t="s">
        <v>26</v>
      </c>
      <c r="W18" s="12" t="s">
        <v>21</v>
      </c>
      <c r="X18" s="12" t="s">
        <v>23</v>
      </c>
      <c r="Y18" s="12" t="s">
        <v>32</v>
      </c>
      <c r="Z18" s="16" t="str">
        <f t="shared" si="1"/>
        <v>BJP GAIN</v>
      </c>
      <c r="AA18" s="56">
        <f>((L18-Q18)/H18)*100</f>
        <v>10.127991096271561</v>
      </c>
      <c r="AB18" s="15" t="str">
        <f t="shared" si="4"/>
        <v>LOWMARGIN</v>
      </c>
    </row>
    <row r="19" spans="1:28">
      <c r="A19" s="12">
        <v>16</v>
      </c>
      <c r="B19" s="53">
        <v>38</v>
      </c>
      <c r="C19" s="54" t="s">
        <v>116</v>
      </c>
      <c r="D19" s="55">
        <v>7</v>
      </c>
      <c r="E19" s="18" t="s">
        <v>43</v>
      </c>
      <c r="F19" s="12">
        <v>13431</v>
      </c>
      <c r="G19" s="12">
        <v>8138</v>
      </c>
      <c r="H19" s="56">
        <v>581.28571428571422</v>
      </c>
      <c r="I19" s="56">
        <v>91.822255094351959</v>
      </c>
      <c r="J19" s="56">
        <v>8431.3265306122448</v>
      </c>
      <c r="K19" s="7">
        <v>2585</v>
      </c>
      <c r="L19" s="56">
        <v>184.64285714285714</v>
      </c>
      <c r="M19" s="56">
        <f t="shared" si="3"/>
        <v>31.764561317276975</v>
      </c>
      <c r="N19" s="56">
        <v>78.726729636024345</v>
      </c>
      <c r="O19" s="56">
        <v>6197.8979591836733</v>
      </c>
      <c r="P19" s="7">
        <v>5246</v>
      </c>
      <c r="Q19" s="56">
        <v>374.71428571428572</v>
      </c>
      <c r="R19" s="56">
        <f t="shared" si="0"/>
        <v>64.463013025313359</v>
      </c>
      <c r="S19" s="56">
        <v>60.651059515957037</v>
      </c>
      <c r="T19" s="56">
        <v>3678.5510204081629</v>
      </c>
      <c r="U19" s="12" t="s">
        <v>39</v>
      </c>
      <c r="V19" s="14" t="s">
        <v>21</v>
      </c>
      <c r="W19" s="12" t="s">
        <v>22</v>
      </c>
      <c r="X19" s="12" t="s">
        <v>23</v>
      </c>
      <c r="Y19" s="12" t="e">
        <v>#DIV/0!</v>
      </c>
      <c r="Z19" s="14" t="str">
        <f t="shared" si="1"/>
        <v>CONGRESS GAIN</v>
      </c>
      <c r="AA19" s="56">
        <f>((Q19-L19)/H19)*100</f>
        <v>32.69845170803638</v>
      </c>
      <c r="AB19" s="24" t="str">
        <f t="shared" si="4"/>
        <v>MEDIUMMARGIN</v>
      </c>
    </row>
    <row r="20" spans="1:28">
      <c r="A20" s="12">
        <v>17</v>
      </c>
      <c r="B20" s="53">
        <v>39</v>
      </c>
      <c r="C20" s="54" t="s">
        <v>117</v>
      </c>
      <c r="D20" s="55">
        <v>6</v>
      </c>
      <c r="E20" s="18" t="s">
        <v>44</v>
      </c>
      <c r="F20" s="12">
        <v>12437</v>
      </c>
      <c r="G20" s="12">
        <v>7774</v>
      </c>
      <c r="H20" s="56">
        <v>647.83333333333337</v>
      </c>
      <c r="I20" s="56">
        <v>195.85765806376381</v>
      </c>
      <c r="J20" s="56">
        <v>38360.222222222219</v>
      </c>
      <c r="K20" s="7">
        <v>2008</v>
      </c>
      <c r="L20" s="56">
        <v>167.33333333333331</v>
      </c>
      <c r="M20" s="56">
        <f t="shared" si="3"/>
        <v>25.829688705942882</v>
      </c>
      <c r="N20" s="56">
        <v>184.22909952315109</v>
      </c>
      <c r="O20" s="56">
        <v>33940.361111111109</v>
      </c>
      <c r="P20" s="7">
        <v>5487</v>
      </c>
      <c r="Q20" s="56">
        <v>457.25</v>
      </c>
      <c r="R20" s="56">
        <f t="shared" si="0"/>
        <v>70.581425263699501</v>
      </c>
      <c r="S20" s="56">
        <v>78.793065825757935</v>
      </c>
      <c r="T20" s="56">
        <v>6208.3472222222226</v>
      </c>
      <c r="U20" s="12" t="s">
        <v>39</v>
      </c>
      <c r="V20" s="14" t="s">
        <v>21</v>
      </c>
      <c r="W20" s="12" t="s">
        <v>22</v>
      </c>
      <c r="X20" s="12" t="s">
        <v>23</v>
      </c>
      <c r="Y20" s="12" t="s">
        <v>35</v>
      </c>
      <c r="Z20" s="14" t="str">
        <f t="shared" si="1"/>
        <v>CONGRESS GAIN</v>
      </c>
      <c r="AA20" s="56">
        <f>((Q20-L20)/H20)*100</f>
        <v>44.75173655775663</v>
      </c>
      <c r="AB20" s="19" t="str">
        <f t="shared" si="4"/>
        <v>HIGHMARGIN</v>
      </c>
    </row>
    <row r="21" spans="1:28">
      <c r="A21" s="12">
        <v>18</v>
      </c>
      <c r="B21" s="53">
        <v>40</v>
      </c>
      <c r="C21" s="54" t="s">
        <v>102</v>
      </c>
      <c r="D21" s="55">
        <v>5</v>
      </c>
      <c r="E21" s="18" t="s">
        <v>45</v>
      </c>
      <c r="F21" s="12">
        <v>9193</v>
      </c>
      <c r="G21" s="12">
        <v>5189</v>
      </c>
      <c r="H21" s="56">
        <v>518.9</v>
      </c>
      <c r="I21" s="56">
        <v>114.03262691002099</v>
      </c>
      <c r="J21" s="56">
        <v>13003.439999999999</v>
      </c>
      <c r="K21" s="7">
        <v>2407</v>
      </c>
      <c r="L21" s="56">
        <v>240.7</v>
      </c>
      <c r="M21" s="56">
        <f t="shared" si="3"/>
        <v>46.386587010984776</v>
      </c>
      <c r="N21" s="56">
        <v>63.137944217403849</v>
      </c>
      <c r="O21" s="56">
        <v>3986.4</v>
      </c>
      <c r="P21" s="7">
        <v>2565</v>
      </c>
      <c r="Q21" s="56">
        <v>256.5</v>
      </c>
      <c r="R21" s="56">
        <f t="shared" si="0"/>
        <v>49.431489689728274</v>
      </c>
      <c r="S21" s="56">
        <v>101.61299129540474</v>
      </c>
      <c r="T21" s="56">
        <v>10325.200000000001</v>
      </c>
      <c r="U21" s="12" t="s">
        <v>39</v>
      </c>
      <c r="V21" s="14" t="s">
        <v>21</v>
      </c>
      <c r="W21" s="12" t="s">
        <v>22</v>
      </c>
      <c r="X21" s="12" t="s">
        <v>23</v>
      </c>
      <c r="Y21" s="12" t="e">
        <v>#DIV/0!</v>
      </c>
      <c r="Z21" s="14" t="str">
        <f t="shared" si="1"/>
        <v>CONGRESS GAIN</v>
      </c>
      <c r="AA21" s="56">
        <f>((Q21-L21)/H21)*100</f>
        <v>3.0449026787434983</v>
      </c>
      <c r="AB21" s="34" t="str">
        <f t="shared" si="4"/>
        <v>NARROWMARGIN</v>
      </c>
    </row>
    <row r="22" spans="1:28">
      <c r="A22" s="12">
        <v>19</v>
      </c>
      <c r="B22" s="53">
        <v>41</v>
      </c>
      <c r="C22" s="54" t="s">
        <v>113</v>
      </c>
      <c r="D22" s="55">
        <v>5</v>
      </c>
      <c r="E22" s="18" t="s">
        <v>46</v>
      </c>
      <c r="F22" s="12">
        <v>9399</v>
      </c>
      <c r="G22" s="12">
        <v>6555</v>
      </c>
      <c r="H22" s="56">
        <v>655.5</v>
      </c>
      <c r="I22" s="56">
        <v>142.91955779388627</v>
      </c>
      <c r="J22" s="56">
        <v>20426</v>
      </c>
      <c r="K22" s="7">
        <v>5050</v>
      </c>
      <c r="L22" s="56">
        <v>505</v>
      </c>
      <c r="M22" s="56">
        <f t="shared" si="3"/>
        <v>77.040427154843627</v>
      </c>
      <c r="N22" s="56">
        <v>154.6843237047633</v>
      </c>
      <c r="O22" s="56">
        <v>23927.239999999998</v>
      </c>
      <c r="P22" s="7">
        <v>1304</v>
      </c>
      <c r="Q22" s="56">
        <v>130.4</v>
      </c>
      <c r="R22" s="56">
        <f t="shared" si="0"/>
        <v>19.893211289092296</v>
      </c>
      <c r="S22" s="56">
        <v>35.023991777066186</v>
      </c>
      <c r="T22" s="56">
        <v>1226.6799999999998</v>
      </c>
      <c r="U22" s="12" t="s">
        <v>26</v>
      </c>
      <c r="V22" s="14" t="s">
        <v>22</v>
      </c>
      <c r="W22" s="12" t="s">
        <v>21</v>
      </c>
      <c r="X22" s="12" t="s">
        <v>30</v>
      </c>
      <c r="Y22" s="12" t="s">
        <v>35</v>
      </c>
      <c r="Z22" s="16" t="str">
        <f t="shared" si="1"/>
        <v>BJP GAIN</v>
      </c>
      <c r="AA22" s="56">
        <f>((L22-Q22)/H22)*100</f>
        <v>57.147215865751335</v>
      </c>
      <c r="AB22" s="14" t="str">
        <f t="shared" si="4"/>
        <v>VERYHIGHMARGIN</v>
      </c>
    </row>
    <row r="23" spans="1:28">
      <c r="A23" s="12">
        <v>20</v>
      </c>
      <c r="B23" s="53">
        <v>42</v>
      </c>
      <c r="C23" s="54" t="s">
        <v>47</v>
      </c>
      <c r="D23" s="55">
        <v>7</v>
      </c>
      <c r="E23" s="12" t="s">
        <v>48</v>
      </c>
      <c r="F23" s="12">
        <v>15376</v>
      </c>
      <c r="G23" s="12">
        <v>10391</v>
      </c>
      <c r="H23" s="56">
        <v>742.21428571428578</v>
      </c>
      <c r="I23" s="56">
        <v>155.10312566752719</v>
      </c>
      <c r="J23" s="56">
        <v>24056.979591836734</v>
      </c>
      <c r="K23" s="7">
        <v>7395</v>
      </c>
      <c r="L23" s="56">
        <v>528.21428571428578</v>
      </c>
      <c r="M23" s="56">
        <f t="shared" si="3"/>
        <v>71.16735636608604</v>
      </c>
      <c r="N23" s="56">
        <v>223.50779559979011</v>
      </c>
      <c r="O23" s="56">
        <v>49955.734693877552</v>
      </c>
      <c r="P23" s="7">
        <v>2634</v>
      </c>
      <c r="Q23" s="56">
        <v>188.14285714285714</v>
      </c>
      <c r="R23" s="56">
        <f t="shared" si="0"/>
        <v>25.348859590029832</v>
      </c>
      <c r="S23" s="56">
        <v>95.158299905033644</v>
      </c>
      <c r="T23" s="56">
        <v>9055.1020408163258</v>
      </c>
      <c r="U23" s="12" t="s">
        <v>20</v>
      </c>
      <c r="V23" s="14" t="s">
        <v>22</v>
      </c>
      <c r="W23" s="12" t="s">
        <v>21</v>
      </c>
      <c r="X23" s="12" t="s">
        <v>23</v>
      </c>
      <c r="Y23" s="12" t="s">
        <v>35</v>
      </c>
      <c r="Z23" s="16" t="str">
        <f t="shared" si="1"/>
        <v>BJP GAIN</v>
      </c>
      <c r="AA23" s="56">
        <f>((L23-Q23)/H23)*100</f>
        <v>45.818496776056215</v>
      </c>
      <c r="AB23" s="19" t="str">
        <f t="shared" si="4"/>
        <v>HIGHMARGIN</v>
      </c>
    </row>
    <row r="24" spans="1:28">
      <c r="A24" s="12">
        <v>21</v>
      </c>
      <c r="B24" s="53">
        <v>43</v>
      </c>
      <c r="C24" s="54" t="s">
        <v>49</v>
      </c>
      <c r="D24" s="55">
        <v>5</v>
      </c>
      <c r="E24" s="12" t="s">
        <v>50</v>
      </c>
      <c r="F24" s="12">
        <v>10318</v>
      </c>
      <c r="G24" s="12">
        <v>7144</v>
      </c>
      <c r="H24" s="56">
        <v>714.4</v>
      </c>
      <c r="I24" s="56">
        <v>131.42785092970212</v>
      </c>
      <c r="J24" s="56">
        <v>17273.28</v>
      </c>
      <c r="K24" s="7">
        <v>1907</v>
      </c>
      <c r="L24" s="56">
        <v>190.7</v>
      </c>
      <c r="M24" s="56">
        <f t="shared" si="3"/>
        <v>26.693729003359461</v>
      </c>
      <c r="N24" s="56">
        <v>68.091996592844893</v>
      </c>
      <c r="O24" s="56">
        <v>4636.5200000000004</v>
      </c>
      <c r="P24" s="7">
        <v>4960</v>
      </c>
      <c r="Q24" s="56">
        <v>496</v>
      </c>
      <c r="R24" s="56">
        <f t="shared" si="0"/>
        <v>69.428891377379614</v>
      </c>
      <c r="S24" s="56">
        <v>125.87676513161593</v>
      </c>
      <c r="T24" s="56">
        <v>15844.96</v>
      </c>
      <c r="U24" s="12" t="s">
        <v>20</v>
      </c>
      <c r="V24" s="14" t="s">
        <v>21</v>
      </c>
      <c r="W24" s="12" t="s">
        <v>22</v>
      </c>
      <c r="X24" s="12" t="s">
        <v>30</v>
      </c>
      <c r="Y24" s="12" t="s">
        <v>35</v>
      </c>
      <c r="Z24" s="14" t="str">
        <f t="shared" si="1"/>
        <v>CONGRESS GAIN</v>
      </c>
      <c r="AA24" s="56">
        <f>((Q24-L24)/H24)*100</f>
        <v>42.735162374020156</v>
      </c>
      <c r="AB24" s="19" t="str">
        <f t="shared" si="4"/>
        <v>HIGHMARGIN</v>
      </c>
    </row>
    <row r="25" spans="1:28">
      <c r="A25" s="12">
        <v>22</v>
      </c>
      <c r="B25" s="53">
        <v>44</v>
      </c>
      <c r="C25" s="54" t="s">
        <v>51</v>
      </c>
      <c r="D25" s="55">
        <v>6</v>
      </c>
      <c r="E25" s="12" t="s">
        <v>97</v>
      </c>
      <c r="F25" s="12">
        <v>10160</v>
      </c>
      <c r="G25" s="12">
        <v>6890</v>
      </c>
      <c r="H25" s="56">
        <v>574.16666666666674</v>
      </c>
      <c r="I25" s="56">
        <v>158.2491004011643</v>
      </c>
      <c r="J25" s="56">
        <v>25042.777777777777</v>
      </c>
      <c r="K25" s="7">
        <v>2754</v>
      </c>
      <c r="L25" s="56">
        <v>229.5</v>
      </c>
      <c r="M25" s="56">
        <f t="shared" si="3"/>
        <v>39.970972423802607</v>
      </c>
      <c r="N25" s="56">
        <v>126.066671073506</v>
      </c>
      <c r="O25" s="56">
        <v>15892.805555555555</v>
      </c>
      <c r="P25" s="7">
        <v>3776</v>
      </c>
      <c r="Q25" s="56">
        <v>314.66666666666669</v>
      </c>
      <c r="R25" s="56">
        <f t="shared" si="0"/>
        <v>54.804063860667625</v>
      </c>
      <c r="S25" s="56">
        <v>182.22505925975773</v>
      </c>
      <c r="T25" s="56">
        <v>33205.972222222219</v>
      </c>
      <c r="U25" s="12" t="s">
        <v>20</v>
      </c>
      <c r="V25" s="14" t="s">
        <v>39</v>
      </c>
      <c r="W25" s="12" t="s">
        <v>21</v>
      </c>
      <c r="X25" s="12" t="s">
        <v>30</v>
      </c>
      <c r="Y25" s="12" t="s">
        <v>32</v>
      </c>
      <c r="Z25" s="14" t="str">
        <f t="shared" si="1"/>
        <v>CONGRESS GAIN</v>
      </c>
      <c r="AA25" s="56">
        <f>((Q25-L25)/H25)*100</f>
        <v>14.833091436865024</v>
      </c>
      <c r="AB25" s="15" t="str">
        <f t="shared" si="4"/>
        <v>LOWMARGIN</v>
      </c>
    </row>
    <row r="26" spans="1:28">
      <c r="A26" s="12">
        <v>23</v>
      </c>
      <c r="B26" s="53">
        <v>45</v>
      </c>
      <c r="C26" s="54" t="s">
        <v>52</v>
      </c>
      <c r="D26" s="55">
        <v>6</v>
      </c>
      <c r="E26" s="12" t="s">
        <v>53</v>
      </c>
      <c r="F26" s="12">
        <v>13818</v>
      </c>
      <c r="G26" s="12">
        <v>9349</v>
      </c>
      <c r="H26" s="56">
        <v>779.08333333333326</v>
      </c>
      <c r="I26" s="56">
        <v>96.834409058855613</v>
      </c>
      <c r="J26" s="56">
        <v>9376.9027777777774</v>
      </c>
      <c r="K26" s="7">
        <v>4486</v>
      </c>
      <c r="L26" s="56">
        <v>373.83333333333337</v>
      </c>
      <c r="M26" s="56">
        <f t="shared" si="3"/>
        <v>47.983741576639218</v>
      </c>
      <c r="N26" s="56">
        <v>118.4385682303043</v>
      </c>
      <c r="O26" s="56">
        <v>14027.694444444445</v>
      </c>
      <c r="P26" s="7">
        <v>4579</v>
      </c>
      <c r="Q26" s="56">
        <v>381.58333333333337</v>
      </c>
      <c r="R26" s="56">
        <f t="shared" si="0"/>
        <v>48.978500374371599</v>
      </c>
      <c r="S26" s="56">
        <v>124.43165236832272</v>
      </c>
      <c r="T26" s="56">
        <v>15483.236111111111</v>
      </c>
      <c r="U26" s="12" t="s">
        <v>20</v>
      </c>
      <c r="V26" s="14" t="s">
        <v>21</v>
      </c>
      <c r="W26" s="12" t="s">
        <v>22</v>
      </c>
      <c r="X26" s="12" t="s">
        <v>23</v>
      </c>
      <c r="Y26" s="12" t="e">
        <v>#DIV/0!</v>
      </c>
      <c r="Z26" s="14" t="str">
        <f t="shared" si="1"/>
        <v>CONGRESS GAIN</v>
      </c>
      <c r="AA26" s="56">
        <f>((Q26-L26)/H26)*100</f>
        <v>0.99475879773237785</v>
      </c>
      <c r="AB26" s="34" t="str">
        <f>IF(AA26&gt;=50,"VERYHIGHMARGIN",IF(AA26&gt;=40,"HIGHMARGIN",IF(AA26&gt;=30,"MEDIUMMARGIN",IF(AA26&gt;10,"LOWMARGIN",IF(AA26&lt;1,"NARROWMARGIN")))))</f>
        <v>NARROWMARGIN</v>
      </c>
    </row>
    <row r="27" spans="1:28">
      <c r="A27" s="12">
        <v>24</v>
      </c>
      <c r="B27" s="53">
        <v>46</v>
      </c>
      <c r="C27" s="54" t="s">
        <v>54</v>
      </c>
      <c r="D27" s="55">
        <v>5</v>
      </c>
      <c r="E27" s="12" t="s">
        <v>55</v>
      </c>
      <c r="F27" s="12">
        <v>10177</v>
      </c>
      <c r="G27" s="12">
        <v>6524</v>
      </c>
      <c r="H27" s="56">
        <v>652.4</v>
      </c>
      <c r="I27" s="56">
        <v>117.93082718271758</v>
      </c>
      <c r="J27" s="56">
        <v>13907.68</v>
      </c>
      <c r="K27" s="7">
        <v>3979</v>
      </c>
      <c r="L27" s="56">
        <v>397.9</v>
      </c>
      <c r="M27" s="56">
        <f t="shared" si="3"/>
        <v>60.990190067443287</v>
      </c>
      <c r="N27" s="56">
        <v>92.780816982822486</v>
      </c>
      <c r="O27" s="56">
        <v>8608.2800000000007</v>
      </c>
      <c r="P27" s="7">
        <v>2380</v>
      </c>
      <c r="Q27" s="56">
        <v>238</v>
      </c>
      <c r="R27" s="56">
        <f t="shared" si="0"/>
        <v>36.480686695278969</v>
      </c>
      <c r="S27" s="56">
        <v>93.606837357107622</v>
      </c>
      <c r="T27" s="56">
        <v>8762.24</v>
      </c>
      <c r="U27" s="12" t="s">
        <v>20</v>
      </c>
      <c r="V27" s="14" t="s">
        <v>21</v>
      </c>
      <c r="W27" s="12" t="s">
        <v>22</v>
      </c>
      <c r="X27" s="12" t="s">
        <v>23</v>
      </c>
      <c r="Y27" s="12" t="e">
        <v>#DIV/0!</v>
      </c>
      <c r="Z27" s="16" t="str">
        <f t="shared" si="1"/>
        <v>BJP GAIN</v>
      </c>
      <c r="AA27" s="56">
        <f>((L27-Q27)/H27)*100</f>
        <v>24.509503372164314</v>
      </c>
      <c r="AB27" s="15" t="str">
        <f t="shared" si="4"/>
        <v>LOWMARGIN</v>
      </c>
    </row>
    <row r="28" spans="1:28">
      <c r="A28" s="12">
        <v>25</v>
      </c>
      <c r="B28" s="53">
        <v>47</v>
      </c>
      <c r="C28" s="54" t="s">
        <v>56</v>
      </c>
      <c r="D28" s="55">
        <v>5</v>
      </c>
      <c r="E28" s="12" t="s">
        <v>57</v>
      </c>
      <c r="F28" s="12">
        <v>12056</v>
      </c>
      <c r="G28" s="12">
        <v>7384</v>
      </c>
      <c r="H28" s="56">
        <v>738.4</v>
      </c>
      <c r="I28" s="56">
        <v>106.95737468730242</v>
      </c>
      <c r="J28" s="56">
        <v>11439.880000000001</v>
      </c>
      <c r="K28" s="7">
        <v>3036</v>
      </c>
      <c r="L28" s="56">
        <v>303.60000000000002</v>
      </c>
      <c r="M28" s="56">
        <f t="shared" si="3"/>
        <v>41.115926327193932</v>
      </c>
      <c r="N28" s="56">
        <v>106.0396152388342</v>
      </c>
      <c r="O28" s="56">
        <v>11244.4</v>
      </c>
      <c r="P28" s="7">
        <v>4097</v>
      </c>
      <c r="Q28" s="56">
        <v>409.7</v>
      </c>
      <c r="R28" s="56">
        <f t="shared" si="0"/>
        <v>55.484832069339106</v>
      </c>
      <c r="S28" s="56">
        <v>52.026147272309139</v>
      </c>
      <c r="T28" s="56">
        <v>2706.72</v>
      </c>
      <c r="U28" s="12" t="s">
        <v>39</v>
      </c>
      <c r="V28" s="14" t="s">
        <v>21</v>
      </c>
      <c r="W28" s="7" t="s">
        <v>20</v>
      </c>
      <c r="X28" s="12" t="s">
        <v>23</v>
      </c>
      <c r="Y28" s="12" t="s">
        <v>32</v>
      </c>
      <c r="Z28" s="14" t="str">
        <f t="shared" si="1"/>
        <v>CONGRESS GAIN</v>
      </c>
      <c r="AA28" s="56">
        <f>((Q28-L28)/H28)*100</f>
        <v>14.368905742145174</v>
      </c>
      <c r="AB28" s="15" t="str">
        <f t="shared" si="4"/>
        <v>LOWMARGIN</v>
      </c>
    </row>
    <row r="29" spans="1:28">
      <c r="A29" s="12">
        <v>26</v>
      </c>
      <c r="B29" s="53">
        <v>48</v>
      </c>
      <c r="C29" s="54" t="s">
        <v>58</v>
      </c>
      <c r="D29" s="55">
        <v>6</v>
      </c>
      <c r="E29" s="12" t="s">
        <v>59</v>
      </c>
      <c r="F29" s="12">
        <v>12103</v>
      </c>
      <c r="G29" s="12">
        <v>7949</v>
      </c>
      <c r="H29" s="56">
        <v>662.41666666666663</v>
      </c>
      <c r="I29" s="56">
        <v>197.74018447335268</v>
      </c>
      <c r="J29" s="56">
        <v>39101.180555555555</v>
      </c>
      <c r="K29" s="7">
        <v>3634</v>
      </c>
      <c r="L29" s="56">
        <v>302.83333333333331</v>
      </c>
      <c r="M29" s="56">
        <f t="shared" si="3"/>
        <v>45.716442319788655</v>
      </c>
      <c r="N29" s="56">
        <v>182.57182756992444</v>
      </c>
      <c r="O29" s="56">
        <v>33332.472222222219</v>
      </c>
      <c r="P29" s="7">
        <v>4066</v>
      </c>
      <c r="Q29" s="56">
        <v>338.83333333333331</v>
      </c>
      <c r="R29" s="56">
        <f t="shared" si="0"/>
        <v>51.151088187193359</v>
      </c>
      <c r="S29" s="56">
        <v>56.325443234434964</v>
      </c>
      <c r="T29" s="56">
        <v>3172.5555555555557</v>
      </c>
      <c r="U29" s="12" t="s">
        <v>20</v>
      </c>
      <c r="V29" s="14" t="s">
        <v>22</v>
      </c>
      <c r="W29" s="12" t="s">
        <v>21</v>
      </c>
      <c r="X29" s="12" t="s">
        <v>23</v>
      </c>
      <c r="Y29" s="12" t="s">
        <v>32</v>
      </c>
      <c r="Z29" s="14" t="str">
        <f t="shared" si="1"/>
        <v>CONGRESS GAIN</v>
      </c>
      <c r="AA29" s="56">
        <f>((Q29-L29)/H29)*100</f>
        <v>5.4346458674047051</v>
      </c>
      <c r="AB29" s="34" t="str">
        <f t="shared" si="4"/>
        <v>NARROWMARGIN</v>
      </c>
    </row>
    <row r="30" spans="1:28">
      <c r="A30" s="12">
        <v>27</v>
      </c>
      <c r="B30" s="53">
        <v>49</v>
      </c>
      <c r="C30" s="54" t="s">
        <v>60</v>
      </c>
      <c r="D30" s="55">
        <v>6</v>
      </c>
      <c r="E30" s="12" t="s">
        <v>61</v>
      </c>
      <c r="F30" s="12">
        <v>11244</v>
      </c>
      <c r="G30" s="12">
        <v>8021</v>
      </c>
      <c r="H30" s="56">
        <v>668.41666666666674</v>
      </c>
      <c r="I30" s="56">
        <v>228.20364321758268</v>
      </c>
      <c r="J30" s="56">
        <v>52076.902777777774</v>
      </c>
      <c r="K30" s="7">
        <v>4233</v>
      </c>
      <c r="L30" s="56">
        <v>352.75</v>
      </c>
      <c r="M30" s="56">
        <f t="shared" si="3"/>
        <v>52.773968333125545</v>
      </c>
      <c r="N30" s="56">
        <v>173.56510946103833</v>
      </c>
      <c r="O30" s="56">
        <v>30124.847222222223</v>
      </c>
      <c r="P30" s="7">
        <v>3442</v>
      </c>
      <c r="Q30" s="56">
        <v>286.83333333333331</v>
      </c>
      <c r="R30" s="56">
        <f t="shared" si="0"/>
        <v>42.912355067946635</v>
      </c>
      <c r="S30" s="56">
        <v>95.704260905957341</v>
      </c>
      <c r="T30" s="56">
        <v>9159.3055555555547</v>
      </c>
      <c r="U30" s="12" t="s">
        <v>26</v>
      </c>
      <c r="V30" s="14" t="s">
        <v>22</v>
      </c>
      <c r="W30" s="12" t="s">
        <v>21</v>
      </c>
      <c r="X30" s="12" t="s">
        <v>23</v>
      </c>
      <c r="Y30" s="12" t="s">
        <v>32</v>
      </c>
      <c r="Z30" s="16" t="str">
        <f t="shared" si="1"/>
        <v>BJP GAIN</v>
      </c>
      <c r="AA30" s="56">
        <f>((L30-Q30)/H30)*100</f>
        <v>9.8616132651789083</v>
      </c>
      <c r="AB30" s="34" t="str">
        <f t="shared" si="4"/>
        <v>NARROWMARGIN</v>
      </c>
    </row>
    <row r="31" spans="1:28">
      <c r="A31" s="12">
        <v>28</v>
      </c>
      <c r="B31" s="53">
        <v>50</v>
      </c>
      <c r="C31" s="54" t="s">
        <v>62</v>
      </c>
      <c r="D31" s="55">
        <v>8</v>
      </c>
      <c r="E31" s="12" t="s">
        <v>63</v>
      </c>
      <c r="F31" s="12">
        <v>13000</v>
      </c>
      <c r="G31" s="12">
        <v>9302</v>
      </c>
      <c r="H31" s="56">
        <v>581.375</v>
      </c>
      <c r="I31" s="56">
        <v>153.92058626122758</v>
      </c>
      <c r="J31" s="56">
        <v>23691.546875</v>
      </c>
      <c r="K31" s="7">
        <v>5733</v>
      </c>
      <c r="L31" s="56">
        <v>358.3125</v>
      </c>
      <c r="M31" s="56">
        <f t="shared" si="3"/>
        <v>61.631907116749083</v>
      </c>
      <c r="N31" s="56">
        <v>131.21782343683347</v>
      </c>
      <c r="O31" s="56">
        <v>17218.1171875</v>
      </c>
      <c r="P31" s="7">
        <v>3072</v>
      </c>
      <c r="Q31" s="56">
        <v>192</v>
      </c>
      <c r="R31" s="56">
        <f t="shared" si="0"/>
        <v>33.025155880455813</v>
      </c>
      <c r="S31" s="56">
        <v>42.963465584144863</v>
      </c>
      <c r="T31" s="56">
        <v>1845.859375</v>
      </c>
      <c r="U31" s="12" t="s">
        <v>26</v>
      </c>
      <c r="V31" s="14" t="s">
        <v>26</v>
      </c>
      <c r="W31" s="12" t="s">
        <v>21</v>
      </c>
      <c r="X31" s="12" t="s">
        <v>23</v>
      </c>
      <c r="Y31" s="12" t="s">
        <v>35</v>
      </c>
      <c r="Z31" s="16" t="str">
        <f t="shared" si="1"/>
        <v>BJP GAIN</v>
      </c>
      <c r="AA31" s="56">
        <f>((L31-Q31)/H31)*100</f>
        <v>28.60675123629327</v>
      </c>
      <c r="AB31" s="15" t="str">
        <f t="shared" si="4"/>
        <v>LOWMARGIN</v>
      </c>
    </row>
    <row r="32" spans="1:28">
      <c r="A32" s="12">
        <v>29</v>
      </c>
      <c r="B32" s="53">
        <v>51</v>
      </c>
      <c r="C32" s="54" t="s">
        <v>64</v>
      </c>
      <c r="D32" s="55">
        <v>8</v>
      </c>
      <c r="E32" s="12" t="s">
        <v>65</v>
      </c>
      <c r="F32" s="12">
        <v>13111</v>
      </c>
      <c r="G32" s="12">
        <v>9228</v>
      </c>
      <c r="H32" s="56">
        <v>659.14285714285711</v>
      </c>
      <c r="I32" s="56">
        <v>130.18981432931702</v>
      </c>
      <c r="J32" s="56">
        <v>16949.387755102041</v>
      </c>
      <c r="K32" s="7">
        <v>4659</v>
      </c>
      <c r="L32" s="56">
        <v>332.78571428571428</v>
      </c>
      <c r="M32" s="56">
        <f t="shared" si="3"/>
        <v>50.487646293888169</v>
      </c>
      <c r="N32" s="56">
        <v>128.58007907406918</v>
      </c>
      <c r="O32" s="56">
        <v>16532.836734693879</v>
      </c>
      <c r="P32" s="7">
        <v>4273</v>
      </c>
      <c r="Q32" s="56">
        <v>305.21428571428567</v>
      </c>
      <c r="R32" s="56">
        <f t="shared" si="0"/>
        <v>46.30472475075856</v>
      </c>
      <c r="S32" s="56">
        <v>159.19587472862557</v>
      </c>
      <c r="T32" s="56">
        <v>25343.326530612241</v>
      </c>
      <c r="U32" s="12" t="s">
        <v>26</v>
      </c>
      <c r="V32" s="14" t="s">
        <v>39</v>
      </c>
      <c r="W32" s="12" t="s">
        <v>21</v>
      </c>
      <c r="X32" s="12" t="s">
        <v>23</v>
      </c>
      <c r="Y32" s="12" t="s">
        <v>35</v>
      </c>
      <c r="Z32" s="16" t="str">
        <f t="shared" si="1"/>
        <v>BJP GAIN</v>
      </c>
      <c r="AA32" s="56">
        <f>((L32-Q32)/H32)*100</f>
        <v>4.1829215431296118</v>
      </c>
      <c r="AB32" s="34" t="str">
        <f t="shared" si="4"/>
        <v>NARROWMARGIN</v>
      </c>
    </row>
    <row r="33" spans="1:28">
      <c r="A33" s="12">
        <v>30</v>
      </c>
      <c r="B33" s="53">
        <v>52</v>
      </c>
      <c r="C33" s="54" t="s">
        <v>66</v>
      </c>
      <c r="D33" s="55">
        <v>6</v>
      </c>
      <c r="E33" s="12" t="s">
        <v>67</v>
      </c>
      <c r="F33" s="12">
        <v>12109</v>
      </c>
      <c r="G33" s="12">
        <v>8630</v>
      </c>
      <c r="H33" s="56">
        <v>719.16666666666674</v>
      </c>
      <c r="I33" s="56">
        <v>147.74198605827812</v>
      </c>
      <c r="J33" s="56">
        <v>21827.694444444445</v>
      </c>
      <c r="K33" s="7">
        <v>3883</v>
      </c>
      <c r="L33" s="56">
        <v>323.58333333333337</v>
      </c>
      <c r="M33" s="56">
        <f t="shared" si="3"/>
        <v>44.994206257242183</v>
      </c>
      <c r="N33" s="56">
        <v>175.97131237158453</v>
      </c>
      <c r="O33" s="56">
        <v>30965.902777777781</v>
      </c>
      <c r="P33" s="7">
        <v>4124</v>
      </c>
      <c r="Q33" s="56">
        <v>343.66666666666663</v>
      </c>
      <c r="R33" s="56">
        <f t="shared" si="0"/>
        <v>47.786790266512156</v>
      </c>
      <c r="S33" s="56">
        <v>242.47995335239111</v>
      </c>
      <c r="T33" s="56">
        <v>58796.527777777774</v>
      </c>
      <c r="U33" s="12" t="s">
        <v>26</v>
      </c>
      <c r="V33" s="14" t="s">
        <v>22</v>
      </c>
      <c r="W33" s="12" t="s">
        <v>21</v>
      </c>
      <c r="X33" s="12" t="s">
        <v>23</v>
      </c>
      <c r="Y33" s="12" t="s">
        <v>35</v>
      </c>
      <c r="Z33" s="14" t="str">
        <f t="shared" si="1"/>
        <v>CONGRESS GAIN</v>
      </c>
      <c r="AA33" s="56">
        <f>((Q33-L33)/H33)*100</f>
        <v>2.7925840092699774</v>
      </c>
      <c r="AB33" s="34" t="str">
        <f t="shared" si="4"/>
        <v>NARROWMARGIN</v>
      </c>
    </row>
    <row r="34" spans="1:28">
      <c r="A34" s="12">
        <v>31</v>
      </c>
      <c r="B34" s="53">
        <v>53</v>
      </c>
      <c r="C34" s="54" t="s">
        <v>68</v>
      </c>
      <c r="D34" s="55">
        <v>7</v>
      </c>
      <c r="E34" s="12" t="s">
        <v>69</v>
      </c>
      <c r="F34" s="12">
        <v>13496</v>
      </c>
      <c r="G34" s="12">
        <v>9879</v>
      </c>
      <c r="H34" s="56">
        <v>705.64285714285711</v>
      </c>
      <c r="I34" s="56">
        <v>137.44549940293589</v>
      </c>
      <c r="J34" s="56">
        <v>18891.265306122448</v>
      </c>
      <c r="K34" s="7">
        <v>3717</v>
      </c>
      <c r="L34" s="56">
        <v>265.5</v>
      </c>
      <c r="M34" s="56">
        <f t="shared" si="3"/>
        <v>37.625265715153354</v>
      </c>
      <c r="N34" s="56">
        <v>132.02782638056081</v>
      </c>
      <c r="O34" s="56">
        <v>17431.34693877551</v>
      </c>
      <c r="P34" s="7">
        <v>5300</v>
      </c>
      <c r="Q34" s="56">
        <v>378.57142857142856</v>
      </c>
      <c r="R34" s="56">
        <f t="shared" si="0"/>
        <v>53.649154772750272</v>
      </c>
      <c r="S34" s="56">
        <v>187.11559234323363</v>
      </c>
      <c r="T34" s="56">
        <v>35012.244897959186</v>
      </c>
      <c r="U34" s="12" t="s">
        <v>26</v>
      </c>
      <c r="V34" s="14" t="s">
        <v>21</v>
      </c>
      <c r="W34" s="12" t="s">
        <v>21</v>
      </c>
      <c r="X34" s="12" t="s">
        <v>23</v>
      </c>
      <c r="Y34" s="12" t="s">
        <v>35</v>
      </c>
      <c r="Z34" s="14" t="str">
        <f t="shared" si="1"/>
        <v>CONGRESS GAIN</v>
      </c>
      <c r="AA34" s="56">
        <f>((Q34-L34)/H34)*100</f>
        <v>16.023889057596922</v>
      </c>
      <c r="AB34" s="15" t="str">
        <f t="shared" si="4"/>
        <v>LOWMARGIN</v>
      </c>
    </row>
    <row r="35" spans="1:28">
      <c r="A35" s="12">
        <v>32</v>
      </c>
      <c r="B35" s="53">
        <v>54</v>
      </c>
      <c r="C35" s="54" t="s">
        <v>70</v>
      </c>
      <c r="D35" s="55">
        <v>5</v>
      </c>
      <c r="E35" s="12" t="s">
        <v>71</v>
      </c>
      <c r="F35" s="12">
        <v>12116</v>
      </c>
      <c r="G35" s="12">
        <v>8962</v>
      </c>
      <c r="H35" s="56">
        <v>896.2</v>
      </c>
      <c r="I35" s="56">
        <v>241.83796228053197</v>
      </c>
      <c r="J35" s="56">
        <v>58485.600000000006</v>
      </c>
      <c r="K35" s="7">
        <v>5061</v>
      </c>
      <c r="L35" s="56">
        <v>506.1</v>
      </c>
      <c r="M35" s="56">
        <f t="shared" si="3"/>
        <v>56.471769694264673</v>
      </c>
      <c r="N35" s="56">
        <v>203.21732209632131</v>
      </c>
      <c r="O35" s="56">
        <v>41297.279999999999</v>
      </c>
      <c r="P35" s="7">
        <v>3195</v>
      </c>
      <c r="Q35" s="56">
        <v>319.5</v>
      </c>
      <c r="R35" s="56">
        <f t="shared" si="0"/>
        <v>35.650524436509706</v>
      </c>
      <c r="S35" s="56">
        <v>64.953521844469677</v>
      </c>
      <c r="T35" s="56">
        <v>4218.96</v>
      </c>
      <c r="U35" s="12" t="s">
        <v>26</v>
      </c>
      <c r="V35" s="14" t="s">
        <v>21</v>
      </c>
      <c r="W35" s="12" t="s">
        <v>21</v>
      </c>
      <c r="X35" s="12" t="s">
        <v>23</v>
      </c>
      <c r="Y35" s="12" t="s">
        <v>35</v>
      </c>
      <c r="Z35" s="16" t="str">
        <f t="shared" si="1"/>
        <v>BJP GAIN</v>
      </c>
      <c r="AA35" s="56">
        <f>((L35-Q35)/H35)*100</f>
        <v>20.821245257754967</v>
      </c>
      <c r="AB35" s="15" t="str">
        <f t="shared" si="4"/>
        <v>LOWMARGIN</v>
      </c>
    </row>
    <row r="36" spans="1:28">
      <c r="A36" s="12">
        <v>33</v>
      </c>
      <c r="B36" s="53">
        <v>55</v>
      </c>
      <c r="C36" s="54" t="s">
        <v>72</v>
      </c>
      <c r="D36" s="55">
        <v>8</v>
      </c>
      <c r="E36" s="12" t="s">
        <v>73</v>
      </c>
      <c r="F36" s="12">
        <v>14483</v>
      </c>
      <c r="G36" s="12">
        <v>9883</v>
      </c>
      <c r="H36" s="56">
        <v>617.6875</v>
      </c>
      <c r="I36" s="56">
        <v>101.13508138870507</v>
      </c>
      <c r="J36" s="56">
        <v>10228.3046875</v>
      </c>
      <c r="K36" s="7">
        <v>4792</v>
      </c>
      <c r="L36" s="56">
        <v>299.5</v>
      </c>
      <c r="M36" s="56">
        <f t="shared" si="3"/>
        <v>48.487301426692298</v>
      </c>
      <c r="N36" s="56">
        <v>80.610076138160295</v>
      </c>
      <c r="O36" s="56">
        <v>6497.984375</v>
      </c>
      <c r="P36" s="7">
        <v>4770</v>
      </c>
      <c r="Q36" s="56">
        <v>298.125</v>
      </c>
      <c r="R36" s="56">
        <f t="shared" si="0"/>
        <v>48.26469695436608</v>
      </c>
      <c r="S36" s="56">
        <v>98.06972965701496</v>
      </c>
      <c r="T36" s="56">
        <v>9617.671875</v>
      </c>
      <c r="U36" s="12" t="s">
        <v>20</v>
      </c>
      <c r="V36" s="14" t="s">
        <v>21</v>
      </c>
      <c r="W36" s="12" t="s">
        <v>22</v>
      </c>
      <c r="X36" s="12" t="s">
        <v>23</v>
      </c>
      <c r="Y36" s="12" t="e">
        <v>#DIV/0!</v>
      </c>
      <c r="Z36" s="16" t="str">
        <f t="shared" si="1"/>
        <v>BJP GAIN</v>
      </c>
      <c r="AA36" s="56">
        <f>((L36-Q36)/H36)*100</f>
        <v>0.22260447232621675</v>
      </c>
      <c r="AB36" s="34" t="str">
        <f>IF(AA36&gt;=50,"VERYHIGHMARGIN",IF(AA36&gt;=40,"HIGHMARGIN",IF(AA36&gt;=30,"MEDIUMMARGIN",IF(AA36&gt;10,"LOWMARGIN",IF(AA36&lt;1,"NARROWMARGIN")))))</f>
        <v>NARROWMARGIN</v>
      </c>
    </row>
    <row r="37" spans="1:28">
      <c r="A37" s="12">
        <v>34</v>
      </c>
      <c r="B37" s="53">
        <v>56</v>
      </c>
      <c r="C37" s="54" t="s">
        <v>74</v>
      </c>
      <c r="D37" s="55">
        <v>5</v>
      </c>
      <c r="E37" s="12" t="s">
        <v>75</v>
      </c>
      <c r="F37" s="12">
        <v>10261</v>
      </c>
      <c r="G37" s="12">
        <v>6930</v>
      </c>
      <c r="H37" s="56">
        <v>693</v>
      </c>
      <c r="I37" s="56">
        <v>109.59087553259167</v>
      </c>
      <c r="J37" s="56">
        <v>12010.16</v>
      </c>
      <c r="K37" s="7">
        <v>3678</v>
      </c>
      <c r="L37" s="56">
        <v>367.79999999999995</v>
      </c>
      <c r="M37" s="56">
        <f t="shared" si="3"/>
        <v>53.073593073593059</v>
      </c>
      <c r="N37" s="56">
        <v>102.35624064999652</v>
      </c>
      <c r="O37" s="56">
        <v>10476.799999999999</v>
      </c>
      <c r="P37" s="7">
        <v>3056</v>
      </c>
      <c r="Q37" s="56">
        <v>305.60000000000002</v>
      </c>
      <c r="R37" s="56">
        <f t="shared" si="0"/>
        <v>44.098124098124103</v>
      </c>
      <c r="S37" s="56">
        <v>57.264299524223638</v>
      </c>
      <c r="T37" s="56">
        <v>3279.2</v>
      </c>
      <c r="U37" s="12" t="s">
        <v>20</v>
      </c>
      <c r="V37" s="14" t="s">
        <v>21</v>
      </c>
      <c r="W37" s="12" t="s">
        <v>22</v>
      </c>
      <c r="X37" s="12" t="s">
        <v>23</v>
      </c>
      <c r="Y37" s="12" t="e">
        <v>#DIV/0!</v>
      </c>
      <c r="Z37" s="16" t="str">
        <f t="shared" si="1"/>
        <v>BJP GAIN</v>
      </c>
      <c r="AA37" s="56">
        <f>((L37-Q37)/H37)*100</f>
        <v>8.9754689754689654</v>
      </c>
      <c r="AB37" s="34" t="str">
        <f t="shared" si="4"/>
        <v>NARROWMARGIN</v>
      </c>
    </row>
    <row r="38" spans="1:28">
      <c r="A38" s="12">
        <v>35</v>
      </c>
      <c r="B38" s="53">
        <v>57</v>
      </c>
      <c r="C38" s="54" t="s">
        <v>76</v>
      </c>
      <c r="D38" s="55">
        <v>5</v>
      </c>
      <c r="E38" s="12" t="s">
        <v>77</v>
      </c>
      <c r="F38" s="12">
        <v>11967</v>
      </c>
      <c r="G38" s="12">
        <v>8234</v>
      </c>
      <c r="H38" s="56">
        <v>823.4</v>
      </c>
      <c r="I38" s="56">
        <v>96.904282671097675</v>
      </c>
      <c r="J38" s="56">
        <v>9390.44</v>
      </c>
      <c r="K38" s="7">
        <v>6740</v>
      </c>
      <c r="L38" s="56">
        <v>474</v>
      </c>
      <c r="M38" s="56">
        <f t="shared" si="3"/>
        <v>57.566188972552837</v>
      </c>
      <c r="N38" s="56">
        <v>94.081666651904087</v>
      </c>
      <c r="O38" s="56">
        <v>8851.36</v>
      </c>
      <c r="P38" s="7">
        <v>3204</v>
      </c>
      <c r="Q38" s="56">
        <v>320.39999999999998</v>
      </c>
      <c r="R38" s="56">
        <f t="shared" si="0"/>
        <v>38.911829001700262</v>
      </c>
      <c r="S38" s="56">
        <v>62.302487911800121</v>
      </c>
      <c r="T38" s="56">
        <v>3881.6000000000004</v>
      </c>
      <c r="U38" s="12" t="s">
        <v>20</v>
      </c>
      <c r="V38" s="14" t="s">
        <v>21</v>
      </c>
      <c r="W38" s="12" t="s">
        <v>22</v>
      </c>
      <c r="X38" s="12" t="s">
        <v>23</v>
      </c>
      <c r="Y38" s="12" t="e">
        <v>#DIV/0!</v>
      </c>
      <c r="Z38" s="16" t="str">
        <f t="shared" si="1"/>
        <v>BJP GAIN</v>
      </c>
      <c r="AA38" s="56">
        <f>((L38-Q38)/H38)*100</f>
        <v>18.654359970852568</v>
      </c>
      <c r="AB38" s="15" t="str">
        <f t="shared" si="4"/>
        <v>LOWMARGIN</v>
      </c>
    </row>
    <row r="39" spans="1:28">
      <c r="A39" s="12">
        <v>36</v>
      </c>
      <c r="B39" s="53">
        <v>58</v>
      </c>
      <c r="C39" s="54" t="s">
        <v>78</v>
      </c>
      <c r="D39" s="55">
        <v>4</v>
      </c>
      <c r="E39" s="12" t="s">
        <v>79</v>
      </c>
      <c r="F39" s="12">
        <v>8512</v>
      </c>
      <c r="G39" s="12">
        <v>5981</v>
      </c>
      <c r="H39" s="56">
        <v>747.625</v>
      </c>
      <c r="I39" s="56">
        <v>75.567643538752748</v>
      </c>
      <c r="J39" s="56">
        <v>5710.46875</v>
      </c>
      <c r="K39" s="7">
        <v>3425</v>
      </c>
      <c r="L39" s="56">
        <v>428.125</v>
      </c>
      <c r="M39" s="56">
        <f t="shared" si="3"/>
        <v>57.264671459622143</v>
      </c>
      <c r="N39" s="56">
        <v>88.711435283169664</v>
      </c>
      <c r="O39" s="56">
        <v>7869.71875</v>
      </c>
      <c r="P39" s="7">
        <v>2355</v>
      </c>
      <c r="Q39" s="56">
        <v>294.375</v>
      </c>
      <c r="R39" s="56">
        <f t="shared" si="0"/>
        <v>39.374686507273033</v>
      </c>
      <c r="S39" s="56">
        <v>74.219059209882204</v>
      </c>
      <c r="T39" s="56">
        <v>5508.46875</v>
      </c>
      <c r="U39" s="12" t="s">
        <v>20</v>
      </c>
      <c r="V39" s="14" t="s">
        <v>21</v>
      </c>
      <c r="W39" s="12" t="s">
        <v>22</v>
      </c>
      <c r="X39" s="12" t="s">
        <v>23</v>
      </c>
      <c r="Y39" s="12" t="e">
        <v>#DIV/0!</v>
      </c>
      <c r="Z39" s="16" t="str">
        <f t="shared" si="1"/>
        <v>BJP GAIN</v>
      </c>
      <c r="AA39" s="56">
        <f>((L39-Q39)/H39)*100</f>
        <v>17.889984952349106</v>
      </c>
      <c r="AB39" s="15" t="str">
        <f t="shared" si="4"/>
        <v>LOWMARGIN</v>
      </c>
    </row>
    <row r="40" spans="1:28">
      <c r="A40" s="12">
        <v>37</v>
      </c>
      <c r="B40" s="53">
        <v>59</v>
      </c>
      <c r="C40" s="54" t="s">
        <v>80</v>
      </c>
      <c r="D40" s="55">
        <v>6</v>
      </c>
      <c r="E40" s="12" t="s">
        <v>81</v>
      </c>
      <c r="F40" s="12">
        <v>13989</v>
      </c>
      <c r="G40" s="12">
        <v>9463</v>
      </c>
      <c r="H40" s="56">
        <v>788.58333333333326</v>
      </c>
      <c r="I40" s="56">
        <v>168.31142596719661</v>
      </c>
      <c r="J40" s="56">
        <v>28328.736111111109</v>
      </c>
      <c r="K40" s="7">
        <v>4361</v>
      </c>
      <c r="L40" s="56">
        <v>363.41666666666663</v>
      </c>
      <c r="M40" s="56">
        <f t="shared" si="3"/>
        <v>46.084751136003383</v>
      </c>
      <c r="N40" s="56">
        <v>115.85221668622103</v>
      </c>
      <c r="O40" s="56">
        <v>13421.736111111111</v>
      </c>
      <c r="P40" s="7">
        <v>4641</v>
      </c>
      <c r="Q40" s="56">
        <v>386.75</v>
      </c>
      <c r="R40" s="56">
        <f t="shared" si="0"/>
        <v>49.043643664799752</v>
      </c>
      <c r="S40" s="56">
        <v>94.54195129970374</v>
      </c>
      <c r="T40" s="56">
        <v>8938.1805555555547</v>
      </c>
      <c r="U40" s="12" t="s">
        <v>20</v>
      </c>
      <c r="V40" s="14" t="s">
        <v>21</v>
      </c>
      <c r="W40" s="12" t="s">
        <v>22</v>
      </c>
      <c r="X40" s="12" t="s">
        <v>23</v>
      </c>
      <c r="Y40" s="12" t="e">
        <v>#DIV/0!</v>
      </c>
      <c r="Z40" s="14" t="str">
        <f t="shared" si="1"/>
        <v>CONGRESS GAIN</v>
      </c>
      <c r="AA40" s="56">
        <f>((Q40-L40)/H40)*100</f>
        <v>2.9588925287963699</v>
      </c>
      <c r="AB40" s="34" t="str">
        <f t="shared" si="4"/>
        <v>NARROWMARGIN</v>
      </c>
    </row>
    <row r="41" spans="1:28">
      <c r="A41" s="12">
        <v>38</v>
      </c>
      <c r="B41" s="53">
        <v>60</v>
      </c>
      <c r="C41" s="54" t="s">
        <v>82</v>
      </c>
      <c r="D41" s="55">
        <v>7</v>
      </c>
      <c r="E41" s="12" t="s">
        <v>83</v>
      </c>
      <c r="F41" s="12">
        <v>14269</v>
      </c>
      <c r="G41" s="12">
        <v>10837</v>
      </c>
      <c r="H41" s="56">
        <v>774.07142857142856</v>
      </c>
      <c r="I41" s="56">
        <v>127.91259771055087</v>
      </c>
      <c r="J41" s="56">
        <v>16361.632653061224</v>
      </c>
      <c r="K41" s="7">
        <v>5846</v>
      </c>
      <c r="L41" s="56">
        <v>417.57142857142856</v>
      </c>
      <c r="M41" s="56">
        <f t="shared" si="3"/>
        <v>53.94481867675556</v>
      </c>
      <c r="N41" s="56">
        <v>258.9432212604429</v>
      </c>
      <c r="O41" s="56">
        <v>67051.591836734689</v>
      </c>
      <c r="P41" s="7">
        <v>4356</v>
      </c>
      <c r="Q41" s="56">
        <v>311.14285714285711</v>
      </c>
      <c r="R41" s="56">
        <f t="shared" si="0"/>
        <v>40.195626095782963</v>
      </c>
      <c r="S41" s="56">
        <v>233.57064220051112</v>
      </c>
      <c r="T41" s="56">
        <v>54555.244897959186</v>
      </c>
      <c r="U41" s="12" t="s">
        <v>26</v>
      </c>
      <c r="V41" s="14" t="s">
        <v>21</v>
      </c>
      <c r="W41" s="12" t="s">
        <v>21</v>
      </c>
      <c r="X41" s="12" t="s">
        <v>23</v>
      </c>
      <c r="Y41" s="12" t="s">
        <v>32</v>
      </c>
      <c r="Z41" s="16" t="str">
        <f t="shared" si="1"/>
        <v>BJP GAIN</v>
      </c>
      <c r="AA41" s="56">
        <f>((L41-Q41)/H41)*100</f>
        <v>13.749192580972597</v>
      </c>
      <c r="AB41" s="15" t="str">
        <f t="shared" si="4"/>
        <v>LOWMARGIN</v>
      </c>
    </row>
    <row r="42" spans="1:28" ht="18.75">
      <c r="A42" s="76" t="s">
        <v>123</v>
      </c>
      <c r="B42" s="76"/>
      <c r="C42" s="76"/>
      <c r="D42" s="12"/>
      <c r="E42" s="12"/>
      <c r="F42" s="59">
        <f>SUM(F4:F41)</f>
        <v>454909</v>
      </c>
      <c r="G42" s="59">
        <f>SUM(G4:G41)</f>
        <v>312202</v>
      </c>
      <c r="H42" s="12"/>
      <c r="I42" s="12"/>
      <c r="J42" s="12"/>
      <c r="K42" s="59">
        <f>SUM(K4:K41)</f>
        <v>169873</v>
      </c>
      <c r="L42" s="12"/>
      <c r="M42" s="12"/>
      <c r="N42" s="12"/>
      <c r="O42" s="12"/>
      <c r="P42" s="59">
        <f>SUM(P4:P41)</f>
        <v>131556</v>
      </c>
      <c r="Q42" s="12"/>
      <c r="R42" s="12"/>
      <c r="S42" s="12"/>
      <c r="T42" s="12"/>
      <c r="U42" s="12"/>
      <c r="V42" s="12"/>
      <c r="W42" s="12"/>
      <c r="X42" s="12"/>
    </row>
    <row r="43" spans="1:28" ht="18.75">
      <c r="A43" s="76" t="s">
        <v>120</v>
      </c>
      <c r="B43" s="76"/>
      <c r="C43" s="76"/>
      <c r="D43" s="12"/>
      <c r="E43" s="12"/>
      <c r="F43" s="12"/>
      <c r="G43" s="12"/>
      <c r="H43" s="59">
        <f>AVERAGE(H4:H41)</f>
        <v>725.22941729323327</v>
      </c>
      <c r="I43" s="12"/>
      <c r="J43" s="12"/>
      <c r="K43" s="12"/>
      <c r="L43" s="60">
        <f>AVERAGE(L4:L41)</f>
        <v>393.90794172932334</v>
      </c>
      <c r="M43" s="60">
        <f>AVERAGE(M4:M41)</f>
        <v>53.753274478801146</v>
      </c>
      <c r="N43" s="12"/>
      <c r="O43" s="12"/>
      <c r="P43" s="12"/>
      <c r="Q43" s="61">
        <f>AVERAGE(Q4:Q41)</f>
        <v>302.01008771929827</v>
      </c>
      <c r="R43" s="61">
        <f>AVERAGE(R4:R41)</f>
        <v>42.222597073379944</v>
      </c>
      <c r="S43" s="12"/>
      <c r="T43" s="12"/>
      <c r="U43" s="12"/>
      <c r="V43" s="12"/>
      <c r="W43" s="12"/>
      <c r="X43" s="12"/>
      <c r="Y43" s="62" t="s">
        <v>95</v>
      </c>
      <c r="Z43" s="63">
        <f>COUNTIF(Z4:Z41,"BJP GAIN")</f>
        <v>25</v>
      </c>
      <c r="AA43" s="75" t="s">
        <v>11</v>
      </c>
      <c r="AB43" s="75"/>
    </row>
    <row r="44" spans="1:28">
      <c r="Y44" s="25" t="s">
        <v>96</v>
      </c>
      <c r="Z44" s="64">
        <f>COUNTIF(Z4:Z41,"CONGRESS GAIN")</f>
        <v>13</v>
      </c>
      <c r="AA44" s="75"/>
      <c r="AB44" s="75"/>
    </row>
    <row r="45" spans="1:28">
      <c r="AA45" s="34" t="s">
        <v>84</v>
      </c>
      <c r="AB45" s="34">
        <f>COUNTIF(AB4:AB41,"NARROWMARGIN")</f>
        <v>10</v>
      </c>
    </row>
    <row r="46" spans="1:28">
      <c r="AA46" s="15" t="s">
        <v>88</v>
      </c>
      <c r="AB46" s="15">
        <f>COUNTIF(AB4:AB41,"LOWMARGIN")</f>
        <v>17</v>
      </c>
    </row>
    <row r="47" spans="1:28">
      <c r="AA47" s="24" t="s">
        <v>90</v>
      </c>
      <c r="AB47" s="24">
        <f>COUNTIF(AB4:AB41,"MEDIUMMARGIN")</f>
        <v>5</v>
      </c>
    </row>
    <row r="48" spans="1:28">
      <c r="AA48" s="19" t="s">
        <v>91</v>
      </c>
      <c r="AB48" s="19">
        <f>COUNTIF(AB4:AB41,"HIGHMARGIN")</f>
        <v>3</v>
      </c>
    </row>
    <row r="49" spans="27:28">
      <c r="AA49" s="25" t="s">
        <v>93</v>
      </c>
      <c r="AB49" s="25">
        <f>COUNTIF(AB4:AB41,"VERYHIGHMARGIN")</f>
        <v>3</v>
      </c>
    </row>
    <row r="50" spans="27:28">
      <c r="AA50" s="65" t="s">
        <v>11</v>
      </c>
      <c r="AB50" s="65" t="s">
        <v>88</v>
      </c>
    </row>
  </sheetData>
  <sheetProtection password="CFB8" sheet="1" objects="1" scenarios="1"/>
  <mergeCells count="18">
    <mergeCell ref="A1:AB1"/>
    <mergeCell ref="A2:A3"/>
    <mergeCell ref="B2:B3"/>
    <mergeCell ref="C2:C3"/>
    <mergeCell ref="D2:D3"/>
    <mergeCell ref="E2:E3"/>
    <mergeCell ref="H2:J2"/>
    <mergeCell ref="U2:Y2"/>
    <mergeCell ref="Z2:Z3"/>
    <mergeCell ref="AA2:AA3"/>
    <mergeCell ref="AB2:AB3"/>
    <mergeCell ref="AA43:AB44"/>
    <mergeCell ref="A42:C42"/>
    <mergeCell ref="G2:G3"/>
    <mergeCell ref="F2:F3"/>
    <mergeCell ref="A43:C43"/>
    <mergeCell ref="P2:T2"/>
    <mergeCell ref="K2:O2"/>
  </mergeCells>
  <conditionalFormatting sqref="U4:U12 U17:U41">
    <cfRule type="containsText" dxfId="235" priority="15" operator="containsText" text="AVG">
      <formula>NOT(ISERROR(SEARCH("AVG",U4)))</formula>
    </cfRule>
  </conditionalFormatting>
  <conditionalFormatting sqref="U4:U12 U17:U41">
    <cfRule type="cellIs" dxfId="234" priority="14" operator="equal">
      <formula>"STRONG"</formula>
    </cfRule>
  </conditionalFormatting>
  <conditionalFormatting sqref="U4:U12 U17:U41">
    <cfRule type="containsText" dxfId="233" priority="13" operator="containsText" text="VSTRONG">
      <formula>NOT(ISERROR(SEARCH("VSTRONG",U4)))</formula>
    </cfRule>
  </conditionalFormatting>
  <conditionalFormatting sqref="V4:V5 V7:V8 V17:V41">
    <cfRule type="containsText" dxfId="232" priority="12" operator="containsText" text="STRONG">
      <formula>NOT(ISERROR(SEARCH("STRONG",V4)))</formula>
    </cfRule>
  </conditionalFormatting>
  <conditionalFormatting sqref="V4:V5 V7:V8 V17:V41">
    <cfRule type="containsText" dxfId="231" priority="11" operator="containsText" text="VSTRONG">
      <formula>NOT(ISERROR(SEARCH("VSTRONG",V4)))</formula>
    </cfRule>
  </conditionalFormatting>
  <conditionalFormatting sqref="X4:X5 X7:X8 X17:X41">
    <cfRule type="containsText" dxfId="230" priority="10" operator="containsText" text="FEMALE DOM">
      <formula>NOT(ISERROR(SEARCH("FEMALE DOM",X4)))</formula>
    </cfRule>
  </conditionalFormatting>
  <conditionalFormatting sqref="U4:U12 U17:U41">
    <cfRule type="containsText" dxfId="229" priority="9" operator="containsText" text="AVG">
      <formula>NOT(ISERROR(SEARCH("AVG",U4)))</formula>
    </cfRule>
  </conditionalFormatting>
  <conditionalFormatting sqref="W4:W5 W7:W8 W17:W41">
    <cfRule type="cellIs" dxfId="228" priority="8" operator="equal">
      <formula>"VWEAK"</formula>
    </cfRule>
  </conditionalFormatting>
  <conditionalFormatting sqref="W4:W5 V7:W7 W8 V17:W41">
    <cfRule type="containsText" dxfId="227" priority="7" operator="containsText" text="AVG">
      <formula>NOT(ISERROR(SEARCH("AVG",V4)))</formula>
    </cfRule>
  </conditionalFormatting>
  <conditionalFormatting sqref="W4:W5 W7:W8 W17:W41">
    <cfRule type="containsText" dxfId="226" priority="6" operator="containsText" text="VSTRONG">
      <formula>NOT(ISERROR(SEARCH("VSTRONG",W4)))</formula>
    </cfRule>
  </conditionalFormatting>
  <conditionalFormatting sqref="X7 X17:X41">
    <cfRule type="containsText" dxfId="225" priority="5" operator="containsText" text="MEN">
      <formula>NOT(ISERROR(SEARCH("MEN",X7)))</formula>
    </cfRule>
  </conditionalFormatting>
  <conditionalFormatting sqref="Y17:Y41">
    <cfRule type="containsText" dxfId="224" priority="4" operator="containsText" text="O">
      <formula>NOT(ISERROR(SEARCH("O",Y17)))</formula>
    </cfRule>
  </conditionalFormatting>
  <conditionalFormatting sqref="Y17:Y41">
    <cfRule type="containsText" dxfId="223" priority="2" operator="containsText" text="H">
      <formula>NOT(ISERROR(SEARCH("H",Y17)))</formula>
    </cfRule>
    <cfRule type="containsText" dxfId="222" priority="3" operator="containsText" text="H">
      <formula>NOT(ISERROR(SEARCH("H",Y17)))</formula>
    </cfRule>
  </conditionalFormatting>
  <conditionalFormatting sqref="Y17:Y41">
    <cfRule type="containsText" dxfId="221" priority="1" operator="containsText" text="H">
      <formula>NOT(ISERROR(SEARCH("H",Y17)))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L38"/>
  <sheetViews>
    <sheetView workbookViewId="0">
      <selection activeCell="C16" sqref="C16"/>
    </sheetView>
  </sheetViews>
  <sheetFormatPr defaultRowHeight="15"/>
  <cols>
    <col min="1" max="1" width="16.28515625" style="1" customWidth="1"/>
    <col min="2" max="2" width="24.28515625" style="1" customWidth="1"/>
    <col min="3" max="3" width="13.5703125" style="1" bestFit="1" customWidth="1"/>
    <col min="4" max="4" width="17.5703125" style="1" bestFit="1" customWidth="1"/>
    <col min="5" max="5" width="9.85546875" style="1" bestFit="1" customWidth="1"/>
    <col min="6" max="6" width="12.7109375" style="1" bestFit="1" customWidth="1"/>
    <col min="7" max="7" width="17.5703125" style="1" bestFit="1" customWidth="1"/>
    <col min="8" max="8" width="9.140625" style="1"/>
    <col min="9" max="9" width="23.5703125" style="1" customWidth="1"/>
    <col min="10" max="10" width="26" style="1" customWidth="1"/>
    <col min="11" max="11" width="13.5703125" style="1" bestFit="1" customWidth="1"/>
    <col min="12" max="13" width="16.85546875" style="1" bestFit="1" customWidth="1"/>
    <col min="14" max="16384" width="9.140625" style="1"/>
  </cols>
  <sheetData>
    <row r="1" spans="1:12" ht="15" customHeight="1">
      <c r="D1" s="95" t="s">
        <v>7</v>
      </c>
      <c r="E1" s="95"/>
      <c r="F1" s="95"/>
      <c r="G1" s="95"/>
      <c r="H1" s="95"/>
      <c r="I1" s="95"/>
    </row>
    <row r="2" spans="1:12" ht="15" customHeight="1">
      <c r="D2" s="95"/>
      <c r="E2" s="95"/>
      <c r="F2" s="95"/>
      <c r="G2" s="95"/>
      <c r="H2" s="95"/>
      <c r="I2" s="95"/>
    </row>
    <row r="3" spans="1:12">
      <c r="A3" s="89" t="s">
        <v>379</v>
      </c>
      <c r="B3" s="89"/>
      <c r="C3" s="89"/>
      <c r="D3" s="89"/>
      <c r="E3" s="51"/>
      <c r="F3" s="51"/>
      <c r="I3" s="90" t="s">
        <v>380</v>
      </c>
      <c r="J3" s="90"/>
      <c r="K3" s="90"/>
      <c r="L3" s="90"/>
    </row>
    <row r="4" spans="1:12">
      <c r="A4" s="89"/>
      <c r="B4" s="89"/>
      <c r="C4" s="89"/>
      <c r="D4" s="89"/>
      <c r="E4" s="51"/>
      <c r="F4" s="51"/>
      <c r="I4" s="90"/>
      <c r="J4" s="90"/>
      <c r="K4" s="90"/>
      <c r="L4" s="90"/>
    </row>
    <row r="5" spans="1:12">
      <c r="A5" s="66" t="s">
        <v>381</v>
      </c>
      <c r="B5" s="67" t="s">
        <v>382</v>
      </c>
      <c r="C5" s="67" t="s">
        <v>10</v>
      </c>
      <c r="D5" s="67" t="s">
        <v>383</v>
      </c>
      <c r="H5" s="51"/>
      <c r="I5" s="67" t="s">
        <v>381</v>
      </c>
      <c r="J5" s="67" t="s">
        <v>382</v>
      </c>
      <c r="K5" s="67" t="s">
        <v>384</v>
      </c>
      <c r="L5" s="67" t="s">
        <v>383</v>
      </c>
    </row>
    <row r="6" spans="1:12">
      <c r="A6" s="12">
        <v>1</v>
      </c>
      <c r="B6" s="7">
        <v>21</v>
      </c>
      <c r="C6" s="56">
        <v>37.806394316163413</v>
      </c>
      <c r="D6" s="24" t="s">
        <v>99</v>
      </c>
      <c r="H6" s="51"/>
      <c r="I6" s="12">
        <v>1</v>
      </c>
      <c r="J6" s="7">
        <v>34</v>
      </c>
      <c r="K6" s="56">
        <v>11.311589174184594</v>
      </c>
      <c r="L6" s="15" t="s">
        <v>89</v>
      </c>
    </row>
    <row r="7" spans="1:12">
      <c r="A7" s="12">
        <v>2</v>
      </c>
      <c r="B7" s="7">
        <v>24</v>
      </c>
      <c r="C7" s="56">
        <v>21.247976086685767</v>
      </c>
      <c r="D7" s="15" t="s">
        <v>89</v>
      </c>
      <c r="H7" s="51"/>
      <c r="I7" s="12">
        <v>2</v>
      </c>
      <c r="J7" s="7">
        <v>36</v>
      </c>
      <c r="K7" s="56">
        <v>1.9049489395129566</v>
      </c>
      <c r="L7" s="34" t="s">
        <v>86</v>
      </c>
    </row>
    <row r="8" spans="1:12">
      <c r="A8" s="12">
        <v>3</v>
      </c>
      <c r="B8" s="7">
        <v>25</v>
      </c>
      <c r="C8" s="56">
        <v>19.334581910322786</v>
      </c>
      <c r="D8" s="15" t="s">
        <v>89</v>
      </c>
      <c r="I8" s="12">
        <v>3</v>
      </c>
      <c r="J8" s="7">
        <v>38</v>
      </c>
      <c r="K8" s="56">
        <v>32.69845170803638</v>
      </c>
      <c r="L8" s="24" t="s">
        <v>99</v>
      </c>
    </row>
    <row r="9" spans="1:12">
      <c r="A9" s="12">
        <v>4</v>
      </c>
      <c r="B9" s="7">
        <v>26</v>
      </c>
      <c r="C9" s="56">
        <v>31.164179104477611</v>
      </c>
      <c r="D9" s="24" t="s">
        <v>99</v>
      </c>
      <c r="I9" s="12">
        <v>4</v>
      </c>
      <c r="J9" s="7">
        <v>39</v>
      </c>
      <c r="K9" s="56">
        <v>44.75173655775663</v>
      </c>
      <c r="L9" s="19" t="s">
        <v>92</v>
      </c>
    </row>
    <row r="10" spans="1:12">
      <c r="A10" s="12">
        <v>5</v>
      </c>
      <c r="B10" s="7">
        <v>27</v>
      </c>
      <c r="C10" s="56">
        <v>36.702069418591925</v>
      </c>
      <c r="D10" s="24" t="s">
        <v>99</v>
      </c>
      <c r="I10" s="12">
        <v>5</v>
      </c>
      <c r="J10" s="7">
        <v>40</v>
      </c>
      <c r="K10" s="56">
        <v>3.0449026787434983</v>
      </c>
      <c r="L10" s="34" t="s">
        <v>86</v>
      </c>
    </row>
    <row r="11" spans="1:12">
      <c r="A11" s="12">
        <v>6</v>
      </c>
      <c r="B11" s="7">
        <v>28</v>
      </c>
      <c r="C11" s="56">
        <v>53.340051828390443</v>
      </c>
      <c r="D11" s="14" t="s">
        <v>94</v>
      </c>
      <c r="I11" s="12">
        <v>6</v>
      </c>
      <c r="J11" s="7">
        <v>43</v>
      </c>
      <c r="K11" s="56">
        <v>42.735162374020156</v>
      </c>
      <c r="L11" s="19" t="s">
        <v>92</v>
      </c>
    </row>
    <row r="12" spans="1:12">
      <c r="A12" s="12">
        <v>7</v>
      </c>
      <c r="B12" s="7">
        <v>29</v>
      </c>
      <c r="C12" s="56">
        <v>56.380834237866338</v>
      </c>
      <c r="D12" s="14" t="s">
        <v>94</v>
      </c>
      <c r="I12" s="12">
        <v>7</v>
      </c>
      <c r="J12" s="7">
        <v>44</v>
      </c>
      <c r="K12" s="56">
        <v>14.833091436865024</v>
      </c>
      <c r="L12" s="15" t="s">
        <v>89</v>
      </c>
    </row>
    <row r="13" spans="1:12">
      <c r="A13" s="12">
        <v>8</v>
      </c>
      <c r="B13" s="7">
        <v>30</v>
      </c>
      <c r="C13" s="56">
        <v>27.883008356545968</v>
      </c>
      <c r="D13" s="15" t="s">
        <v>89</v>
      </c>
      <c r="I13" s="12">
        <v>8</v>
      </c>
      <c r="J13" s="7">
        <v>45</v>
      </c>
      <c r="K13" s="56">
        <v>0.99475879773237785</v>
      </c>
      <c r="L13" s="34" t="s">
        <v>86</v>
      </c>
    </row>
    <row r="14" spans="1:12">
      <c r="A14" s="12">
        <v>9</v>
      </c>
      <c r="B14" s="7">
        <v>31</v>
      </c>
      <c r="C14" s="56">
        <v>14.154622619866947</v>
      </c>
      <c r="D14" s="15" t="s">
        <v>89</v>
      </c>
      <c r="I14" s="12">
        <v>9</v>
      </c>
      <c r="J14" s="7">
        <v>47</v>
      </c>
      <c r="K14" s="56">
        <v>14.368905742145174</v>
      </c>
      <c r="L14" s="15" t="s">
        <v>89</v>
      </c>
    </row>
    <row r="15" spans="1:12">
      <c r="A15" s="12">
        <v>10</v>
      </c>
      <c r="B15" s="7">
        <v>32</v>
      </c>
      <c r="C15" s="56">
        <v>33.94572025052193</v>
      </c>
      <c r="D15" s="24" t="s">
        <v>99</v>
      </c>
      <c r="I15" s="12">
        <v>10</v>
      </c>
      <c r="J15" s="7">
        <v>48</v>
      </c>
      <c r="K15" s="56">
        <v>5.4346458674047051</v>
      </c>
      <c r="L15" s="34" t="s">
        <v>86</v>
      </c>
    </row>
    <row r="16" spans="1:12">
      <c r="A16" s="12">
        <v>11</v>
      </c>
      <c r="B16" s="7">
        <v>33</v>
      </c>
      <c r="C16" s="56">
        <v>28.14910025706941</v>
      </c>
      <c r="D16" s="15" t="s">
        <v>89</v>
      </c>
      <c r="I16" s="12">
        <v>11</v>
      </c>
      <c r="J16" s="7">
        <v>52</v>
      </c>
      <c r="K16" s="56">
        <v>2.7925840092699774</v>
      </c>
      <c r="L16" s="34" t="s">
        <v>86</v>
      </c>
    </row>
    <row r="17" spans="1:12">
      <c r="A17" s="12">
        <v>12</v>
      </c>
      <c r="B17" s="7">
        <v>35</v>
      </c>
      <c r="C17" s="56">
        <v>11.343412526997838</v>
      </c>
      <c r="D17" s="15" t="s">
        <v>89</v>
      </c>
      <c r="I17" s="12">
        <v>12</v>
      </c>
      <c r="J17" s="7">
        <v>53</v>
      </c>
      <c r="K17" s="56">
        <v>16.023889057596922</v>
      </c>
      <c r="L17" s="15" t="s">
        <v>89</v>
      </c>
    </row>
    <row r="18" spans="1:12">
      <c r="A18" s="12">
        <v>13</v>
      </c>
      <c r="B18" s="7">
        <v>37</v>
      </c>
      <c r="C18" s="56">
        <v>10.127991096271561</v>
      </c>
      <c r="D18" s="15" t="s">
        <v>89</v>
      </c>
      <c r="I18" s="12">
        <v>13</v>
      </c>
      <c r="J18" s="7">
        <v>59</v>
      </c>
      <c r="K18" s="56">
        <v>2.9588925287963699</v>
      </c>
      <c r="L18" s="34" t="s">
        <v>86</v>
      </c>
    </row>
    <row r="19" spans="1:12">
      <c r="A19" s="12">
        <v>14</v>
      </c>
      <c r="B19" s="7">
        <v>41</v>
      </c>
      <c r="C19" s="56">
        <v>57.147215865751335</v>
      </c>
      <c r="D19" s="14" t="s">
        <v>94</v>
      </c>
    </row>
    <row r="20" spans="1:12" ht="15" customHeight="1">
      <c r="A20" s="12">
        <v>15</v>
      </c>
      <c r="B20" s="7">
        <v>42</v>
      </c>
      <c r="C20" s="56">
        <v>45.818496776056215</v>
      </c>
      <c r="D20" s="19" t="s">
        <v>92</v>
      </c>
      <c r="I20" s="91" t="s">
        <v>387</v>
      </c>
      <c r="J20" s="92"/>
    </row>
    <row r="21" spans="1:12">
      <c r="A21" s="12">
        <v>16</v>
      </c>
      <c r="B21" s="7">
        <v>46</v>
      </c>
      <c r="C21" s="56">
        <v>24.509503372164314</v>
      </c>
      <c r="D21" s="15" t="s">
        <v>89</v>
      </c>
      <c r="I21" s="93"/>
      <c r="J21" s="94"/>
    </row>
    <row r="22" spans="1:12">
      <c r="A22" s="12">
        <v>17</v>
      </c>
      <c r="B22" s="7">
        <v>49</v>
      </c>
      <c r="C22" s="56">
        <v>9.8616132651789083</v>
      </c>
      <c r="D22" s="34" t="s">
        <v>86</v>
      </c>
      <c r="I22" s="34" t="s">
        <v>84</v>
      </c>
      <c r="J22" s="34">
        <f>COUNTIF(L5:L18,"NARROWMARGIN")</f>
        <v>6</v>
      </c>
    </row>
    <row r="23" spans="1:12">
      <c r="A23" s="12">
        <v>18</v>
      </c>
      <c r="B23" s="7">
        <v>50</v>
      </c>
      <c r="C23" s="56">
        <v>28.60675123629327</v>
      </c>
      <c r="D23" s="15" t="s">
        <v>89</v>
      </c>
      <c r="I23" s="15" t="s">
        <v>88</v>
      </c>
      <c r="J23" s="15">
        <f>COUNTIF(L5:L18,"LOWMARGIN")</f>
        <v>4</v>
      </c>
    </row>
    <row r="24" spans="1:12">
      <c r="A24" s="12">
        <v>19</v>
      </c>
      <c r="B24" s="7">
        <v>51</v>
      </c>
      <c r="C24" s="56">
        <v>4.1829215431296118</v>
      </c>
      <c r="D24" s="34" t="s">
        <v>86</v>
      </c>
      <c r="I24" s="24" t="s">
        <v>90</v>
      </c>
      <c r="J24" s="24">
        <f>COUNTIF(L8:L18,"MEDIUMMARGIN")</f>
        <v>1</v>
      </c>
    </row>
    <row r="25" spans="1:12">
      <c r="A25" s="12">
        <v>20</v>
      </c>
      <c r="B25" s="7">
        <v>54</v>
      </c>
      <c r="C25" s="56">
        <v>20.821245257754967</v>
      </c>
      <c r="D25" s="15" t="s">
        <v>89</v>
      </c>
      <c r="I25" s="19" t="s">
        <v>92</v>
      </c>
      <c r="J25" s="19">
        <f>COUNTIF(L5:L18,"HIGHMARGIN")</f>
        <v>2</v>
      </c>
    </row>
    <row r="26" spans="1:12">
      <c r="A26" s="12">
        <v>21</v>
      </c>
      <c r="B26" s="7">
        <v>55</v>
      </c>
      <c r="C26" s="56">
        <v>0.22260447232621675</v>
      </c>
      <c r="D26" s="34" t="s">
        <v>86</v>
      </c>
      <c r="I26" s="25" t="s">
        <v>94</v>
      </c>
      <c r="J26" s="68">
        <f>COUNTIF(L6:L18,"VERYHIGHMARGIN")</f>
        <v>0</v>
      </c>
    </row>
    <row r="27" spans="1:12">
      <c r="A27" s="12">
        <v>22</v>
      </c>
      <c r="B27" s="7">
        <v>56</v>
      </c>
      <c r="C27" s="56">
        <v>8.9754689754689654</v>
      </c>
      <c r="D27" s="34" t="s">
        <v>86</v>
      </c>
    </row>
    <row r="28" spans="1:12">
      <c r="A28" s="12">
        <v>23</v>
      </c>
      <c r="B28" s="7">
        <v>57</v>
      </c>
      <c r="C28" s="56">
        <v>18.654359970852568</v>
      </c>
      <c r="D28" s="15" t="s">
        <v>89</v>
      </c>
    </row>
    <row r="29" spans="1:12">
      <c r="A29" s="12">
        <v>24</v>
      </c>
      <c r="B29" s="7">
        <v>58</v>
      </c>
      <c r="C29" s="56">
        <v>17.889984952349106</v>
      </c>
      <c r="D29" s="15" t="s">
        <v>89</v>
      </c>
    </row>
    <row r="30" spans="1:12">
      <c r="A30" s="12">
        <v>25</v>
      </c>
      <c r="B30" s="7">
        <v>60</v>
      </c>
      <c r="C30" s="56">
        <v>13.749192580972597</v>
      </c>
      <c r="D30" s="15" t="s">
        <v>89</v>
      </c>
    </row>
    <row r="32" spans="1:12" ht="15" customHeight="1">
      <c r="A32" s="88" t="s">
        <v>386</v>
      </c>
      <c r="B32" s="88"/>
    </row>
    <row r="33" spans="1:2">
      <c r="A33" s="88"/>
      <c r="B33" s="88"/>
    </row>
    <row r="34" spans="1:2">
      <c r="A34" s="34" t="s">
        <v>84</v>
      </c>
      <c r="B34" s="34">
        <f>COUNTIF(D6:D30,"NARROWMARGIN")</f>
        <v>4</v>
      </c>
    </row>
    <row r="35" spans="1:2">
      <c r="A35" s="15" t="s">
        <v>88</v>
      </c>
      <c r="B35" s="15">
        <f>COUNTIF(D6:D30,"LOWMARGIN")</f>
        <v>13</v>
      </c>
    </row>
    <row r="36" spans="1:2">
      <c r="A36" s="24" t="s">
        <v>90</v>
      </c>
      <c r="B36" s="24">
        <f>COUNTIF(D7:D30,"MEDIUMMARGIN")</f>
        <v>3</v>
      </c>
    </row>
    <row r="37" spans="1:2">
      <c r="A37" s="19" t="s">
        <v>92</v>
      </c>
      <c r="B37" s="19">
        <f>COUNTIF(D2:D28,"HIGHMARGIN")</f>
        <v>1</v>
      </c>
    </row>
    <row r="38" spans="1:2">
      <c r="A38" s="25" t="s">
        <v>94</v>
      </c>
      <c r="B38" s="68">
        <f>COUNTIF(D6:D30,"VERYHIGHMARGIN")</f>
        <v>3</v>
      </c>
    </row>
  </sheetData>
  <sheetProtection password="CFB8" sheet="1" objects="1" scenarios="1"/>
  <mergeCells count="5">
    <mergeCell ref="A3:D4"/>
    <mergeCell ref="I3:L4"/>
    <mergeCell ref="A32:B33"/>
    <mergeCell ref="I20:J21"/>
    <mergeCell ref="D1:I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B45"/>
  <sheetViews>
    <sheetView workbookViewId="0">
      <selection activeCell="E7" sqref="E7"/>
    </sheetView>
  </sheetViews>
  <sheetFormatPr defaultRowHeight="15"/>
  <cols>
    <col min="1" max="2" width="9.140625" style="51"/>
    <col min="3" max="3" width="18" style="51" bestFit="1" customWidth="1"/>
    <col min="4" max="4" width="11.7109375" style="51" customWidth="1"/>
    <col min="5" max="5" width="32.7109375" style="51" bestFit="1" customWidth="1"/>
    <col min="6" max="11" width="12" style="51" bestFit="1" customWidth="1"/>
    <col min="12" max="12" width="9.140625" style="51"/>
    <col min="13" max="14" width="12" style="51" bestFit="1" customWidth="1"/>
    <col min="15" max="15" width="8.42578125" style="51" bestFit="1" customWidth="1"/>
    <col min="16" max="17" width="10.42578125" style="51" bestFit="1" customWidth="1"/>
    <col min="18" max="18" width="12.7109375" style="51" bestFit="1" customWidth="1"/>
    <col min="19" max="19" width="12" style="51" bestFit="1" customWidth="1"/>
    <col min="20" max="20" width="14" style="51" bestFit="1" customWidth="1"/>
    <col min="21" max="21" width="13.28515625" style="51" bestFit="1" customWidth="1"/>
    <col min="22" max="22" width="12.7109375" style="51" bestFit="1" customWidth="1"/>
    <col min="23" max="23" width="10.42578125" style="51" bestFit="1" customWidth="1"/>
    <col min="24" max="24" width="12.7109375" style="51" bestFit="1" customWidth="1"/>
    <col min="25" max="25" width="9" style="51" bestFit="1" customWidth="1"/>
    <col min="26" max="26" width="14" style="51" bestFit="1" customWidth="1"/>
    <col min="27" max="27" width="13.28515625" style="51" bestFit="1" customWidth="1"/>
    <col min="28" max="28" width="17.5703125" style="51" bestFit="1" customWidth="1"/>
    <col min="29" max="16384" width="9.140625" style="51"/>
  </cols>
  <sheetData>
    <row r="1" spans="1:28" ht="28.5">
      <c r="A1" s="96" t="s">
        <v>98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</row>
    <row r="2" spans="1:28" ht="26.25">
      <c r="A2" s="98" t="s">
        <v>84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</row>
    <row r="3" spans="1:28">
      <c r="A3" s="86" t="s">
        <v>1</v>
      </c>
      <c r="B3" s="77" t="s">
        <v>2</v>
      </c>
      <c r="C3" s="86" t="s">
        <v>3</v>
      </c>
      <c r="D3" s="77" t="s">
        <v>4</v>
      </c>
      <c r="E3" s="86" t="s">
        <v>5</v>
      </c>
      <c r="F3" s="77" t="s">
        <v>122</v>
      </c>
      <c r="G3" s="77" t="s">
        <v>385</v>
      </c>
      <c r="H3" s="86" t="s">
        <v>6</v>
      </c>
      <c r="I3" s="86"/>
      <c r="J3" s="86"/>
      <c r="K3" s="82" t="s">
        <v>7</v>
      </c>
      <c r="L3" s="83"/>
      <c r="M3" s="83"/>
      <c r="N3" s="83"/>
      <c r="O3" s="84"/>
      <c r="P3" s="79" t="s">
        <v>8</v>
      </c>
      <c r="Q3" s="80"/>
      <c r="R3" s="80"/>
      <c r="S3" s="80"/>
      <c r="T3" s="81"/>
      <c r="U3" s="86">
        <v>2018</v>
      </c>
      <c r="V3" s="86"/>
      <c r="W3" s="86"/>
      <c r="X3" s="86"/>
      <c r="Y3" s="86"/>
      <c r="Z3" s="88" t="s">
        <v>9</v>
      </c>
      <c r="AA3" s="88" t="s">
        <v>10</v>
      </c>
      <c r="AB3" s="88" t="s">
        <v>11</v>
      </c>
    </row>
    <row r="4" spans="1:28" ht="90">
      <c r="A4" s="86"/>
      <c r="B4" s="78"/>
      <c r="C4" s="87"/>
      <c r="D4" s="78"/>
      <c r="E4" s="86"/>
      <c r="F4" s="78"/>
      <c r="G4" s="78"/>
      <c r="H4" s="5" t="s">
        <v>12</v>
      </c>
      <c r="I4" s="5" t="s">
        <v>392</v>
      </c>
      <c r="J4" s="5" t="s">
        <v>13</v>
      </c>
      <c r="K4" s="5" t="s">
        <v>393</v>
      </c>
      <c r="L4" s="5" t="s">
        <v>12</v>
      </c>
      <c r="M4" s="5" t="s">
        <v>119</v>
      </c>
      <c r="N4" s="5" t="s">
        <v>392</v>
      </c>
      <c r="O4" s="5" t="s">
        <v>13</v>
      </c>
      <c r="P4" s="5" t="s">
        <v>394</v>
      </c>
      <c r="Q4" s="5" t="s">
        <v>12</v>
      </c>
      <c r="R4" s="5" t="s">
        <v>119</v>
      </c>
      <c r="S4" s="5" t="s">
        <v>392</v>
      </c>
      <c r="T4" s="5" t="s">
        <v>13</v>
      </c>
      <c r="U4" s="5" t="s">
        <v>14</v>
      </c>
      <c r="V4" s="5" t="s">
        <v>15</v>
      </c>
      <c r="W4" s="5" t="s">
        <v>16</v>
      </c>
      <c r="X4" s="5" t="s">
        <v>17</v>
      </c>
      <c r="Y4" s="5" t="s">
        <v>18</v>
      </c>
      <c r="Z4" s="88"/>
      <c r="AA4" s="88"/>
      <c r="AB4" s="88"/>
    </row>
    <row r="5" spans="1:28">
      <c r="A5" s="12">
        <v>1</v>
      </c>
      <c r="B5" s="53">
        <v>49</v>
      </c>
      <c r="C5" s="54" t="s">
        <v>60</v>
      </c>
      <c r="D5" s="55">
        <v>6</v>
      </c>
      <c r="E5" s="12" t="s">
        <v>61</v>
      </c>
      <c r="F5" s="12">
        <v>11244</v>
      </c>
      <c r="G5" s="12">
        <v>8021</v>
      </c>
      <c r="H5" s="56">
        <v>668.41666666666674</v>
      </c>
      <c r="I5" s="56">
        <v>228.20364321758268</v>
      </c>
      <c r="J5" s="56">
        <v>52076.902777777774</v>
      </c>
      <c r="K5" s="7">
        <v>4233</v>
      </c>
      <c r="L5" s="56">
        <v>352.75</v>
      </c>
      <c r="M5" s="56">
        <v>52.773968333125545</v>
      </c>
      <c r="N5" s="56">
        <v>173.56510946103833</v>
      </c>
      <c r="O5" s="56">
        <v>30124.847222222223</v>
      </c>
      <c r="P5" s="7">
        <v>3442</v>
      </c>
      <c r="Q5" s="56">
        <v>286.83333333333331</v>
      </c>
      <c r="R5" s="56">
        <v>42.912355067946635</v>
      </c>
      <c r="S5" s="56">
        <v>95.704260905957341</v>
      </c>
      <c r="T5" s="56">
        <v>9159.3055555555547</v>
      </c>
      <c r="U5" s="12" t="s">
        <v>26</v>
      </c>
      <c r="V5" s="14" t="s">
        <v>22</v>
      </c>
      <c r="W5" s="12" t="s">
        <v>21</v>
      </c>
      <c r="X5" s="12" t="s">
        <v>23</v>
      </c>
      <c r="Y5" s="12" t="s">
        <v>32</v>
      </c>
      <c r="Z5" s="16" t="s">
        <v>85</v>
      </c>
      <c r="AA5" s="56">
        <v>9.8616132651789083</v>
      </c>
      <c r="AB5" s="34" t="s">
        <v>86</v>
      </c>
    </row>
    <row r="6" spans="1:28">
      <c r="A6" s="12">
        <v>2</v>
      </c>
      <c r="B6" s="53">
        <v>51</v>
      </c>
      <c r="C6" s="54" t="s">
        <v>64</v>
      </c>
      <c r="D6" s="55">
        <v>8</v>
      </c>
      <c r="E6" s="12" t="s">
        <v>65</v>
      </c>
      <c r="F6" s="12">
        <v>13111</v>
      </c>
      <c r="G6" s="12">
        <v>9228</v>
      </c>
      <c r="H6" s="56">
        <v>659.14285714285711</v>
      </c>
      <c r="I6" s="56">
        <v>130.18981432931702</v>
      </c>
      <c r="J6" s="56">
        <v>16949.387755102041</v>
      </c>
      <c r="K6" s="7">
        <v>4659</v>
      </c>
      <c r="L6" s="56">
        <v>332.78571428571428</v>
      </c>
      <c r="M6" s="56">
        <v>50.487646293888169</v>
      </c>
      <c r="N6" s="56">
        <v>128.58007907406918</v>
      </c>
      <c r="O6" s="56">
        <v>16532.836734693879</v>
      </c>
      <c r="P6" s="7">
        <v>4273</v>
      </c>
      <c r="Q6" s="56">
        <v>305.21428571428567</v>
      </c>
      <c r="R6" s="56">
        <v>46.30472475075856</v>
      </c>
      <c r="S6" s="56">
        <v>159.19587472862557</v>
      </c>
      <c r="T6" s="56">
        <v>25343.326530612241</v>
      </c>
      <c r="U6" s="12" t="s">
        <v>26</v>
      </c>
      <c r="V6" s="14" t="s">
        <v>39</v>
      </c>
      <c r="W6" s="12" t="s">
        <v>21</v>
      </c>
      <c r="X6" s="12" t="s">
        <v>23</v>
      </c>
      <c r="Y6" s="12" t="s">
        <v>35</v>
      </c>
      <c r="Z6" s="16" t="s">
        <v>85</v>
      </c>
      <c r="AA6" s="56">
        <v>4.1829215431296118</v>
      </c>
      <c r="AB6" s="34" t="s">
        <v>86</v>
      </c>
    </row>
    <row r="7" spans="1:28">
      <c r="A7" s="12">
        <v>3</v>
      </c>
      <c r="B7" s="53">
        <v>55</v>
      </c>
      <c r="C7" s="54" t="s">
        <v>72</v>
      </c>
      <c r="D7" s="55">
        <v>8</v>
      </c>
      <c r="E7" s="12" t="s">
        <v>73</v>
      </c>
      <c r="F7" s="12">
        <v>14483</v>
      </c>
      <c r="G7" s="12">
        <v>9883</v>
      </c>
      <c r="H7" s="56">
        <v>617.6875</v>
      </c>
      <c r="I7" s="56">
        <v>101.13508138870507</v>
      </c>
      <c r="J7" s="56">
        <v>10228.3046875</v>
      </c>
      <c r="K7" s="7">
        <v>4792</v>
      </c>
      <c r="L7" s="56">
        <v>299.5</v>
      </c>
      <c r="M7" s="56">
        <v>48.487301426692298</v>
      </c>
      <c r="N7" s="56">
        <v>80.610076138160295</v>
      </c>
      <c r="O7" s="56">
        <v>6497.984375</v>
      </c>
      <c r="P7" s="7">
        <v>4770</v>
      </c>
      <c r="Q7" s="56">
        <v>298.125</v>
      </c>
      <c r="R7" s="56">
        <v>48.26469695436608</v>
      </c>
      <c r="S7" s="56">
        <v>98.06972965701496</v>
      </c>
      <c r="T7" s="56">
        <v>9617.671875</v>
      </c>
      <c r="U7" s="12" t="s">
        <v>20</v>
      </c>
      <c r="V7" s="14" t="s">
        <v>21</v>
      </c>
      <c r="W7" s="12" t="s">
        <v>22</v>
      </c>
      <c r="X7" s="12" t="s">
        <v>23</v>
      </c>
      <c r="Y7" s="12" t="e">
        <v>#DIV/0!</v>
      </c>
      <c r="Z7" s="16" t="s">
        <v>85</v>
      </c>
      <c r="AA7" s="56">
        <v>0.22260447232621675</v>
      </c>
      <c r="AB7" s="34" t="s">
        <v>86</v>
      </c>
    </row>
    <row r="8" spans="1:28">
      <c r="A8" s="12">
        <v>4</v>
      </c>
      <c r="B8" s="53">
        <v>56</v>
      </c>
      <c r="C8" s="54" t="s">
        <v>74</v>
      </c>
      <c r="D8" s="55">
        <v>5</v>
      </c>
      <c r="E8" s="12" t="s">
        <v>75</v>
      </c>
      <c r="F8" s="12">
        <v>10261</v>
      </c>
      <c r="G8" s="12">
        <v>6930</v>
      </c>
      <c r="H8" s="56">
        <v>693</v>
      </c>
      <c r="I8" s="56">
        <v>109.59087553259167</v>
      </c>
      <c r="J8" s="56">
        <v>12010.16</v>
      </c>
      <c r="K8" s="7">
        <v>3678</v>
      </c>
      <c r="L8" s="56">
        <v>367.79999999999995</v>
      </c>
      <c r="M8" s="56">
        <v>53.073593073593059</v>
      </c>
      <c r="N8" s="56">
        <v>102.35624064999652</v>
      </c>
      <c r="O8" s="56">
        <v>10476.799999999999</v>
      </c>
      <c r="P8" s="7">
        <v>3056</v>
      </c>
      <c r="Q8" s="56">
        <v>305.60000000000002</v>
      </c>
      <c r="R8" s="56">
        <v>44.098124098124103</v>
      </c>
      <c r="S8" s="56">
        <v>57.264299524223638</v>
      </c>
      <c r="T8" s="56">
        <v>3279.2</v>
      </c>
      <c r="U8" s="12" t="s">
        <v>20</v>
      </c>
      <c r="V8" s="14" t="s">
        <v>21</v>
      </c>
      <c r="W8" s="12" t="s">
        <v>22</v>
      </c>
      <c r="X8" s="12" t="s">
        <v>23</v>
      </c>
      <c r="Y8" s="12" t="e">
        <v>#DIV/0!</v>
      </c>
      <c r="Z8" s="16" t="s">
        <v>85</v>
      </c>
      <c r="AA8" s="56">
        <v>8.9754689754689654</v>
      </c>
      <c r="AB8" s="34" t="s">
        <v>86</v>
      </c>
    </row>
    <row r="9" spans="1:28" s="70" customFormat="1" ht="15.75">
      <c r="A9" s="35"/>
      <c r="B9" s="35"/>
      <c r="C9" s="69"/>
      <c r="D9" s="35"/>
      <c r="E9" s="35"/>
      <c r="F9" s="35">
        <f>SUM(F5:F8)</f>
        <v>49099</v>
      </c>
      <c r="G9" s="35">
        <f>SUM(G5:G8)</f>
        <v>34062</v>
      </c>
      <c r="H9" s="35"/>
      <c r="I9" s="35"/>
      <c r="J9" s="35"/>
      <c r="K9" s="35">
        <f>SUM(K5:K8)</f>
        <v>17362</v>
      </c>
      <c r="L9" s="35"/>
      <c r="M9" s="35"/>
      <c r="N9" s="35"/>
      <c r="O9" s="35"/>
      <c r="P9" s="35">
        <f>SUM(P5:P8)</f>
        <v>15541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spans="1:28" ht="26.25">
      <c r="A10" s="100" t="s">
        <v>88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</row>
    <row r="11" spans="1:28">
      <c r="A11" s="86" t="s">
        <v>1</v>
      </c>
      <c r="B11" s="77" t="s">
        <v>2</v>
      </c>
      <c r="C11" s="86" t="s">
        <v>3</v>
      </c>
      <c r="D11" s="77" t="s">
        <v>4</v>
      </c>
      <c r="E11" s="86" t="s">
        <v>5</v>
      </c>
      <c r="F11" s="77" t="s">
        <v>122</v>
      </c>
      <c r="G11" s="77" t="s">
        <v>385</v>
      </c>
      <c r="H11" s="86" t="s">
        <v>6</v>
      </c>
      <c r="I11" s="86"/>
      <c r="J11" s="86"/>
      <c r="K11" s="82" t="s">
        <v>7</v>
      </c>
      <c r="L11" s="83"/>
      <c r="M11" s="83"/>
      <c r="N11" s="83"/>
      <c r="O11" s="84"/>
      <c r="P11" s="79" t="s">
        <v>8</v>
      </c>
      <c r="Q11" s="80"/>
      <c r="R11" s="80"/>
      <c r="S11" s="80"/>
      <c r="T11" s="81"/>
      <c r="U11" s="86">
        <v>2018</v>
      </c>
      <c r="V11" s="86"/>
      <c r="W11" s="86"/>
      <c r="X11" s="86"/>
      <c r="Y11" s="86"/>
      <c r="Z11" s="88" t="s">
        <v>9</v>
      </c>
      <c r="AA11" s="88" t="s">
        <v>10</v>
      </c>
      <c r="AB11" s="88" t="s">
        <v>11</v>
      </c>
    </row>
    <row r="12" spans="1:28" ht="90">
      <c r="A12" s="86"/>
      <c r="B12" s="78"/>
      <c r="C12" s="87"/>
      <c r="D12" s="78"/>
      <c r="E12" s="86"/>
      <c r="F12" s="78"/>
      <c r="G12" s="78"/>
      <c r="H12" s="5" t="s">
        <v>12</v>
      </c>
      <c r="I12" s="5" t="s">
        <v>392</v>
      </c>
      <c r="J12" s="5" t="s">
        <v>13</v>
      </c>
      <c r="K12" s="5" t="s">
        <v>393</v>
      </c>
      <c r="L12" s="5" t="s">
        <v>12</v>
      </c>
      <c r="M12" s="5" t="s">
        <v>119</v>
      </c>
      <c r="N12" s="5" t="s">
        <v>392</v>
      </c>
      <c r="O12" s="5" t="s">
        <v>13</v>
      </c>
      <c r="P12" s="5" t="s">
        <v>394</v>
      </c>
      <c r="Q12" s="5" t="s">
        <v>12</v>
      </c>
      <c r="R12" s="5" t="s">
        <v>119</v>
      </c>
      <c r="S12" s="5" t="s">
        <v>392</v>
      </c>
      <c r="T12" s="5" t="s">
        <v>13</v>
      </c>
      <c r="U12" s="5" t="s">
        <v>14</v>
      </c>
      <c r="V12" s="5" t="s">
        <v>15</v>
      </c>
      <c r="W12" s="5" t="s">
        <v>16</v>
      </c>
      <c r="X12" s="5" t="s">
        <v>17</v>
      </c>
      <c r="Y12" s="5" t="s">
        <v>18</v>
      </c>
      <c r="Z12" s="88"/>
      <c r="AA12" s="88"/>
      <c r="AB12" s="88"/>
    </row>
    <row r="13" spans="1:28">
      <c r="A13" s="12">
        <v>1</v>
      </c>
      <c r="B13" s="53">
        <v>24</v>
      </c>
      <c r="C13" s="54" t="s">
        <v>104</v>
      </c>
      <c r="D13" s="55">
        <v>6</v>
      </c>
      <c r="E13" s="12" t="s">
        <v>24</v>
      </c>
      <c r="F13" s="12">
        <v>12013</v>
      </c>
      <c r="G13" s="12">
        <v>8029</v>
      </c>
      <c r="H13" s="56">
        <v>669.08333333333326</v>
      </c>
      <c r="I13" s="56">
        <v>177.5816322458804</v>
      </c>
      <c r="J13" s="56">
        <v>31535.236111111109</v>
      </c>
      <c r="K13" s="7">
        <v>4734</v>
      </c>
      <c r="L13" s="56">
        <v>394.5</v>
      </c>
      <c r="M13" s="56">
        <v>58.961265412878326</v>
      </c>
      <c r="N13" s="56">
        <v>81.002057587034997</v>
      </c>
      <c r="O13" s="56">
        <v>6561.333333333333</v>
      </c>
      <c r="P13" s="7">
        <v>3028</v>
      </c>
      <c r="Q13" s="56">
        <v>252.33333333333334</v>
      </c>
      <c r="R13" s="56">
        <v>37.713289326192559</v>
      </c>
      <c r="S13" s="56">
        <v>98.396872127341751</v>
      </c>
      <c r="T13" s="56">
        <v>9681.9444444444434</v>
      </c>
      <c r="U13" s="12" t="s">
        <v>20</v>
      </c>
      <c r="V13" s="14" t="s">
        <v>21</v>
      </c>
      <c r="W13" s="12" t="s">
        <v>22</v>
      </c>
      <c r="X13" s="12" t="s">
        <v>23</v>
      </c>
      <c r="Y13" s="12" t="e">
        <v>#DIV/0!</v>
      </c>
      <c r="Z13" s="16" t="s">
        <v>85</v>
      </c>
      <c r="AA13" s="56">
        <v>21.247976086685767</v>
      </c>
      <c r="AB13" s="15" t="s">
        <v>89</v>
      </c>
    </row>
    <row r="14" spans="1:28">
      <c r="A14" s="12">
        <v>2</v>
      </c>
      <c r="B14" s="53">
        <v>25</v>
      </c>
      <c r="C14" s="54" t="s">
        <v>105</v>
      </c>
      <c r="D14" s="55">
        <v>6</v>
      </c>
      <c r="E14" s="12" t="s">
        <v>25</v>
      </c>
      <c r="F14" s="12">
        <v>12613</v>
      </c>
      <c r="G14" s="12">
        <v>9077</v>
      </c>
      <c r="H14" s="56">
        <v>756.41666666666674</v>
      </c>
      <c r="I14" s="56">
        <v>190.5406416256414</v>
      </c>
      <c r="J14" s="56">
        <v>36305.736111111109</v>
      </c>
      <c r="K14" s="7">
        <v>5171</v>
      </c>
      <c r="L14" s="56">
        <v>430.91666666666663</v>
      </c>
      <c r="M14" s="56">
        <v>56.968161286768748</v>
      </c>
      <c r="N14" s="56">
        <v>80.878939024802847</v>
      </c>
      <c r="O14" s="56">
        <v>6541.4027777777774</v>
      </c>
      <c r="P14" s="7">
        <v>3416</v>
      </c>
      <c r="Q14" s="56">
        <v>284.66666666666669</v>
      </c>
      <c r="R14" s="56">
        <v>37.633579376445965</v>
      </c>
      <c r="S14" s="56">
        <v>108.24688858756582</v>
      </c>
      <c r="T14" s="56">
        <v>11717.388888888889</v>
      </c>
      <c r="U14" s="12" t="s">
        <v>20</v>
      </c>
      <c r="V14" s="14" t="s">
        <v>26</v>
      </c>
      <c r="W14" s="12" t="s">
        <v>21</v>
      </c>
      <c r="X14" s="57" t="s">
        <v>23</v>
      </c>
      <c r="Y14" s="12" t="e">
        <v>#DIV/0!</v>
      </c>
      <c r="Z14" s="16" t="s">
        <v>85</v>
      </c>
      <c r="AA14" s="56">
        <v>19.334581910322786</v>
      </c>
      <c r="AB14" s="15" t="s">
        <v>89</v>
      </c>
    </row>
    <row r="15" spans="1:28">
      <c r="A15" s="12">
        <v>3</v>
      </c>
      <c r="B15" s="53">
        <v>30</v>
      </c>
      <c r="C15" s="54" t="s">
        <v>107</v>
      </c>
      <c r="D15" s="55">
        <v>5</v>
      </c>
      <c r="E15" s="18" t="s">
        <v>33</v>
      </c>
      <c r="F15" s="12">
        <v>11153</v>
      </c>
      <c r="G15" s="12">
        <v>7180</v>
      </c>
      <c r="H15" s="56">
        <v>718</v>
      </c>
      <c r="I15" s="56">
        <v>115.25814504840861</v>
      </c>
      <c r="J15" s="56">
        <v>13284.439999999999</v>
      </c>
      <c r="K15" s="7">
        <v>4472</v>
      </c>
      <c r="L15" s="56">
        <v>447.20000000000005</v>
      </c>
      <c r="M15" s="56">
        <v>62.284122562674106</v>
      </c>
      <c r="N15" s="56">
        <v>111.37414421668973</v>
      </c>
      <c r="O15" s="56">
        <v>12404.2</v>
      </c>
      <c r="P15" s="7">
        <v>2470</v>
      </c>
      <c r="Q15" s="56">
        <v>247</v>
      </c>
      <c r="R15" s="56">
        <v>34.401114206128135</v>
      </c>
      <c r="S15" s="56">
        <v>23.638950907347812</v>
      </c>
      <c r="T15" s="56">
        <v>558.79999999999995</v>
      </c>
      <c r="U15" s="12" t="s">
        <v>20</v>
      </c>
      <c r="V15" s="14" t="s">
        <v>21</v>
      </c>
      <c r="W15" s="12" t="s">
        <v>22</v>
      </c>
      <c r="X15" s="57" t="s">
        <v>23</v>
      </c>
      <c r="Y15" s="12" t="e">
        <v>#DIV/0!</v>
      </c>
      <c r="Z15" s="16" t="s">
        <v>85</v>
      </c>
      <c r="AA15" s="56">
        <v>27.883008356545968</v>
      </c>
      <c r="AB15" s="15" t="s">
        <v>89</v>
      </c>
    </row>
    <row r="16" spans="1:28">
      <c r="A16" s="12">
        <v>4</v>
      </c>
      <c r="B16" s="53">
        <v>31</v>
      </c>
      <c r="C16" s="54" t="s">
        <v>108</v>
      </c>
      <c r="D16" s="55">
        <v>6</v>
      </c>
      <c r="E16" s="18" t="s">
        <v>34</v>
      </c>
      <c r="F16" s="12">
        <v>13041</v>
      </c>
      <c r="G16" s="12">
        <v>8718</v>
      </c>
      <c r="H16" s="56">
        <v>726.5</v>
      </c>
      <c r="I16" s="56">
        <v>126.08947440431162</v>
      </c>
      <c r="J16" s="56">
        <v>15898.555555555555</v>
      </c>
      <c r="K16" s="7">
        <v>4783</v>
      </c>
      <c r="L16" s="56">
        <v>398.58333333333337</v>
      </c>
      <c r="M16" s="56">
        <v>54.863500802936457</v>
      </c>
      <c r="N16" s="56">
        <v>85.810271982891294</v>
      </c>
      <c r="O16" s="56">
        <v>7363.4027777777774</v>
      </c>
      <c r="P16" s="7">
        <v>3549</v>
      </c>
      <c r="Q16" s="56">
        <v>295.75</v>
      </c>
      <c r="R16" s="56">
        <v>40.708878183069515</v>
      </c>
      <c r="S16" s="56">
        <v>42.093315647763148</v>
      </c>
      <c r="T16" s="56">
        <v>1771.8472222222222</v>
      </c>
      <c r="U16" s="12" t="s">
        <v>20</v>
      </c>
      <c r="V16" s="14" t="s">
        <v>20</v>
      </c>
      <c r="W16" s="12" t="s">
        <v>21</v>
      </c>
      <c r="X16" s="57" t="s">
        <v>23</v>
      </c>
      <c r="Y16" s="14" t="s">
        <v>35</v>
      </c>
      <c r="Z16" s="16" t="s">
        <v>85</v>
      </c>
      <c r="AA16" s="56">
        <v>14.154622619866947</v>
      </c>
      <c r="AB16" s="15" t="s">
        <v>89</v>
      </c>
    </row>
    <row r="17" spans="1:28">
      <c r="A17" s="12">
        <v>5</v>
      </c>
      <c r="B17" s="53">
        <v>33</v>
      </c>
      <c r="C17" s="54" t="s">
        <v>110</v>
      </c>
      <c r="D17" s="55">
        <v>4</v>
      </c>
      <c r="E17" s="18" t="s">
        <v>37</v>
      </c>
      <c r="F17" s="12">
        <v>9055</v>
      </c>
      <c r="G17" s="12">
        <v>6224</v>
      </c>
      <c r="H17" s="56">
        <v>778</v>
      </c>
      <c r="I17" s="56">
        <v>64.501453471995504</v>
      </c>
      <c r="J17" s="56">
        <v>4160.4375</v>
      </c>
      <c r="K17" s="7">
        <v>3883</v>
      </c>
      <c r="L17" s="56">
        <v>485.375</v>
      </c>
      <c r="M17" s="56">
        <v>62.387532133676096</v>
      </c>
      <c r="N17" s="56">
        <v>65.516934833674867</v>
      </c>
      <c r="O17" s="56">
        <v>4292.46875</v>
      </c>
      <c r="P17" s="7">
        <v>2131</v>
      </c>
      <c r="Q17" s="56">
        <v>266.375</v>
      </c>
      <c r="R17" s="56">
        <v>34.238431876606683</v>
      </c>
      <c r="S17" s="56">
        <v>107.04190184222252</v>
      </c>
      <c r="T17" s="56">
        <v>11457.96875</v>
      </c>
      <c r="U17" s="58" t="s">
        <v>20</v>
      </c>
      <c r="V17" s="14" t="s">
        <v>22</v>
      </c>
      <c r="W17" s="12" t="s">
        <v>21</v>
      </c>
      <c r="X17" s="57" t="s">
        <v>23</v>
      </c>
      <c r="Y17" s="14" t="s">
        <v>35</v>
      </c>
      <c r="Z17" s="16" t="s">
        <v>85</v>
      </c>
      <c r="AA17" s="56">
        <v>28.14910025706941</v>
      </c>
      <c r="AB17" s="15" t="s">
        <v>89</v>
      </c>
    </row>
    <row r="18" spans="1:28">
      <c r="A18" s="12">
        <v>6</v>
      </c>
      <c r="B18" s="53">
        <v>35</v>
      </c>
      <c r="C18" s="54" t="s">
        <v>100</v>
      </c>
      <c r="D18" s="55">
        <v>7</v>
      </c>
      <c r="E18" s="18" t="s">
        <v>40</v>
      </c>
      <c r="F18" s="12">
        <v>16390</v>
      </c>
      <c r="G18" s="12">
        <v>11575</v>
      </c>
      <c r="H18" s="56">
        <v>826.78571428571433</v>
      </c>
      <c r="I18" s="56">
        <v>104.07444352922752</v>
      </c>
      <c r="J18" s="56">
        <v>10831.489795918367</v>
      </c>
      <c r="K18" s="7">
        <v>6237</v>
      </c>
      <c r="L18" s="56">
        <v>445.5</v>
      </c>
      <c r="M18" s="56">
        <v>53.883369330453554</v>
      </c>
      <c r="N18" s="56">
        <v>107.8317850986017</v>
      </c>
      <c r="O18" s="56">
        <v>11627.693877551021</v>
      </c>
      <c r="P18" s="7">
        <v>4924</v>
      </c>
      <c r="Q18" s="56">
        <v>351.71428571428572</v>
      </c>
      <c r="R18" s="56">
        <v>42.539956803455716</v>
      </c>
      <c r="S18" s="56">
        <v>108.39882897176048</v>
      </c>
      <c r="T18" s="56">
        <v>11750.306122448979</v>
      </c>
      <c r="U18" s="58" t="s">
        <v>20</v>
      </c>
      <c r="V18" s="14" t="s">
        <v>21</v>
      </c>
      <c r="W18" s="12" t="s">
        <v>22</v>
      </c>
      <c r="X18" s="57" t="s">
        <v>23</v>
      </c>
      <c r="Y18" s="12" t="e">
        <v>#DIV/0!</v>
      </c>
      <c r="Z18" s="16" t="s">
        <v>85</v>
      </c>
      <c r="AA18" s="56">
        <v>11.343412526997838</v>
      </c>
      <c r="AB18" s="15" t="s">
        <v>89</v>
      </c>
    </row>
    <row r="19" spans="1:28">
      <c r="A19" s="12">
        <v>7</v>
      </c>
      <c r="B19" s="53">
        <v>37</v>
      </c>
      <c r="C19" s="54" t="s">
        <v>101</v>
      </c>
      <c r="D19" s="55">
        <v>6</v>
      </c>
      <c r="E19" s="18" t="s">
        <v>42</v>
      </c>
      <c r="F19" s="12">
        <v>12668</v>
      </c>
      <c r="G19" s="12">
        <v>8985</v>
      </c>
      <c r="H19" s="56">
        <v>748.75</v>
      </c>
      <c r="I19" s="56">
        <v>169.91668710151913</v>
      </c>
      <c r="J19" s="56">
        <v>28871.680555555555</v>
      </c>
      <c r="K19" s="7">
        <v>4812</v>
      </c>
      <c r="L19" s="56">
        <v>401</v>
      </c>
      <c r="M19" s="56">
        <v>53.555926544240393</v>
      </c>
      <c r="N19" s="56">
        <v>155.24756215656191</v>
      </c>
      <c r="O19" s="56">
        <v>24101.805555555555</v>
      </c>
      <c r="P19" s="7">
        <v>3902</v>
      </c>
      <c r="Q19" s="56">
        <v>325.16666666666669</v>
      </c>
      <c r="R19" s="56">
        <v>43.427935447968842</v>
      </c>
      <c r="S19" s="56">
        <v>35.824417495458164</v>
      </c>
      <c r="T19" s="56">
        <v>1283.3888888888889</v>
      </c>
      <c r="U19" s="12" t="s">
        <v>26</v>
      </c>
      <c r="V19" s="14" t="s">
        <v>26</v>
      </c>
      <c r="W19" s="12" t="s">
        <v>21</v>
      </c>
      <c r="X19" s="12" t="s">
        <v>23</v>
      </c>
      <c r="Y19" s="12" t="s">
        <v>32</v>
      </c>
      <c r="Z19" s="16" t="s">
        <v>85</v>
      </c>
      <c r="AA19" s="56">
        <v>10.127991096271561</v>
      </c>
      <c r="AB19" s="15" t="s">
        <v>89</v>
      </c>
    </row>
    <row r="20" spans="1:28">
      <c r="A20" s="12">
        <v>8</v>
      </c>
      <c r="B20" s="53">
        <v>46</v>
      </c>
      <c r="C20" s="54" t="s">
        <v>54</v>
      </c>
      <c r="D20" s="55">
        <v>5</v>
      </c>
      <c r="E20" s="12" t="s">
        <v>55</v>
      </c>
      <c r="F20" s="12">
        <v>10177</v>
      </c>
      <c r="G20" s="12">
        <v>6524</v>
      </c>
      <c r="H20" s="56">
        <v>652.4</v>
      </c>
      <c r="I20" s="56">
        <v>117.93082718271758</v>
      </c>
      <c r="J20" s="56">
        <v>13907.68</v>
      </c>
      <c r="K20" s="7">
        <v>3979</v>
      </c>
      <c r="L20" s="56">
        <v>397.9</v>
      </c>
      <c r="M20" s="56">
        <v>60.990190067443287</v>
      </c>
      <c r="N20" s="56">
        <v>92.780816982822486</v>
      </c>
      <c r="O20" s="56">
        <v>8608.2800000000007</v>
      </c>
      <c r="P20" s="7">
        <v>2380</v>
      </c>
      <c r="Q20" s="56">
        <v>238</v>
      </c>
      <c r="R20" s="56">
        <v>36.480686695278969</v>
      </c>
      <c r="S20" s="56">
        <v>93.606837357107622</v>
      </c>
      <c r="T20" s="56">
        <v>8762.24</v>
      </c>
      <c r="U20" s="12" t="s">
        <v>20</v>
      </c>
      <c r="V20" s="14" t="s">
        <v>21</v>
      </c>
      <c r="W20" s="12" t="s">
        <v>22</v>
      </c>
      <c r="X20" s="12" t="s">
        <v>23</v>
      </c>
      <c r="Y20" s="12" t="e">
        <v>#DIV/0!</v>
      </c>
      <c r="Z20" s="16" t="s">
        <v>85</v>
      </c>
      <c r="AA20" s="56">
        <v>24.509503372164314</v>
      </c>
      <c r="AB20" s="15" t="s">
        <v>89</v>
      </c>
    </row>
    <row r="21" spans="1:28">
      <c r="A21" s="12">
        <v>9</v>
      </c>
      <c r="B21" s="53">
        <v>50</v>
      </c>
      <c r="C21" s="54" t="s">
        <v>62</v>
      </c>
      <c r="D21" s="55">
        <v>8</v>
      </c>
      <c r="E21" s="12" t="s">
        <v>63</v>
      </c>
      <c r="F21" s="12">
        <v>13000</v>
      </c>
      <c r="G21" s="12">
        <v>9302</v>
      </c>
      <c r="H21" s="56">
        <v>581.375</v>
      </c>
      <c r="I21" s="56">
        <v>153.92058626122758</v>
      </c>
      <c r="J21" s="56">
        <v>23691.546875</v>
      </c>
      <c r="K21" s="7">
        <v>5733</v>
      </c>
      <c r="L21" s="56">
        <v>358.3125</v>
      </c>
      <c r="M21" s="56">
        <v>61.631907116749083</v>
      </c>
      <c r="N21" s="56">
        <v>131.21782343683347</v>
      </c>
      <c r="O21" s="56">
        <v>17218.1171875</v>
      </c>
      <c r="P21" s="7">
        <v>3072</v>
      </c>
      <c r="Q21" s="56">
        <v>192</v>
      </c>
      <c r="R21" s="56">
        <v>33.025155880455813</v>
      </c>
      <c r="S21" s="56">
        <v>42.963465584144863</v>
      </c>
      <c r="T21" s="56">
        <v>1845.859375</v>
      </c>
      <c r="U21" s="12" t="s">
        <v>26</v>
      </c>
      <c r="V21" s="14" t="s">
        <v>26</v>
      </c>
      <c r="W21" s="12" t="s">
        <v>21</v>
      </c>
      <c r="X21" s="12" t="s">
        <v>23</v>
      </c>
      <c r="Y21" s="12" t="s">
        <v>35</v>
      </c>
      <c r="Z21" s="16" t="s">
        <v>85</v>
      </c>
      <c r="AA21" s="56">
        <v>28.60675123629327</v>
      </c>
      <c r="AB21" s="15" t="s">
        <v>89</v>
      </c>
    </row>
    <row r="22" spans="1:28">
      <c r="A22" s="12">
        <v>10</v>
      </c>
      <c r="B22" s="53">
        <v>54</v>
      </c>
      <c r="C22" s="54" t="s">
        <v>70</v>
      </c>
      <c r="D22" s="55">
        <v>5</v>
      </c>
      <c r="E22" s="12" t="s">
        <v>71</v>
      </c>
      <c r="F22" s="12">
        <v>12116</v>
      </c>
      <c r="G22" s="12">
        <v>8962</v>
      </c>
      <c r="H22" s="56">
        <v>896.2</v>
      </c>
      <c r="I22" s="56">
        <v>241.83796228053197</v>
      </c>
      <c r="J22" s="56">
        <v>58485.600000000006</v>
      </c>
      <c r="K22" s="7">
        <v>5061</v>
      </c>
      <c r="L22" s="56">
        <v>506.1</v>
      </c>
      <c r="M22" s="56">
        <v>56.471769694264673</v>
      </c>
      <c r="N22" s="56">
        <v>203.21732209632131</v>
      </c>
      <c r="O22" s="56">
        <v>41297.279999999999</v>
      </c>
      <c r="P22" s="7">
        <v>3195</v>
      </c>
      <c r="Q22" s="56">
        <v>319.5</v>
      </c>
      <c r="R22" s="56">
        <v>35.650524436509706</v>
      </c>
      <c r="S22" s="56">
        <v>64.953521844469677</v>
      </c>
      <c r="T22" s="56">
        <v>4218.96</v>
      </c>
      <c r="U22" s="12" t="s">
        <v>26</v>
      </c>
      <c r="V22" s="14" t="s">
        <v>21</v>
      </c>
      <c r="W22" s="12" t="s">
        <v>21</v>
      </c>
      <c r="X22" s="12" t="s">
        <v>23</v>
      </c>
      <c r="Y22" s="12" t="s">
        <v>35</v>
      </c>
      <c r="Z22" s="16" t="s">
        <v>85</v>
      </c>
      <c r="AA22" s="56">
        <v>20.821245257754967</v>
      </c>
      <c r="AB22" s="15" t="s">
        <v>89</v>
      </c>
    </row>
    <row r="23" spans="1:28">
      <c r="A23" s="12">
        <v>11</v>
      </c>
      <c r="B23" s="53">
        <v>57</v>
      </c>
      <c r="C23" s="54" t="s">
        <v>76</v>
      </c>
      <c r="D23" s="55">
        <v>5</v>
      </c>
      <c r="E23" s="12" t="s">
        <v>77</v>
      </c>
      <c r="F23" s="12">
        <v>11967</v>
      </c>
      <c r="G23" s="12">
        <v>8234</v>
      </c>
      <c r="H23" s="56">
        <v>823.4</v>
      </c>
      <c r="I23" s="56">
        <v>96.904282671097675</v>
      </c>
      <c r="J23" s="56">
        <v>9390.44</v>
      </c>
      <c r="K23" s="7">
        <v>6740</v>
      </c>
      <c r="L23" s="56">
        <v>474</v>
      </c>
      <c r="M23" s="56">
        <v>57.566188972552837</v>
      </c>
      <c r="N23" s="56">
        <v>94.081666651904087</v>
      </c>
      <c r="O23" s="56">
        <v>8851.36</v>
      </c>
      <c r="P23" s="7">
        <v>3204</v>
      </c>
      <c r="Q23" s="56">
        <v>320.39999999999998</v>
      </c>
      <c r="R23" s="56">
        <v>38.911829001700262</v>
      </c>
      <c r="S23" s="56">
        <v>62.302487911800121</v>
      </c>
      <c r="T23" s="56">
        <v>3881.6000000000004</v>
      </c>
      <c r="U23" s="12" t="s">
        <v>20</v>
      </c>
      <c r="V23" s="14" t="s">
        <v>21</v>
      </c>
      <c r="W23" s="12" t="s">
        <v>22</v>
      </c>
      <c r="X23" s="12" t="s">
        <v>23</v>
      </c>
      <c r="Y23" s="12" t="e">
        <v>#DIV/0!</v>
      </c>
      <c r="Z23" s="16" t="s">
        <v>85</v>
      </c>
      <c r="AA23" s="56">
        <v>18.654359970852568</v>
      </c>
      <c r="AB23" s="15" t="s">
        <v>89</v>
      </c>
    </row>
    <row r="24" spans="1:28">
      <c r="A24" s="12">
        <v>12</v>
      </c>
      <c r="B24" s="53">
        <v>58</v>
      </c>
      <c r="C24" s="54" t="s">
        <v>78</v>
      </c>
      <c r="D24" s="55">
        <v>4</v>
      </c>
      <c r="E24" s="12" t="s">
        <v>79</v>
      </c>
      <c r="F24" s="12">
        <v>8512</v>
      </c>
      <c r="G24" s="12">
        <v>5981</v>
      </c>
      <c r="H24" s="56">
        <v>747.625</v>
      </c>
      <c r="I24" s="56">
        <v>75.567643538752748</v>
      </c>
      <c r="J24" s="56">
        <v>5710.46875</v>
      </c>
      <c r="K24" s="7">
        <v>3425</v>
      </c>
      <c r="L24" s="56">
        <v>428.125</v>
      </c>
      <c r="M24" s="56">
        <v>57.264671459622143</v>
      </c>
      <c r="N24" s="56">
        <v>88.711435283169664</v>
      </c>
      <c r="O24" s="56">
        <v>7869.71875</v>
      </c>
      <c r="P24" s="7">
        <v>2355</v>
      </c>
      <c r="Q24" s="56">
        <v>294.375</v>
      </c>
      <c r="R24" s="56">
        <v>39.374686507273033</v>
      </c>
      <c r="S24" s="56">
        <v>74.219059209882204</v>
      </c>
      <c r="T24" s="56">
        <v>5508.46875</v>
      </c>
      <c r="U24" s="12" t="s">
        <v>20</v>
      </c>
      <c r="V24" s="14" t="s">
        <v>21</v>
      </c>
      <c r="W24" s="12" t="s">
        <v>22</v>
      </c>
      <c r="X24" s="12" t="s">
        <v>23</v>
      </c>
      <c r="Y24" s="12" t="e">
        <v>#DIV/0!</v>
      </c>
      <c r="Z24" s="16" t="s">
        <v>85</v>
      </c>
      <c r="AA24" s="56">
        <v>17.889984952349106</v>
      </c>
      <c r="AB24" s="15" t="s">
        <v>89</v>
      </c>
    </row>
    <row r="25" spans="1:28">
      <c r="A25" s="12">
        <v>13</v>
      </c>
      <c r="B25" s="53">
        <v>60</v>
      </c>
      <c r="C25" s="54" t="s">
        <v>82</v>
      </c>
      <c r="D25" s="55">
        <v>7</v>
      </c>
      <c r="E25" s="12" t="s">
        <v>83</v>
      </c>
      <c r="F25" s="12">
        <v>14269</v>
      </c>
      <c r="G25" s="12">
        <v>10837</v>
      </c>
      <c r="H25" s="56">
        <v>774.07142857142856</v>
      </c>
      <c r="I25" s="56">
        <v>127.91259771055087</v>
      </c>
      <c r="J25" s="56">
        <v>16361.632653061224</v>
      </c>
      <c r="K25" s="7">
        <v>5846</v>
      </c>
      <c r="L25" s="56">
        <v>417.57142857142856</v>
      </c>
      <c r="M25" s="56">
        <v>53.94481867675556</v>
      </c>
      <c r="N25" s="56">
        <v>258.9432212604429</v>
      </c>
      <c r="O25" s="56">
        <v>67051.591836734689</v>
      </c>
      <c r="P25" s="7">
        <v>4356</v>
      </c>
      <c r="Q25" s="56">
        <v>311.14285714285711</v>
      </c>
      <c r="R25" s="56">
        <v>40.195626095782963</v>
      </c>
      <c r="S25" s="56">
        <v>233.57064220051112</v>
      </c>
      <c r="T25" s="56">
        <v>54555.244897959186</v>
      </c>
      <c r="U25" s="12" t="s">
        <v>26</v>
      </c>
      <c r="V25" s="14" t="s">
        <v>21</v>
      </c>
      <c r="W25" s="12" t="s">
        <v>21</v>
      </c>
      <c r="X25" s="12" t="s">
        <v>23</v>
      </c>
      <c r="Y25" s="12" t="s">
        <v>32</v>
      </c>
      <c r="Z25" s="16" t="s">
        <v>85</v>
      </c>
      <c r="AA25" s="56">
        <v>13.749192580972597</v>
      </c>
      <c r="AB25" s="15" t="s">
        <v>89</v>
      </c>
    </row>
    <row r="26" spans="1:28" s="70" customFormat="1" ht="15.75">
      <c r="A26" s="35"/>
      <c r="B26" s="35"/>
      <c r="C26" s="69"/>
      <c r="D26" s="35"/>
      <c r="E26" s="35"/>
      <c r="F26" s="35">
        <f>SUM(F13:F25)</f>
        <v>156974</v>
      </c>
      <c r="G26" s="35">
        <f>SUM(G13:G25)</f>
        <v>109628</v>
      </c>
      <c r="H26" s="35"/>
      <c r="I26" s="35"/>
      <c r="J26" s="35"/>
      <c r="K26" s="35">
        <f>SUM(K13:K25)</f>
        <v>64876</v>
      </c>
      <c r="L26" s="35"/>
      <c r="M26" s="35"/>
      <c r="N26" s="35"/>
      <c r="O26" s="35"/>
      <c r="P26" s="35">
        <f>SUM(P13:P25)</f>
        <v>41982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1:28" ht="26.25">
      <c r="A27" s="100" t="s">
        <v>90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</row>
    <row r="28" spans="1:28">
      <c r="A28" s="86" t="s">
        <v>1</v>
      </c>
      <c r="B28" s="77" t="s">
        <v>2</v>
      </c>
      <c r="C28" s="86" t="s">
        <v>3</v>
      </c>
      <c r="D28" s="77" t="s">
        <v>4</v>
      </c>
      <c r="E28" s="86" t="s">
        <v>5</v>
      </c>
      <c r="F28" s="77" t="s">
        <v>122</v>
      </c>
      <c r="G28" s="77" t="s">
        <v>385</v>
      </c>
      <c r="H28" s="86" t="s">
        <v>6</v>
      </c>
      <c r="I28" s="86"/>
      <c r="J28" s="86"/>
      <c r="K28" s="82" t="s">
        <v>7</v>
      </c>
      <c r="L28" s="83"/>
      <c r="M28" s="83"/>
      <c r="N28" s="83"/>
      <c r="O28" s="84"/>
      <c r="P28" s="79" t="s">
        <v>8</v>
      </c>
      <c r="Q28" s="80"/>
      <c r="R28" s="80"/>
      <c r="S28" s="80"/>
      <c r="T28" s="81"/>
      <c r="U28" s="86">
        <v>2018</v>
      </c>
      <c r="V28" s="86"/>
      <c r="W28" s="86"/>
      <c r="X28" s="86"/>
      <c r="Y28" s="86"/>
      <c r="Z28" s="88" t="s">
        <v>9</v>
      </c>
      <c r="AA28" s="88" t="s">
        <v>10</v>
      </c>
      <c r="AB28" s="88" t="s">
        <v>11</v>
      </c>
    </row>
    <row r="29" spans="1:28" ht="90">
      <c r="A29" s="86"/>
      <c r="B29" s="78"/>
      <c r="C29" s="87"/>
      <c r="D29" s="78"/>
      <c r="E29" s="86"/>
      <c r="F29" s="78"/>
      <c r="G29" s="78"/>
      <c r="H29" s="5" t="s">
        <v>12</v>
      </c>
      <c r="I29" s="5" t="s">
        <v>392</v>
      </c>
      <c r="J29" s="5" t="s">
        <v>13</v>
      </c>
      <c r="K29" s="5" t="s">
        <v>393</v>
      </c>
      <c r="L29" s="5" t="s">
        <v>12</v>
      </c>
      <c r="M29" s="5" t="s">
        <v>119</v>
      </c>
      <c r="N29" s="5" t="s">
        <v>392</v>
      </c>
      <c r="O29" s="5" t="s">
        <v>13</v>
      </c>
      <c r="P29" s="5" t="s">
        <v>394</v>
      </c>
      <c r="Q29" s="5" t="s">
        <v>12</v>
      </c>
      <c r="R29" s="5" t="s">
        <v>119</v>
      </c>
      <c r="S29" s="5" t="s">
        <v>392</v>
      </c>
      <c r="T29" s="5" t="s">
        <v>13</v>
      </c>
      <c r="U29" s="5" t="s">
        <v>14</v>
      </c>
      <c r="V29" s="5" t="s">
        <v>15</v>
      </c>
      <c r="W29" s="5" t="s">
        <v>16</v>
      </c>
      <c r="X29" s="5" t="s">
        <v>17</v>
      </c>
      <c r="Y29" s="5" t="s">
        <v>18</v>
      </c>
      <c r="Z29" s="88"/>
      <c r="AA29" s="88"/>
      <c r="AB29" s="88"/>
    </row>
    <row r="30" spans="1:28">
      <c r="A30" s="12">
        <v>1</v>
      </c>
      <c r="B30" s="53">
        <v>21</v>
      </c>
      <c r="C30" s="54" t="s">
        <v>103</v>
      </c>
      <c r="D30" s="55">
        <v>6</v>
      </c>
      <c r="E30" s="12" t="s">
        <v>19</v>
      </c>
      <c r="F30" s="12">
        <v>13795</v>
      </c>
      <c r="G30" s="12">
        <v>10042</v>
      </c>
      <c r="H30" s="56">
        <v>938.33333333333326</v>
      </c>
      <c r="I30" s="56">
        <v>176.83875266593702</v>
      </c>
      <c r="J30" s="56">
        <v>31271.944444444445</v>
      </c>
      <c r="K30" s="7">
        <v>6451</v>
      </c>
      <c r="L30" s="56">
        <v>624.08333333333337</v>
      </c>
      <c r="M30" s="56">
        <v>66.509769094138548</v>
      </c>
      <c r="N30" s="56">
        <v>138.97206953597225</v>
      </c>
      <c r="O30" s="56">
        <v>19313.236111111109</v>
      </c>
      <c r="P30" s="7">
        <v>3167</v>
      </c>
      <c r="Q30" s="56">
        <v>269.33333333333337</v>
      </c>
      <c r="R30" s="56">
        <v>28.703374777975139</v>
      </c>
      <c r="S30" s="56">
        <v>46.966447834834412</v>
      </c>
      <c r="T30" s="56">
        <v>2205.8472222222222</v>
      </c>
      <c r="U30" s="12" t="s">
        <v>26</v>
      </c>
      <c r="V30" s="14" t="s">
        <v>22</v>
      </c>
      <c r="W30" s="12" t="s">
        <v>21</v>
      </c>
      <c r="X30" s="12" t="s">
        <v>23</v>
      </c>
      <c r="Y30" s="12" t="s">
        <v>35</v>
      </c>
      <c r="Z30" s="16" t="s">
        <v>85</v>
      </c>
      <c r="AA30" s="56">
        <v>37.806394316163413</v>
      </c>
      <c r="AB30" s="24" t="s">
        <v>99</v>
      </c>
    </row>
    <row r="31" spans="1:28">
      <c r="A31" s="12">
        <v>2</v>
      </c>
      <c r="B31" s="53">
        <v>26</v>
      </c>
      <c r="C31" s="54" t="s">
        <v>106</v>
      </c>
      <c r="D31" s="55">
        <v>7</v>
      </c>
      <c r="E31" s="18" t="s">
        <v>27</v>
      </c>
      <c r="F31" s="12">
        <v>16428</v>
      </c>
      <c r="G31" s="12">
        <v>11725</v>
      </c>
      <c r="H31" s="56">
        <v>732.8125</v>
      </c>
      <c r="I31" s="56">
        <v>204.79896774031846</v>
      </c>
      <c r="J31" s="56">
        <v>41942.6171875</v>
      </c>
      <c r="K31" s="7">
        <v>7502</v>
      </c>
      <c r="L31" s="56">
        <v>468.875</v>
      </c>
      <c r="M31" s="56">
        <v>63.982942430703623</v>
      </c>
      <c r="N31" s="56">
        <v>139.99860490376324</v>
      </c>
      <c r="O31" s="56">
        <v>19599.609375</v>
      </c>
      <c r="P31" s="7">
        <v>3848</v>
      </c>
      <c r="Q31" s="56">
        <v>240.5</v>
      </c>
      <c r="R31" s="56">
        <v>32.818763326226012</v>
      </c>
      <c r="S31" s="56">
        <v>67.618299113479623</v>
      </c>
      <c r="T31" s="56">
        <v>4572.234375</v>
      </c>
      <c r="U31" s="12" t="s">
        <v>20</v>
      </c>
      <c r="V31" s="14" t="s">
        <v>22</v>
      </c>
      <c r="W31" s="12" t="s">
        <v>21</v>
      </c>
      <c r="X31" s="12" t="s">
        <v>23</v>
      </c>
      <c r="Y31" s="12" t="s">
        <v>35</v>
      </c>
      <c r="Z31" s="16" t="s">
        <v>85</v>
      </c>
      <c r="AA31" s="56">
        <v>31.164179104477611</v>
      </c>
      <c r="AB31" s="24" t="s">
        <v>99</v>
      </c>
    </row>
    <row r="32" spans="1:28">
      <c r="A32" s="12">
        <v>3</v>
      </c>
      <c r="B32" s="53">
        <v>27</v>
      </c>
      <c r="C32" s="54" t="s">
        <v>78</v>
      </c>
      <c r="D32" s="55">
        <v>6</v>
      </c>
      <c r="E32" s="18" t="s">
        <v>28</v>
      </c>
      <c r="F32" s="12">
        <v>12350</v>
      </c>
      <c r="G32" s="12">
        <v>9133</v>
      </c>
      <c r="H32" s="56">
        <v>761.08333333333326</v>
      </c>
      <c r="I32" s="56">
        <v>181.56790128703307</v>
      </c>
      <c r="J32" s="56">
        <v>32966.902777777781</v>
      </c>
      <c r="K32" s="7">
        <v>6096</v>
      </c>
      <c r="L32" s="56">
        <v>508</v>
      </c>
      <c r="M32" s="56">
        <v>66.746961567940446</v>
      </c>
      <c r="N32" s="56">
        <v>123.25447929656215</v>
      </c>
      <c r="O32" s="56">
        <v>15191.666666666668</v>
      </c>
      <c r="P32" s="7">
        <v>2744</v>
      </c>
      <c r="Q32" s="56">
        <v>228.66666666666666</v>
      </c>
      <c r="R32" s="56">
        <v>30.044892149348517</v>
      </c>
      <c r="S32" s="56">
        <v>81.87066358321249</v>
      </c>
      <c r="T32" s="56">
        <v>6702.8055555555557</v>
      </c>
      <c r="U32" s="12" t="s">
        <v>26</v>
      </c>
      <c r="V32" s="14" t="s">
        <v>22</v>
      </c>
      <c r="W32" s="12" t="s">
        <v>21</v>
      </c>
      <c r="X32" s="12" t="s">
        <v>23</v>
      </c>
      <c r="Y32" s="12" t="s">
        <v>32</v>
      </c>
      <c r="Z32" s="16" t="s">
        <v>85</v>
      </c>
      <c r="AA32" s="56">
        <v>36.702069418591925</v>
      </c>
      <c r="AB32" s="24" t="s">
        <v>99</v>
      </c>
    </row>
    <row r="33" spans="1:28">
      <c r="A33" s="12">
        <v>4</v>
      </c>
      <c r="B33" s="53">
        <v>32</v>
      </c>
      <c r="C33" s="54" t="s">
        <v>109</v>
      </c>
      <c r="D33" s="55">
        <v>5</v>
      </c>
      <c r="E33" s="18" t="s">
        <v>36</v>
      </c>
      <c r="F33" s="12">
        <v>10062</v>
      </c>
      <c r="G33" s="12">
        <v>7185</v>
      </c>
      <c r="H33" s="56">
        <v>718.5</v>
      </c>
      <c r="I33" s="56">
        <v>208.26031787164831</v>
      </c>
      <c r="J33" s="56">
        <v>43372.36</v>
      </c>
      <c r="K33" s="7">
        <v>4667</v>
      </c>
      <c r="L33" s="56">
        <v>466.70000000000005</v>
      </c>
      <c r="M33" s="56">
        <v>64.954766875434942</v>
      </c>
      <c r="N33" s="56">
        <v>133.09019498069722</v>
      </c>
      <c r="O33" s="56">
        <v>17713</v>
      </c>
      <c r="P33" s="7">
        <v>2228</v>
      </c>
      <c r="Q33" s="56">
        <v>222.8</v>
      </c>
      <c r="R33" s="56">
        <v>31.009046624913019</v>
      </c>
      <c r="S33" s="56">
        <v>79.694416366518425</v>
      </c>
      <c r="T33" s="56">
        <v>6351.2</v>
      </c>
      <c r="U33" s="56" t="s">
        <v>26</v>
      </c>
      <c r="V33" s="14" t="s">
        <v>22</v>
      </c>
      <c r="W33" s="12" t="s">
        <v>21</v>
      </c>
      <c r="X33" s="57" t="s">
        <v>23</v>
      </c>
      <c r="Y33" s="14" t="s">
        <v>35</v>
      </c>
      <c r="Z33" s="16" t="s">
        <v>85</v>
      </c>
      <c r="AA33" s="56">
        <v>33.94572025052193</v>
      </c>
      <c r="AB33" s="24" t="s">
        <v>99</v>
      </c>
    </row>
    <row r="34" spans="1:28" s="70" customFormat="1" ht="15.75">
      <c r="A34" s="35"/>
      <c r="B34" s="35"/>
      <c r="C34" s="69"/>
      <c r="D34" s="35"/>
      <c r="E34" s="35"/>
      <c r="F34" s="35">
        <f>SUM(F30:F33)</f>
        <v>52635</v>
      </c>
      <c r="G34" s="35">
        <f>SUM(G30:G33)</f>
        <v>38085</v>
      </c>
      <c r="H34" s="35"/>
      <c r="I34" s="35"/>
      <c r="J34" s="35"/>
      <c r="K34" s="35">
        <f>SUM(K30:K33)</f>
        <v>24716</v>
      </c>
      <c r="L34" s="35"/>
      <c r="M34" s="35"/>
      <c r="N34" s="35"/>
      <c r="O34" s="35"/>
      <c r="P34" s="35">
        <f>SUM(P30:P33)</f>
        <v>11987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1:28" ht="26.25">
      <c r="A35" s="100" t="s">
        <v>91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</row>
    <row r="36" spans="1:28">
      <c r="A36" s="86" t="s">
        <v>1</v>
      </c>
      <c r="B36" s="77" t="s">
        <v>2</v>
      </c>
      <c r="C36" s="86" t="s">
        <v>3</v>
      </c>
      <c r="D36" s="77" t="s">
        <v>4</v>
      </c>
      <c r="E36" s="86" t="s">
        <v>5</v>
      </c>
      <c r="F36" s="77" t="s">
        <v>122</v>
      </c>
      <c r="G36" s="77" t="s">
        <v>385</v>
      </c>
      <c r="H36" s="86" t="s">
        <v>6</v>
      </c>
      <c r="I36" s="86"/>
      <c r="J36" s="86"/>
      <c r="K36" s="82" t="s">
        <v>7</v>
      </c>
      <c r="L36" s="83"/>
      <c r="M36" s="83"/>
      <c r="N36" s="83"/>
      <c r="O36" s="84"/>
      <c r="P36" s="79" t="s">
        <v>8</v>
      </c>
      <c r="Q36" s="80"/>
      <c r="R36" s="80"/>
      <c r="S36" s="80"/>
      <c r="T36" s="81"/>
      <c r="U36" s="86">
        <v>2018</v>
      </c>
      <c r="V36" s="86"/>
      <c r="W36" s="86"/>
      <c r="X36" s="86"/>
      <c r="Y36" s="86"/>
      <c r="Z36" s="88" t="s">
        <v>9</v>
      </c>
      <c r="AA36" s="88" t="s">
        <v>10</v>
      </c>
      <c r="AB36" s="88" t="s">
        <v>11</v>
      </c>
    </row>
    <row r="37" spans="1:28" ht="90">
      <c r="A37" s="86"/>
      <c r="B37" s="78"/>
      <c r="C37" s="87"/>
      <c r="D37" s="78"/>
      <c r="E37" s="86"/>
      <c r="F37" s="78"/>
      <c r="G37" s="78"/>
      <c r="H37" s="5" t="s">
        <v>12</v>
      </c>
      <c r="I37" s="5" t="s">
        <v>392</v>
      </c>
      <c r="J37" s="5" t="s">
        <v>13</v>
      </c>
      <c r="K37" s="5" t="s">
        <v>393</v>
      </c>
      <c r="L37" s="5" t="s">
        <v>12</v>
      </c>
      <c r="M37" s="5" t="s">
        <v>119</v>
      </c>
      <c r="N37" s="5" t="s">
        <v>392</v>
      </c>
      <c r="O37" s="5" t="s">
        <v>13</v>
      </c>
      <c r="P37" s="5" t="s">
        <v>121</v>
      </c>
      <c r="Q37" s="5" t="s">
        <v>12</v>
      </c>
      <c r="R37" s="5" t="s">
        <v>119</v>
      </c>
      <c r="S37" s="5" t="s">
        <v>392</v>
      </c>
      <c r="T37" s="5" t="s">
        <v>13</v>
      </c>
      <c r="U37" s="5" t="s">
        <v>14</v>
      </c>
      <c r="V37" s="5" t="s">
        <v>15</v>
      </c>
      <c r="W37" s="5" t="s">
        <v>16</v>
      </c>
      <c r="X37" s="5" t="s">
        <v>17</v>
      </c>
      <c r="Y37" s="5" t="s">
        <v>18</v>
      </c>
      <c r="Z37" s="88"/>
      <c r="AA37" s="88"/>
      <c r="AB37" s="88"/>
    </row>
    <row r="38" spans="1:28">
      <c r="A38" s="12">
        <v>1</v>
      </c>
      <c r="B38" s="53">
        <v>42</v>
      </c>
      <c r="C38" s="54" t="s">
        <v>47</v>
      </c>
      <c r="D38" s="55">
        <v>7</v>
      </c>
      <c r="E38" s="12" t="s">
        <v>48</v>
      </c>
      <c r="F38" s="12">
        <v>15376</v>
      </c>
      <c r="G38" s="12">
        <v>10391</v>
      </c>
      <c r="H38" s="56">
        <v>742.21428571428578</v>
      </c>
      <c r="I38" s="56">
        <v>155.10312566752719</v>
      </c>
      <c r="J38" s="56">
        <v>24056.979591836734</v>
      </c>
      <c r="K38" s="7">
        <v>7395</v>
      </c>
      <c r="L38" s="56">
        <v>528.21428571428578</v>
      </c>
      <c r="M38" s="56">
        <f t="shared" ref="M38" si="0">(L38/H38)*100</f>
        <v>71.16735636608604</v>
      </c>
      <c r="N38" s="56">
        <v>223.50779559979011</v>
      </c>
      <c r="O38" s="56">
        <v>49955.734693877552</v>
      </c>
      <c r="P38" s="7">
        <v>2634</v>
      </c>
      <c r="Q38" s="56">
        <v>188.14285714285714</v>
      </c>
      <c r="R38" s="56">
        <f t="shared" ref="R38" si="1">(Q38/H38)*100</f>
        <v>25.348859590029832</v>
      </c>
      <c r="S38" s="56">
        <v>95.158299905033644</v>
      </c>
      <c r="T38" s="56">
        <v>9055.1020408163258</v>
      </c>
      <c r="U38" s="12" t="s">
        <v>20</v>
      </c>
      <c r="V38" s="14" t="s">
        <v>22</v>
      </c>
      <c r="W38" s="12" t="s">
        <v>21</v>
      </c>
      <c r="X38" s="12" t="s">
        <v>23</v>
      </c>
      <c r="Y38" s="12" t="s">
        <v>35</v>
      </c>
      <c r="Z38" s="16" t="str">
        <f t="shared" ref="Z38" si="2">IF(L38&gt;Q38,"BJP GAIN","CONGRESS GAIN")</f>
        <v>BJP GAIN</v>
      </c>
      <c r="AA38" s="56">
        <f>((L38-Q38)/H38)*100</f>
        <v>45.818496776056215</v>
      </c>
      <c r="AB38" s="19" t="str">
        <f t="shared" ref="AB38" si="3">IF(AA38&gt;=50,"VERYHIGHMARGIN",IF(AA38&gt;=40,"HIGHMARGIN",IF(AA38&gt;=30,"MEDIUMMARGIN",IF(AA38&gt;10,"LOWMARGIN",IF(AA38&gt;=1,"NARROWMARGIN")))))</f>
        <v>HIGHMARGIN</v>
      </c>
    </row>
    <row r="39" spans="1:28" ht="26.25">
      <c r="A39" s="100" t="s">
        <v>93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</row>
    <row r="40" spans="1:28">
      <c r="A40" s="86" t="s">
        <v>1</v>
      </c>
      <c r="B40" s="77" t="s">
        <v>2</v>
      </c>
      <c r="C40" s="86" t="s">
        <v>3</v>
      </c>
      <c r="D40" s="77" t="s">
        <v>4</v>
      </c>
      <c r="E40" s="86" t="s">
        <v>5</v>
      </c>
      <c r="F40" s="77" t="s">
        <v>122</v>
      </c>
      <c r="G40" s="77" t="s">
        <v>385</v>
      </c>
      <c r="H40" s="86" t="s">
        <v>6</v>
      </c>
      <c r="I40" s="86"/>
      <c r="J40" s="86"/>
      <c r="K40" s="82" t="s">
        <v>7</v>
      </c>
      <c r="L40" s="83"/>
      <c r="M40" s="83"/>
      <c r="N40" s="83"/>
      <c r="O40" s="84"/>
      <c r="P40" s="79" t="s">
        <v>8</v>
      </c>
      <c r="Q40" s="80"/>
      <c r="R40" s="80"/>
      <c r="S40" s="80"/>
      <c r="T40" s="81"/>
      <c r="U40" s="86">
        <v>2018</v>
      </c>
      <c r="V40" s="86"/>
      <c r="W40" s="86"/>
      <c r="X40" s="86"/>
      <c r="Y40" s="86"/>
      <c r="Z40" s="88" t="s">
        <v>9</v>
      </c>
      <c r="AA40" s="88" t="s">
        <v>10</v>
      </c>
      <c r="AB40" s="88" t="s">
        <v>11</v>
      </c>
    </row>
    <row r="41" spans="1:28" ht="90">
      <c r="A41" s="86"/>
      <c r="B41" s="78"/>
      <c r="C41" s="87"/>
      <c r="D41" s="78"/>
      <c r="E41" s="86"/>
      <c r="F41" s="78"/>
      <c r="G41" s="78"/>
      <c r="H41" s="5" t="s">
        <v>12</v>
      </c>
      <c r="I41" s="5" t="s">
        <v>392</v>
      </c>
      <c r="J41" s="5" t="s">
        <v>13</v>
      </c>
      <c r="K41" s="5" t="s">
        <v>393</v>
      </c>
      <c r="L41" s="5" t="s">
        <v>12</v>
      </c>
      <c r="M41" s="5" t="s">
        <v>119</v>
      </c>
      <c r="N41" s="5" t="s">
        <v>392</v>
      </c>
      <c r="O41" s="5" t="s">
        <v>13</v>
      </c>
      <c r="P41" s="5" t="s">
        <v>394</v>
      </c>
      <c r="Q41" s="5" t="s">
        <v>12</v>
      </c>
      <c r="R41" s="5" t="s">
        <v>119</v>
      </c>
      <c r="S41" s="5" t="s">
        <v>392</v>
      </c>
      <c r="T41" s="5" t="s">
        <v>13</v>
      </c>
      <c r="U41" s="5" t="s">
        <v>14</v>
      </c>
      <c r="V41" s="5" t="s">
        <v>15</v>
      </c>
      <c r="W41" s="5" t="s">
        <v>16</v>
      </c>
      <c r="X41" s="5" t="s">
        <v>17</v>
      </c>
      <c r="Y41" s="5" t="s">
        <v>18</v>
      </c>
      <c r="Z41" s="88"/>
      <c r="AA41" s="88"/>
      <c r="AB41" s="88"/>
    </row>
    <row r="42" spans="1:28">
      <c r="A42" s="12">
        <v>1</v>
      </c>
      <c r="B42" s="53">
        <v>28</v>
      </c>
      <c r="C42" s="54" t="s">
        <v>111</v>
      </c>
      <c r="D42" s="55">
        <v>4</v>
      </c>
      <c r="E42" s="18" t="s">
        <v>29</v>
      </c>
      <c r="F42" s="12">
        <v>9695</v>
      </c>
      <c r="G42" s="12">
        <v>6946</v>
      </c>
      <c r="H42" s="56">
        <v>868.25</v>
      </c>
      <c r="I42" s="56">
        <v>149.06018079956834</v>
      </c>
      <c r="J42" s="56">
        <v>22218.9375</v>
      </c>
      <c r="K42" s="7">
        <v>5215</v>
      </c>
      <c r="L42" s="56">
        <v>651.875</v>
      </c>
      <c r="M42" s="56">
        <v>75.079182263173053</v>
      </c>
      <c r="N42" s="56">
        <v>115.5123099500655</v>
      </c>
      <c r="O42" s="56">
        <v>13343.09375</v>
      </c>
      <c r="P42" s="7">
        <v>1510</v>
      </c>
      <c r="Q42" s="56">
        <v>188.75</v>
      </c>
      <c r="R42" s="56">
        <v>21.739130434782609</v>
      </c>
      <c r="S42" s="56">
        <v>45.132443984344569</v>
      </c>
      <c r="T42" s="56">
        <v>2036.9375</v>
      </c>
      <c r="U42" s="12" t="s">
        <v>20</v>
      </c>
      <c r="V42" s="14" t="s">
        <v>22</v>
      </c>
      <c r="W42" s="12" t="s">
        <v>21</v>
      </c>
      <c r="X42" s="58" t="s">
        <v>30</v>
      </c>
      <c r="Y42" s="12" t="s">
        <v>32</v>
      </c>
      <c r="Z42" s="16" t="s">
        <v>85</v>
      </c>
      <c r="AA42" s="56">
        <v>53.340051828390443</v>
      </c>
      <c r="AB42" s="14" t="s">
        <v>94</v>
      </c>
    </row>
    <row r="43" spans="1:28">
      <c r="A43" s="12">
        <v>2</v>
      </c>
      <c r="B43" s="53">
        <v>29</v>
      </c>
      <c r="C43" s="54" t="s">
        <v>112</v>
      </c>
      <c r="D43" s="55">
        <v>4</v>
      </c>
      <c r="E43" s="18" t="s">
        <v>31</v>
      </c>
      <c r="F43" s="12">
        <v>9526</v>
      </c>
      <c r="G43" s="12">
        <v>6449</v>
      </c>
      <c r="H43" s="56">
        <v>806.125</v>
      </c>
      <c r="I43" s="56">
        <v>151.23522655122383</v>
      </c>
      <c r="J43" s="56">
        <v>22872.09375</v>
      </c>
      <c r="K43" s="7">
        <v>4937</v>
      </c>
      <c r="L43" s="56">
        <v>617.125</v>
      </c>
      <c r="M43" s="56">
        <v>76.554504574352606</v>
      </c>
      <c r="N43" s="56">
        <v>151.72209380970196</v>
      </c>
      <c r="O43" s="56">
        <v>23019.59375</v>
      </c>
      <c r="P43" s="7">
        <v>1301</v>
      </c>
      <c r="Q43" s="56">
        <v>162.625</v>
      </c>
      <c r="R43" s="56">
        <v>20.173670336486278</v>
      </c>
      <c r="S43" s="56">
        <v>48.107626734229989</v>
      </c>
      <c r="T43" s="56">
        <v>2314.34375</v>
      </c>
      <c r="U43" s="12" t="s">
        <v>20</v>
      </c>
      <c r="V43" s="14" t="s">
        <v>22</v>
      </c>
      <c r="W43" s="12" t="s">
        <v>21</v>
      </c>
      <c r="X43" s="57" t="s">
        <v>23</v>
      </c>
      <c r="Y43" s="16" t="s">
        <v>32</v>
      </c>
      <c r="Z43" s="16" t="s">
        <v>85</v>
      </c>
      <c r="AA43" s="56">
        <v>56.380834237866338</v>
      </c>
      <c r="AB43" s="14" t="s">
        <v>94</v>
      </c>
    </row>
    <row r="44" spans="1:28">
      <c r="A44" s="12">
        <v>3</v>
      </c>
      <c r="B44" s="53">
        <v>41</v>
      </c>
      <c r="C44" s="54" t="s">
        <v>113</v>
      </c>
      <c r="D44" s="55">
        <v>5</v>
      </c>
      <c r="E44" s="18" t="s">
        <v>46</v>
      </c>
      <c r="F44" s="12">
        <v>9399</v>
      </c>
      <c r="G44" s="12">
        <v>6555</v>
      </c>
      <c r="H44" s="56">
        <v>655.5</v>
      </c>
      <c r="I44" s="56">
        <v>142.91955779388627</v>
      </c>
      <c r="J44" s="56">
        <v>20426</v>
      </c>
      <c r="K44" s="7">
        <v>5050</v>
      </c>
      <c r="L44" s="56">
        <v>505</v>
      </c>
      <c r="M44" s="56">
        <v>77.040427154843627</v>
      </c>
      <c r="N44" s="56">
        <v>154.6843237047633</v>
      </c>
      <c r="O44" s="56">
        <v>23927.239999999998</v>
      </c>
      <c r="P44" s="7">
        <v>1304</v>
      </c>
      <c r="Q44" s="56">
        <v>130.4</v>
      </c>
      <c r="R44" s="56">
        <v>19.893211289092296</v>
      </c>
      <c r="S44" s="56">
        <v>35.023991777066186</v>
      </c>
      <c r="T44" s="56">
        <v>1226.6799999999998</v>
      </c>
      <c r="U44" s="12" t="s">
        <v>26</v>
      </c>
      <c r="V44" s="14" t="s">
        <v>22</v>
      </c>
      <c r="W44" s="12" t="s">
        <v>21</v>
      </c>
      <c r="X44" s="12" t="s">
        <v>30</v>
      </c>
      <c r="Y44" s="12" t="s">
        <v>35</v>
      </c>
      <c r="Z44" s="16" t="s">
        <v>85</v>
      </c>
      <c r="AA44" s="56">
        <v>57.147215865751335</v>
      </c>
      <c r="AB44" s="14" t="s">
        <v>94</v>
      </c>
    </row>
    <row r="45" spans="1:28" ht="15.75">
      <c r="A45" s="71"/>
      <c r="B45" s="71"/>
      <c r="C45" s="71"/>
      <c r="D45" s="71"/>
      <c r="E45" s="71"/>
      <c r="F45" s="71">
        <f>SUM(F42:F44)</f>
        <v>28620</v>
      </c>
      <c r="G45" s="71">
        <f>SUM(G42:G44)</f>
        <v>19950</v>
      </c>
      <c r="H45" s="71"/>
      <c r="I45" s="71"/>
      <c r="J45" s="71"/>
      <c r="K45" s="71">
        <f>SUM(K42:K44)</f>
        <v>15202</v>
      </c>
      <c r="L45" s="71"/>
      <c r="M45" s="71"/>
      <c r="N45" s="71"/>
      <c r="O45" s="71"/>
      <c r="P45" s="71">
        <f>SUM(P42:P44)</f>
        <v>4115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</row>
  </sheetData>
  <sheetProtection password="CFB8" sheet="1" objects="1" scenarios="1"/>
  <mergeCells count="76">
    <mergeCell ref="A10:AB10"/>
    <mergeCell ref="A27:AB27"/>
    <mergeCell ref="A35:AB35"/>
    <mergeCell ref="A39:AB39"/>
    <mergeCell ref="D36:D37"/>
    <mergeCell ref="E36:E37"/>
    <mergeCell ref="F28:F29"/>
    <mergeCell ref="G28:G29"/>
    <mergeCell ref="H28:J28"/>
    <mergeCell ref="K28:O28"/>
    <mergeCell ref="P28:T28"/>
    <mergeCell ref="U28:Y28"/>
    <mergeCell ref="D11:D12"/>
    <mergeCell ref="E11:E12"/>
    <mergeCell ref="F11:F12"/>
    <mergeCell ref="G11:G12"/>
    <mergeCell ref="F40:F41"/>
    <mergeCell ref="G40:G41"/>
    <mergeCell ref="H40:J40"/>
    <mergeCell ref="A28:A29"/>
    <mergeCell ref="B28:B29"/>
    <mergeCell ref="C28:C29"/>
    <mergeCell ref="D28:D29"/>
    <mergeCell ref="E28:E29"/>
    <mergeCell ref="A36:A37"/>
    <mergeCell ref="B36:B37"/>
    <mergeCell ref="C36:C37"/>
    <mergeCell ref="A40:A41"/>
    <mergeCell ref="B40:B41"/>
    <mergeCell ref="C40:C41"/>
    <mergeCell ref="D40:D41"/>
    <mergeCell ref="E40:E41"/>
    <mergeCell ref="U3:Y3"/>
    <mergeCell ref="A1:AB1"/>
    <mergeCell ref="A2:AB2"/>
    <mergeCell ref="Z3:Z4"/>
    <mergeCell ref="AA3:AA4"/>
    <mergeCell ref="AB3:AB4"/>
    <mergeCell ref="F3:F4"/>
    <mergeCell ref="G3:G4"/>
    <mergeCell ref="H3:J3"/>
    <mergeCell ref="K3:O3"/>
    <mergeCell ref="P3:T3"/>
    <mergeCell ref="A3:A4"/>
    <mergeCell ref="B3:B4"/>
    <mergeCell ref="C3:C4"/>
    <mergeCell ref="D3:D4"/>
    <mergeCell ref="E3:E4"/>
    <mergeCell ref="AA11:AA12"/>
    <mergeCell ref="AB11:AB12"/>
    <mergeCell ref="A11:A12"/>
    <mergeCell ref="B11:B12"/>
    <mergeCell ref="C11:C12"/>
    <mergeCell ref="H11:J11"/>
    <mergeCell ref="K11:O11"/>
    <mergeCell ref="P11:T11"/>
    <mergeCell ref="U11:Y11"/>
    <mergeCell ref="Z11:Z12"/>
    <mergeCell ref="Z28:Z29"/>
    <mergeCell ref="AA28:AA29"/>
    <mergeCell ref="AB28:AB29"/>
    <mergeCell ref="F36:F37"/>
    <mergeCell ref="G36:G37"/>
    <mergeCell ref="H36:J36"/>
    <mergeCell ref="K36:O36"/>
    <mergeCell ref="P36:T36"/>
    <mergeCell ref="U36:Y36"/>
    <mergeCell ref="Z36:Z37"/>
    <mergeCell ref="AA36:AA37"/>
    <mergeCell ref="AB36:AB37"/>
    <mergeCell ref="AB40:AB41"/>
    <mergeCell ref="K40:O40"/>
    <mergeCell ref="P40:T40"/>
    <mergeCell ref="U40:Y40"/>
    <mergeCell ref="Z40:Z41"/>
    <mergeCell ref="AA40:AA41"/>
  </mergeCells>
  <conditionalFormatting sqref="O5:O9 U5:U9 O13:O16 O19:O26 U13:U16 U19:U26 O30:O32 U30:U32 O38 U38">
    <cfRule type="containsText" dxfId="220" priority="213" operator="containsText" text="AVG">
      <formula>NOT(ISERROR(SEARCH("AVG",O5)))</formula>
    </cfRule>
  </conditionalFormatting>
  <conditionalFormatting sqref="O5:O9 U5:U9 O13:O16 O19:O26 U13:U16 U19:U26 O30:O32 U30:U32 O38 U38">
    <cfRule type="cellIs" dxfId="219" priority="212" operator="equal">
      <formula>"STRONG"</formula>
    </cfRule>
  </conditionalFormatting>
  <conditionalFormatting sqref="O5:O9 U5:U9 O13:O16 O19:O26 U13:U16 U19:U26 O30:O32 U30:U32 O38 U38">
    <cfRule type="containsText" dxfId="218" priority="211" operator="containsText" text="VSTRONG">
      <formula>NOT(ISERROR(SEARCH("VSTRONG",O5)))</formula>
    </cfRule>
  </conditionalFormatting>
  <conditionalFormatting sqref="P5:P9 V5:V9 P13 P19:P26 V13 V19:V26 P30:P32 V30:V32 P38 V38">
    <cfRule type="containsText" dxfId="217" priority="210" operator="containsText" text="STRONG">
      <formula>NOT(ISERROR(SEARCH("STRONG",P5)))</formula>
    </cfRule>
  </conditionalFormatting>
  <conditionalFormatting sqref="P5:P9 V5:V9 P13 P19:P26 V13 V19:V26 P30:P32 V30:V32 P38 V38">
    <cfRule type="containsText" dxfId="216" priority="209" operator="containsText" text="VSTRONG">
      <formula>NOT(ISERROR(SEARCH("VSTRONG",P5)))</formula>
    </cfRule>
  </conditionalFormatting>
  <conditionalFormatting sqref="R5:R9 X5:X9 R13 R19:R26 X13 X19:X26 R30:R32 X30:X32 R38 X38">
    <cfRule type="containsText" dxfId="215" priority="208" operator="containsText" text="FEMALE DOM">
      <formula>NOT(ISERROR(SEARCH("FEMALE DOM",R5)))</formula>
    </cfRule>
  </conditionalFormatting>
  <conditionalFormatting sqref="O5:O9 U5:U9 O13:O16 O19:O26 U13:U16 U19:U26 O30:O32 U30:U32 O38 U38">
    <cfRule type="containsText" dxfId="214" priority="207" operator="containsText" text="AVG">
      <formula>NOT(ISERROR(SEARCH("AVG",O5)))</formula>
    </cfRule>
  </conditionalFormatting>
  <conditionalFormatting sqref="Q5:Q9 W5:W9 Q13 Q19:Q26 W13 W19:W26 Q30:Q32 W30:W32 Q38 W38">
    <cfRule type="cellIs" dxfId="213" priority="206" operator="equal">
      <formula>"VWEAK"</formula>
    </cfRule>
  </conditionalFormatting>
  <conditionalFormatting sqref="P5:Q9 V5:W9 Q13 P19:Q26 W13 V19:W26 Q30 P31:Q31 Q32 W30 V31:W31 W32 P38:Q38 V38:W38">
    <cfRule type="containsText" dxfId="212" priority="205" operator="containsText" text="AVG">
      <formula>NOT(ISERROR(SEARCH("AVG",P5)))</formula>
    </cfRule>
  </conditionalFormatting>
  <conditionalFormatting sqref="Q5:Q9 W5:W9 Q13 Q19:Q26 W13 W19:W26 Q30:Q32 W30:W32 Q38 W38">
    <cfRule type="containsText" dxfId="211" priority="204" operator="containsText" text="VSTRONG">
      <formula>NOT(ISERROR(SEARCH("VSTRONG",Q5)))</formula>
    </cfRule>
  </conditionalFormatting>
  <conditionalFormatting sqref="R5:R9 X5:X9 R19:R26 X19:X26 R31 X31 R38 X38">
    <cfRule type="containsText" dxfId="210" priority="203" operator="containsText" text="MEN">
      <formula>NOT(ISERROR(SEARCH("MEN",R5)))</formula>
    </cfRule>
  </conditionalFormatting>
  <conditionalFormatting sqref="S5:S9 Y5:Y9 S19:S26 Y19:Y26 S38 Y38">
    <cfRule type="containsText" dxfId="209" priority="202" operator="containsText" text="O">
      <formula>NOT(ISERROR(SEARCH("O",S5)))</formula>
    </cfRule>
  </conditionalFormatting>
  <conditionalFormatting sqref="S5:S9 Y5:Y9 S19:S26 Y19:Y26 S38 Y38">
    <cfRule type="containsText" dxfId="208" priority="200" operator="containsText" text="H">
      <formula>NOT(ISERROR(SEARCH("H",S5)))</formula>
    </cfRule>
    <cfRule type="containsText" dxfId="207" priority="201" operator="containsText" text="H">
      <formula>NOT(ISERROR(SEARCH("H",S5)))</formula>
    </cfRule>
  </conditionalFormatting>
  <conditionalFormatting sqref="S5:S9 Y5:Y9 S19:S26 Y19:Y26 S38 Y38">
    <cfRule type="containsText" dxfId="206" priority="199" operator="containsText" text="H">
      <formula>NOT(ISERROR(SEARCH("H",S5)))</formula>
    </cfRule>
  </conditionalFormatting>
  <conditionalFormatting sqref="O42:O44">
    <cfRule type="containsText" dxfId="205" priority="157" operator="containsText" text="AVG">
      <formula>NOT(ISERROR(SEARCH("AVG",O42)))</formula>
    </cfRule>
  </conditionalFormatting>
  <conditionalFormatting sqref="O42:O44">
    <cfRule type="cellIs" dxfId="204" priority="156" operator="equal">
      <formula>"STRONG"</formula>
    </cfRule>
  </conditionalFormatting>
  <conditionalFormatting sqref="O42:O44">
    <cfRule type="containsText" dxfId="203" priority="155" operator="containsText" text="VSTRONG">
      <formula>NOT(ISERROR(SEARCH("VSTRONG",O42)))</formula>
    </cfRule>
  </conditionalFormatting>
  <conditionalFormatting sqref="O42:O44">
    <cfRule type="containsText" dxfId="202" priority="154" operator="containsText" text="AVG">
      <formula>NOT(ISERROR(SEARCH("AVG",O42)))</formula>
    </cfRule>
  </conditionalFormatting>
  <conditionalFormatting sqref="P44">
    <cfRule type="containsText" dxfId="201" priority="153" operator="containsText" text="STRONG">
      <formula>NOT(ISERROR(SEARCH("STRONG",P44)))</formula>
    </cfRule>
  </conditionalFormatting>
  <conditionalFormatting sqref="P44">
    <cfRule type="containsText" dxfId="200" priority="152" operator="containsText" text="VSTRONG">
      <formula>NOT(ISERROR(SEARCH("VSTRONG",P44)))</formula>
    </cfRule>
  </conditionalFormatting>
  <conditionalFormatting sqref="R44">
    <cfRule type="containsText" dxfId="199" priority="151" operator="containsText" text="FEMALE DOM">
      <formula>NOT(ISERROR(SEARCH("FEMALE DOM",R44)))</formula>
    </cfRule>
  </conditionalFormatting>
  <conditionalFormatting sqref="Q44">
    <cfRule type="cellIs" dxfId="198" priority="150" operator="equal">
      <formula>"VWEAK"</formula>
    </cfRule>
  </conditionalFormatting>
  <conditionalFormatting sqref="P44:Q44">
    <cfRule type="containsText" dxfId="197" priority="149" operator="containsText" text="AVG">
      <formula>NOT(ISERROR(SEARCH("AVG",P44)))</formula>
    </cfRule>
  </conditionalFormatting>
  <conditionalFormatting sqref="Q44">
    <cfRule type="containsText" dxfId="196" priority="148" operator="containsText" text="VSTRONG">
      <formula>NOT(ISERROR(SEARCH("VSTRONG",Q44)))</formula>
    </cfRule>
  </conditionalFormatting>
  <conditionalFormatting sqref="R44">
    <cfRule type="containsText" dxfId="195" priority="147" operator="containsText" text="MEN">
      <formula>NOT(ISERROR(SEARCH("MEN",R44)))</formula>
    </cfRule>
  </conditionalFormatting>
  <conditionalFormatting sqref="S44">
    <cfRule type="containsText" dxfId="194" priority="146" operator="containsText" text="O">
      <formula>NOT(ISERROR(SEARCH("O",S44)))</formula>
    </cfRule>
  </conditionalFormatting>
  <conditionalFormatting sqref="S44">
    <cfRule type="containsText" dxfId="193" priority="144" operator="containsText" text="H">
      <formula>NOT(ISERROR(SEARCH("H",S44)))</formula>
    </cfRule>
    <cfRule type="containsText" dxfId="192" priority="145" operator="containsText" text="H">
      <formula>NOT(ISERROR(SEARCH("H",S44)))</formula>
    </cfRule>
  </conditionalFormatting>
  <conditionalFormatting sqref="S44">
    <cfRule type="containsText" dxfId="191" priority="143" operator="containsText" text="H">
      <formula>NOT(ISERROR(SEARCH("H",S44)))</formula>
    </cfRule>
  </conditionalFormatting>
  <conditionalFormatting sqref="U42:U44">
    <cfRule type="containsText" dxfId="190" priority="86" operator="containsText" text="AVG">
      <formula>NOT(ISERROR(SEARCH("AVG",U42)))</formula>
    </cfRule>
  </conditionalFormatting>
  <conditionalFormatting sqref="U42:U44">
    <cfRule type="cellIs" dxfId="189" priority="85" operator="equal">
      <formula>"STRONG"</formula>
    </cfRule>
  </conditionalFormatting>
  <conditionalFormatting sqref="U42:U44">
    <cfRule type="containsText" dxfId="188" priority="84" operator="containsText" text="VSTRONG">
      <formula>NOT(ISERROR(SEARCH("VSTRONG",U42)))</formula>
    </cfRule>
  </conditionalFormatting>
  <conditionalFormatting sqref="U42:U44">
    <cfRule type="containsText" dxfId="187" priority="83" operator="containsText" text="AVG">
      <formula>NOT(ISERROR(SEARCH("AVG",U42)))</formula>
    </cfRule>
  </conditionalFormatting>
  <conditionalFormatting sqref="V44">
    <cfRule type="containsText" dxfId="186" priority="82" operator="containsText" text="STRONG">
      <formula>NOT(ISERROR(SEARCH("STRONG",V44)))</formula>
    </cfRule>
  </conditionalFormatting>
  <conditionalFormatting sqref="V44">
    <cfRule type="containsText" dxfId="185" priority="81" operator="containsText" text="VSTRONG">
      <formula>NOT(ISERROR(SEARCH("VSTRONG",V44)))</formula>
    </cfRule>
  </conditionalFormatting>
  <conditionalFormatting sqref="X44">
    <cfRule type="containsText" dxfId="184" priority="80" operator="containsText" text="FEMALE DOM">
      <formula>NOT(ISERROR(SEARCH("FEMALE DOM",X44)))</formula>
    </cfRule>
  </conditionalFormatting>
  <conditionalFormatting sqref="W44">
    <cfRule type="cellIs" dxfId="183" priority="79" operator="equal">
      <formula>"VWEAK"</formula>
    </cfRule>
  </conditionalFormatting>
  <conditionalFormatting sqref="V44:W44">
    <cfRule type="containsText" dxfId="182" priority="78" operator="containsText" text="AVG">
      <formula>NOT(ISERROR(SEARCH("AVG",V44)))</formula>
    </cfRule>
  </conditionalFormatting>
  <conditionalFormatting sqref="W44">
    <cfRule type="containsText" dxfId="181" priority="77" operator="containsText" text="VSTRONG">
      <formula>NOT(ISERROR(SEARCH("VSTRONG",W44)))</formula>
    </cfRule>
  </conditionalFormatting>
  <conditionalFormatting sqref="X44">
    <cfRule type="containsText" dxfId="180" priority="76" operator="containsText" text="MEN">
      <formula>NOT(ISERROR(SEARCH("MEN",X44)))</formula>
    </cfRule>
  </conditionalFormatting>
  <conditionalFormatting sqref="Y44">
    <cfRule type="containsText" dxfId="179" priority="75" operator="containsText" text="O">
      <formula>NOT(ISERROR(SEARCH("O",Y44)))</formula>
    </cfRule>
  </conditionalFormatting>
  <conditionalFormatting sqref="Y44">
    <cfRule type="containsText" dxfId="178" priority="73" operator="containsText" text="H">
      <formula>NOT(ISERROR(SEARCH("H",Y44)))</formula>
    </cfRule>
    <cfRule type="containsText" dxfId="177" priority="74" operator="containsText" text="H">
      <formula>NOT(ISERROR(SEARCH("H",Y44)))</formula>
    </cfRule>
  </conditionalFormatting>
  <conditionalFormatting sqref="Y44">
    <cfRule type="containsText" dxfId="176" priority="72" operator="containsText" text="H">
      <formula>NOT(ISERROR(SEARCH("H",Y44)))</formula>
    </cfRule>
  </conditionalFormatting>
  <conditionalFormatting sqref="U5:U8">
    <cfRule type="containsText" dxfId="175" priority="71" operator="containsText" text="AVG">
      <formula>NOT(ISERROR(SEARCH("AVG",U5)))</formula>
    </cfRule>
  </conditionalFormatting>
  <conditionalFormatting sqref="U5:U8">
    <cfRule type="cellIs" dxfId="174" priority="70" operator="equal">
      <formula>"STRONG"</formula>
    </cfRule>
  </conditionalFormatting>
  <conditionalFormatting sqref="U5:U8">
    <cfRule type="containsText" dxfId="173" priority="69" operator="containsText" text="VSTRONG">
      <formula>NOT(ISERROR(SEARCH("VSTRONG",U5)))</formula>
    </cfRule>
  </conditionalFormatting>
  <conditionalFormatting sqref="V5:V8">
    <cfRule type="containsText" dxfId="172" priority="68" operator="containsText" text="STRONG">
      <formula>NOT(ISERROR(SEARCH("STRONG",V5)))</formula>
    </cfRule>
  </conditionalFormatting>
  <conditionalFormatting sqref="V5:V8">
    <cfRule type="containsText" dxfId="171" priority="67" operator="containsText" text="VSTRONG">
      <formula>NOT(ISERROR(SEARCH("VSTRONG",V5)))</formula>
    </cfRule>
  </conditionalFormatting>
  <conditionalFormatting sqref="X5:X8">
    <cfRule type="containsText" dxfId="170" priority="66" operator="containsText" text="FEMALE DOM">
      <formula>NOT(ISERROR(SEARCH("FEMALE DOM",X5)))</formula>
    </cfRule>
  </conditionalFormatting>
  <conditionalFormatting sqref="U5:U8">
    <cfRule type="containsText" dxfId="169" priority="65" operator="containsText" text="AVG">
      <formula>NOT(ISERROR(SEARCH("AVG",U5)))</formula>
    </cfRule>
  </conditionalFormatting>
  <conditionalFormatting sqref="W5:W8">
    <cfRule type="cellIs" dxfId="168" priority="64" operator="equal">
      <formula>"VWEAK"</formula>
    </cfRule>
  </conditionalFormatting>
  <conditionalFormatting sqref="V5:W8">
    <cfRule type="containsText" dxfId="167" priority="63" operator="containsText" text="AVG">
      <formula>NOT(ISERROR(SEARCH("AVG",V5)))</formula>
    </cfRule>
  </conditionalFormatting>
  <conditionalFormatting sqref="W5:W8">
    <cfRule type="containsText" dxfId="166" priority="62" operator="containsText" text="VSTRONG">
      <formula>NOT(ISERROR(SEARCH("VSTRONG",W5)))</formula>
    </cfRule>
  </conditionalFormatting>
  <conditionalFormatting sqref="X5:X8">
    <cfRule type="containsText" dxfId="165" priority="61" operator="containsText" text="MEN">
      <formula>NOT(ISERROR(SEARCH("MEN",X5)))</formula>
    </cfRule>
  </conditionalFormatting>
  <conditionalFormatting sqref="Y5:Y8">
    <cfRule type="containsText" dxfId="164" priority="60" operator="containsText" text="O">
      <formula>NOT(ISERROR(SEARCH("O",Y5)))</formula>
    </cfRule>
  </conditionalFormatting>
  <conditionalFormatting sqref="Y5:Y8">
    <cfRule type="containsText" dxfId="163" priority="58" operator="containsText" text="H">
      <formula>NOT(ISERROR(SEARCH("H",Y5)))</formula>
    </cfRule>
    <cfRule type="containsText" dxfId="162" priority="59" operator="containsText" text="H">
      <formula>NOT(ISERROR(SEARCH("H",Y5)))</formula>
    </cfRule>
  </conditionalFormatting>
  <conditionalFormatting sqref="Y5:Y8">
    <cfRule type="containsText" dxfId="161" priority="57" operator="containsText" text="H">
      <formula>NOT(ISERROR(SEARCH("H",Y5)))</formula>
    </cfRule>
  </conditionalFormatting>
  <conditionalFormatting sqref="U13:U16 U19:U25">
    <cfRule type="containsText" dxfId="160" priority="56" operator="containsText" text="AVG">
      <formula>NOT(ISERROR(SEARCH("AVG",U13)))</formula>
    </cfRule>
  </conditionalFormatting>
  <conditionalFormatting sqref="U13:U16 U19:U25">
    <cfRule type="cellIs" dxfId="159" priority="55" operator="equal">
      <formula>"STRONG"</formula>
    </cfRule>
  </conditionalFormatting>
  <conditionalFormatting sqref="U13:U16 U19:U25">
    <cfRule type="containsText" dxfId="158" priority="54" operator="containsText" text="VSTRONG">
      <formula>NOT(ISERROR(SEARCH("VSTRONG",U13)))</formula>
    </cfRule>
  </conditionalFormatting>
  <conditionalFormatting sqref="V13 V19:V25">
    <cfRule type="containsText" dxfId="157" priority="53" operator="containsText" text="STRONG">
      <formula>NOT(ISERROR(SEARCH("STRONG",V13)))</formula>
    </cfRule>
  </conditionalFormatting>
  <conditionalFormatting sqref="V13 V19:V25">
    <cfRule type="containsText" dxfId="156" priority="52" operator="containsText" text="VSTRONG">
      <formula>NOT(ISERROR(SEARCH("VSTRONG",V13)))</formula>
    </cfRule>
  </conditionalFormatting>
  <conditionalFormatting sqref="X13 X19:X25">
    <cfRule type="containsText" dxfId="155" priority="51" operator="containsText" text="FEMALE DOM">
      <formula>NOT(ISERROR(SEARCH("FEMALE DOM",X13)))</formula>
    </cfRule>
  </conditionalFormatting>
  <conditionalFormatting sqref="U13:U16 U19:U25">
    <cfRule type="containsText" dxfId="154" priority="50" operator="containsText" text="AVG">
      <formula>NOT(ISERROR(SEARCH("AVG",U13)))</formula>
    </cfRule>
  </conditionalFormatting>
  <conditionalFormatting sqref="W13 W19:W25">
    <cfRule type="cellIs" dxfId="153" priority="49" operator="equal">
      <formula>"VWEAK"</formula>
    </cfRule>
  </conditionalFormatting>
  <conditionalFormatting sqref="W13 V19:W25">
    <cfRule type="containsText" dxfId="152" priority="48" operator="containsText" text="AVG">
      <formula>NOT(ISERROR(SEARCH("AVG",V13)))</formula>
    </cfRule>
  </conditionalFormatting>
  <conditionalFormatting sqref="W13 W19:W25">
    <cfRule type="containsText" dxfId="151" priority="47" operator="containsText" text="VSTRONG">
      <formula>NOT(ISERROR(SEARCH("VSTRONG",W13)))</formula>
    </cfRule>
  </conditionalFormatting>
  <conditionalFormatting sqref="X19:X25">
    <cfRule type="containsText" dxfId="150" priority="46" operator="containsText" text="MEN">
      <formula>NOT(ISERROR(SEARCH("MEN",X19)))</formula>
    </cfRule>
  </conditionalFormatting>
  <conditionalFormatting sqref="Y19:Y25">
    <cfRule type="containsText" dxfId="149" priority="45" operator="containsText" text="O">
      <formula>NOT(ISERROR(SEARCH("O",Y19)))</formula>
    </cfRule>
  </conditionalFormatting>
  <conditionalFormatting sqref="Y19:Y25">
    <cfRule type="containsText" dxfId="148" priority="43" operator="containsText" text="H">
      <formula>NOT(ISERROR(SEARCH("H",Y19)))</formula>
    </cfRule>
    <cfRule type="containsText" dxfId="147" priority="44" operator="containsText" text="H">
      <formula>NOT(ISERROR(SEARCH("H",Y19)))</formula>
    </cfRule>
  </conditionalFormatting>
  <conditionalFormatting sqref="Y19:Y25">
    <cfRule type="containsText" dxfId="146" priority="42" operator="containsText" text="H">
      <formula>NOT(ISERROR(SEARCH("H",Y19)))</formula>
    </cfRule>
  </conditionalFormatting>
  <conditionalFormatting sqref="U30:U32">
    <cfRule type="containsText" dxfId="145" priority="41" operator="containsText" text="AVG">
      <formula>NOT(ISERROR(SEARCH("AVG",U30)))</formula>
    </cfRule>
  </conditionalFormatting>
  <conditionalFormatting sqref="U30:U32">
    <cfRule type="cellIs" dxfId="144" priority="40" operator="equal">
      <formula>"STRONG"</formula>
    </cfRule>
  </conditionalFormatting>
  <conditionalFormatting sqref="U30:U32">
    <cfRule type="containsText" dxfId="143" priority="39" operator="containsText" text="VSTRONG">
      <formula>NOT(ISERROR(SEARCH("VSTRONG",U30)))</formula>
    </cfRule>
  </conditionalFormatting>
  <conditionalFormatting sqref="V30:V32">
    <cfRule type="containsText" dxfId="142" priority="38" operator="containsText" text="STRONG">
      <formula>NOT(ISERROR(SEARCH("STRONG",V30)))</formula>
    </cfRule>
  </conditionalFormatting>
  <conditionalFormatting sqref="V30:V32">
    <cfRule type="containsText" dxfId="141" priority="37" operator="containsText" text="VSTRONG">
      <formula>NOT(ISERROR(SEARCH("VSTRONG",V30)))</formula>
    </cfRule>
  </conditionalFormatting>
  <conditionalFormatting sqref="X30:X32">
    <cfRule type="containsText" dxfId="140" priority="36" operator="containsText" text="FEMALE DOM">
      <formula>NOT(ISERROR(SEARCH("FEMALE DOM",X30)))</formula>
    </cfRule>
  </conditionalFormatting>
  <conditionalFormatting sqref="U30:U32">
    <cfRule type="containsText" dxfId="139" priority="35" operator="containsText" text="AVG">
      <formula>NOT(ISERROR(SEARCH("AVG",U30)))</formula>
    </cfRule>
  </conditionalFormatting>
  <conditionalFormatting sqref="W30:W32">
    <cfRule type="cellIs" dxfId="138" priority="34" operator="equal">
      <formula>"VWEAK"</formula>
    </cfRule>
  </conditionalFormatting>
  <conditionalFormatting sqref="W30 V31:W31 W32">
    <cfRule type="containsText" dxfId="137" priority="33" operator="containsText" text="AVG">
      <formula>NOT(ISERROR(SEARCH("AVG",V30)))</formula>
    </cfRule>
  </conditionalFormatting>
  <conditionalFormatting sqref="W30:W32">
    <cfRule type="containsText" dxfId="136" priority="32" operator="containsText" text="VSTRONG">
      <formula>NOT(ISERROR(SEARCH("VSTRONG",W30)))</formula>
    </cfRule>
  </conditionalFormatting>
  <conditionalFormatting sqref="X31">
    <cfRule type="containsText" dxfId="135" priority="31" operator="containsText" text="MEN">
      <formula>NOT(ISERROR(SEARCH("MEN",X31)))</formula>
    </cfRule>
  </conditionalFormatting>
  <conditionalFormatting sqref="U38">
    <cfRule type="containsText" dxfId="134" priority="30" operator="containsText" text="AVG">
      <formula>NOT(ISERROR(SEARCH("AVG",U38)))</formula>
    </cfRule>
  </conditionalFormatting>
  <conditionalFormatting sqref="U38">
    <cfRule type="cellIs" dxfId="133" priority="29" operator="equal">
      <formula>"STRONG"</formula>
    </cfRule>
  </conditionalFormatting>
  <conditionalFormatting sqref="U38">
    <cfRule type="containsText" dxfId="132" priority="28" operator="containsText" text="VSTRONG">
      <formula>NOT(ISERROR(SEARCH("VSTRONG",U38)))</formula>
    </cfRule>
  </conditionalFormatting>
  <conditionalFormatting sqref="V38">
    <cfRule type="containsText" dxfId="131" priority="27" operator="containsText" text="STRONG">
      <formula>NOT(ISERROR(SEARCH("STRONG",V38)))</formula>
    </cfRule>
  </conditionalFormatting>
  <conditionalFormatting sqref="V38">
    <cfRule type="containsText" dxfId="130" priority="26" operator="containsText" text="VSTRONG">
      <formula>NOT(ISERROR(SEARCH("VSTRONG",V38)))</formula>
    </cfRule>
  </conditionalFormatting>
  <conditionalFormatting sqref="X38">
    <cfRule type="containsText" dxfId="129" priority="25" operator="containsText" text="FEMALE DOM">
      <formula>NOT(ISERROR(SEARCH("FEMALE DOM",X38)))</formula>
    </cfRule>
  </conditionalFormatting>
  <conditionalFormatting sqref="U38">
    <cfRule type="containsText" dxfId="128" priority="24" operator="containsText" text="AVG">
      <formula>NOT(ISERROR(SEARCH("AVG",U38)))</formula>
    </cfRule>
  </conditionalFormatting>
  <conditionalFormatting sqref="W38">
    <cfRule type="cellIs" dxfId="127" priority="23" operator="equal">
      <formula>"VWEAK"</formula>
    </cfRule>
  </conditionalFormatting>
  <conditionalFormatting sqref="V38:W38">
    <cfRule type="containsText" dxfId="126" priority="22" operator="containsText" text="AVG">
      <formula>NOT(ISERROR(SEARCH("AVG",V38)))</formula>
    </cfRule>
  </conditionalFormatting>
  <conditionalFormatting sqref="W38">
    <cfRule type="containsText" dxfId="125" priority="21" operator="containsText" text="VSTRONG">
      <formula>NOT(ISERROR(SEARCH("VSTRONG",W38)))</formula>
    </cfRule>
  </conditionalFormatting>
  <conditionalFormatting sqref="X38">
    <cfRule type="containsText" dxfId="124" priority="20" operator="containsText" text="MEN">
      <formula>NOT(ISERROR(SEARCH("MEN",X38)))</formula>
    </cfRule>
  </conditionalFormatting>
  <conditionalFormatting sqref="Y38">
    <cfRule type="containsText" dxfId="123" priority="19" operator="containsText" text="O">
      <formula>NOT(ISERROR(SEARCH("O",Y38)))</formula>
    </cfRule>
  </conditionalFormatting>
  <conditionalFormatting sqref="Y38">
    <cfRule type="containsText" dxfId="122" priority="17" operator="containsText" text="H">
      <formula>NOT(ISERROR(SEARCH("H",Y38)))</formula>
    </cfRule>
    <cfRule type="containsText" dxfId="121" priority="18" operator="containsText" text="H">
      <formula>NOT(ISERROR(SEARCH("H",Y38)))</formula>
    </cfRule>
  </conditionalFormatting>
  <conditionalFormatting sqref="Y38">
    <cfRule type="containsText" dxfId="120" priority="16" operator="containsText" text="H">
      <formula>NOT(ISERROR(SEARCH("H",Y38)))</formula>
    </cfRule>
  </conditionalFormatting>
  <conditionalFormatting sqref="U42:U44">
    <cfRule type="containsText" dxfId="119" priority="15" operator="containsText" text="AVG">
      <formula>NOT(ISERROR(SEARCH("AVG",U42)))</formula>
    </cfRule>
  </conditionalFormatting>
  <conditionalFormatting sqref="U42:U44">
    <cfRule type="cellIs" dxfId="118" priority="14" operator="equal">
      <formula>"STRONG"</formula>
    </cfRule>
  </conditionalFormatting>
  <conditionalFormatting sqref="U42:U44">
    <cfRule type="containsText" dxfId="117" priority="13" operator="containsText" text="VSTRONG">
      <formula>NOT(ISERROR(SEARCH("VSTRONG",U42)))</formula>
    </cfRule>
  </conditionalFormatting>
  <conditionalFormatting sqref="U42:U44">
    <cfRule type="containsText" dxfId="116" priority="12" operator="containsText" text="AVG">
      <formula>NOT(ISERROR(SEARCH("AVG",U42)))</formula>
    </cfRule>
  </conditionalFormatting>
  <conditionalFormatting sqref="V44">
    <cfRule type="containsText" dxfId="115" priority="11" operator="containsText" text="STRONG">
      <formula>NOT(ISERROR(SEARCH("STRONG",V44)))</formula>
    </cfRule>
  </conditionalFormatting>
  <conditionalFormatting sqref="V44">
    <cfRule type="containsText" dxfId="114" priority="10" operator="containsText" text="VSTRONG">
      <formula>NOT(ISERROR(SEARCH("VSTRONG",V44)))</formula>
    </cfRule>
  </conditionalFormatting>
  <conditionalFormatting sqref="X44">
    <cfRule type="containsText" dxfId="113" priority="9" operator="containsText" text="FEMALE DOM">
      <formula>NOT(ISERROR(SEARCH("FEMALE DOM",X44)))</formula>
    </cfRule>
  </conditionalFormatting>
  <conditionalFormatting sqref="W44">
    <cfRule type="cellIs" dxfId="112" priority="8" operator="equal">
      <formula>"VWEAK"</formula>
    </cfRule>
  </conditionalFormatting>
  <conditionalFormatting sqref="V44:W44">
    <cfRule type="containsText" dxfId="111" priority="7" operator="containsText" text="AVG">
      <formula>NOT(ISERROR(SEARCH("AVG",V44)))</formula>
    </cfRule>
  </conditionalFormatting>
  <conditionalFormatting sqref="W44">
    <cfRule type="containsText" dxfId="110" priority="6" operator="containsText" text="VSTRONG">
      <formula>NOT(ISERROR(SEARCH("VSTRONG",W44)))</formula>
    </cfRule>
  </conditionalFormatting>
  <conditionalFormatting sqref="X44">
    <cfRule type="containsText" dxfId="109" priority="5" operator="containsText" text="MEN">
      <formula>NOT(ISERROR(SEARCH("MEN",X44)))</formula>
    </cfRule>
  </conditionalFormatting>
  <conditionalFormatting sqref="Y44">
    <cfRule type="containsText" dxfId="108" priority="4" operator="containsText" text="O">
      <formula>NOT(ISERROR(SEARCH("O",Y44)))</formula>
    </cfRule>
  </conditionalFormatting>
  <conditionalFormatting sqref="Y44">
    <cfRule type="containsText" dxfId="107" priority="2" operator="containsText" text="H">
      <formula>NOT(ISERROR(SEARCH("H",Y44)))</formula>
    </cfRule>
    <cfRule type="containsText" dxfId="106" priority="3" operator="containsText" text="H">
      <formula>NOT(ISERROR(SEARCH("H",Y44)))</formula>
    </cfRule>
  </conditionalFormatting>
  <conditionalFormatting sqref="Y44">
    <cfRule type="containsText" dxfId="105" priority="1" operator="containsText" text="H">
      <formula>NOT(ISERROR(SEARCH("H",Y44)))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AB29"/>
  <sheetViews>
    <sheetView workbookViewId="0">
      <selection activeCell="E6" sqref="E6"/>
    </sheetView>
  </sheetViews>
  <sheetFormatPr defaultRowHeight="15"/>
  <cols>
    <col min="1" max="1" width="6.7109375" style="51" bestFit="1" customWidth="1"/>
    <col min="2" max="2" width="9.140625" style="51" customWidth="1"/>
    <col min="3" max="3" width="12.7109375" style="51" bestFit="1" customWidth="1"/>
    <col min="4" max="4" width="11.5703125" style="51" customWidth="1"/>
    <col min="5" max="5" width="28.140625" style="51" bestFit="1" customWidth="1"/>
    <col min="6" max="10" width="12" style="51" bestFit="1" customWidth="1"/>
    <col min="11" max="11" width="9.7109375" style="51" customWidth="1"/>
    <col min="12" max="15" width="12" style="51" bestFit="1" customWidth="1"/>
    <col min="16" max="17" width="10.42578125" style="51" bestFit="1" customWidth="1"/>
    <col min="18" max="18" width="12.7109375" style="51" bestFit="1" customWidth="1"/>
    <col min="19" max="19" width="12" style="51" bestFit="1" customWidth="1"/>
    <col min="20" max="20" width="15.5703125" style="51" bestFit="1" customWidth="1"/>
    <col min="21" max="21" width="13.28515625" style="51" bestFit="1" customWidth="1"/>
    <col min="22" max="22" width="16.85546875" style="51" bestFit="1" customWidth="1"/>
    <col min="23" max="23" width="10.42578125" style="51" bestFit="1" customWidth="1"/>
    <col min="24" max="24" width="12.7109375" style="51" bestFit="1" customWidth="1"/>
    <col min="25" max="25" width="9.140625" style="51"/>
    <col min="26" max="26" width="15.5703125" style="51" bestFit="1" customWidth="1"/>
    <col min="27" max="27" width="9.140625" style="51"/>
    <col min="28" max="28" width="16.85546875" style="51" bestFit="1" customWidth="1"/>
    <col min="29" max="16384" width="9.140625" style="51"/>
  </cols>
  <sheetData>
    <row r="1" spans="1:28" ht="28.5">
      <c r="A1" s="102" t="s">
        <v>118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26.25">
      <c r="A2" s="103" t="s">
        <v>84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</row>
    <row r="3" spans="1:28">
      <c r="A3" s="86" t="s">
        <v>1</v>
      </c>
      <c r="B3" s="88" t="s">
        <v>2</v>
      </c>
      <c r="C3" s="86" t="s">
        <v>3</v>
      </c>
      <c r="D3" s="88" t="s">
        <v>4</v>
      </c>
      <c r="E3" s="86" t="s">
        <v>5</v>
      </c>
      <c r="F3" s="88" t="s">
        <v>122</v>
      </c>
      <c r="G3" s="88" t="s">
        <v>385</v>
      </c>
      <c r="H3" s="86" t="s">
        <v>6</v>
      </c>
      <c r="I3" s="86"/>
      <c r="J3" s="86"/>
      <c r="K3" s="104" t="s">
        <v>7</v>
      </c>
      <c r="L3" s="104"/>
      <c r="M3" s="104"/>
      <c r="N3" s="104"/>
      <c r="O3" s="104"/>
      <c r="P3" s="105" t="s">
        <v>8</v>
      </c>
      <c r="Q3" s="105"/>
      <c r="R3" s="105"/>
      <c r="S3" s="105"/>
      <c r="T3" s="105"/>
      <c r="U3" s="86">
        <v>2018</v>
      </c>
      <c r="V3" s="86"/>
      <c r="W3" s="86"/>
      <c r="X3" s="86"/>
      <c r="Y3" s="86"/>
      <c r="Z3" s="88" t="s">
        <v>9</v>
      </c>
      <c r="AA3" s="88" t="s">
        <v>10</v>
      </c>
      <c r="AB3" s="88" t="s">
        <v>11</v>
      </c>
    </row>
    <row r="4" spans="1:28" ht="90">
      <c r="A4" s="86"/>
      <c r="B4" s="88"/>
      <c r="C4" s="86"/>
      <c r="D4" s="88"/>
      <c r="E4" s="86"/>
      <c r="F4" s="88"/>
      <c r="G4" s="88"/>
      <c r="H4" s="5" t="s">
        <v>12</v>
      </c>
      <c r="I4" s="5" t="s">
        <v>392</v>
      </c>
      <c r="J4" s="5" t="s">
        <v>13</v>
      </c>
      <c r="K4" s="5" t="s">
        <v>393</v>
      </c>
      <c r="L4" s="5" t="s">
        <v>12</v>
      </c>
      <c r="M4" s="5" t="s">
        <v>119</v>
      </c>
      <c r="N4" s="5" t="s">
        <v>392</v>
      </c>
      <c r="O4" s="5" t="s">
        <v>13</v>
      </c>
      <c r="P4" s="5" t="s">
        <v>394</v>
      </c>
      <c r="Q4" s="5" t="s">
        <v>12</v>
      </c>
      <c r="R4" s="5" t="s">
        <v>119</v>
      </c>
      <c r="S4" s="5" t="s">
        <v>392</v>
      </c>
      <c r="T4" s="5" t="s">
        <v>13</v>
      </c>
      <c r="U4" s="5" t="s">
        <v>14</v>
      </c>
      <c r="V4" s="5" t="s">
        <v>15</v>
      </c>
      <c r="W4" s="5" t="s">
        <v>16</v>
      </c>
      <c r="X4" s="5" t="s">
        <v>17</v>
      </c>
      <c r="Y4" s="5" t="s">
        <v>18</v>
      </c>
      <c r="Z4" s="88"/>
      <c r="AA4" s="88"/>
      <c r="AB4" s="88"/>
    </row>
    <row r="5" spans="1:28">
      <c r="A5" s="12">
        <v>1</v>
      </c>
      <c r="B5" s="53">
        <v>36</v>
      </c>
      <c r="C5" s="54" t="s">
        <v>115</v>
      </c>
      <c r="D5" s="55">
        <v>3</v>
      </c>
      <c r="E5" s="18" t="s">
        <v>41</v>
      </c>
      <c r="F5" s="12">
        <v>7283</v>
      </c>
      <c r="G5" s="12">
        <v>5092</v>
      </c>
      <c r="H5" s="56">
        <v>848.66666666666674</v>
      </c>
      <c r="I5" s="56">
        <v>104.70328446509106</v>
      </c>
      <c r="J5" s="56">
        <v>10962.777777777777</v>
      </c>
      <c r="K5" s="7">
        <v>2410</v>
      </c>
      <c r="L5" s="56">
        <v>401.66666666666669</v>
      </c>
      <c r="M5" s="56">
        <v>47.329143754909659</v>
      </c>
      <c r="N5" s="56">
        <v>20.10527846666696</v>
      </c>
      <c r="O5" s="56">
        <v>404.22222222222217</v>
      </c>
      <c r="P5" s="7">
        <v>2507</v>
      </c>
      <c r="Q5" s="56">
        <v>417.83333333333331</v>
      </c>
      <c r="R5" s="56">
        <v>49.234092694422614</v>
      </c>
      <c r="S5" s="56">
        <v>112.1229483895048</v>
      </c>
      <c r="T5" s="56">
        <v>12571.555555555557</v>
      </c>
      <c r="U5" s="12" t="s">
        <v>26</v>
      </c>
      <c r="V5" s="14" t="s">
        <v>21</v>
      </c>
      <c r="W5" s="12" t="s">
        <v>22</v>
      </c>
      <c r="X5" s="12" t="s">
        <v>23</v>
      </c>
      <c r="Y5" s="12" t="e">
        <v>#DIV/0!</v>
      </c>
      <c r="Z5" s="14" t="s">
        <v>87</v>
      </c>
      <c r="AA5" s="56">
        <v>1.9049489395129566</v>
      </c>
      <c r="AB5" s="34" t="s">
        <v>86</v>
      </c>
    </row>
    <row r="6" spans="1:28">
      <c r="A6" s="12">
        <v>2</v>
      </c>
      <c r="B6" s="53">
        <v>40</v>
      </c>
      <c r="C6" s="54" t="s">
        <v>102</v>
      </c>
      <c r="D6" s="55">
        <v>5</v>
      </c>
      <c r="E6" s="18" t="s">
        <v>45</v>
      </c>
      <c r="F6" s="12">
        <v>9193</v>
      </c>
      <c r="G6" s="12">
        <v>5189</v>
      </c>
      <c r="H6" s="56">
        <v>518.9</v>
      </c>
      <c r="I6" s="56">
        <v>114.03262691002099</v>
      </c>
      <c r="J6" s="56">
        <v>13003.439999999999</v>
      </c>
      <c r="K6" s="7">
        <v>2407</v>
      </c>
      <c r="L6" s="56">
        <v>240.7</v>
      </c>
      <c r="M6" s="56">
        <v>46.386587010984776</v>
      </c>
      <c r="N6" s="56">
        <v>63.137944217403849</v>
      </c>
      <c r="O6" s="56">
        <v>3986.4</v>
      </c>
      <c r="P6" s="7">
        <v>2565</v>
      </c>
      <c r="Q6" s="56">
        <v>256.5</v>
      </c>
      <c r="R6" s="56">
        <v>49.431489689728274</v>
      </c>
      <c r="S6" s="56">
        <v>101.61299129540474</v>
      </c>
      <c r="T6" s="56">
        <v>10325.200000000001</v>
      </c>
      <c r="U6" s="12" t="s">
        <v>39</v>
      </c>
      <c r="V6" s="14" t="s">
        <v>21</v>
      </c>
      <c r="W6" s="12" t="s">
        <v>22</v>
      </c>
      <c r="X6" s="12" t="s">
        <v>23</v>
      </c>
      <c r="Y6" s="12" t="e">
        <v>#DIV/0!</v>
      </c>
      <c r="Z6" s="14" t="s">
        <v>87</v>
      </c>
      <c r="AA6" s="56">
        <v>3.0449026787434983</v>
      </c>
      <c r="AB6" s="34" t="s">
        <v>86</v>
      </c>
    </row>
    <row r="7" spans="1:28">
      <c r="A7" s="12">
        <v>3</v>
      </c>
      <c r="B7" s="53">
        <v>45</v>
      </c>
      <c r="C7" s="54" t="s">
        <v>52</v>
      </c>
      <c r="D7" s="55">
        <v>6</v>
      </c>
      <c r="E7" s="12" t="s">
        <v>53</v>
      </c>
      <c r="F7" s="12">
        <v>13818</v>
      </c>
      <c r="G7" s="12">
        <v>9349</v>
      </c>
      <c r="H7" s="56">
        <v>779.08333333333326</v>
      </c>
      <c r="I7" s="56">
        <v>96.834409058855613</v>
      </c>
      <c r="J7" s="56">
        <v>9376.9027777777774</v>
      </c>
      <c r="K7" s="7">
        <v>4486</v>
      </c>
      <c r="L7" s="56">
        <v>373.83333333333337</v>
      </c>
      <c r="M7" s="56">
        <v>47.983741576639218</v>
      </c>
      <c r="N7" s="56">
        <v>118.4385682303043</v>
      </c>
      <c r="O7" s="56">
        <v>14027.694444444445</v>
      </c>
      <c r="P7" s="7">
        <v>4579</v>
      </c>
      <c r="Q7" s="56">
        <v>381.58333333333337</v>
      </c>
      <c r="R7" s="56">
        <v>48.978500374371599</v>
      </c>
      <c r="S7" s="56">
        <v>124.43165236832272</v>
      </c>
      <c r="T7" s="56">
        <v>15483.236111111111</v>
      </c>
      <c r="U7" s="12" t="s">
        <v>20</v>
      </c>
      <c r="V7" s="14" t="s">
        <v>21</v>
      </c>
      <c r="W7" s="12" t="s">
        <v>22</v>
      </c>
      <c r="X7" s="12" t="s">
        <v>23</v>
      </c>
      <c r="Y7" s="12" t="e">
        <v>#DIV/0!</v>
      </c>
      <c r="Z7" s="14" t="s">
        <v>87</v>
      </c>
      <c r="AA7" s="56">
        <v>0.99475879773237785</v>
      </c>
      <c r="AB7" s="34" t="s">
        <v>86</v>
      </c>
    </row>
    <row r="8" spans="1:28">
      <c r="A8" s="12">
        <v>4</v>
      </c>
      <c r="B8" s="53">
        <v>48</v>
      </c>
      <c r="C8" s="54" t="s">
        <v>58</v>
      </c>
      <c r="D8" s="55">
        <v>6</v>
      </c>
      <c r="E8" s="12" t="s">
        <v>59</v>
      </c>
      <c r="F8" s="12">
        <v>12103</v>
      </c>
      <c r="G8" s="12">
        <v>7949</v>
      </c>
      <c r="H8" s="56">
        <v>662.41666666666663</v>
      </c>
      <c r="I8" s="56">
        <v>197.74018447335268</v>
      </c>
      <c r="J8" s="56">
        <v>39101.180555555555</v>
      </c>
      <c r="K8" s="7">
        <v>3634</v>
      </c>
      <c r="L8" s="56">
        <v>302.83333333333331</v>
      </c>
      <c r="M8" s="56">
        <v>45.716442319788655</v>
      </c>
      <c r="N8" s="56">
        <v>182.57182756992444</v>
      </c>
      <c r="O8" s="56">
        <v>33332.472222222219</v>
      </c>
      <c r="P8" s="7">
        <v>4066</v>
      </c>
      <c r="Q8" s="56">
        <v>338.83333333333331</v>
      </c>
      <c r="R8" s="56">
        <v>51.151088187193359</v>
      </c>
      <c r="S8" s="56">
        <v>56.325443234434964</v>
      </c>
      <c r="T8" s="56">
        <v>3172.5555555555557</v>
      </c>
      <c r="U8" s="12" t="s">
        <v>20</v>
      </c>
      <c r="V8" s="14" t="s">
        <v>22</v>
      </c>
      <c r="W8" s="12" t="s">
        <v>21</v>
      </c>
      <c r="X8" s="12" t="s">
        <v>23</v>
      </c>
      <c r="Y8" s="12" t="s">
        <v>32</v>
      </c>
      <c r="Z8" s="14" t="s">
        <v>87</v>
      </c>
      <c r="AA8" s="56">
        <v>5.4346458674047051</v>
      </c>
      <c r="AB8" s="34" t="s">
        <v>86</v>
      </c>
    </row>
    <row r="9" spans="1:28">
      <c r="A9" s="12">
        <v>5</v>
      </c>
      <c r="B9" s="53">
        <v>52</v>
      </c>
      <c r="C9" s="54" t="s">
        <v>66</v>
      </c>
      <c r="D9" s="55">
        <v>6</v>
      </c>
      <c r="E9" s="12" t="s">
        <v>67</v>
      </c>
      <c r="F9" s="12">
        <v>12109</v>
      </c>
      <c r="G9" s="12">
        <v>8630</v>
      </c>
      <c r="H9" s="56">
        <v>719.16666666666674</v>
      </c>
      <c r="I9" s="56">
        <v>147.74198605827812</v>
      </c>
      <c r="J9" s="56">
        <v>21827.694444444445</v>
      </c>
      <c r="K9" s="7">
        <v>3883</v>
      </c>
      <c r="L9" s="56">
        <v>323.58333333333337</v>
      </c>
      <c r="M9" s="56">
        <v>44.994206257242183</v>
      </c>
      <c r="N9" s="56">
        <v>175.97131237158453</v>
      </c>
      <c r="O9" s="56">
        <v>30965.902777777781</v>
      </c>
      <c r="P9" s="7">
        <v>4124</v>
      </c>
      <c r="Q9" s="56">
        <v>343.66666666666663</v>
      </c>
      <c r="R9" s="56">
        <v>47.786790266512156</v>
      </c>
      <c r="S9" s="56">
        <v>242.47995335239111</v>
      </c>
      <c r="T9" s="56">
        <v>58796.527777777774</v>
      </c>
      <c r="U9" s="12" t="s">
        <v>26</v>
      </c>
      <c r="V9" s="14" t="s">
        <v>22</v>
      </c>
      <c r="W9" s="12" t="s">
        <v>21</v>
      </c>
      <c r="X9" s="12" t="s">
        <v>23</v>
      </c>
      <c r="Y9" s="12" t="s">
        <v>35</v>
      </c>
      <c r="Z9" s="14" t="s">
        <v>87</v>
      </c>
      <c r="AA9" s="56">
        <v>2.7925840092699774</v>
      </c>
      <c r="AB9" s="34" t="s">
        <v>86</v>
      </c>
    </row>
    <row r="10" spans="1:28">
      <c r="A10" s="12">
        <v>6</v>
      </c>
      <c r="B10" s="53">
        <v>59</v>
      </c>
      <c r="C10" s="54" t="s">
        <v>80</v>
      </c>
      <c r="D10" s="55">
        <v>6</v>
      </c>
      <c r="E10" s="12" t="s">
        <v>81</v>
      </c>
      <c r="F10" s="12">
        <v>13989</v>
      </c>
      <c r="G10" s="12">
        <v>9463</v>
      </c>
      <c r="H10" s="56">
        <v>788.58333333333326</v>
      </c>
      <c r="I10" s="56">
        <v>168.31142596719661</v>
      </c>
      <c r="J10" s="56">
        <v>28328.736111111109</v>
      </c>
      <c r="K10" s="7">
        <v>4361</v>
      </c>
      <c r="L10" s="56">
        <v>363.41666666666663</v>
      </c>
      <c r="M10" s="56">
        <v>46.084751136003383</v>
      </c>
      <c r="N10" s="56">
        <v>115.85221668622103</v>
      </c>
      <c r="O10" s="56">
        <v>13421.736111111111</v>
      </c>
      <c r="P10" s="7">
        <v>4641</v>
      </c>
      <c r="Q10" s="56">
        <v>386.75</v>
      </c>
      <c r="R10" s="56">
        <v>49.043643664799752</v>
      </c>
      <c r="S10" s="56">
        <v>94.54195129970374</v>
      </c>
      <c r="T10" s="56">
        <v>8938.1805555555547</v>
      </c>
      <c r="U10" s="12" t="s">
        <v>20</v>
      </c>
      <c r="V10" s="14" t="s">
        <v>21</v>
      </c>
      <c r="W10" s="12" t="s">
        <v>22</v>
      </c>
      <c r="X10" s="12" t="s">
        <v>23</v>
      </c>
      <c r="Y10" s="12" t="e">
        <v>#DIV/0!</v>
      </c>
      <c r="Z10" s="14" t="s">
        <v>87</v>
      </c>
      <c r="AA10" s="56">
        <v>2.9588925287963699</v>
      </c>
      <c r="AB10" s="34" t="s">
        <v>86</v>
      </c>
    </row>
    <row r="11" spans="1:28" s="70" customFormat="1" ht="15.75">
      <c r="A11" s="35"/>
      <c r="B11" s="35"/>
      <c r="C11" s="69"/>
      <c r="D11" s="35"/>
      <c r="E11" s="35"/>
      <c r="F11" s="35">
        <f>SUM(F5:F10)</f>
        <v>68495</v>
      </c>
      <c r="G11" s="35">
        <f>SUM(G5:G10)</f>
        <v>45672</v>
      </c>
      <c r="H11" s="35"/>
      <c r="I11" s="35"/>
      <c r="J11" s="35"/>
      <c r="K11" s="35">
        <f>SUM(K5:K10)</f>
        <v>21181</v>
      </c>
      <c r="L11" s="35"/>
      <c r="M11" s="35"/>
      <c r="N11" s="35"/>
      <c r="O11" s="35"/>
      <c r="P11" s="35">
        <f>SUM(P5:P10)</f>
        <v>22482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 ht="26.25">
      <c r="A12" s="103" t="s">
        <v>88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28">
      <c r="A13" s="86" t="s">
        <v>1</v>
      </c>
      <c r="B13" s="88" t="s">
        <v>2</v>
      </c>
      <c r="C13" s="86" t="s">
        <v>3</v>
      </c>
      <c r="D13" s="88" t="s">
        <v>4</v>
      </c>
      <c r="E13" s="86" t="s">
        <v>5</v>
      </c>
      <c r="F13" s="88" t="s">
        <v>122</v>
      </c>
      <c r="G13" s="88" t="s">
        <v>385</v>
      </c>
      <c r="H13" s="86" t="s">
        <v>6</v>
      </c>
      <c r="I13" s="86"/>
      <c r="J13" s="86"/>
      <c r="K13" s="104" t="s">
        <v>7</v>
      </c>
      <c r="L13" s="104"/>
      <c r="M13" s="104"/>
      <c r="N13" s="104"/>
      <c r="O13" s="104"/>
      <c r="P13" s="105" t="s">
        <v>8</v>
      </c>
      <c r="Q13" s="105"/>
      <c r="R13" s="105"/>
      <c r="S13" s="105"/>
      <c r="T13" s="105"/>
      <c r="U13" s="86">
        <v>2018</v>
      </c>
      <c r="V13" s="86"/>
      <c r="W13" s="86"/>
      <c r="X13" s="86"/>
      <c r="Y13" s="86"/>
      <c r="Z13" s="88" t="s">
        <v>9</v>
      </c>
      <c r="AA13" s="88" t="s">
        <v>10</v>
      </c>
      <c r="AB13" s="88" t="s">
        <v>11</v>
      </c>
    </row>
    <row r="14" spans="1:28" ht="90">
      <c r="A14" s="86"/>
      <c r="B14" s="88"/>
      <c r="C14" s="86"/>
      <c r="D14" s="88"/>
      <c r="E14" s="86"/>
      <c r="F14" s="88"/>
      <c r="G14" s="88"/>
      <c r="H14" s="5" t="s">
        <v>12</v>
      </c>
      <c r="I14" s="5" t="s">
        <v>392</v>
      </c>
      <c r="J14" s="5" t="s">
        <v>13</v>
      </c>
      <c r="K14" s="5" t="s">
        <v>393</v>
      </c>
      <c r="L14" s="5" t="s">
        <v>12</v>
      </c>
      <c r="M14" s="5" t="s">
        <v>119</v>
      </c>
      <c r="N14" s="5" t="s">
        <v>392</v>
      </c>
      <c r="O14" s="5" t="s">
        <v>13</v>
      </c>
      <c r="P14" s="5" t="s">
        <v>394</v>
      </c>
      <c r="Q14" s="5" t="s">
        <v>12</v>
      </c>
      <c r="R14" s="5" t="s">
        <v>119</v>
      </c>
      <c r="S14" s="5" t="s">
        <v>392</v>
      </c>
      <c r="T14" s="5" t="s">
        <v>13</v>
      </c>
      <c r="U14" s="5" t="s">
        <v>14</v>
      </c>
      <c r="V14" s="5" t="s">
        <v>15</v>
      </c>
      <c r="W14" s="5" t="s">
        <v>16</v>
      </c>
      <c r="X14" s="5" t="s">
        <v>17</v>
      </c>
      <c r="Y14" s="5" t="s">
        <v>18</v>
      </c>
      <c r="Z14" s="88"/>
      <c r="AA14" s="88"/>
      <c r="AB14" s="88"/>
    </row>
    <row r="15" spans="1:28">
      <c r="A15" s="12">
        <v>1</v>
      </c>
      <c r="B15" s="53">
        <v>34</v>
      </c>
      <c r="C15" s="54" t="s">
        <v>114</v>
      </c>
      <c r="D15" s="55">
        <v>5</v>
      </c>
      <c r="E15" s="18" t="s">
        <v>38</v>
      </c>
      <c r="F15" s="12">
        <v>11812</v>
      </c>
      <c r="G15" s="12">
        <v>7205</v>
      </c>
      <c r="H15" s="56">
        <v>720.5</v>
      </c>
      <c r="I15" s="56">
        <v>95.409852740689217</v>
      </c>
      <c r="J15" s="56">
        <v>9103.0400000000009</v>
      </c>
      <c r="K15" s="7">
        <v>3134</v>
      </c>
      <c r="L15" s="56">
        <v>313.39999999999998</v>
      </c>
      <c r="M15" s="56">
        <v>43.497571131158914</v>
      </c>
      <c r="N15" s="56">
        <v>46.041720211130254</v>
      </c>
      <c r="O15" s="56">
        <v>2119.84</v>
      </c>
      <c r="P15" s="7">
        <v>3949</v>
      </c>
      <c r="Q15" s="56">
        <v>394.9</v>
      </c>
      <c r="R15" s="56">
        <v>54.809160305343511</v>
      </c>
      <c r="S15" s="56">
        <v>119.55601197765004</v>
      </c>
      <c r="T15" s="56">
        <v>14293.64</v>
      </c>
      <c r="U15" s="58" t="s">
        <v>20</v>
      </c>
      <c r="V15" s="14" t="s">
        <v>21</v>
      </c>
      <c r="W15" s="12" t="s">
        <v>39</v>
      </c>
      <c r="X15" s="57" t="s">
        <v>23</v>
      </c>
      <c r="Y15" s="16" t="s">
        <v>32</v>
      </c>
      <c r="Z15" s="14" t="s">
        <v>87</v>
      </c>
      <c r="AA15" s="56">
        <v>11.311589174184594</v>
      </c>
      <c r="AB15" s="15" t="s">
        <v>89</v>
      </c>
    </row>
    <row r="16" spans="1:28">
      <c r="A16" s="12">
        <v>2</v>
      </c>
      <c r="B16" s="53">
        <v>44</v>
      </c>
      <c r="C16" s="54" t="s">
        <v>51</v>
      </c>
      <c r="D16" s="55">
        <v>6</v>
      </c>
      <c r="E16" s="12" t="s">
        <v>97</v>
      </c>
      <c r="F16" s="12">
        <v>10160</v>
      </c>
      <c r="G16" s="12">
        <v>6890</v>
      </c>
      <c r="H16" s="56">
        <v>574.16666666666674</v>
      </c>
      <c r="I16" s="56">
        <v>158.2491004011643</v>
      </c>
      <c r="J16" s="56">
        <v>25042.777777777777</v>
      </c>
      <c r="K16" s="7">
        <v>2754</v>
      </c>
      <c r="L16" s="56">
        <v>229.5</v>
      </c>
      <c r="M16" s="56">
        <v>39.970972423802607</v>
      </c>
      <c r="N16" s="56">
        <v>126.066671073506</v>
      </c>
      <c r="O16" s="56">
        <v>15892.805555555555</v>
      </c>
      <c r="P16" s="7">
        <v>3776</v>
      </c>
      <c r="Q16" s="56">
        <v>314.66666666666669</v>
      </c>
      <c r="R16" s="56">
        <v>54.804063860667625</v>
      </c>
      <c r="S16" s="56">
        <v>182.22505925975773</v>
      </c>
      <c r="T16" s="56">
        <v>33205.972222222219</v>
      </c>
      <c r="U16" s="12" t="s">
        <v>20</v>
      </c>
      <c r="V16" s="14" t="s">
        <v>39</v>
      </c>
      <c r="W16" s="12" t="s">
        <v>21</v>
      </c>
      <c r="X16" s="12" t="s">
        <v>30</v>
      </c>
      <c r="Y16" s="12" t="s">
        <v>32</v>
      </c>
      <c r="Z16" s="14" t="s">
        <v>87</v>
      </c>
      <c r="AA16" s="56">
        <v>14.833091436865024</v>
      </c>
      <c r="AB16" s="15" t="s">
        <v>89</v>
      </c>
    </row>
    <row r="17" spans="1:28">
      <c r="A17" s="12">
        <v>3</v>
      </c>
      <c r="B17" s="53">
        <v>47</v>
      </c>
      <c r="C17" s="54" t="s">
        <v>56</v>
      </c>
      <c r="D17" s="55">
        <v>5</v>
      </c>
      <c r="E17" s="12" t="s">
        <v>57</v>
      </c>
      <c r="F17" s="12">
        <v>12056</v>
      </c>
      <c r="G17" s="12">
        <v>7384</v>
      </c>
      <c r="H17" s="56">
        <v>738.4</v>
      </c>
      <c r="I17" s="56">
        <v>106.95737468730242</v>
      </c>
      <c r="J17" s="56">
        <v>11439.880000000001</v>
      </c>
      <c r="K17" s="7">
        <v>3036</v>
      </c>
      <c r="L17" s="56">
        <v>303.60000000000002</v>
      </c>
      <c r="M17" s="56">
        <v>41.115926327193932</v>
      </c>
      <c r="N17" s="56">
        <v>106.0396152388342</v>
      </c>
      <c r="O17" s="56">
        <v>11244.4</v>
      </c>
      <c r="P17" s="7">
        <v>4097</v>
      </c>
      <c r="Q17" s="56">
        <v>409.7</v>
      </c>
      <c r="R17" s="56">
        <v>55.484832069339106</v>
      </c>
      <c r="S17" s="56">
        <v>52.026147272309139</v>
      </c>
      <c r="T17" s="56">
        <v>2706.72</v>
      </c>
      <c r="U17" s="12" t="s">
        <v>39</v>
      </c>
      <c r="V17" s="14" t="s">
        <v>21</v>
      </c>
      <c r="W17" s="7" t="s">
        <v>20</v>
      </c>
      <c r="X17" s="12" t="s">
        <v>23</v>
      </c>
      <c r="Y17" s="12" t="s">
        <v>32</v>
      </c>
      <c r="Z17" s="14" t="s">
        <v>87</v>
      </c>
      <c r="AA17" s="56">
        <v>14.368905742145174</v>
      </c>
      <c r="AB17" s="15" t="s">
        <v>89</v>
      </c>
    </row>
    <row r="18" spans="1:28">
      <c r="A18" s="12">
        <v>4</v>
      </c>
      <c r="B18" s="53">
        <v>53</v>
      </c>
      <c r="C18" s="54" t="s">
        <v>68</v>
      </c>
      <c r="D18" s="55">
        <v>7</v>
      </c>
      <c r="E18" s="12" t="s">
        <v>69</v>
      </c>
      <c r="F18" s="12">
        <v>13496</v>
      </c>
      <c r="G18" s="12">
        <v>9879</v>
      </c>
      <c r="H18" s="56">
        <v>705.64285714285711</v>
      </c>
      <c r="I18" s="56">
        <v>137.44549940293589</v>
      </c>
      <c r="J18" s="56">
        <v>18891.265306122448</v>
      </c>
      <c r="K18" s="7">
        <v>3717</v>
      </c>
      <c r="L18" s="56">
        <v>265.5</v>
      </c>
      <c r="M18" s="56">
        <v>37.625265715153354</v>
      </c>
      <c r="N18" s="56">
        <v>132.02782638056081</v>
      </c>
      <c r="O18" s="56">
        <v>17431.34693877551</v>
      </c>
      <c r="P18" s="7">
        <v>5300</v>
      </c>
      <c r="Q18" s="56">
        <v>378.57142857142856</v>
      </c>
      <c r="R18" s="56">
        <v>53.649154772750272</v>
      </c>
      <c r="S18" s="56">
        <v>187.11559234323363</v>
      </c>
      <c r="T18" s="56">
        <v>35012.244897959186</v>
      </c>
      <c r="U18" s="12" t="s">
        <v>26</v>
      </c>
      <c r="V18" s="14" t="s">
        <v>21</v>
      </c>
      <c r="W18" s="12" t="s">
        <v>21</v>
      </c>
      <c r="X18" s="12" t="s">
        <v>23</v>
      </c>
      <c r="Y18" s="12" t="s">
        <v>35</v>
      </c>
      <c r="Z18" s="14" t="s">
        <v>87</v>
      </c>
      <c r="AA18" s="56">
        <v>16.023889057596922</v>
      </c>
      <c r="AB18" s="15" t="s">
        <v>89</v>
      </c>
    </row>
    <row r="19" spans="1:28" s="70" customFormat="1" ht="15.75">
      <c r="A19" s="35"/>
      <c r="B19" s="35"/>
      <c r="C19" s="69"/>
      <c r="D19" s="35"/>
      <c r="E19" s="35"/>
      <c r="F19" s="35">
        <f>SUM(F15:F18)</f>
        <v>47524</v>
      </c>
      <c r="G19" s="35">
        <f>SUM(G15:G18)</f>
        <v>31358</v>
      </c>
      <c r="H19" s="35"/>
      <c r="I19" s="35"/>
      <c r="J19" s="35"/>
      <c r="K19" s="35">
        <f>SUM(K15:K18)</f>
        <v>12641</v>
      </c>
      <c r="L19" s="35"/>
      <c r="M19" s="35"/>
      <c r="N19" s="35"/>
      <c r="O19" s="35"/>
      <c r="P19" s="35">
        <f>SUM(P15:P18)</f>
        <v>17122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spans="1:28" ht="26.25">
      <c r="A20" s="103" t="s">
        <v>90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spans="1:28">
      <c r="A21" s="86" t="s">
        <v>1</v>
      </c>
      <c r="B21" s="88" t="s">
        <v>2</v>
      </c>
      <c r="C21" s="86" t="s">
        <v>3</v>
      </c>
      <c r="D21" s="88" t="s">
        <v>4</v>
      </c>
      <c r="E21" s="86" t="s">
        <v>5</v>
      </c>
      <c r="F21" s="88" t="s">
        <v>122</v>
      </c>
      <c r="G21" s="88" t="s">
        <v>385</v>
      </c>
      <c r="H21" s="86" t="s">
        <v>6</v>
      </c>
      <c r="I21" s="86"/>
      <c r="J21" s="86"/>
      <c r="K21" s="104" t="s">
        <v>7</v>
      </c>
      <c r="L21" s="104"/>
      <c r="M21" s="104"/>
      <c r="N21" s="104"/>
      <c r="O21" s="104"/>
      <c r="P21" s="105" t="s">
        <v>8</v>
      </c>
      <c r="Q21" s="105"/>
      <c r="R21" s="105"/>
      <c r="S21" s="105"/>
      <c r="T21" s="105"/>
      <c r="U21" s="86">
        <v>2018</v>
      </c>
      <c r="V21" s="86"/>
      <c r="W21" s="86"/>
      <c r="X21" s="86"/>
      <c r="Y21" s="86"/>
      <c r="Z21" s="88" t="s">
        <v>9</v>
      </c>
      <c r="AA21" s="88" t="s">
        <v>10</v>
      </c>
      <c r="AB21" s="88" t="s">
        <v>11</v>
      </c>
    </row>
    <row r="22" spans="1:28" ht="90">
      <c r="A22" s="86"/>
      <c r="B22" s="88"/>
      <c r="C22" s="86"/>
      <c r="D22" s="88"/>
      <c r="E22" s="86"/>
      <c r="F22" s="88"/>
      <c r="G22" s="88"/>
      <c r="H22" s="5" t="s">
        <v>12</v>
      </c>
      <c r="I22" s="5" t="s">
        <v>392</v>
      </c>
      <c r="J22" s="5" t="s">
        <v>13</v>
      </c>
      <c r="K22" s="5" t="s">
        <v>393</v>
      </c>
      <c r="L22" s="5" t="s">
        <v>12</v>
      </c>
      <c r="M22" s="5" t="s">
        <v>119</v>
      </c>
      <c r="N22" s="5" t="s">
        <v>392</v>
      </c>
      <c r="O22" s="5" t="s">
        <v>13</v>
      </c>
      <c r="P22" s="5" t="s">
        <v>394</v>
      </c>
      <c r="Q22" s="5" t="s">
        <v>12</v>
      </c>
      <c r="R22" s="5" t="s">
        <v>119</v>
      </c>
      <c r="S22" s="5" t="s">
        <v>392</v>
      </c>
      <c r="T22" s="5" t="s">
        <v>13</v>
      </c>
      <c r="U22" s="5" t="s">
        <v>14</v>
      </c>
      <c r="V22" s="5" t="s">
        <v>15</v>
      </c>
      <c r="W22" s="5" t="s">
        <v>16</v>
      </c>
      <c r="X22" s="5" t="s">
        <v>17</v>
      </c>
      <c r="Y22" s="5" t="s">
        <v>18</v>
      </c>
      <c r="Z22" s="88"/>
      <c r="AA22" s="88"/>
      <c r="AB22" s="88"/>
    </row>
    <row r="23" spans="1:28">
      <c r="A23" s="12">
        <v>1</v>
      </c>
      <c r="B23" s="53">
        <v>38</v>
      </c>
      <c r="C23" s="54" t="s">
        <v>116</v>
      </c>
      <c r="D23" s="55">
        <v>7</v>
      </c>
      <c r="E23" s="18" t="s">
        <v>43</v>
      </c>
      <c r="F23" s="12">
        <v>13431</v>
      </c>
      <c r="G23" s="12">
        <v>8138</v>
      </c>
      <c r="H23" s="56">
        <v>581.28571428571422</v>
      </c>
      <c r="I23" s="56">
        <v>91.822255094351959</v>
      </c>
      <c r="J23" s="56">
        <v>8431.3265306122448</v>
      </c>
      <c r="K23" s="7">
        <v>2585</v>
      </c>
      <c r="L23" s="56">
        <v>184.64285714285714</v>
      </c>
      <c r="M23" s="56">
        <f t="shared" ref="M23" si="0">(L23/H23)*100</f>
        <v>31.764561317276975</v>
      </c>
      <c r="N23" s="56">
        <v>78.726729636024345</v>
      </c>
      <c r="O23" s="56">
        <v>6197.8979591836733</v>
      </c>
      <c r="P23" s="7">
        <v>5246</v>
      </c>
      <c r="Q23" s="56">
        <v>374.71428571428572</v>
      </c>
      <c r="R23" s="56">
        <f t="shared" ref="R23" si="1">(Q23/H23)*100</f>
        <v>64.463013025313359</v>
      </c>
      <c r="S23" s="56">
        <v>60.651059515957037</v>
      </c>
      <c r="T23" s="56">
        <v>3678.5510204081629</v>
      </c>
      <c r="U23" s="12" t="s">
        <v>39</v>
      </c>
      <c r="V23" s="14" t="s">
        <v>21</v>
      </c>
      <c r="W23" s="12" t="s">
        <v>22</v>
      </c>
      <c r="X23" s="12" t="s">
        <v>23</v>
      </c>
      <c r="Y23" s="12" t="e">
        <v>#DIV/0!</v>
      </c>
      <c r="Z23" s="14" t="str">
        <f t="shared" ref="Z23" si="2">IF(L23&gt;Q23,"BJP GAIN","CONGRESS GAIN")</f>
        <v>CONGRESS GAIN</v>
      </c>
      <c r="AA23" s="56">
        <f>((Q23-L23)/H23)*100</f>
        <v>32.69845170803638</v>
      </c>
      <c r="AB23" s="24" t="str">
        <f t="shared" ref="AB23" si="3">IF(AA23&gt;=50,"VERYHIGHMARGIN",IF(AA23&gt;=40,"HIGHMARGIN",IF(AA23&gt;=30,"MEDIUMMARGIN",IF(AA23&gt;10,"LOWMARGIN",IF(AA23&gt;=1,"NARROWMARGIN")))))</f>
        <v>MEDIUMMARGIN</v>
      </c>
    </row>
    <row r="24" spans="1:28" ht="26.25">
      <c r="A24" s="98" t="s">
        <v>91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</row>
    <row r="25" spans="1:28">
      <c r="A25" s="86" t="s">
        <v>1</v>
      </c>
      <c r="B25" s="77" t="s">
        <v>2</v>
      </c>
      <c r="C25" s="86" t="s">
        <v>3</v>
      </c>
      <c r="D25" s="77" t="s">
        <v>4</v>
      </c>
      <c r="E25" s="86" t="s">
        <v>5</v>
      </c>
      <c r="F25" s="77" t="s">
        <v>122</v>
      </c>
      <c r="G25" s="77" t="s">
        <v>385</v>
      </c>
      <c r="H25" s="86" t="s">
        <v>6</v>
      </c>
      <c r="I25" s="86"/>
      <c r="J25" s="86"/>
      <c r="K25" s="82" t="s">
        <v>7</v>
      </c>
      <c r="L25" s="83"/>
      <c r="M25" s="83"/>
      <c r="N25" s="83"/>
      <c r="O25" s="84"/>
      <c r="P25" s="79" t="s">
        <v>8</v>
      </c>
      <c r="Q25" s="80"/>
      <c r="R25" s="80"/>
      <c r="S25" s="80"/>
      <c r="T25" s="81"/>
      <c r="U25" s="86">
        <v>2018</v>
      </c>
      <c r="V25" s="86"/>
      <c r="W25" s="86"/>
      <c r="X25" s="86"/>
      <c r="Y25" s="86"/>
      <c r="Z25" s="88" t="s">
        <v>9</v>
      </c>
      <c r="AA25" s="88" t="s">
        <v>10</v>
      </c>
      <c r="AB25" s="88" t="s">
        <v>11</v>
      </c>
    </row>
    <row r="26" spans="1:28" ht="90">
      <c r="A26" s="86"/>
      <c r="B26" s="78"/>
      <c r="C26" s="87"/>
      <c r="D26" s="78"/>
      <c r="E26" s="86"/>
      <c r="F26" s="78"/>
      <c r="G26" s="78"/>
      <c r="H26" s="5" t="s">
        <v>12</v>
      </c>
      <c r="I26" s="5" t="s">
        <v>392</v>
      </c>
      <c r="J26" s="5" t="s">
        <v>13</v>
      </c>
      <c r="K26" s="5" t="s">
        <v>393</v>
      </c>
      <c r="L26" s="5" t="s">
        <v>12</v>
      </c>
      <c r="M26" s="5" t="s">
        <v>119</v>
      </c>
      <c r="N26" s="5" t="s">
        <v>392</v>
      </c>
      <c r="O26" s="5" t="s">
        <v>13</v>
      </c>
      <c r="P26" s="5" t="s">
        <v>394</v>
      </c>
      <c r="Q26" s="5" t="s">
        <v>12</v>
      </c>
      <c r="R26" s="5" t="s">
        <v>119</v>
      </c>
      <c r="S26" s="5" t="s">
        <v>392</v>
      </c>
      <c r="T26" s="5" t="s">
        <v>13</v>
      </c>
      <c r="U26" s="5" t="s">
        <v>14</v>
      </c>
      <c r="V26" s="5" t="s">
        <v>15</v>
      </c>
      <c r="W26" s="5" t="s">
        <v>16</v>
      </c>
      <c r="X26" s="5" t="s">
        <v>17</v>
      </c>
      <c r="Y26" s="5" t="s">
        <v>18</v>
      </c>
      <c r="Z26" s="88"/>
      <c r="AA26" s="88"/>
      <c r="AB26" s="88"/>
    </row>
    <row r="27" spans="1:28">
      <c r="A27" s="12">
        <v>1</v>
      </c>
      <c r="B27" s="53">
        <v>39</v>
      </c>
      <c r="C27" s="54" t="s">
        <v>117</v>
      </c>
      <c r="D27" s="55">
        <v>6</v>
      </c>
      <c r="E27" s="18" t="s">
        <v>44</v>
      </c>
      <c r="F27" s="12">
        <v>12437</v>
      </c>
      <c r="G27" s="12">
        <v>7774</v>
      </c>
      <c r="H27" s="56">
        <v>647.83333333333337</v>
      </c>
      <c r="I27" s="56">
        <v>195.85765806376381</v>
      </c>
      <c r="J27" s="56">
        <v>38360.222222222219</v>
      </c>
      <c r="K27" s="7">
        <v>2008</v>
      </c>
      <c r="L27" s="56">
        <v>167.33333333333331</v>
      </c>
      <c r="M27" s="56">
        <v>25.829688705942882</v>
      </c>
      <c r="N27" s="56">
        <v>184.22909952315109</v>
      </c>
      <c r="O27" s="56">
        <v>33940.361111111109</v>
      </c>
      <c r="P27" s="7">
        <v>5487</v>
      </c>
      <c r="Q27" s="56">
        <v>457.25</v>
      </c>
      <c r="R27" s="56">
        <v>70.581425263699501</v>
      </c>
      <c r="S27" s="56">
        <v>78.793065825757935</v>
      </c>
      <c r="T27" s="56">
        <v>6208.3472222222226</v>
      </c>
      <c r="U27" s="12" t="s">
        <v>39</v>
      </c>
      <c r="V27" s="14" t="s">
        <v>21</v>
      </c>
      <c r="W27" s="12" t="s">
        <v>22</v>
      </c>
      <c r="X27" s="12" t="s">
        <v>23</v>
      </c>
      <c r="Y27" s="12" t="s">
        <v>35</v>
      </c>
      <c r="Z27" s="14" t="s">
        <v>87</v>
      </c>
      <c r="AA27" s="56">
        <v>44.75173655775663</v>
      </c>
      <c r="AB27" s="19" t="s">
        <v>92</v>
      </c>
    </row>
    <row r="28" spans="1:28">
      <c r="A28" s="12">
        <v>2</v>
      </c>
      <c r="B28" s="53">
        <v>43</v>
      </c>
      <c r="C28" s="54" t="s">
        <v>49</v>
      </c>
      <c r="D28" s="55">
        <v>5</v>
      </c>
      <c r="E28" s="12" t="s">
        <v>50</v>
      </c>
      <c r="F28" s="12">
        <v>10318</v>
      </c>
      <c r="G28" s="12">
        <v>7144</v>
      </c>
      <c r="H28" s="56">
        <v>714.4</v>
      </c>
      <c r="I28" s="56">
        <v>131.42785092970212</v>
      </c>
      <c r="J28" s="56">
        <v>17273.28</v>
      </c>
      <c r="K28" s="7">
        <v>1907</v>
      </c>
      <c r="L28" s="56">
        <v>190.7</v>
      </c>
      <c r="M28" s="56">
        <v>26.693729003359461</v>
      </c>
      <c r="N28" s="56">
        <v>68.091996592844893</v>
      </c>
      <c r="O28" s="56">
        <v>4636.5200000000004</v>
      </c>
      <c r="P28" s="7">
        <v>4960</v>
      </c>
      <c r="Q28" s="56">
        <v>496</v>
      </c>
      <c r="R28" s="56">
        <v>69.428891377379614</v>
      </c>
      <c r="S28" s="56">
        <v>125.87676513161593</v>
      </c>
      <c r="T28" s="56">
        <v>15844.96</v>
      </c>
      <c r="U28" s="12" t="s">
        <v>20</v>
      </c>
      <c r="V28" s="14" t="s">
        <v>21</v>
      </c>
      <c r="W28" s="12" t="s">
        <v>22</v>
      </c>
      <c r="X28" s="12" t="s">
        <v>30</v>
      </c>
      <c r="Y28" s="12" t="s">
        <v>35</v>
      </c>
      <c r="Z28" s="14" t="s">
        <v>87</v>
      </c>
      <c r="AA28" s="56">
        <v>42.735162374020156</v>
      </c>
      <c r="AB28" s="19" t="s">
        <v>92</v>
      </c>
    </row>
    <row r="29" spans="1:28" ht="15.75">
      <c r="A29" s="71"/>
      <c r="B29" s="71"/>
      <c r="C29" s="71"/>
      <c r="D29" s="71"/>
      <c r="E29" s="71"/>
      <c r="F29" s="71">
        <f>SUM(F27:F28)</f>
        <v>22755</v>
      </c>
      <c r="G29" s="71">
        <f>SUM(G27:G28)</f>
        <v>14918</v>
      </c>
      <c r="H29" s="71"/>
      <c r="I29" s="71"/>
      <c r="J29" s="71"/>
      <c r="K29" s="71">
        <f>SUM(K27:K28)</f>
        <v>3915</v>
      </c>
      <c r="L29" s="71"/>
      <c r="M29" s="71"/>
      <c r="N29" s="71"/>
      <c r="O29" s="71"/>
      <c r="P29" s="71">
        <f>SUM(P27:P28)</f>
        <v>10447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</row>
  </sheetData>
  <sheetProtection password="CFB8" sheet="1" objects="1" scenarios="1"/>
  <mergeCells count="61">
    <mergeCell ref="F25:F26"/>
    <mergeCell ref="G25:G26"/>
    <mergeCell ref="H25:J25"/>
    <mergeCell ref="A25:A26"/>
    <mergeCell ref="B25:B26"/>
    <mergeCell ref="C25:C26"/>
    <mergeCell ref="D25:D26"/>
    <mergeCell ref="E25:E26"/>
    <mergeCell ref="F21:F22"/>
    <mergeCell ref="G21:G22"/>
    <mergeCell ref="H21:J21"/>
    <mergeCell ref="K21:O21"/>
    <mergeCell ref="A21:A22"/>
    <mergeCell ref="B21:B22"/>
    <mergeCell ref="C21:C22"/>
    <mergeCell ref="D21:D22"/>
    <mergeCell ref="E21:E22"/>
    <mergeCell ref="P21:T21"/>
    <mergeCell ref="U21:Y21"/>
    <mergeCell ref="A24:AB24"/>
    <mergeCell ref="A13:A14"/>
    <mergeCell ref="B13:B14"/>
    <mergeCell ref="C13:C14"/>
    <mergeCell ref="D13:D14"/>
    <mergeCell ref="E13:E14"/>
    <mergeCell ref="A20:AB20"/>
    <mergeCell ref="F13:F14"/>
    <mergeCell ref="G13:G14"/>
    <mergeCell ref="H13:J13"/>
    <mergeCell ref="K13:O13"/>
    <mergeCell ref="P13:T13"/>
    <mergeCell ref="U13:Y13"/>
    <mergeCell ref="Z13:Z14"/>
    <mergeCell ref="A12:AB12"/>
    <mergeCell ref="A3:A4"/>
    <mergeCell ref="B3:B4"/>
    <mergeCell ref="C3:C4"/>
    <mergeCell ref="D3:D4"/>
    <mergeCell ref="F3:F4"/>
    <mergeCell ref="G3:G4"/>
    <mergeCell ref="H3:J3"/>
    <mergeCell ref="K3:O3"/>
    <mergeCell ref="P3:T3"/>
    <mergeCell ref="U3:Y3"/>
    <mergeCell ref="E3:E4"/>
    <mergeCell ref="A1:AB1"/>
    <mergeCell ref="A2:AB2"/>
    <mergeCell ref="Z3:Z4"/>
    <mergeCell ref="AA3:AA4"/>
    <mergeCell ref="AB3:AB4"/>
    <mergeCell ref="AA13:AA14"/>
    <mergeCell ref="AB13:AB14"/>
    <mergeCell ref="Z21:Z22"/>
    <mergeCell ref="AA21:AA22"/>
    <mergeCell ref="AB21:AB22"/>
    <mergeCell ref="AB25:AB26"/>
    <mergeCell ref="K25:O25"/>
    <mergeCell ref="P25:T25"/>
    <mergeCell ref="U25:Y25"/>
    <mergeCell ref="Z25:Z26"/>
    <mergeCell ref="AA25:AA26"/>
  </mergeCells>
  <conditionalFormatting sqref="O16:O19 O5:O11 U5:U11 U16:U19 O23 U23">
    <cfRule type="containsText" dxfId="104" priority="165" operator="containsText" text="AVG">
      <formula>NOT(ISERROR(SEARCH("AVG",O5)))</formula>
    </cfRule>
  </conditionalFormatting>
  <conditionalFormatting sqref="O16:O19 O5:O11 U5:U11 U16:U19 O23 U23">
    <cfRule type="cellIs" dxfId="103" priority="164" operator="equal">
      <formula>"STRONG"</formula>
    </cfRule>
  </conditionalFormatting>
  <conditionalFormatting sqref="O16:O19 O5:O11 U5:U11 U16:U19 O23 U23">
    <cfRule type="containsText" dxfId="102" priority="163" operator="containsText" text="VSTRONG">
      <formula>NOT(ISERROR(SEARCH("VSTRONG",O5)))</formula>
    </cfRule>
  </conditionalFormatting>
  <conditionalFormatting sqref="P16:P19 P5:P11 V5:V11 V16:V19 P23 V23">
    <cfRule type="containsText" dxfId="101" priority="162" operator="containsText" text="STRONG">
      <formula>NOT(ISERROR(SEARCH("STRONG",P5)))</formula>
    </cfRule>
  </conditionalFormatting>
  <conditionalFormatting sqref="P16:P19 P5:P11 V5:V11 V16:V19 P23 V23">
    <cfRule type="containsText" dxfId="100" priority="161" operator="containsText" text="VSTRONG">
      <formula>NOT(ISERROR(SEARCH("VSTRONG",P5)))</formula>
    </cfRule>
  </conditionalFormatting>
  <conditionalFormatting sqref="R16:R19 R5:R11 X5:X11 X16:X19 R23 X23">
    <cfRule type="containsText" dxfId="99" priority="160" operator="containsText" text="FEMALE DOM">
      <formula>NOT(ISERROR(SEARCH("FEMALE DOM",R5)))</formula>
    </cfRule>
  </conditionalFormatting>
  <conditionalFormatting sqref="O16:O19 O5:O11 U5:U11 U16:U19 O23 U23">
    <cfRule type="containsText" dxfId="98" priority="159" operator="containsText" text="AVG">
      <formula>NOT(ISERROR(SEARCH("AVG",O5)))</formula>
    </cfRule>
  </conditionalFormatting>
  <conditionalFormatting sqref="Q16:Q19 Q5:Q11 W5:W11 W16:W19 Q23 W23">
    <cfRule type="cellIs" dxfId="97" priority="158" operator="equal">
      <formula>"VWEAK"</formula>
    </cfRule>
  </conditionalFormatting>
  <conditionalFormatting sqref="P16:Q19 P5:Q11 V5:W11 V16:W19 P23:Q23 V23:W23">
    <cfRule type="containsText" dxfId="96" priority="157" operator="containsText" text="AVG">
      <formula>NOT(ISERROR(SEARCH("AVG",P5)))</formula>
    </cfRule>
  </conditionalFormatting>
  <conditionalFormatting sqref="Q16:Q19 Q5:Q11 W5:W11 W16:W19 Q23 W23">
    <cfRule type="containsText" dxfId="95" priority="156" operator="containsText" text="VSTRONG">
      <formula>NOT(ISERROR(SEARCH("VSTRONG",Q5)))</formula>
    </cfRule>
  </conditionalFormatting>
  <conditionalFormatting sqref="R16:R19 R5:R11 X5:X11 X16:X19 R23 X23">
    <cfRule type="containsText" dxfId="94" priority="155" operator="containsText" text="MEN">
      <formula>NOT(ISERROR(SEARCH("MEN",R5)))</formula>
    </cfRule>
  </conditionalFormatting>
  <conditionalFormatting sqref="S16:S19 S5:S11 Y5:Y11 Y16:Y19 S23 Y23">
    <cfRule type="containsText" dxfId="93" priority="154" operator="containsText" text="O">
      <formula>NOT(ISERROR(SEARCH("O",S5)))</formula>
    </cfRule>
  </conditionalFormatting>
  <conditionalFormatting sqref="S16:S19 S5:S11 Y5:Y11 Y16:Y19 S23 Y23">
    <cfRule type="containsText" dxfId="92" priority="152" operator="containsText" text="H">
      <formula>NOT(ISERROR(SEARCH("H",S5)))</formula>
    </cfRule>
    <cfRule type="containsText" dxfId="91" priority="153" operator="containsText" text="H">
      <formula>NOT(ISERROR(SEARCH("H",S5)))</formula>
    </cfRule>
  </conditionalFormatting>
  <conditionalFormatting sqref="S16:S19 S5:S11 Y5:Y11 Y16:Y19 S23 Y23">
    <cfRule type="containsText" dxfId="90" priority="151" operator="containsText" text="H">
      <formula>NOT(ISERROR(SEARCH("H",S5)))</formula>
    </cfRule>
  </conditionalFormatting>
  <conditionalFormatting sqref="O27:O28">
    <cfRule type="containsText" dxfId="89" priority="135" operator="containsText" text="AVG">
      <formula>NOT(ISERROR(SEARCH("AVG",O27)))</formula>
    </cfRule>
  </conditionalFormatting>
  <conditionalFormatting sqref="O27:O28">
    <cfRule type="cellIs" dxfId="88" priority="134" operator="equal">
      <formula>"STRONG"</formula>
    </cfRule>
  </conditionalFormatting>
  <conditionalFormatting sqref="O27:O28">
    <cfRule type="containsText" dxfId="87" priority="133" operator="containsText" text="VSTRONG">
      <formula>NOT(ISERROR(SEARCH("VSTRONG",O27)))</formula>
    </cfRule>
  </conditionalFormatting>
  <conditionalFormatting sqref="P27:P28">
    <cfRule type="containsText" dxfId="86" priority="132" operator="containsText" text="STRONG">
      <formula>NOT(ISERROR(SEARCH("STRONG",P27)))</formula>
    </cfRule>
  </conditionalFormatting>
  <conditionalFormatting sqref="P27:P28">
    <cfRule type="containsText" dxfId="85" priority="131" operator="containsText" text="VSTRONG">
      <formula>NOT(ISERROR(SEARCH("VSTRONG",P27)))</formula>
    </cfRule>
  </conditionalFormatting>
  <conditionalFormatting sqref="R27:R28">
    <cfRule type="containsText" dxfId="84" priority="130" operator="containsText" text="FEMALE DOM">
      <formula>NOT(ISERROR(SEARCH("FEMALE DOM",R27)))</formula>
    </cfRule>
  </conditionalFormatting>
  <conditionalFormatting sqref="O27:O28">
    <cfRule type="containsText" dxfId="83" priority="129" operator="containsText" text="AVG">
      <formula>NOT(ISERROR(SEARCH("AVG",O27)))</formula>
    </cfRule>
  </conditionalFormatting>
  <conditionalFormatting sqref="Q27:Q28">
    <cfRule type="cellIs" dxfId="82" priority="128" operator="equal">
      <formula>"VWEAK"</formula>
    </cfRule>
  </conditionalFormatting>
  <conditionalFormatting sqref="P27:Q28">
    <cfRule type="containsText" dxfId="81" priority="127" operator="containsText" text="AVG">
      <formula>NOT(ISERROR(SEARCH("AVG",P27)))</formula>
    </cfRule>
  </conditionalFormatting>
  <conditionalFormatting sqref="Q27:Q28">
    <cfRule type="containsText" dxfId="80" priority="126" operator="containsText" text="VSTRONG">
      <formula>NOT(ISERROR(SEARCH("VSTRONG",Q27)))</formula>
    </cfRule>
  </conditionalFormatting>
  <conditionalFormatting sqref="R27:R28">
    <cfRule type="containsText" dxfId="79" priority="125" operator="containsText" text="MEN">
      <formula>NOT(ISERROR(SEARCH("MEN",R27)))</formula>
    </cfRule>
  </conditionalFormatting>
  <conditionalFormatting sqref="S27:S28">
    <cfRule type="containsText" dxfId="78" priority="124" operator="containsText" text="O">
      <formula>NOT(ISERROR(SEARCH("O",S27)))</formula>
    </cfRule>
  </conditionalFormatting>
  <conditionalFormatting sqref="S27:S28">
    <cfRule type="containsText" dxfId="77" priority="122" operator="containsText" text="H">
      <formula>NOT(ISERROR(SEARCH("H",S27)))</formula>
    </cfRule>
    <cfRule type="containsText" dxfId="76" priority="123" operator="containsText" text="H">
      <formula>NOT(ISERROR(SEARCH("H",S27)))</formula>
    </cfRule>
  </conditionalFormatting>
  <conditionalFormatting sqref="S27:S28">
    <cfRule type="containsText" dxfId="75" priority="121" operator="containsText" text="H">
      <formula>NOT(ISERROR(SEARCH("H",S27)))</formula>
    </cfRule>
  </conditionalFormatting>
  <conditionalFormatting sqref="U27:U28">
    <cfRule type="containsText" dxfId="74" priority="75" operator="containsText" text="AVG">
      <formula>NOT(ISERROR(SEARCH("AVG",U27)))</formula>
    </cfRule>
  </conditionalFormatting>
  <conditionalFormatting sqref="U27:U28">
    <cfRule type="cellIs" dxfId="73" priority="74" operator="equal">
      <formula>"STRONG"</formula>
    </cfRule>
  </conditionalFormatting>
  <conditionalFormatting sqref="U27:U28">
    <cfRule type="containsText" dxfId="72" priority="73" operator="containsText" text="VSTRONG">
      <formula>NOT(ISERROR(SEARCH("VSTRONG",U27)))</formula>
    </cfRule>
  </conditionalFormatting>
  <conditionalFormatting sqref="V27:V28">
    <cfRule type="containsText" dxfId="71" priority="72" operator="containsText" text="STRONG">
      <formula>NOT(ISERROR(SEARCH("STRONG",V27)))</formula>
    </cfRule>
  </conditionalFormatting>
  <conditionalFormatting sqref="V27:V28">
    <cfRule type="containsText" dxfId="70" priority="71" operator="containsText" text="VSTRONG">
      <formula>NOT(ISERROR(SEARCH("VSTRONG",V27)))</formula>
    </cfRule>
  </conditionalFormatting>
  <conditionalFormatting sqref="X27:X28">
    <cfRule type="containsText" dxfId="69" priority="70" operator="containsText" text="FEMALE DOM">
      <formula>NOT(ISERROR(SEARCH("FEMALE DOM",X27)))</formula>
    </cfRule>
  </conditionalFormatting>
  <conditionalFormatting sqref="U27:U28">
    <cfRule type="containsText" dxfId="68" priority="69" operator="containsText" text="AVG">
      <formula>NOT(ISERROR(SEARCH("AVG",U27)))</formula>
    </cfRule>
  </conditionalFormatting>
  <conditionalFormatting sqref="W27:W28">
    <cfRule type="cellIs" dxfId="67" priority="68" operator="equal">
      <formula>"VWEAK"</formula>
    </cfRule>
  </conditionalFormatting>
  <conditionalFormatting sqref="V27:W28">
    <cfRule type="containsText" dxfId="66" priority="67" operator="containsText" text="AVG">
      <formula>NOT(ISERROR(SEARCH("AVG",V27)))</formula>
    </cfRule>
  </conditionalFormatting>
  <conditionalFormatting sqref="W27:W28">
    <cfRule type="containsText" dxfId="65" priority="66" operator="containsText" text="VSTRONG">
      <formula>NOT(ISERROR(SEARCH("VSTRONG",W27)))</formula>
    </cfRule>
  </conditionalFormatting>
  <conditionalFormatting sqref="X27:X28">
    <cfRule type="containsText" dxfId="64" priority="65" operator="containsText" text="MEN">
      <formula>NOT(ISERROR(SEARCH("MEN",X27)))</formula>
    </cfRule>
  </conditionalFormatting>
  <conditionalFormatting sqref="Y27:Y28">
    <cfRule type="containsText" dxfId="63" priority="64" operator="containsText" text="O">
      <formula>NOT(ISERROR(SEARCH("O",Y27)))</formula>
    </cfRule>
  </conditionalFormatting>
  <conditionalFormatting sqref="Y27:Y28">
    <cfRule type="containsText" dxfId="62" priority="62" operator="containsText" text="H">
      <formula>NOT(ISERROR(SEARCH("H",Y27)))</formula>
    </cfRule>
    <cfRule type="containsText" dxfId="61" priority="63" operator="containsText" text="H">
      <formula>NOT(ISERROR(SEARCH("H",Y27)))</formula>
    </cfRule>
  </conditionalFormatting>
  <conditionalFormatting sqref="Y27:Y28">
    <cfRule type="containsText" dxfId="60" priority="61" operator="containsText" text="H">
      <formula>NOT(ISERROR(SEARCH("H",Y27)))</formula>
    </cfRule>
  </conditionalFormatting>
  <conditionalFormatting sqref="U5:U10">
    <cfRule type="containsText" dxfId="59" priority="60" operator="containsText" text="AVG">
      <formula>NOT(ISERROR(SEARCH("AVG",U5)))</formula>
    </cfRule>
  </conditionalFormatting>
  <conditionalFormatting sqref="U5:U10">
    <cfRule type="cellIs" dxfId="58" priority="59" operator="equal">
      <formula>"STRONG"</formula>
    </cfRule>
  </conditionalFormatting>
  <conditionalFormatting sqref="U5:U10">
    <cfRule type="containsText" dxfId="57" priority="58" operator="containsText" text="VSTRONG">
      <formula>NOT(ISERROR(SEARCH("VSTRONG",U5)))</formula>
    </cfRule>
  </conditionalFormatting>
  <conditionalFormatting sqref="V5:V10">
    <cfRule type="containsText" dxfId="56" priority="57" operator="containsText" text="STRONG">
      <formula>NOT(ISERROR(SEARCH("STRONG",V5)))</formula>
    </cfRule>
  </conditionalFormatting>
  <conditionalFormatting sqref="V5:V10">
    <cfRule type="containsText" dxfId="55" priority="56" operator="containsText" text="VSTRONG">
      <formula>NOT(ISERROR(SEARCH("VSTRONG",V5)))</formula>
    </cfRule>
  </conditionalFormatting>
  <conditionalFormatting sqref="X5:X10">
    <cfRule type="containsText" dxfId="54" priority="55" operator="containsText" text="FEMALE DOM">
      <formula>NOT(ISERROR(SEARCH("FEMALE DOM",X5)))</formula>
    </cfRule>
  </conditionalFormatting>
  <conditionalFormatting sqref="U5:U10">
    <cfRule type="containsText" dxfId="53" priority="54" operator="containsText" text="AVG">
      <formula>NOT(ISERROR(SEARCH("AVG",U5)))</formula>
    </cfRule>
  </conditionalFormatting>
  <conditionalFormatting sqref="W5:W10">
    <cfRule type="cellIs" dxfId="52" priority="53" operator="equal">
      <formula>"VWEAK"</formula>
    </cfRule>
  </conditionalFormatting>
  <conditionalFormatting sqref="V5:W10">
    <cfRule type="containsText" dxfId="51" priority="52" operator="containsText" text="AVG">
      <formula>NOT(ISERROR(SEARCH("AVG",V5)))</formula>
    </cfRule>
  </conditionalFormatting>
  <conditionalFormatting sqref="W5:W10">
    <cfRule type="containsText" dxfId="50" priority="51" operator="containsText" text="VSTRONG">
      <formula>NOT(ISERROR(SEARCH("VSTRONG",W5)))</formula>
    </cfRule>
  </conditionalFormatting>
  <conditionalFormatting sqref="X5:X10">
    <cfRule type="containsText" dxfId="49" priority="50" operator="containsText" text="MEN">
      <formula>NOT(ISERROR(SEARCH("MEN",X5)))</formula>
    </cfRule>
  </conditionalFormatting>
  <conditionalFormatting sqref="Y5:Y10">
    <cfRule type="containsText" dxfId="48" priority="49" operator="containsText" text="O">
      <formula>NOT(ISERROR(SEARCH("O",Y5)))</formula>
    </cfRule>
  </conditionalFormatting>
  <conditionalFormatting sqref="Y5:Y10">
    <cfRule type="containsText" dxfId="47" priority="47" operator="containsText" text="H">
      <formula>NOT(ISERROR(SEARCH("H",Y5)))</formula>
    </cfRule>
    <cfRule type="containsText" dxfId="46" priority="48" operator="containsText" text="H">
      <formula>NOT(ISERROR(SEARCH("H",Y5)))</formula>
    </cfRule>
  </conditionalFormatting>
  <conditionalFormatting sqref="Y5:Y10">
    <cfRule type="containsText" dxfId="45" priority="46" operator="containsText" text="H">
      <formula>NOT(ISERROR(SEARCH("H",Y5)))</formula>
    </cfRule>
  </conditionalFormatting>
  <conditionalFormatting sqref="U16:U18">
    <cfRule type="containsText" dxfId="44" priority="45" operator="containsText" text="AVG">
      <formula>NOT(ISERROR(SEARCH("AVG",U16)))</formula>
    </cfRule>
  </conditionalFormatting>
  <conditionalFormatting sqref="U16:U18">
    <cfRule type="cellIs" dxfId="43" priority="44" operator="equal">
      <formula>"STRONG"</formula>
    </cfRule>
  </conditionalFormatting>
  <conditionalFormatting sqref="U16:U18">
    <cfRule type="containsText" dxfId="42" priority="43" operator="containsText" text="VSTRONG">
      <formula>NOT(ISERROR(SEARCH("VSTRONG",U16)))</formula>
    </cfRule>
  </conditionalFormatting>
  <conditionalFormatting sqref="V16:V18">
    <cfRule type="containsText" dxfId="41" priority="42" operator="containsText" text="STRONG">
      <formula>NOT(ISERROR(SEARCH("STRONG",V16)))</formula>
    </cfRule>
  </conditionalFormatting>
  <conditionalFormatting sqref="V16:V18">
    <cfRule type="containsText" dxfId="40" priority="41" operator="containsText" text="VSTRONG">
      <formula>NOT(ISERROR(SEARCH("VSTRONG",V16)))</formula>
    </cfRule>
  </conditionalFormatting>
  <conditionalFormatting sqref="X16:X18">
    <cfRule type="containsText" dxfId="39" priority="40" operator="containsText" text="FEMALE DOM">
      <formula>NOT(ISERROR(SEARCH("FEMALE DOM",X16)))</formula>
    </cfRule>
  </conditionalFormatting>
  <conditionalFormatting sqref="U16:U18">
    <cfRule type="containsText" dxfId="38" priority="39" operator="containsText" text="AVG">
      <formula>NOT(ISERROR(SEARCH("AVG",U16)))</formula>
    </cfRule>
  </conditionalFormatting>
  <conditionalFormatting sqref="W16:W18">
    <cfRule type="cellIs" dxfId="37" priority="38" operator="equal">
      <formula>"VWEAK"</formula>
    </cfRule>
  </conditionalFormatting>
  <conditionalFormatting sqref="V16:W18">
    <cfRule type="containsText" dxfId="36" priority="37" operator="containsText" text="AVG">
      <formula>NOT(ISERROR(SEARCH("AVG",V16)))</formula>
    </cfRule>
  </conditionalFormatting>
  <conditionalFormatting sqref="W16:W18">
    <cfRule type="containsText" dxfId="35" priority="36" operator="containsText" text="VSTRONG">
      <formula>NOT(ISERROR(SEARCH("VSTRONG",W16)))</formula>
    </cfRule>
  </conditionalFormatting>
  <conditionalFormatting sqref="X16:X18">
    <cfRule type="containsText" dxfId="34" priority="35" operator="containsText" text="MEN">
      <formula>NOT(ISERROR(SEARCH("MEN",X16)))</formula>
    </cfRule>
  </conditionalFormatting>
  <conditionalFormatting sqref="Y16:Y18">
    <cfRule type="containsText" dxfId="33" priority="34" operator="containsText" text="O">
      <formula>NOT(ISERROR(SEARCH("O",Y16)))</formula>
    </cfRule>
  </conditionalFormatting>
  <conditionalFormatting sqref="Y16:Y18">
    <cfRule type="containsText" dxfId="32" priority="32" operator="containsText" text="H">
      <formula>NOT(ISERROR(SEARCH("H",Y16)))</formula>
    </cfRule>
    <cfRule type="containsText" dxfId="31" priority="33" operator="containsText" text="H">
      <formula>NOT(ISERROR(SEARCH("H",Y16)))</formula>
    </cfRule>
  </conditionalFormatting>
  <conditionalFormatting sqref="Y16:Y18">
    <cfRule type="containsText" dxfId="30" priority="31" operator="containsText" text="H">
      <formula>NOT(ISERROR(SEARCH("H",Y16)))</formula>
    </cfRule>
  </conditionalFormatting>
  <conditionalFormatting sqref="U23">
    <cfRule type="containsText" dxfId="29" priority="30" operator="containsText" text="AVG">
      <formula>NOT(ISERROR(SEARCH("AVG",U23)))</formula>
    </cfRule>
  </conditionalFormatting>
  <conditionalFormatting sqref="U23">
    <cfRule type="cellIs" dxfId="28" priority="29" operator="equal">
      <formula>"STRONG"</formula>
    </cfRule>
  </conditionalFormatting>
  <conditionalFormatting sqref="U23">
    <cfRule type="containsText" dxfId="27" priority="28" operator="containsText" text="VSTRONG">
      <formula>NOT(ISERROR(SEARCH("VSTRONG",U23)))</formula>
    </cfRule>
  </conditionalFormatting>
  <conditionalFormatting sqref="V23">
    <cfRule type="containsText" dxfId="26" priority="27" operator="containsText" text="STRONG">
      <formula>NOT(ISERROR(SEARCH("STRONG",V23)))</formula>
    </cfRule>
  </conditionalFormatting>
  <conditionalFormatting sqref="V23">
    <cfRule type="containsText" dxfId="25" priority="26" operator="containsText" text="VSTRONG">
      <formula>NOT(ISERROR(SEARCH("VSTRONG",V23)))</formula>
    </cfRule>
  </conditionalFormatting>
  <conditionalFormatting sqref="X23">
    <cfRule type="containsText" dxfId="24" priority="25" operator="containsText" text="FEMALE DOM">
      <formula>NOT(ISERROR(SEARCH("FEMALE DOM",X23)))</formula>
    </cfRule>
  </conditionalFormatting>
  <conditionalFormatting sqref="U23">
    <cfRule type="containsText" dxfId="23" priority="24" operator="containsText" text="AVG">
      <formula>NOT(ISERROR(SEARCH("AVG",U23)))</formula>
    </cfRule>
  </conditionalFormatting>
  <conditionalFormatting sqref="W23">
    <cfRule type="cellIs" dxfId="22" priority="23" operator="equal">
      <formula>"VWEAK"</formula>
    </cfRule>
  </conditionalFormatting>
  <conditionalFormatting sqref="V23:W23">
    <cfRule type="containsText" dxfId="21" priority="22" operator="containsText" text="AVG">
      <formula>NOT(ISERROR(SEARCH("AVG",V23)))</formula>
    </cfRule>
  </conditionalFormatting>
  <conditionalFormatting sqref="W23">
    <cfRule type="containsText" dxfId="20" priority="21" operator="containsText" text="VSTRONG">
      <formula>NOT(ISERROR(SEARCH("VSTRONG",W23)))</formula>
    </cfRule>
  </conditionalFormatting>
  <conditionalFormatting sqref="X23">
    <cfRule type="containsText" dxfId="19" priority="20" operator="containsText" text="MEN">
      <formula>NOT(ISERROR(SEARCH("MEN",X23)))</formula>
    </cfRule>
  </conditionalFormatting>
  <conditionalFormatting sqref="Y23">
    <cfRule type="containsText" dxfId="18" priority="19" operator="containsText" text="O">
      <formula>NOT(ISERROR(SEARCH("O",Y23)))</formula>
    </cfRule>
  </conditionalFormatting>
  <conditionalFormatting sqref="Y23">
    <cfRule type="containsText" dxfId="17" priority="17" operator="containsText" text="H">
      <formula>NOT(ISERROR(SEARCH("H",Y23)))</formula>
    </cfRule>
    <cfRule type="containsText" dxfId="16" priority="18" operator="containsText" text="H">
      <formula>NOT(ISERROR(SEARCH("H",Y23)))</formula>
    </cfRule>
  </conditionalFormatting>
  <conditionalFormatting sqref="Y23">
    <cfRule type="containsText" dxfId="15" priority="16" operator="containsText" text="H">
      <formula>NOT(ISERROR(SEARCH("H",Y23)))</formula>
    </cfRule>
  </conditionalFormatting>
  <conditionalFormatting sqref="U27:U28">
    <cfRule type="containsText" dxfId="14" priority="15" operator="containsText" text="AVG">
      <formula>NOT(ISERROR(SEARCH("AVG",U27)))</formula>
    </cfRule>
  </conditionalFormatting>
  <conditionalFormatting sqref="U27:U28">
    <cfRule type="cellIs" dxfId="13" priority="14" operator="equal">
      <formula>"STRONG"</formula>
    </cfRule>
  </conditionalFormatting>
  <conditionalFormatting sqref="U27:U28">
    <cfRule type="containsText" dxfId="12" priority="13" operator="containsText" text="VSTRONG">
      <formula>NOT(ISERROR(SEARCH("VSTRONG",U27)))</formula>
    </cfRule>
  </conditionalFormatting>
  <conditionalFormatting sqref="V27:V28">
    <cfRule type="containsText" dxfId="11" priority="12" operator="containsText" text="STRONG">
      <formula>NOT(ISERROR(SEARCH("STRONG",V27)))</formula>
    </cfRule>
  </conditionalFormatting>
  <conditionalFormatting sqref="V27:V28">
    <cfRule type="containsText" dxfId="10" priority="11" operator="containsText" text="VSTRONG">
      <formula>NOT(ISERROR(SEARCH("VSTRONG",V27)))</formula>
    </cfRule>
  </conditionalFormatting>
  <conditionalFormatting sqref="X27:X28">
    <cfRule type="containsText" dxfId="9" priority="10" operator="containsText" text="FEMALE DOM">
      <formula>NOT(ISERROR(SEARCH("FEMALE DOM",X27)))</formula>
    </cfRule>
  </conditionalFormatting>
  <conditionalFormatting sqref="U27:U28">
    <cfRule type="containsText" dxfId="8" priority="9" operator="containsText" text="AVG">
      <formula>NOT(ISERROR(SEARCH("AVG",U27)))</formula>
    </cfRule>
  </conditionalFormatting>
  <conditionalFormatting sqref="W27:W28">
    <cfRule type="cellIs" dxfId="7" priority="8" operator="equal">
      <formula>"VWEAK"</formula>
    </cfRule>
  </conditionalFormatting>
  <conditionalFormatting sqref="V27:W28">
    <cfRule type="containsText" dxfId="6" priority="7" operator="containsText" text="AVG">
      <formula>NOT(ISERROR(SEARCH("AVG",V27)))</formula>
    </cfRule>
  </conditionalFormatting>
  <conditionalFormatting sqref="W27:W28">
    <cfRule type="containsText" dxfId="5" priority="6" operator="containsText" text="VSTRONG">
      <formula>NOT(ISERROR(SEARCH("VSTRONG",W27)))</formula>
    </cfRule>
  </conditionalFormatting>
  <conditionalFormatting sqref="X27:X28">
    <cfRule type="containsText" dxfId="4" priority="5" operator="containsText" text="MEN">
      <formula>NOT(ISERROR(SEARCH("MEN",X27)))</formula>
    </cfRule>
  </conditionalFormatting>
  <conditionalFormatting sqref="Y27:Y28">
    <cfRule type="containsText" dxfId="3" priority="4" operator="containsText" text="O">
      <formula>NOT(ISERROR(SEARCH("O",Y27)))</formula>
    </cfRule>
  </conditionalFormatting>
  <conditionalFormatting sqref="Y27:Y28">
    <cfRule type="containsText" dxfId="2" priority="2" operator="containsText" text="H">
      <formula>NOT(ISERROR(SEARCH("H",Y27)))</formula>
    </cfRule>
    <cfRule type="containsText" dxfId="1" priority="3" operator="containsText" text="H">
      <formula>NOT(ISERROR(SEARCH("H",Y27)))</formula>
    </cfRule>
  </conditionalFormatting>
  <conditionalFormatting sqref="Y27:Y28">
    <cfRule type="containsText" dxfId="0" priority="1" operator="containsText" text="H">
      <formula>NOT(ISERROR(SEARCH("H",Y27)))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2014 BOOTH WISE</vt:lpstr>
      <vt:lpstr>2018 BOOTH WISE</vt:lpstr>
      <vt:lpstr>2014 AND 2018 SATATISTICAL ANLY</vt:lpstr>
      <vt:lpstr>BJP WIN OR LOSS</vt:lpstr>
      <vt:lpstr>BJP</vt:lpstr>
      <vt:lpstr>CONGRESS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2018-11-03T13:06:15Z</dcterms:created>
  <dcterms:modified xsi:type="dcterms:W3CDTF">2018-11-15T07:52:07Z</dcterms:modified>
</cp:coreProperties>
</file>